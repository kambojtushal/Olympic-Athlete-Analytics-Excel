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3.xml" ContentType="application/vnd.openxmlformats-officedocument.drawing+xml"/>
  <Override PartName="/xl/slicers/slicer3.xml" ContentType="application/vnd.ms-excel.slicer+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drawings/drawing4.xml" ContentType="application/vnd.openxmlformats-officedocument.drawing+xml"/>
  <Override PartName="/xl/slicers/slicer4.xml" ContentType="application/vnd.ms-excel.slicer+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pivotTables/pivotTable12.xml" ContentType="application/vnd.openxmlformats-officedocument.spreadsheetml.pivotTable+xml"/>
  <Override PartName="/xl/drawings/drawing5.xml" ContentType="application/vnd.openxmlformats-officedocument.drawing+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drawings/drawing6.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codeName="ThisWorkbook" hidePivotFieldList="1" defaultThemeVersion="166925"/>
  <mc:AlternateContent xmlns:mc="http://schemas.openxmlformats.org/markup-compatibility/2006">
    <mc:Choice Requires="x15">
      <x15ac:absPath xmlns:x15ac="http://schemas.microsoft.com/office/spreadsheetml/2010/11/ac" url="C:\Users\DELL\OneDrive\Desktop\Intership Project\"/>
    </mc:Choice>
  </mc:AlternateContent>
  <xr:revisionPtr revIDLastSave="0" documentId="13_ncr:1_{6C509F12-08FD-4B4E-9FEB-5FE6CBC1A28E}" xr6:coauthVersionLast="47" xr6:coauthVersionMax="47" xr10:uidLastSave="{00000000-0000-0000-0000-000000000000}"/>
  <bookViews>
    <workbookView xWindow="50" yWindow="0" windowWidth="19150" windowHeight="10080" firstSheet="7" activeTab="10" xr2:uid="{A3B6DC23-A0F3-493E-8DDC-86AFE03065C3}"/>
  </bookViews>
  <sheets>
    <sheet name="DASHBOARD" sheetId="20" r:id="rId1"/>
    <sheet name="Count of Athleties Across Sport" sheetId="2" r:id="rId2"/>
    <sheet name="Count of Athlete Across Age Gro" sheetId="11" r:id="rId3"/>
    <sheet name="Sport Across Nationality" sheetId="5" r:id="rId4"/>
    <sheet name="WEIGHT" sheetId="10" r:id="rId5"/>
    <sheet name="Weight Across Age" sheetId="4" r:id="rId6"/>
    <sheet name="Count of Athlete Across Weight" sheetId="9" r:id="rId7"/>
    <sheet name="HEIGHT" sheetId="18" r:id="rId8"/>
    <sheet name="Height Acroos Height Level" sheetId="16" r:id="rId9"/>
    <sheet name="Height Across Age" sheetId="7" r:id="rId10"/>
    <sheet name="BMI" sheetId="19" r:id="rId11"/>
    <sheet name="BMI Vs AVG Weight &amp; Height" sheetId="14" r:id="rId12"/>
    <sheet name="Avg BMI Acroos Sport" sheetId="24" r:id="rId13"/>
    <sheet name="Age Across BMI" sheetId="25" r:id="rId14"/>
    <sheet name="ABOUT" sheetId="26" r:id="rId15"/>
    <sheet name="DATA" sheetId="1" r:id="rId16"/>
  </sheets>
  <definedNames>
    <definedName name="_xlnm._FilterDatabase" localSheetId="15" hidden="1">DATA!$A$1:$K$2607</definedName>
    <definedName name="_xlnm._FilterDatabase" localSheetId="5" hidden="1">'Weight Across Age'!$A$3:$B$13</definedName>
    <definedName name="Slicer_Age_Group">#N/A</definedName>
    <definedName name="Slicer_Height_level1">#N/A</definedName>
    <definedName name="Slicer_Sport">#N/A</definedName>
    <definedName name="Slicer_Weight_level">#N/A</definedName>
  </definedNames>
  <calcPr calcId="191029"/>
  <pivotCaches>
    <pivotCache cacheId="0" r:id="rId17"/>
  </pivotCaches>
  <extLst>
    <ext xmlns:x14="http://schemas.microsoft.com/office/spreadsheetml/2009/9/main" uri="{BBE1A952-AA13-448e-AADC-164F8A28A991}">
      <x14:slicerCaches>
        <x14:slicerCache r:id="rId18"/>
        <x14:slicerCache r:id="rId19"/>
        <x14:slicerCache r:id="rId20"/>
        <x14:slicerCache r:id="rId21"/>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H3" i="1" l="1"/>
  <c r="H4" i="1"/>
  <c r="H5" i="1"/>
  <c r="H6" i="1"/>
  <c r="H7" i="1"/>
  <c r="H8" i="1"/>
  <c r="H9" i="1"/>
  <c r="H10" i="1"/>
  <c r="H11" i="1"/>
  <c r="H12" i="1"/>
  <c r="H13" i="1"/>
  <c r="H14" i="1"/>
  <c r="H15" i="1"/>
  <c r="H16" i="1"/>
  <c r="H2292" i="1"/>
  <c r="H17" i="1"/>
  <c r="H18" i="1"/>
  <c r="H19" i="1"/>
  <c r="H20" i="1"/>
  <c r="H21" i="1"/>
  <c r="H22" i="1"/>
  <c r="H23" i="1"/>
  <c r="H24" i="1"/>
  <c r="H25" i="1"/>
  <c r="H26" i="1"/>
  <c r="H27" i="1"/>
  <c r="H28" i="1"/>
  <c r="H29" i="1"/>
  <c r="H30" i="1"/>
  <c r="H31" i="1"/>
  <c r="H32" i="1"/>
  <c r="H33" i="1"/>
  <c r="H2293" i="1"/>
  <c r="H34" i="1"/>
  <c r="H35" i="1"/>
  <c r="H36" i="1"/>
  <c r="H37" i="1"/>
  <c r="H38" i="1"/>
  <c r="H39" i="1"/>
  <c r="H40" i="1"/>
  <c r="H41" i="1"/>
  <c r="H42" i="1"/>
  <c r="H43" i="1"/>
  <c r="H44" i="1"/>
  <c r="H45" i="1"/>
  <c r="H46" i="1"/>
  <c r="H47" i="1"/>
  <c r="H48" i="1"/>
  <c r="H2294" i="1"/>
  <c r="H49" i="1"/>
  <c r="H50" i="1"/>
  <c r="H51" i="1"/>
  <c r="H52" i="1"/>
  <c r="H2295" i="1"/>
  <c r="H2296" i="1"/>
  <c r="H53" i="1"/>
  <c r="H54" i="1"/>
  <c r="H55" i="1"/>
  <c r="H56" i="1"/>
  <c r="H57" i="1"/>
  <c r="H2234" i="1"/>
  <c r="H58" i="1"/>
  <c r="H59" i="1"/>
  <c r="H60" i="1"/>
  <c r="H61" i="1"/>
  <c r="H62" i="1"/>
  <c r="H2235" i="1"/>
  <c r="H63" i="1"/>
  <c r="H64" i="1"/>
  <c r="H65" i="1"/>
  <c r="H66" i="1"/>
  <c r="H67" i="1"/>
  <c r="H68" i="1"/>
  <c r="H69" i="1"/>
  <c r="H70" i="1"/>
  <c r="H2297" i="1"/>
  <c r="H71" i="1"/>
  <c r="H72" i="1"/>
  <c r="H73" i="1"/>
  <c r="H74" i="1"/>
  <c r="H75" i="1"/>
  <c r="H76" i="1"/>
  <c r="H77" i="1"/>
  <c r="H78" i="1"/>
  <c r="H79" i="1"/>
  <c r="H80" i="1"/>
  <c r="H2236" i="1"/>
  <c r="H81" i="1"/>
  <c r="H2298" i="1"/>
  <c r="H82" i="1"/>
  <c r="H83" i="1"/>
  <c r="H84" i="1"/>
  <c r="H85" i="1"/>
  <c r="H86" i="1"/>
  <c r="H87" i="1"/>
  <c r="H88" i="1"/>
  <c r="H89" i="1"/>
  <c r="H90" i="1"/>
  <c r="H91" i="1"/>
  <c r="H92" i="1"/>
  <c r="H93" i="1"/>
  <c r="H94" i="1"/>
  <c r="H95" i="1"/>
  <c r="H96" i="1"/>
  <c r="H97" i="1"/>
  <c r="H98" i="1"/>
  <c r="H99" i="1"/>
  <c r="H100" i="1"/>
  <c r="H101" i="1"/>
  <c r="H102" i="1"/>
  <c r="H2299" i="1"/>
  <c r="H2300" i="1"/>
  <c r="H103" i="1"/>
  <c r="H104" i="1"/>
  <c r="H105" i="1"/>
  <c r="H2301" i="1"/>
  <c r="H106" i="1"/>
  <c r="H107" i="1"/>
  <c r="H108" i="1"/>
  <c r="H109" i="1"/>
  <c r="H110" i="1"/>
  <c r="H2302" i="1"/>
  <c r="H111" i="1"/>
  <c r="H112" i="1"/>
  <c r="H113" i="1"/>
  <c r="H114" i="1"/>
  <c r="H115" i="1"/>
  <c r="H116" i="1"/>
  <c r="H117" i="1"/>
  <c r="H118" i="1"/>
  <c r="H119" i="1"/>
  <c r="H120" i="1"/>
  <c r="H121" i="1"/>
  <c r="H122" i="1"/>
  <c r="H2303" i="1"/>
  <c r="H123" i="1"/>
  <c r="H124" i="1"/>
  <c r="H125" i="1"/>
  <c r="H126" i="1"/>
  <c r="H127" i="1"/>
  <c r="H128" i="1"/>
  <c r="H129" i="1"/>
  <c r="H130" i="1"/>
  <c r="H131" i="1"/>
  <c r="H132" i="1"/>
  <c r="H133" i="1"/>
  <c r="H134" i="1"/>
  <c r="H2304" i="1"/>
  <c r="H135" i="1"/>
  <c r="H136" i="1"/>
  <c r="H137" i="1"/>
  <c r="H138" i="1"/>
  <c r="H2305" i="1"/>
  <c r="H139" i="1"/>
  <c r="H140" i="1"/>
  <c r="H141" i="1"/>
  <c r="H142" i="1"/>
  <c r="H143" i="1"/>
  <c r="H144" i="1"/>
  <c r="H145" i="1"/>
  <c r="H146" i="1"/>
  <c r="H147" i="1"/>
  <c r="H148" i="1"/>
  <c r="H149" i="1"/>
  <c r="H150" i="1"/>
  <c r="H151" i="1"/>
  <c r="H152" i="1"/>
  <c r="H153" i="1"/>
  <c r="H154" i="1"/>
  <c r="H155" i="1"/>
  <c r="H156" i="1"/>
  <c r="H157" i="1"/>
  <c r="H158" i="1"/>
  <c r="H159" i="1"/>
  <c r="H160" i="1"/>
  <c r="H161" i="1"/>
  <c r="H162" i="1"/>
  <c r="H163" i="1"/>
  <c r="H164" i="1"/>
  <c r="H165" i="1"/>
  <c r="H166" i="1"/>
  <c r="H167" i="1"/>
  <c r="H168" i="1"/>
  <c r="H169" i="1"/>
  <c r="H170" i="1"/>
  <c r="H171" i="1"/>
  <c r="H172" i="1"/>
  <c r="H173" i="1"/>
  <c r="H174" i="1"/>
  <c r="H175" i="1"/>
  <c r="H176" i="1"/>
  <c r="H177" i="1"/>
  <c r="H178" i="1"/>
  <c r="H179" i="1"/>
  <c r="H180" i="1"/>
  <c r="H2306" i="1"/>
  <c r="H181" i="1"/>
  <c r="H182" i="1"/>
  <c r="H183" i="1"/>
  <c r="H184" i="1"/>
  <c r="H185" i="1"/>
  <c r="H186" i="1"/>
  <c r="H187" i="1"/>
  <c r="H188" i="1"/>
  <c r="H2237" i="1"/>
  <c r="H189" i="1"/>
  <c r="H190" i="1"/>
  <c r="H191" i="1"/>
  <c r="H192" i="1"/>
  <c r="H193" i="1"/>
  <c r="H194" i="1"/>
  <c r="H195" i="1"/>
  <c r="H2307" i="1"/>
  <c r="H196" i="1"/>
  <c r="H197" i="1"/>
  <c r="H198" i="1"/>
  <c r="H2308" i="1"/>
  <c r="H199" i="1"/>
  <c r="H2309" i="1"/>
  <c r="H200" i="1"/>
  <c r="H201" i="1"/>
  <c r="H202" i="1"/>
  <c r="H2238" i="1"/>
  <c r="H203" i="1"/>
  <c r="H2310" i="1"/>
  <c r="H204" i="1"/>
  <c r="H2311" i="1"/>
  <c r="H205" i="1"/>
  <c r="H206" i="1"/>
  <c r="H207" i="1"/>
  <c r="H208" i="1"/>
  <c r="H209" i="1"/>
  <c r="H210" i="1"/>
  <c r="H2312" i="1"/>
  <c r="H211" i="1"/>
  <c r="H212" i="1"/>
  <c r="H213" i="1"/>
  <c r="H214" i="1"/>
  <c r="H215" i="1"/>
  <c r="H2313" i="1"/>
  <c r="H2314" i="1"/>
  <c r="H216" i="1"/>
  <c r="H217" i="1"/>
  <c r="H2315" i="1"/>
  <c r="H2239" i="1"/>
  <c r="H218" i="1"/>
  <c r="H219" i="1"/>
  <c r="H220" i="1"/>
  <c r="H221" i="1"/>
  <c r="H222" i="1"/>
  <c r="H2316" i="1"/>
  <c r="H223" i="1"/>
  <c r="H224" i="1"/>
  <c r="H225" i="1"/>
  <c r="H226" i="1"/>
  <c r="H227" i="1"/>
  <c r="H228" i="1"/>
  <c r="H229" i="1"/>
  <c r="H230" i="1"/>
  <c r="H231" i="1"/>
  <c r="H232" i="1"/>
  <c r="H233" i="1"/>
  <c r="H2317" i="1"/>
  <c r="H2318" i="1"/>
  <c r="H234" i="1"/>
  <c r="H2319" i="1"/>
  <c r="H235" i="1"/>
  <c r="H236" i="1"/>
  <c r="H237" i="1"/>
  <c r="H2320" i="1"/>
  <c r="H238" i="1"/>
  <c r="H239" i="1"/>
  <c r="H2321" i="1"/>
  <c r="H240" i="1"/>
  <c r="H241" i="1"/>
  <c r="H242" i="1"/>
  <c r="H2322" i="1"/>
  <c r="H243" i="1"/>
  <c r="H244" i="1"/>
  <c r="H245" i="1"/>
  <c r="H2323" i="1"/>
  <c r="H246" i="1"/>
  <c r="H247" i="1"/>
  <c r="H248" i="1"/>
  <c r="H249" i="1"/>
  <c r="H250" i="1"/>
  <c r="H251" i="1"/>
  <c r="H252" i="1"/>
  <c r="H253" i="1"/>
  <c r="H2324" i="1"/>
  <c r="H254" i="1"/>
  <c r="H2240" i="1"/>
  <c r="H255" i="1"/>
  <c r="H256" i="1"/>
  <c r="H257" i="1"/>
  <c r="H258" i="1"/>
  <c r="H259" i="1"/>
  <c r="H260" i="1"/>
  <c r="H261" i="1"/>
  <c r="H262" i="1"/>
  <c r="H263" i="1"/>
  <c r="H264" i="1"/>
  <c r="H265" i="1"/>
  <c r="H266" i="1"/>
  <c r="H2325" i="1"/>
  <c r="H267" i="1"/>
  <c r="H2326" i="1"/>
  <c r="H2327" i="1"/>
  <c r="H268" i="1"/>
  <c r="H269" i="1"/>
  <c r="H270" i="1"/>
  <c r="H271" i="1"/>
  <c r="H272" i="1"/>
  <c r="H273" i="1"/>
  <c r="H274" i="1"/>
  <c r="H2328" i="1"/>
  <c r="H275" i="1"/>
  <c r="H276" i="1"/>
  <c r="H277" i="1"/>
  <c r="H278" i="1"/>
  <c r="H279" i="1"/>
  <c r="H2329" i="1"/>
  <c r="H280" i="1"/>
  <c r="H281" i="1"/>
  <c r="H282" i="1"/>
  <c r="H283" i="1"/>
  <c r="H284" i="1"/>
  <c r="H285" i="1"/>
  <c r="H286" i="1"/>
  <c r="H2241" i="1"/>
  <c r="H287" i="1"/>
  <c r="H288" i="1"/>
  <c r="H289" i="1"/>
  <c r="H290" i="1"/>
  <c r="H291" i="1"/>
  <c r="H292" i="1"/>
  <c r="H293" i="1"/>
  <c r="H2330" i="1"/>
  <c r="H294" i="1"/>
  <c r="H295" i="1"/>
  <c r="H2331" i="1"/>
  <c r="H2332" i="1"/>
  <c r="H296" i="1"/>
  <c r="H2333" i="1"/>
  <c r="H297" i="1"/>
  <c r="H298" i="1"/>
  <c r="H299" i="1"/>
  <c r="H300" i="1"/>
  <c r="H2334" i="1"/>
  <c r="H301" i="1"/>
  <c r="H302" i="1"/>
  <c r="H303" i="1"/>
  <c r="H304" i="1"/>
  <c r="H305" i="1"/>
  <c r="H306" i="1"/>
  <c r="H307" i="1"/>
  <c r="H2335" i="1"/>
  <c r="H308" i="1"/>
  <c r="H309" i="1"/>
  <c r="H310" i="1"/>
  <c r="H311" i="1"/>
  <c r="H312" i="1"/>
  <c r="H313" i="1"/>
  <c r="H314" i="1"/>
  <c r="H315" i="1"/>
  <c r="H2336" i="1"/>
  <c r="H316" i="1"/>
  <c r="H317" i="1"/>
  <c r="H318" i="1"/>
  <c r="H319" i="1"/>
  <c r="H320" i="1"/>
  <c r="H321" i="1"/>
  <c r="H322" i="1"/>
  <c r="H323" i="1"/>
  <c r="H324" i="1"/>
  <c r="H325" i="1"/>
  <c r="H2337" i="1"/>
  <c r="H326" i="1"/>
  <c r="H327" i="1"/>
  <c r="H328" i="1"/>
  <c r="H329" i="1"/>
  <c r="H330" i="1"/>
  <c r="H2242" i="1"/>
  <c r="H331" i="1"/>
  <c r="H2338" i="1"/>
  <c r="H332" i="1"/>
  <c r="H333" i="1"/>
  <c r="H2339" i="1"/>
  <c r="H334" i="1"/>
  <c r="H335" i="1"/>
  <c r="H336" i="1"/>
  <c r="H337" i="1"/>
  <c r="H338" i="1"/>
  <c r="H339" i="1"/>
  <c r="H340" i="1"/>
  <c r="H341" i="1"/>
  <c r="H342" i="1"/>
  <c r="H343" i="1"/>
  <c r="H344" i="1"/>
  <c r="H345" i="1"/>
  <c r="H2243" i="1"/>
  <c r="H2340" i="1"/>
  <c r="H346" i="1"/>
  <c r="H2341" i="1"/>
  <c r="H347" i="1"/>
  <c r="H348" i="1"/>
  <c r="H349" i="1"/>
  <c r="H350" i="1"/>
  <c r="H351" i="1"/>
  <c r="H352" i="1"/>
  <c r="H2342" i="1"/>
  <c r="H2343" i="1"/>
  <c r="H353" i="1"/>
  <c r="H354" i="1"/>
  <c r="H355" i="1"/>
  <c r="H356" i="1"/>
  <c r="H357" i="1"/>
  <c r="H358" i="1"/>
  <c r="H2244" i="1"/>
  <c r="H359" i="1"/>
  <c r="H360" i="1"/>
  <c r="H361" i="1"/>
  <c r="H362" i="1"/>
  <c r="H363" i="1"/>
  <c r="H364" i="1"/>
  <c r="H365" i="1"/>
  <c r="H2245" i="1"/>
  <c r="H366" i="1"/>
  <c r="H367" i="1"/>
  <c r="H368" i="1"/>
  <c r="H2344" i="1"/>
  <c r="H2345" i="1"/>
  <c r="H369" i="1"/>
  <c r="H370" i="1"/>
  <c r="H371" i="1"/>
  <c r="H2346" i="1"/>
  <c r="H372" i="1"/>
  <c r="H373" i="1"/>
  <c r="H374" i="1"/>
  <c r="H375" i="1"/>
  <c r="H376" i="1"/>
  <c r="H377" i="1"/>
  <c r="H378" i="1"/>
  <c r="H379" i="1"/>
  <c r="H380" i="1"/>
  <c r="H381" i="1"/>
  <c r="H382" i="1"/>
  <c r="H383" i="1"/>
  <c r="H384" i="1"/>
  <c r="H385" i="1"/>
  <c r="H386" i="1"/>
  <c r="H387" i="1"/>
  <c r="H388" i="1"/>
  <c r="H389" i="1"/>
  <c r="H390" i="1"/>
  <c r="H391" i="1"/>
  <c r="H392" i="1"/>
  <c r="H393" i="1"/>
  <c r="H2347" i="1"/>
  <c r="H394" i="1"/>
  <c r="H2348" i="1"/>
  <c r="H395" i="1"/>
  <c r="H396" i="1"/>
  <c r="H397" i="1"/>
  <c r="H398" i="1"/>
  <c r="H399" i="1"/>
  <c r="H400" i="1"/>
  <c r="H401" i="1"/>
  <c r="H402" i="1"/>
  <c r="H403" i="1"/>
  <c r="H404" i="1"/>
  <c r="H405" i="1"/>
  <c r="H406" i="1"/>
  <c r="H407" i="1"/>
  <c r="H408" i="1"/>
  <c r="H409" i="1"/>
  <c r="H410" i="1"/>
  <c r="H411" i="1"/>
  <c r="H412" i="1"/>
  <c r="H413" i="1"/>
  <c r="H2349" i="1"/>
  <c r="H414" i="1"/>
  <c r="H415" i="1"/>
  <c r="H416" i="1"/>
  <c r="H417" i="1"/>
  <c r="H418" i="1"/>
  <c r="H419" i="1"/>
  <c r="H420" i="1"/>
  <c r="H421" i="1"/>
  <c r="H422" i="1"/>
  <c r="H423" i="1"/>
  <c r="H2350" i="1"/>
  <c r="H424" i="1"/>
  <c r="H425" i="1"/>
  <c r="H426" i="1"/>
  <c r="H427" i="1"/>
  <c r="H428" i="1"/>
  <c r="H429" i="1"/>
  <c r="H430" i="1"/>
  <c r="H431" i="1"/>
  <c r="H432" i="1"/>
  <c r="H433" i="1"/>
  <c r="H434" i="1"/>
  <c r="H435" i="1"/>
  <c r="H436" i="1"/>
  <c r="H437" i="1"/>
  <c r="H438" i="1"/>
  <c r="H439" i="1"/>
  <c r="H440" i="1"/>
  <c r="H441" i="1"/>
  <c r="H442" i="1"/>
  <c r="H443" i="1"/>
  <c r="H444" i="1"/>
  <c r="H2351" i="1"/>
  <c r="H445" i="1"/>
  <c r="H446" i="1"/>
  <c r="H447" i="1"/>
  <c r="H448" i="1"/>
  <c r="H449" i="1"/>
  <c r="H450" i="1"/>
  <c r="H451" i="1"/>
  <c r="H452" i="1"/>
  <c r="H453" i="1"/>
  <c r="H2352" i="1"/>
  <c r="H2246" i="1"/>
  <c r="H2353" i="1"/>
  <c r="H454" i="1"/>
  <c r="H455" i="1"/>
  <c r="H456" i="1"/>
  <c r="H457" i="1"/>
  <c r="H458" i="1"/>
  <c r="H459" i="1"/>
  <c r="H460" i="1"/>
  <c r="H461" i="1"/>
  <c r="H462" i="1"/>
  <c r="H463" i="1"/>
  <c r="H464" i="1"/>
  <c r="H465" i="1"/>
  <c r="H466" i="1"/>
  <c r="H467" i="1"/>
  <c r="H468" i="1"/>
  <c r="H469" i="1"/>
  <c r="H470" i="1"/>
  <c r="H471" i="1"/>
  <c r="H472" i="1"/>
  <c r="H473" i="1"/>
  <c r="H474" i="1"/>
  <c r="H475" i="1"/>
  <c r="H476" i="1"/>
  <c r="H477" i="1"/>
  <c r="H478" i="1"/>
  <c r="H2354" i="1"/>
  <c r="H2247" i="1"/>
  <c r="H479" i="1"/>
  <c r="H480" i="1"/>
  <c r="H481" i="1"/>
  <c r="H482" i="1"/>
  <c r="H2355" i="1"/>
  <c r="H2356" i="1"/>
  <c r="H483" i="1"/>
  <c r="H484" i="1"/>
  <c r="H485" i="1"/>
  <c r="H486" i="1"/>
  <c r="H487" i="1"/>
  <c r="H488" i="1"/>
  <c r="H489" i="1"/>
  <c r="H490" i="1"/>
  <c r="H2357" i="1"/>
  <c r="H491" i="1"/>
  <c r="H492" i="1"/>
  <c r="H2248" i="1"/>
  <c r="H493" i="1"/>
  <c r="H494" i="1"/>
  <c r="H495" i="1"/>
  <c r="H496" i="1"/>
  <c r="H497" i="1"/>
  <c r="H498" i="1"/>
  <c r="H499" i="1"/>
  <c r="H500" i="1"/>
  <c r="H501" i="1"/>
  <c r="H502" i="1"/>
  <c r="H503" i="1"/>
  <c r="H504" i="1"/>
  <c r="H505" i="1"/>
  <c r="H506" i="1"/>
  <c r="H507" i="1"/>
  <c r="H508" i="1"/>
  <c r="H509" i="1"/>
  <c r="H510" i="1"/>
  <c r="H511" i="1"/>
  <c r="H2358" i="1"/>
  <c r="H512" i="1"/>
  <c r="H2359" i="1"/>
  <c r="H513" i="1"/>
  <c r="H514" i="1"/>
  <c r="H2360" i="1"/>
  <c r="H515" i="1"/>
  <c r="H516" i="1"/>
  <c r="H517" i="1"/>
  <c r="H518" i="1"/>
  <c r="H519" i="1"/>
  <c r="H520" i="1"/>
  <c r="H521" i="1"/>
  <c r="H522" i="1"/>
  <c r="H523" i="1"/>
  <c r="H2361" i="1"/>
  <c r="H524" i="1"/>
  <c r="H525" i="1"/>
  <c r="H2362" i="1"/>
  <c r="H526" i="1"/>
  <c r="H2249" i="1"/>
  <c r="H2363" i="1"/>
  <c r="H2364" i="1"/>
  <c r="H527" i="1"/>
  <c r="H528" i="1"/>
  <c r="H529" i="1"/>
  <c r="H530" i="1"/>
  <c r="H531" i="1"/>
  <c r="H532" i="1"/>
  <c r="H2365" i="1"/>
  <c r="H533" i="1"/>
  <c r="H534" i="1"/>
  <c r="H535" i="1"/>
  <c r="H536" i="1"/>
  <c r="H537" i="1"/>
  <c r="H2250" i="1"/>
  <c r="H538" i="1"/>
  <c r="H2366" i="1"/>
  <c r="H539" i="1"/>
  <c r="H540" i="1"/>
  <c r="H541" i="1"/>
  <c r="H542" i="1"/>
  <c r="H543" i="1"/>
  <c r="H544" i="1"/>
  <c r="H545" i="1"/>
  <c r="H546" i="1"/>
  <c r="H547" i="1"/>
  <c r="H548" i="1"/>
  <c r="H549" i="1"/>
  <c r="H550" i="1"/>
  <c r="H2367" i="1"/>
  <c r="H2368" i="1"/>
  <c r="H551" i="1"/>
  <c r="H552" i="1"/>
  <c r="H553" i="1"/>
  <c r="H554" i="1"/>
  <c r="H555" i="1"/>
  <c r="H556" i="1"/>
  <c r="H557" i="1"/>
  <c r="H558" i="1"/>
  <c r="H559" i="1"/>
  <c r="H560" i="1"/>
  <c r="H2369" i="1"/>
  <c r="H561" i="1"/>
  <c r="H562" i="1"/>
  <c r="H563" i="1"/>
  <c r="H564" i="1"/>
  <c r="H2251" i="1"/>
  <c r="H565" i="1"/>
  <c r="H566" i="1"/>
  <c r="H567" i="1"/>
  <c r="H568" i="1"/>
  <c r="H569" i="1"/>
  <c r="H570" i="1"/>
  <c r="H571" i="1"/>
  <c r="H572" i="1"/>
  <c r="H573" i="1"/>
  <c r="H574" i="1"/>
  <c r="H575" i="1"/>
  <c r="H576" i="1"/>
  <c r="H577" i="1"/>
  <c r="H578" i="1"/>
  <c r="H579" i="1"/>
  <c r="H580" i="1"/>
  <c r="H581" i="1"/>
  <c r="H582" i="1"/>
  <c r="H583" i="1"/>
  <c r="H584" i="1"/>
  <c r="H585" i="1"/>
  <c r="H586" i="1"/>
  <c r="H2370" i="1"/>
  <c r="H587" i="1"/>
  <c r="H588" i="1"/>
  <c r="H589" i="1"/>
  <c r="H590" i="1"/>
  <c r="H591" i="1"/>
  <c r="H592" i="1"/>
  <c r="H593" i="1"/>
  <c r="H594" i="1"/>
  <c r="H595" i="1"/>
  <c r="H596" i="1"/>
  <c r="H597" i="1"/>
  <c r="H598" i="1"/>
  <c r="H599" i="1"/>
  <c r="H600" i="1"/>
  <c r="H601" i="1"/>
  <c r="H602" i="1"/>
  <c r="H2371" i="1"/>
  <c r="H2372" i="1"/>
  <c r="H603" i="1"/>
  <c r="H604" i="1"/>
  <c r="H605" i="1"/>
  <c r="H606" i="1"/>
  <c r="H2373" i="1"/>
  <c r="H607" i="1"/>
  <c r="H2374" i="1"/>
  <c r="H608" i="1"/>
  <c r="H609" i="1"/>
  <c r="H2375" i="1"/>
  <c r="H610" i="1"/>
  <c r="H611" i="1"/>
  <c r="H2376" i="1"/>
  <c r="H612" i="1"/>
  <c r="H2377" i="1"/>
  <c r="H613" i="1"/>
  <c r="H614" i="1"/>
  <c r="H615" i="1"/>
  <c r="H616" i="1"/>
  <c r="H617" i="1"/>
  <c r="H618" i="1"/>
  <c r="H619" i="1"/>
  <c r="H620" i="1"/>
  <c r="H621" i="1"/>
  <c r="H2252" i="1"/>
  <c r="H622" i="1"/>
  <c r="H623" i="1"/>
  <c r="H2378" i="1"/>
  <c r="H624" i="1"/>
  <c r="H625" i="1"/>
  <c r="H626" i="1"/>
  <c r="H627" i="1"/>
  <c r="H628" i="1"/>
  <c r="H629" i="1"/>
  <c r="H630" i="1"/>
  <c r="H631" i="1"/>
  <c r="H632" i="1"/>
  <c r="H633" i="1"/>
  <c r="H634" i="1"/>
  <c r="H635" i="1"/>
  <c r="H2379" i="1"/>
  <c r="H636" i="1"/>
  <c r="H637" i="1"/>
  <c r="H638" i="1"/>
  <c r="H639" i="1"/>
  <c r="H640" i="1"/>
  <c r="H641" i="1"/>
  <c r="H2253" i="1"/>
  <c r="H642" i="1"/>
  <c r="H643" i="1"/>
  <c r="H2380" i="1"/>
  <c r="H644" i="1"/>
  <c r="H645" i="1"/>
  <c r="H646" i="1"/>
  <c r="H2381" i="1"/>
  <c r="H2382" i="1"/>
  <c r="H2383" i="1"/>
  <c r="H2384" i="1"/>
  <c r="H2385" i="1"/>
  <c r="H647" i="1"/>
  <c r="H2386" i="1"/>
  <c r="H648" i="1"/>
  <c r="H649" i="1"/>
  <c r="H650" i="1"/>
  <c r="H2387" i="1"/>
  <c r="H651" i="1"/>
  <c r="H652" i="1"/>
  <c r="H653" i="1"/>
  <c r="H654" i="1"/>
  <c r="H655" i="1"/>
  <c r="H656" i="1"/>
  <c r="H657" i="1"/>
  <c r="H658" i="1"/>
  <c r="H659" i="1"/>
  <c r="H660" i="1"/>
  <c r="H661" i="1"/>
  <c r="H662" i="1"/>
  <c r="H663" i="1"/>
  <c r="H664" i="1"/>
  <c r="H665" i="1"/>
  <c r="H666" i="1"/>
  <c r="H667" i="1"/>
  <c r="H2388" i="1"/>
  <c r="H668" i="1"/>
  <c r="H669" i="1"/>
  <c r="H670" i="1"/>
  <c r="H671" i="1"/>
  <c r="H672" i="1"/>
  <c r="H2389" i="1"/>
  <c r="H673" i="1"/>
  <c r="H674" i="1"/>
  <c r="H675" i="1"/>
  <c r="H676" i="1"/>
  <c r="H677" i="1"/>
  <c r="H2390" i="1"/>
  <c r="H678" i="1"/>
  <c r="H679" i="1"/>
  <c r="H680" i="1"/>
  <c r="H2391" i="1"/>
  <c r="H2392" i="1"/>
  <c r="H681" i="1"/>
  <c r="H682" i="1"/>
  <c r="H2393" i="1"/>
  <c r="H683" i="1"/>
  <c r="H684" i="1"/>
  <c r="H2394" i="1"/>
  <c r="H685" i="1"/>
  <c r="H686" i="1"/>
  <c r="H687" i="1"/>
  <c r="H688" i="1"/>
  <c r="H2395" i="1"/>
  <c r="H2396" i="1"/>
  <c r="H689" i="1"/>
  <c r="H690" i="1"/>
  <c r="H691" i="1"/>
  <c r="H692" i="1"/>
  <c r="H693" i="1"/>
  <c r="H694" i="1"/>
  <c r="H695" i="1"/>
  <c r="H696" i="1"/>
  <c r="H697" i="1"/>
  <c r="H698" i="1"/>
  <c r="H699" i="1"/>
  <c r="H700" i="1"/>
  <c r="H701" i="1"/>
  <c r="H702" i="1"/>
  <c r="H703" i="1"/>
  <c r="H704" i="1"/>
  <c r="H705" i="1"/>
  <c r="H706" i="1"/>
  <c r="H2397" i="1"/>
  <c r="H707" i="1"/>
  <c r="H708" i="1"/>
  <c r="H709" i="1"/>
  <c r="H710" i="1"/>
  <c r="H711" i="1"/>
  <c r="H712" i="1"/>
  <c r="H713" i="1"/>
  <c r="H714" i="1"/>
  <c r="H2398" i="1"/>
  <c r="H715" i="1"/>
  <c r="H716" i="1"/>
  <c r="H717" i="1"/>
  <c r="H718" i="1"/>
  <c r="H719" i="1"/>
  <c r="H720" i="1"/>
  <c r="H721" i="1"/>
  <c r="H2399" i="1"/>
  <c r="H722" i="1"/>
  <c r="H723" i="1"/>
  <c r="H2400" i="1"/>
  <c r="H724" i="1"/>
  <c r="H725" i="1"/>
  <c r="H726" i="1"/>
  <c r="H2254" i="1"/>
  <c r="H2255" i="1"/>
  <c r="H727" i="1"/>
  <c r="H728" i="1"/>
  <c r="H729" i="1"/>
  <c r="H730" i="1"/>
  <c r="H731" i="1"/>
  <c r="H732" i="1"/>
  <c r="H733" i="1"/>
  <c r="H734" i="1"/>
  <c r="H735" i="1"/>
  <c r="H736" i="1"/>
  <c r="H737" i="1"/>
  <c r="H2401" i="1"/>
  <c r="H738" i="1"/>
  <c r="H739" i="1"/>
  <c r="H740" i="1"/>
  <c r="H741" i="1"/>
  <c r="H742" i="1"/>
  <c r="H743" i="1"/>
  <c r="H744" i="1"/>
  <c r="H745" i="1"/>
  <c r="H746" i="1"/>
  <c r="H747" i="1"/>
  <c r="H748" i="1"/>
  <c r="H749" i="1"/>
  <c r="H2402" i="1"/>
  <c r="H750" i="1"/>
  <c r="H751" i="1"/>
  <c r="H752" i="1"/>
  <c r="H753" i="1"/>
  <c r="H2403" i="1"/>
  <c r="H754" i="1"/>
  <c r="H2404" i="1"/>
  <c r="H755" i="1"/>
  <c r="H756" i="1"/>
  <c r="H757" i="1"/>
  <c r="H758" i="1"/>
  <c r="H759" i="1"/>
  <c r="H760" i="1"/>
  <c r="H761" i="1"/>
  <c r="H2405" i="1"/>
  <c r="H762" i="1"/>
  <c r="H763" i="1"/>
  <c r="H764" i="1"/>
  <c r="H765" i="1"/>
  <c r="H766" i="1"/>
  <c r="H767" i="1"/>
  <c r="H768" i="1"/>
  <c r="H769" i="1"/>
  <c r="H2406" i="1"/>
  <c r="H770" i="1"/>
  <c r="H2407" i="1"/>
  <c r="H771" i="1"/>
  <c r="H772" i="1"/>
  <c r="H773" i="1"/>
  <c r="H774" i="1"/>
  <c r="H775" i="1"/>
  <c r="H776" i="1"/>
  <c r="H777" i="1"/>
  <c r="H2408" i="1"/>
  <c r="H2409" i="1"/>
  <c r="H778" i="1"/>
  <c r="H779" i="1"/>
  <c r="H780" i="1"/>
  <c r="H781" i="1"/>
  <c r="H782" i="1"/>
  <c r="H783" i="1"/>
  <c r="H784" i="1"/>
  <c r="H785" i="1"/>
  <c r="H786" i="1"/>
  <c r="H787" i="1"/>
  <c r="H788" i="1"/>
  <c r="H789" i="1"/>
  <c r="H790" i="1"/>
  <c r="H791" i="1"/>
  <c r="H792" i="1"/>
  <c r="H2410" i="1"/>
  <c r="H2411" i="1"/>
  <c r="H793" i="1"/>
  <c r="H794" i="1"/>
  <c r="H795" i="1"/>
  <c r="H796" i="1"/>
  <c r="H797" i="1"/>
  <c r="H798" i="1"/>
  <c r="H799" i="1"/>
  <c r="H800" i="1"/>
  <c r="H801" i="1"/>
  <c r="H802" i="1"/>
  <c r="H803" i="1"/>
  <c r="H804" i="1"/>
  <c r="H805" i="1"/>
  <c r="H806" i="1"/>
  <c r="H807" i="1"/>
  <c r="H808" i="1"/>
  <c r="H809" i="1"/>
  <c r="H810" i="1"/>
  <c r="H811" i="1"/>
  <c r="H812" i="1"/>
  <c r="H813" i="1"/>
  <c r="H814" i="1"/>
  <c r="H815" i="1"/>
  <c r="H816" i="1"/>
  <c r="H817" i="1"/>
  <c r="H2412" i="1"/>
  <c r="H818" i="1"/>
  <c r="H819" i="1"/>
  <c r="H820" i="1"/>
  <c r="H821" i="1"/>
  <c r="H822" i="1"/>
  <c r="H823" i="1"/>
  <c r="H2413" i="1"/>
  <c r="H2414" i="1"/>
  <c r="H824" i="1"/>
  <c r="H825" i="1"/>
  <c r="H826" i="1"/>
  <c r="H827" i="1"/>
  <c r="H828" i="1"/>
  <c r="H2256" i="1"/>
  <c r="H829" i="1"/>
  <c r="H830" i="1"/>
  <c r="H2415" i="1"/>
  <c r="H831" i="1"/>
  <c r="H832" i="1"/>
  <c r="H833" i="1"/>
  <c r="H834" i="1"/>
  <c r="H835" i="1"/>
  <c r="H836" i="1"/>
  <c r="H837" i="1"/>
  <c r="H838" i="1"/>
  <c r="H839" i="1"/>
  <c r="H840" i="1"/>
  <c r="H841" i="1"/>
  <c r="H842" i="1"/>
  <c r="H2416" i="1"/>
  <c r="H843" i="1"/>
  <c r="H844" i="1"/>
  <c r="H845" i="1"/>
  <c r="H846" i="1"/>
  <c r="H847" i="1"/>
  <c r="H848" i="1"/>
  <c r="H849" i="1"/>
  <c r="H850" i="1"/>
  <c r="H851" i="1"/>
  <c r="H852" i="1"/>
  <c r="H853" i="1"/>
  <c r="H854" i="1"/>
  <c r="H2417" i="1"/>
  <c r="H855" i="1"/>
  <c r="H856" i="1"/>
  <c r="H857" i="1"/>
  <c r="H858" i="1"/>
  <c r="H859" i="1"/>
  <c r="H2418" i="1"/>
  <c r="H860" i="1"/>
  <c r="H861" i="1"/>
  <c r="H862" i="1"/>
  <c r="H863" i="1"/>
  <c r="H864" i="1"/>
  <c r="H865" i="1"/>
  <c r="H866" i="1"/>
  <c r="H867" i="1"/>
  <c r="H2419" i="1"/>
  <c r="H2420" i="1"/>
  <c r="H868" i="1"/>
  <c r="H869" i="1"/>
  <c r="H870" i="1"/>
  <c r="H871" i="1"/>
  <c r="H872" i="1"/>
  <c r="H873" i="1"/>
  <c r="H874" i="1"/>
  <c r="H875" i="1"/>
  <c r="H876" i="1"/>
  <c r="H877" i="1"/>
  <c r="H878" i="1"/>
  <c r="H879" i="1"/>
  <c r="H880" i="1"/>
  <c r="H2421" i="1"/>
  <c r="H881" i="1"/>
  <c r="H882" i="1"/>
  <c r="H2422" i="1"/>
  <c r="H883" i="1"/>
  <c r="H884" i="1"/>
  <c r="H2423" i="1"/>
  <c r="H885" i="1"/>
  <c r="H886" i="1"/>
  <c r="H887" i="1"/>
  <c r="H888" i="1"/>
  <c r="H889" i="1"/>
  <c r="H890" i="1"/>
  <c r="H891" i="1"/>
  <c r="H892" i="1"/>
  <c r="H2424" i="1"/>
  <c r="H893" i="1"/>
  <c r="H2425" i="1"/>
  <c r="H894" i="1"/>
  <c r="H895" i="1"/>
  <c r="H2257" i="1"/>
  <c r="H896" i="1"/>
  <c r="H897" i="1"/>
  <c r="H898" i="1"/>
  <c r="H899" i="1"/>
  <c r="H900" i="1"/>
  <c r="H901" i="1"/>
  <c r="H902" i="1"/>
  <c r="H903" i="1"/>
  <c r="H904" i="1"/>
  <c r="H905" i="1"/>
  <c r="H906" i="1"/>
  <c r="H907" i="1"/>
  <c r="H908" i="1"/>
  <c r="H909" i="1"/>
  <c r="H910" i="1"/>
  <c r="H911" i="1"/>
  <c r="H912" i="1"/>
  <c r="H913" i="1"/>
  <c r="H914" i="1"/>
  <c r="H915" i="1"/>
  <c r="H2426" i="1"/>
  <c r="H916" i="1"/>
  <c r="H917" i="1"/>
  <c r="H918" i="1"/>
  <c r="H919" i="1"/>
  <c r="H920" i="1"/>
  <c r="H921" i="1"/>
  <c r="H922" i="1"/>
  <c r="H923" i="1"/>
  <c r="H924" i="1"/>
  <c r="H2427" i="1"/>
  <c r="H925" i="1"/>
  <c r="H926" i="1"/>
  <c r="H927" i="1"/>
  <c r="H928" i="1"/>
  <c r="H929" i="1"/>
  <c r="H930" i="1"/>
  <c r="H931" i="1"/>
  <c r="H932" i="1"/>
  <c r="H933" i="1"/>
  <c r="H2258" i="1"/>
  <c r="H934" i="1"/>
  <c r="H935" i="1"/>
  <c r="H936" i="1"/>
  <c r="H937" i="1"/>
  <c r="H938" i="1"/>
  <c r="H939" i="1"/>
  <c r="H940" i="1"/>
  <c r="H941" i="1"/>
  <c r="H942" i="1"/>
  <c r="H2259" i="1"/>
  <c r="H943" i="1"/>
  <c r="H944" i="1"/>
  <c r="H2428" i="1"/>
  <c r="H945" i="1"/>
  <c r="H946" i="1"/>
  <c r="H2429" i="1"/>
  <c r="H947" i="1"/>
  <c r="H948" i="1"/>
  <c r="H949" i="1"/>
  <c r="H950" i="1"/>
  <c r="H951" i="1"/>
  <c r="H952" i="1"/>
  <c r="H953" i="1"/>
  <c r="H954" i="1"/>
  <c r="H2430" i="1"/>
  <c r="H955" i="1"/>
  <c r="H956" i="1"/>
  <c r="H957" i="1"/>
  <c r="H958" i="1"/>
  <c r="H959" i="1"/>
  <c r="H960" i="1"/>
  <c r="H961" i="1"/>
  <c r="H962" i="1"/>
  <c r="H963" i="1"/>
  <c r="H964" i="1"/>
  <c r="H2431" i="1"/>
  <c r="H965" i="1"/>
  <c r="H966" i="1"/>
  <c r="H967" i="1"/>
  <c r="H968" i="1"/>
  <c r="H2432" i="1"/>
  <c r="H969" i="1"/>
  <c r="H970" i="1"/>
  <c r="H971" i="1"/>
  <c r="H972" i="1"/>
  <c r="H973" i="1"/>
  <c r="H974" i="1"/>
  <c r="H975" i="1"/>
  <c r="H976" i="1"/>
  <c r="H977" i="1"/>
  <c r="H978" i="1"/>
  <c r="H979" i="1"/>
  <c r="H980" i="1"/>
  <c r="H981" i="1"/>
  <c r="H982" i="1"/>
  <c r="H983" i="1"/>
  <c r="H984" i="1"/>
  <c r="H985" i="1"/>
  <c r="H986" i="1"/>
  <c r="H987" i="1"/>
  <c r="H988" i="1"/>
  <c r="H989" i="1"/>
  <c r="H990" i="1"/>
  <c r="H991" i="1"/>
  <c r="H992" i="1"/>
  <c r="H2433" i="1"/>
  <c r="H993" i="1"/>
  <c r="H994" i="1"/>
  <c r="H2434" i="1"/>
  <c r="H995" i="1"/>
  <c r="H996" i="1"/>
  <c r="H997" i="1"/>
  <c r="H998" i="1"/>
  <c r="H999" i="1"/>
  <c r="H1000" i="1"/>
  <c r="H1001" i="1"/>
  <c r="H1002" i="1"/>
  <c r="H1003" i="1"/>
  <c r="H1004" i="1"/>
  <c r="H1005" i="1"/>
  <c r="H1006" i="1"/>
  <c r="H1007" i="1"/>
  <c r="H1008" i="1"/>
  <c r="H1009" i="1"/>
  <c r="H1010" i="1"/>
  <c r="H1011" i="1"/>
  <c r="H1012" i="1"/>
  <c r="H1013" i="1"/>
  <c r="H1014" i="1"/>
  <c r="H1015" i="1"/>
  <c r="H1016" i="1"/>
  <c r="H1017" i="1"/>
  <c r="H1018" i="1"/>
  <c r="H1019" i="1"/>
  <c r="H1020" i="1"/>
  <c r="H1021" i="1"/>
  <c r="H1022" i="1"/>
  <c r="H1023" i="1"/>
  <c r="H1024" i="1"/>
  <c r="H1025" i="1"/>
  <c r="H1026" i="1"/>
  <c r="H1027" i="1"/>
  <c r="H1028" i="1"/>
  <c r="H2260" i="1"/>
  <c r="H1029" i="1"/>
  <c r="H1030" i="1"/>
  <c r="H1031" i="1"/>
  <c r="H2435" i="1"/>
  <c r="H2261" i="1"/>
  <c r="H2436" i="1"/>
  <c r="H1032" i="1"/>
  <c r="H1033" i="1"/>
  <c r="H1034" i="1"/>
  <c r="H1035" i="1"/>
  <c r="H1036" i="1"/>
  <c r="H2437" i="1"/>
  <c r="H1037" i="1"/>
  <c r="H1038" i="1"/>
  <c r="H1039" i="1"/>
  <c r="H2438" i="1"/>
  <c r="H1040" i="1"/>
  <c r="H1041" i="1"/>
  <c r="H1042" i="1"/>
  <c r="H1043" i="1"/>
  <c r="H1044" i="1"/>
  <c r="H1045" i="1"/>
  <c r="H1046" i="1"/>
  <c r="H1047" i="1"/>
  <c r="H1048" i="1"/>
  <c r="H1049" i="1"/>
  <c r="H1050" i="1"/>
  <c r="H1051" i="1"/>
  <c r="H1052" i="1"/>
  <c r="H1053" i="1"/>
  <c r="H1054" i="1"/>
  <c r="H1055" i="1"/>
  <c r="H1056" i="1"/>
  <c r="H1057" i="1"/>
  <c r="H2439" i="1"/>
  <c r="H1058" i="1"/>
  <c r="H1059" i="1"/>
  <c r="H1060" i="1"/>
  <c r="H1061" i="1"/>
  <c r="H1062" i="1"/>
  <c r="H1063" i="1"/>
  <c r="H1064" i="1"/>
  <c r="H1065" i="1"/>
  <c r="H2440" i="1"/>
  <c r="H1066" i="1"/>
  <c r="H1067" i="1"/>
  <c r="H1068" i="1"/>
  <c r="H1069" i="1"/>
  <c r="H1070" i="1"/>
  <c r="H2441" i="1"/>
  <c r="H1071" i="1"/>
  <c r="H1072" i="1"/>
  <c r="H1073" i="1"/>
  <c r="H1074" i="1"/>
  <c r="H1075" i="1"/>
  <c r="H1076" i="1"/>
  <c r="H1077" i="1"/>
  <c r="H1078" i="1"/>
  <c r="H1079" i="1"/>
  <c r="H2262" i="1"/>
  <c r="H2442" i="1"/>
  <c r="H2443" i="1"/>
  <c r="H2444" i="1"/>
  <c r="H1080" i="1"/>
  <c r="H1081" i="1"/>
  <c r="H1082" i="1"/>
  <c r="H1083" i="1"/>
  <c r="H1084" i="1"/>
  <c r="H1085" i="1"/>
  <c r="H2445" i="1"/>
  <c r="H1086" i="1"/>
  <c r="H1087" i="1"/>
  <c r="H1088" i="1"/>
  <c r="H2446" i="1"/>
  <c r="H1089" i="1"/>
  <c r="H1090" i="1"/>
  <c r="H1091" i="1"/>
  <c r="H1092" i="1"/>
  <c r="H1093" i="1"/>
  <c r="H1094" i="1"/>
  <c r="H1095" i="1"/>
  <c r="H2447" i="1"/>
  <c r="H1096" i="1"/>
  <c r="H2448" i="1"/>
  <c r="H1097" i="1"/>
  <c r="H1098" i="1"/>
  <c r="H2449" i="1"/>
  <c r="H2263" i="1"/>
  <c r="H1099" i="1"/>
  <c r="H1100" i="1"/>
  <c r="H1101" i="1"/>
  <c r="H2450" i="1"/>
  <c r="H1102" i="1"/>
  <c r="H1103" i="1"/>
  <c r="H1104" i="1"/>
  <c r="H2451" i="1"/>
  <c r="H1105" i="1"/>
  <c r="H2452" i="1"/>
  <c r="H1106" i="1"/>
  <c r="H1107" i="1"/>
  <c r="H1108" i="1"/>
  <c r="H1109" i="1"/>
  <c r="H1110" i="1"/>
  <c r="H1111" i="1"/>
  <c r="H1112" i="1"/>
  <c r="H1113" i="1"/>
  <c r="H1114" i="1"/>
  <c r="H1115" i="1"/>
  <c r="H2453" i="1"/>
  <c r="H1116" i="1"/>
  <c r="H1117" i="1"/>
  <c r="H2454" i="1"/>
  <c r="H1118" i="1"/>
  <c r="H1119" i="1"/>
  <c r="H2455" i="1"/>
  <c r="H1120" i="1"/>
  <c r="H1121" i="1"/>
  <c r="H1122" i="1"/>
  <c r="H1123" i="1"/>
  <c r="H1124" i="1"/>
  <c r="H1125" i="1"/>
  <c r="H1126" i="1"/>
  <c r="H1127" i="1"/>
  <c r="H1128" i="1"/>
  <c r="H1129" i="1"/>
  <c r="H1130" i="1"/>
  <c r="H1131" i="1"/>
  <c r="H2456" i="1"/>
  <c r="H2264" i="1"/>
  <c r="H1132" i="1"/>
  <c r="H1133" i="1"/>
  <c r="H1134" i="1"/>
  <c r="H1135" i="1"/>
  <c r="H1136" i="1"/>
  <c r="H1137" i="1"/>
  <c r="H2265" i="1"/>
  <c r="H1138" i="1"/>
  <c r="H1139" i="1"/>
  <c r="H1140" i="1"/>
  <c r="H1141" i="1"/>
  <c r="H1142" i="1"/>
  <c r="H1143" i="1"/>
  <c r="H1144" i="1"/>
  <c r="H1145" i="1"/>
  <c r="H1146" i="1"/>
  <c r="H1147" i="1"/>
  <c r="H1148" i="1"/>
  <c r="H1149" i="1"/>
  <c r="H1150" i="1"/>
  <c r="H1151" i="1"/>
  <c r="H1152" i="1"/>
  <c r="H1153" i="1"/>
  <c r="H1154" i="1"/>
  <c r="H1155" i="1"/>
  <c r="H1156" i="1"/>
  <c r="H2457" i="1"/>
  <c r="H1157" i="1"/>
  <c r="H1158" i="1"/>
  <c r="H1159" i="1"/>
  <c r="H1160" i="1"/>
  <c r="H1161" i="1"/>
  <c r="H1162" i="1"/>
  <c r="H1163" i="1"/>
  <c r="H1164" i="1"/>
  <c r="H1165" i="1"/>
  <c r="H1166" i="1"/>
  <c r="H1167" i="1"/>
  <c r="H1168" i="1"/>
  <c r="H1169" i="1"/>
  <c r="H1170" i="1"/>
  <c r="H1171" i="1"/>
  <c r="H1172" i="1"/>
  <c r="H1173" i="1"/>
  <c r="H1174" i="1"/>
  <c r="H1175" i="1"/>
  <c r="H1176" i="1"/>
  <c r="H1177" i="1"/>
  <c r="H1178" i="1"/>
  <c r="H2458" i="1"/>
  <c r="H1179" i="1"/>
  <c r="H1180" i="1"/>
  <c r="H1181" i="1"/>
  <c r="H1182" i="1"/>
  <c r="H1183" i="1"/>
  <c r="H1184" i="1"/>
  <c r="H1185" i="1"/>
  <c r="H1186" i="1"/>
  <c r="H1187" i="1"/>
  <c r="H1188" i="1"/>
  <c r="H2459" i="1"/>
  <c r="H1189" i="1"/>
  <c r="H1190" i="1"/>
  <c r="H1191" i="1"/>
  <c r="H1192" i="1"/>
  <c r="H2460" i="1"/>
  <c r="H2461" i="1"/>
  <c r="H1193" i="1"/>
  <c r="H1194" i="1"/>
  <c r="H1195" i="1"/>
  <c r="H1196" i="1"/>
  <c r="H1197" i="1"/>
  <c r="H1198" i="1"/>
  <c r="H1199" i="1"/>
  <c r="H2462" i="1"/>
  <c r="H1200" i="1"/>
  <c r="H1201" i="1"/>
  <c r="H1202" i="1"/>
  <c r="H1203" i="1"/>
  <c r="H1204" i="1"/>
  <c r="H1205" i="1"/>
  <c r="H2463" i="1"/>
  <c r="H1206" i="1"/>
  <c r="H1207" i="1"/>
  <c r="H2464" i="1"/>
  <c r="H1208" i="1"/>
  <c r="H2465" i="1"/>
  <c r="H1209" i="1"/>
  <c r="H2266" i="1"/>
  <c r="H1210" i="1"/>
  <c r="H1211" i="1"/>
  <c r="H1212" i="1"/>
  <c r="H1213" i="1"/>
  <c r="H1214" i="1"/>
  <c r="H1215" i="1"/>
  <c r="H1216" i="1"/>
  <c r="H1217" i="1"/>
  <c r="H1218" i="1"/>
  <c r="H1219" i="1"/>
  <c r="H1220" i="1"/>
  <c r="H1221" i="1"/>
  <c r="H1222" i="1"/>
  <c r="H1223" i="1"/>
  <c r="H1224" i="1"/>
  <c r="H1225" i="1"/>
  <c r="H1226" i="1"/>
  <c r="H1227" i="1"/>
  <c r="H1228" i="1"/>
  <c r="H2267" i="1"/>
  <c r="H1229" i="1"/>
  <c r="H1230" i="1"/>
  <c r="H1231" i="1"/>
  <c r="H1232" i="1"/>
  <c r="H1233" i="1"/>
  <c r="H1234" i="1"/>
  <c r="H1235" i="1"/>
  <c r="H1236" i="1"/>
  <c r="H1237" i="1"/>
  <c r="H1238" i="1"/>
  <c r="H1239" i="1"/>
  <c r="H1240" i="1"/>
  <c r="H1241" i="1"/>
  <c r="H1242" i="1"/>
  <c r="H1243" i="1"/>
  <c r="H1244" i="1"/>
  <c r="H1245" i="1"/>
  <c r="H1246" i="1"/>
  <c r="H1247" i="1"/>
  <c r="H1248" i="1"/>
  <c r="H1249" i="1"/>
  <c r="H2466" i="1"/>
  <c r="H1250" i="1"/>
  <c r="H1251" i="1"/>
  <c r="H1252" i="1"/>
  <c r="H2467" i="1"/>
  <c r="H1253" i="1"/>
  <c r="H1254" i="1"/>
  <c r="H1255" i="1"/>
  <c r="H2468" i="1"/>
  <c r="H1256" i="1"/>
  <c r="H1257" i="1"/>
  <c r="H1258" i="1"/>
  <c r="H1259" i="1"/>
  <c r="H2469" i="1"/>
  <c r="H2470" i="1"/>
  <c r="H2471" i="1"/>
  <c r="H2472" i="1"/>
  <c r="H2473" i="1"/>
  <c r="H1260" i="1"/>
  <c r="H2268" i="1"/>
  <c r="H1261" i="1"/>
  <c r="H1262" i="1"/>
  <c r="H1263" i="1"/>
  <c r="H1264" i="1"/>
  <c r="H1265" i="1"/>
  <c r="H1266" i="1"/>
  <c r="H2474" i="1"/>
  <c r="H1267" i="1"/>
  <c r="H1268" i="1"/>
  <c r="H1269" i="1"/>
  <c r="H1270" i="1"/>
  <c r="H1271" i="1"/>
  <c r="H1272" i="1"/>
  <c r="H1273" i="1"/>
  <c r="H1274" i="1"/>
  <c r="H1275" i="1"/>
  <c r="H1276" i="1"/>
  <c r="H1277" i="1"/>
  <c r="H1278" i="1"/>
  <c r="H1279" i="1"/>
  <c r="H1280" i="1"/>
  <c r="H1281" i="1"/>
  <c r="H1282" i="1"/>
  <c r="H1283" i="1"/>
  <c r="H1284" i="1"/>
  <c r="H1285" i="1"/>
  <c r="H1286" i="1"/>
  <c r="H2475" i="1"/>
  <c r="H1287" i="1"/>
  <c r="H1288" i="1"/>
  <c r="H1289" i="1"/>
  <c r="H1290" i="1"/>
  <c r="H1291" i="1"/>
  <c r="H1292" i="1"/>
  <c r="H1293" i="1"/>
  <c r="H1294" i="1"/>
  <c r="H1295" i="1"/>
  <c r="H1296" i="1"/>
  <c r="H1297" i="1"/>
  <c r="H1298" i="1"/>
  <c r="H1299" i="1"/>
  <c r="H1300" i="1"/>
  <c r="H1301" i="1"/>
  <c r="H1302" i="1"/>
  <c r="H1303" i="1"/>
  <c r="H2476" i="1"/>
  <c r="H1304" i="1"/>
  <c r="H1305" i="1"/>
  <c r="H1306" i="1"/>
  <c r="H1307" i="1"/>
  <c r="H1308" i="1"/>
  <c r="H1309" i="1"/>
  <c r="H1310" i="1"/>
  <c r="H1311" i="1"/>
  <c r="H1312" i="1"/>
  <c r="H1313" i="1"/>
  <c r="H1314" i="1"/>
  <c r="H1315" i="1"/>
  <c r="H1316" i="1"/>
  <c r="H1317" i="1"/>
  <c r="H2477" i="1"/>
  <c r="H1318" i="1"/>
  <c r="H1319" i="1"/>
  <c r="H1320" i="1"/>
  <c r="H1321" i="1"/>
  <c r="H1322" i="1"/>
  <c r="H1323" i="1"/>
  <c r="H1324" i="1"/>
  <c r="H1325" i="1"/>
  <c r="H2478" i="1"/>
  <c r="H1326" i="1"/>
  <c r="H1327" i="1"/>
  <c r="H1328" i="1"/>
  <c r="H1329" i="1"/>
  <c r="H1330" i="1"/>
  <c r="H1331" i="1"/>
  <c r="H1332" i="1"/>
  <c r="H1333" i="1"/>
  <c r="H2479" i="1"/>
  <c r="H1334" i="1"/>
  <c r="H1335" i="1"/>
  <c r="H1336" i="1"/>
  <c r="H1337" i="1"/>
  <c r="H1338" i="1"/>
  <c r="H1339" i="1"/>
  <c r="H1340" i="1"/>
  <c r="H2480" i="1"/>
  <c r="H1341" i="1"/>
  <c r="H1342" i="1"/>
  <c r="H1343" i="1"/>
  <c r="H1344" i="1"/>
  <c r="H1345" i="1"/>
  <c r="H2481" i="1"/>
  <c r="H1346" i="1"/>
  <c r="H1347" i="1"/>
  <c r="H2482" i="1"/>
  <c r="H1348" i="1"/>
  <c r="H2483" i="1"/>
  <c r="H1349" i="1"/>
  <c r="H1350" i="1"/>
  <c r="H1351" i="1"/>
  <c r="H1352" i="1"/>
  <c r="H1353" i="1"/>
  <c r="H1354" i="1"/>
  <c r="H2484" i="1"/>
  <c r="H1355" i="1"/>
  <c r="H1356" i="1"/>
  <c r="H1357" i="1"/>
  <c r="H1358" i="1"/>
  <c r="H1359" i="1"/>
  <c r="H1360" i="1"/>
  <c r="H1361" i="1"/>
  <c r="H2485" i="1"/>
  <c r="H2486" i="1"/>
  <c r="H1362" i="1"/>
  <c r="H1363" i="1"/>
  <c r="H1364" i="1"/>
  <c r="H1365" i="1"/>
  <c r="H1366" i="1"/>
  <c r="H1367" i="1"/>
  <c r="H2487" i="1"/>
  <c r="H1368" i="1"/>
  <c r="H1369" i="1"/>
  <c r="H2269" i="1"/>
  <c r="H2488" i="1"/>
  <c r="H1370" i="1"/>
  <c r="H1371" i="1"/>
  <c r="H1372" i="1"/>
  <c r="H2489" i="1"/>
  <c r="H1373" i="1"/>
  <c r="H1374" i="1"/>
  <c r="H2490" i="1"/>
  <c r="H1375" i="1"/>
  <c r="H1376" i="1"/>
  <c r="H1377" i="1"/>
  <c r="H1378" i="1"/>
  <c r="H1379" i="1"/>
  <c r="H1380" i="1"/>
  <c r="H1381" i="1"/>
  <c r="H1382" i="1"/>
  <c r="H2491" i="1"/>
  <c r="H1383" i="1"/>
  <c r="H1384" i="1"/>
  <c r="H1385" i="1"/>
  <c r="H1386" i="1"/>
  <c r="H1387" i="1"/>
  <c r="H1388" i="1"/>
  <c r="H1389" i="1"/>
  <c r="H1390" i="1"/>
  <c r="H1391" i="1"/>
  <c r="H1392" i="1"/>
  <c r="H1393" i="1"/>
  <c r="H1394" i="1"/>
  <c r="H1395" i="1"/>
  <c r="H1396" i="1"/>
  <c r="H1397" i="1"/>
  <c r="H1398" i="1"/>
  <c r="H1399" i="1"/>
  <c r="H1400" i="1"/>
  <c r="H1401" i="1"/>
  <c r="H1402" i="1"/>
  <c r="H1403" i="1"/>
  <c r="H1404" i="1"/>
  <c r="H1405" i="1"/>
  <c r="H2492" i="1"/>
  <c r="H1406" i="1"/>
  <c r="H2270" i="1"/>
  <c r="H2493" i="1"/>
  <c r="H1407" i="1"/>
  <c r="H1408" i="1"/>
  <c r="H1409" i="1"/>
  <c r="H1410" i="1"/>
  <c r="H1411" i="1"/>
  <c r="H2494" i="1"/>
  <c r="H1412" i="1"/>
  <c r="H2495" i="1"/>
  <c r="H1413" i="1"/>
  <c r="H1414" i="1"/>
  <c r="H1415" i="1"/>
  <c r="H1416" i="1"/>
  <c r="H1417" i="1"/>
  <c r="H2496" i="1"/>
  <c r="H1418" i="1"/>
  <c r="H1419" i="1"/>
  <c r="H2271" i="1"/>
  <c r="H1420" i="1"/>
  <c r="H2272" i="1"/>
  <c r="H2497" i="1"/>
  <c r="H1421" i="1"/>
  <c r="H2498" i="1"/>
  <c r="H2273" i="1"/>
  <c r="H1422" i="1"/>
  <c r="H1423" i="1"/>
  <c r="H1424" i="1"/>
  <c r="H1425" i="1"/>
  <c r="H1426" i="1"/>
  <c r="H1427" i="1"/>
  <c r="H1428" i="1"/>
  <c r="H1429" i="1"/>
  <c r="H1430" i="1"/>
  <c r="H1431" i="1"/>
  <c r="H1432" i="1"/>
  <c r="H1433" i="1"/>
  <c r="H1434" i="1"/>
  <c r="H1435" i="1"/>
  <c r="H1436" i="1"/>
  <c r="H2499" i="1"/>
  <c r="H2500" i="1"/>
  <c r="H2501" i="1"/>
  <c r="H1437" i="1"/>
  <c r="H1438" i="1"/>
  <c r="H2502" i="1"/>
  <c r="H1439" i="1"/>
  <c r="H1440" i="1"/>
  <c r="H1441" i="1"/>
  <c r="H1442" i="1"/>
  <c r="H1443" i="1"/>
  <c r="H1444" i="1"/>
  <c r="H1445" i="1"/>
  <c r="H1446" i="1"/>
  <c r="H1447" i="1"/>
  <c r="H1448" i="1"/>
  <c r="H1449" i="1"/>
  <c r="H1450" i="1"/>
  <c r="H1451" i="1"/>
  <c r="H2503" i="1"/>
  <c r="H1452" i="1"/>
  <c r="H2274" i="1"/>
  <c r="H1453" i="1"/>
  <c r="H1454" i="1"/>
  <c r="H1455" i="1"/>
  <c r="H1456" i="1"/>
  <c r="H1457" i="1"/>
  <c r="H1458" i="1"/>
  <c r="H1459" i="1"/>
  <c r="H1460" i="1"/>
  <c r="H2504" i="1"/>
  <c r="H1461" i="1"/>
  <c r="H1462" i="1"/>
  <c r="H1463" i="1"/>
  <c r="H1464" i="1"/>
  <c r="H1465" i="1"/>
  <c r="H1466" i="1"/>
  <c r="H1467" i="1"/>
  <c r="H1468" i="1"/>
  <c r="H1469" i="1"/>
  <c r="H2505" i="1"/>
  <c r="H1470" i="1"/>
  <c r="H2506" i="1"/>
  <c r="H1471" i="1"/>
  <c r="H2507" i="1"/>
  <c r="H1472" i="1"/>
  <c r="H1473" i="1"/>
  <c r="H1474" i="1"/>
  <c r="H2508" i="1"/>
  <c r="H1475" i="1"/>
  <c r="H1476" i="1"/>
  <c r="H1477" i="1"/>
  <c r="H2509" i="1"/>
  <c r="H1478" i="1"/>
  <c r="H1479" i="1"/>
  <c r="H1480" i="1"/>
  <c r="H1481" i="1"/>
  <c r="H1482" i="1"/>
  <c r="H1483" i="1"/>
  <c r="H1484" i="1"/>
  <c r="H1485" i="1"/>
  <c r="H1486" i="1"/>
  <c r="H2510" i="1"/>
  <c r="H1487" i="1"/>
  <c r="H2511" i="1"/>
  <c r="H2512" i="1"/>
  <c r="H1488" i="1"/>
  <c r="H1489" i="1"/>
  <c r="H1490" i="1"/>
  <c r="H1491" i="1"/>
  <c r="H1492" i="1"/>
  <c r="H1493" i="1"/>
  <c r="H1494" i="1"/>
  <c r="H1495" i="1"/>
  <c r="H2275" i="1"/>
  <c r="H1496" i="1"/>
  <c r="H1497" i="1"/>
  <c r="H1498" i="1"/>
  <c r="H1499" i="1"/>
  <c r="H1500" i="1"/>
  <c r="H1501" i="1"/>
  <c r="H1502" i="1"/>
  <c r="H2513" i="1"/>
  <c r="H1503" i="1"/>
  <c r="H1504" i="1"/>
  <c r="H2514" i="1"/>
  <c r="H1505" i="1"/>
  <c r="H1506" i="1"/>
  <c r="H1507" i="1"/>
  <c r="H1508" i="1"/>
  <c r="H1509" i="1"/>
  <c r="H1510" i="1"/>
  <c r="H1511" i="1"/>
  <c r="H1512" i="1"/>
  <c r="H1513" i="1"/>
  <c r="H1514" i="1"/>
  <c r="H1515" i="1"/>
  <c r="H1516" i="1"/>
  <c r="H1517" i="1"/>
  <c r="H1518" i="1"/>
  <c r="H1519" i="1"/>
  <c r="H1520" i="1"/>
  <c r="H1521" i="1"/>
  <c r="H1522" i="1"/>
  <c r="H1523" i="1"/>
  <c r="H1524" i="1"/>
  <c r="H1525" i="1"/>
  <c r="H1526" i="1"/>
  <c r="H1527" i="1"/>
  <c r="H1528" i="1"/>
  <c r="H1529" i="1"/>
  <c r="H1530" i="1"/>
  <c r="H1531" i="1"/>
  <c r="H1532" i="1"/>
  <c r="H1533" i="1"/>
  <c r="H1534" i="1"/>
  <c r="H1535" i="1"/>
  <c r="H1536" i="1"/>
  <c r="H1537" i="1"/>
  <c r="H1538" i="1"/>
  <c r="H1539" i="1"/>
  <c r="H1540" i="1"/>
  <c r="H1541" i="1"/>
  <c r="H2276" i="1"/>
  <c r="H1542" i="1"/>
  <c r="H1543" i="1"/>
  <c r="H2515" i="1"/>
  <c r="H2516" i="1"/>
  <c r="H1544" i="1"/>
  <c r="H1545" i="1"/>
  <c r="H1546" i="1"/>
  <c r="H1547" i="1"/>
  <c r="H1548" i="1"/>
  <c r="H1549" i="1"/>
  <c r="H1550" i="1"/>
  <c r="H1551" i="1"/>
  <c r="H1552" i="1"/>
  <c r="H2517" i="1"/>
  <c r="H2518" i="1"/>
  <c r="H1553" i="1"/>
  <c r="H1554" i="1"/>
  <c r="H1555" i="1"/>
  <c r="H1556" i="1"/>
  <c r="H1557" i="1"/>
  <c r="H2519" i="1"/>
  <c r="H1558" i="1"/>
  <c r="H1559" i="1"/>
  <c r="H1560" i="1"/>
  <c r="H1561" i="1"/>
  <c r="H1562" i="1"/>
  <c r="H1563" i="1"/>
  <c r="H1564" i="1"/>
  <c r="H2277" i="1"/>
  <c r="H1565" i="1"/>
  <c r="H1566" i="1"/>
  <c r="H1567" i="1"/>
  <c r="H2278" i="1"/>
  <c r="H1568" i="1"/>
  <c r="H2520" i="1"/>
  <c r="H1569" i="1"/>
  <c r="H1570" i="1"/>
  <c r="H2279" i="1"/>
  <c r="H1571" i="1"/>
  <c r="H1572" i="1"/>
  <c r="H1573" i="1"/>
  <c r="H1574" i="1"/>
  <c r="H1575" i="1"/>
  <c r="H1576" i="1"/>
  <c r="H1577" i="1"/>
  <c r="H1578" i="1"/>
  <c r="H1579" i="1"/>
  <c r="H2280" i="1"/>
  <c r="H1580" i="1"/>
  <c r="H2521" i="1"/>
  <c r="H1581" i="1"/>
  <c r="H1582" i="1"/>
  <c r="H2522" i="1"/>
  <c r="H1583" i="1"/>
  <c r="H1584" i="1"/>
  <c r="H1585" i="1"/>
  <c r="H2523" i="1"/>
  <c r="H1586" i="1"/>
  <c r="H1587" i="1"/>
  <c r="H1588" i="1"/>
  <c r="H2524" i="1"/>
  <c r="H2525" i="1"/>
  <c r="H1589" i="1"/>
  <c r="H1590" i="1"/>
  <c r="H1591" i="1"/>
  <c r="H1592" i="1"/>
  <c r="H1593" i="1"/>
  <c r="H1594" i="1"/>
  <c r="H1595" i="1"/>
  <c r="H1596" i="1"/>
  <c r="H1597" i="1"/>
  <c r="H1598" i="1"/>
  <c r="H1599" i="1"/>
  <c r="H1600" i="1"/>
  <c r="H1601" i="1"/>
  <c r="H1602" i="1"/>
  <c r="H1603" i="1"/>
  <c r="H1604" i="1"/>
  <c r="H1605" i="1"/>
  <c r="H1606" i="1"/>
  <c r="H1607" i="1"/>
  <c r="H1608" i="1"/>
  <c r="H1609" i="1"/>
  <c r="H2281" i="1"/>
  <c r="H2526" i="1"/>
  <c r="H1610" i="1"/>
  <c r="H1611" i="1"/>
  <c r="H1612" i="1"/>
  <c r="H1613" i="1"/>
  <c r="H1614" i="1"/>
  <c r="H1615" i="1"/>
  <c r="H1616" i="1"/>
  <c r="H1617" i="1"/>
  <c r="H1618" i="1"/>
  <c r="H1619" i="1"/>
  <c r="H2527" i="1"/>
  <c r="H1620" i="1"/>
  <c r="H1621" i="1"/>
  <c r="H1622" i="1"/>
  <c r="H1623" i="1"/>
  <c r="H2528" i="1"/>
  <c r="H1624" i="1"/>
  <c r="H1625" i="1"/>
  <c r="H1626" i="1"/>
  <c r="H1627" i="1"/>
  <c r="H1628" i="1"/>
  <c r="H1629" i="1"/>
  <c r="H1630" i="1"/>
  <c r="H1631" i="1"/>
  <c r="H1632" i="1"/>
  <c r="H1633" i="1"/>
  <c r="H1634" i="1"/>
  <c r="H1635" i="1"/>
  <c r="H1636" i="1"/>
  <c r="H1637" i="1"/>
  <c r="H1638" i="1"/>
  <c r="H2529" i="1"/>
  <c r="H1639" i="1"/>
  <c r="H2530" i="1"/>
  <c r="H1640" i="1"/>
  <c r="H1641" i="1"/>
  <c r="H1642" i="1"/>
  <c r="H1643" i="1"/>
  <c r="H1644" i="1"/>
  <c r="H1645" i="1"/>
  <c r="H2531" i="1"/>
  <c r="H1646" i="1"/>
  <c r="H1647" i="1"/>
  <c r="H1648" i="1"/>
  <c r="H1649" i="1"/>
  <c r="H2532" i="1"/>
  <c r="H1650" i="1"/>
  <c r="H1651" i="1"/>
  <c r="H2533" i="1"/>
  <c r="H1652" i="1"/>
  <c r="H2534" i="1"/>
  <c r="H1653" i="1"/>
  <c r="H1654" i="1"/>
  <c r="H1655" i="1"/>
  <c r="H1656" i="1"/>
  <c r="H1657" i="1"/>
  <c r="H1658" i="1"/>
  <c r="H1659" i="1"/>
  <c r="H1660" i="1"/>
  <c r="H1661" i="1"/>
  <c r="H1662" i="1"/>
  <c r="H1663" i="1"/>
  <c r="H1664" i="1"/>
  <c r="H1665" i="1"/>
  <c r="H2535" i="1"/>
  <c r="H1666" i="1"/>
  <c r="H2536" i="1"/>
  <c r="H1667" i="1"/>
  <c r="H1668" i="1"/>
  <c r="H1669" i="1"/>
  <c r="H1670" i="1"/>
  <c r="H1671" i="1"/>
  <c r="H1672" i="1"/>
  <c r="H1673" i="1"/>
  <c r="H1674" i="1"/>
  <c r="H1675" i="1"/>
  <c r="H2537" i="1"/>
  <c r="H1676" i="1"/>
  <c r="H1677" i="1"/>
  <c r="H1678" i="1"/>
  <c r="H1679" i="1"/>
  <c r="H1680" i="1"/>
  <c r="H1681" i="1"/>
  <c r="H1682" i="1"/>
  <c r="H1683" i="1"/>
  <c r="H1684" i="1"/>
  <c r="H1685" i="1"/>
  <c r="H1686" i="1"/>
  <c r="H1687" i="1"/>
  <c r="H1688" i="1"/>
  <c r="H1689" i="1"/>
  <c r="H1690" i="1"/>
  <c r="H1691" i="1"/>
  <c r="H1692" i="1"/>
  <c r="H1693" i="1"/>
  <c r="H1694" i="1"/>
  <c r="H1695" i="1"/>
  <c r="H1696" i="1"/>
  <c r="H1697" i="1"/>
  <c r="H1698" i="1"/>
  <c r="H1699" i="1"/>
  <c r="H2538" i="1"/>
  <c r="H1700" i="1"/>
  <c r="H1701" i="1"/>
  <c r="H1702" i="1"/>
  <c r="H1703" i="1"/>
  <c r="H1704" i="1"/>
  <c r="H1705" i="1"/>
  <c r="H1706" i="1"/>
  <c r="H1707" i="1"/>
  <c r="H1708" i="1"/>
  <c r="H2539" i="1"/>
  <c r="H1709" i="1"/>
  <c r="H2540" i="1"/>
  <c r="H2282" i="1"/>
  <c r="H1710" i="1"/>
  <c r="H1711" i="1"/>
  <c r="H2541" i="1"/>
  <c r="H2542" i="1"/>
  <c r="H1712" i="1"/>
  <c r="H1713" i="1"/>
  <c r="H1714" i="1"/>
  <c r="H2543" i="1"/>
  <c r="H1715" i="1"/>
  <c r="H1716" i="1"/>
  <c r="H1717" i="1"/>
  <c r="H1718" i="1"/>
  <c r="H1719" i="1"/>
  <c r="H2283" i="1"/>
  <c r="H1720" i="1"/>
  <c r="H1721" i="1"/>
  <c r="H1722" i="1"/>
  <c r="H1723" i="1"/>
  <c r="H2544" i="1"/>
  <c r="H2545" i="1"/>
  <c r="H1724" i="1"/>
  <c r="H2546" i="1"/>
  <c r="H1725" i="1"/>
  <c r="H1726" i="1"/>
  <c r="H1727" i="1"/>
  <c r="H1728" i="1"/>
  <c r="H1729" i="1"/>
  <c r="H1730" i="1"/>
  <c r="H1731" i="1"/>
  <c r="H1732" i="1"/>
  <c r="H1733" i="1"/>
  <c r="H1734" i="1"/>
  <c r="H1735" i="1"/>
  <c r="H1736" i="1"/>
  <c r="H2547" i="1"/>
  <c r="H1737" i="1"/>
  <c r="H1738" i="1"/>
  <c r="H1739" i="1"/>
  <c r="H1740" i="1"/>
  <c r="H1741" i="1"/>
  <c r="H1742" i="1"/>
  <c r="H1743" i="1"/>
  <c r="H1744" i="1"/>
  <c r="H1745" i="1"/>
  <c r="H1746" i="1"/>
  <c r="H1747" i="1"/>
  <c r="H2548" i="1"/>
  <c r="H1748" i="1"/>
  <c r="H1749" i="1"/>
  <c r="H1750" i="1"/>
  <c r="H1751" i="1"/>
  <c r="H1752" i="1"/>
  <c r="H2549" i="1"/>
  <c r="H1753" i="1"/>
  <c r="H1754" i="1"/>
  <c r="H1755" i="1"/>
  <c r="H1756" i="1"/>
  <c r="H1757" i="1"/>
  <c r="H1758" i="1"/>
  <c r="H2550" i="1"/>
  <c r="H1759" i="1"/>
  <c r="H1760" i="1"/>
  <c r="H1761" i="1"/>
  <c r="H1762" i="1"/>
  <c r="H1763" i="1"/>
  <c r="H1764" i="1"/>
  <c r="H1765" i="1"/>
  <c r="H1766" i="1"/>
  <c r="H1767" i="1"/>
  <c r="H1768" i="1"/>
  <c r="H1769" i="1"/>
  <c r="H1770" i="1"/>
  <c r="H1771" i="1"/>
  <c r="H1772" i="1"/>
  <c r="H2284" i="1"/>
  <c r="H1773" i="1"/>
  <c r="H1774" i="1"/>
  <c r="H1775" i="1"/>
  <c r="H1776" i="1"/>
  <c r="H1777" i="1"/>
  <c r="H1778" i="1"/>
  <c r="H1779" i="1"/>
  <c r="H1780" i="1"/>
  <c r="H1781" i="1"/>
  <c r="H1782" i="1"/>
  <c r="H1783" i="1"/>
  <c r="H2551" i="1"/>
  <c r="H2552" i="1"/>
  <c r="H1784" i="1"/>
  <c r="H1785" i="1"/>
  <c r="H1786" i="1"/>
  <c r="H1787" i="1"/>
  <c r="H2553" i="1"/>
  <c r="H1788" i="1"/>
  <c r="H2554" i="1"/>
  <c r="H1789" i="1"/>
  <c r="H1790" i="1"/>
  <c r="H2555" i="1"/>
  <c r="H1791" i="1"/>
  <c r="H1792" i="1"/>
  <c r="H1793" i="1"/>
  <c r="H1794" i="1"/>
  <c r="H1795" i="1"/>
  <c r="H1796" i="1"/>
  <c r="H1797" i="1"/>
  <c r="H1798" i="1"/>
  <c r="H1799" i="1"/>
  <c r="H1800" i="1"/>
  <c r="H1801" i="1"/>
  <c r="H1802" i="1"/>
  <c r="H2556" i="1"/>
  <c r="H1803" i="1"/>
  <c r="H1804" i="1"/>
  <c r="H1805" i="1"/>
  <c r="H1806" i="1"/>
  <c r="H1807" i="1"/>
  <c r="H2557" i="1"/>
  <c r="H1808" i="1"/>
  <c r="H1809" i="1"/>
  <c r="H1810" i="1"/>
  <c r="H1811" i="1"/>
  <c r="H1812" i="1"/>
  <c r="H1813" i="1"/>
  <c r="H1814" i="1"/>
  <c r="H1815" i="1"/>
  <c r="H1816" i="1"/>
  <c r="H1817" i="1"/>
  <c r="H1818" i="1"/>
  <c r="H1819" i="1"/>
  <c r="H1820" i="1"/>
  <c r="H1821" i="1"/>
  <c r="H1822" i="1"/>
  <c r="H1823" i="1"/>
  <c r="H1824" i="1"/>
  <c r="H1825" i="1"/>
  <c r="H1826" i="1"/>
  <c r="H1827" i="1"/>
  <c r="H1828" i="1"/>
  <c r="H1829" i="1"/>
  <c r="H1830" i="1"/>
  <c r="H1831" i="1"/>
  <c r="H1832" i="1"/>
  <c r="H1833" i="1"/>
  <c r="H1834" i="1"/>
  <c r="H1835" i="1"/>
  <c r="H1836" i="1"/>
  <c r="H1837" i="1"/>
  <c r="H1838" i="1"/>
  <c r="H1839" i="1"/>
  <c r="H1840" i="1"/>
  <c r="H1841" i="1"/>
  <c r="H2558" i="1"/>
  <c r="H1842" i="1"/>
  <c r="H1843" i="1"/>
  <c r="H1844" i="1"/>
  <c r="H1845" i="1"/>
  <c r="H1846" i="1"/>
  <c r="H1847" i="1"/>
  <c r="H1848" i="1"/>
  <c r="H2559" i="1"/>
  <c r="H1849" i="1"/>
  <c r="H1850" i="1"/>
  <c r="H1851" i="1"/>
  <c r="H1852" i="1"/>
  <c r="H2560" i="1"/>
  <c r="H1853" i="1"/>
  <c r="H1854" i="1"/>
  <c r="H1855" i="1"/>
  <c r="H1856" i="1"/>
  <c r="H1857" i="1"/>
  <c r="H1858" i="1"/>
  <c r="H1859" i="1"/>
  <c r="H1860" i="1"/>
  <c r="H1861" i="1"/>
  <c r="H1862" i="1"/>
  <c r="H1863" i="1"/>
  <c r="H1864" i="1"/>
  <c r="H1865" i="1"/>
  <c r="H1866" i="1"/>
  <c r="H1867" i="1"/>
  <c r="H1868" i="1"/>
  <c r="H1869" i="1"/>
  <c r="H1870" i="1"/>
  <c r="H1871" i="1"/>
  <c r="H1872" i="1"/>
  <c r="H2561" i="1"/>
  <c r="H2562" i="1"/>
  <c r="H1873" i="1"/>
  <c r="H1874" i="1"/>
  <c r="H1875" i="1"/>
  <c r="H1876" i="1"/>
  <c r="H1877" i="1"/>
  <c r="H1878" i="1"/>
  <c r="H1879" i="1"/>
  <c r="H1880" i="1"/>
  <c r="H2563" i="1"/>
  <c r="H1881" i="1"/>
  <c r="H1882" i="1"/>
  <c r="H1883" i="1"/>
  <c r="H1884" i="1"/>
  <c r="H1885" i="1"/>
  <c r="H1886" i="1"/>
  <c r="H1887" i="1"/>
  <c r="H1888" i="1"/>
  <c r="H1889" i="1"/>
  <c r="H1890" i="1"/>
  <c r="H1891" i="1"/>
  <c r="H1892" i="1"/>
  <c r="H1893" i="1"/>
  <c r="H1894" i="1"/>
  <c r="H1895" i="1"/>
  <c r="H1896" i="1"/>
  <c r="H1897" i="1"/>
  <c r="H1898" i="1"/>
  <c r="H1899" i="1"/>
  <c r="H1900" i="1"/>
  <c r="H1901" i="1"/>
  <c r="H1902" i="1"/>
  <c r="H1903" i="1"/>
  <c r="H1904" i="1"/>
  <c r="H1905" i="1"/>
  <c r="H2564" i="1"/>
  <c r="H1906" i="1"/>
  <c r="H2565" i="1"/>
  <c r="H1907" i="1"/>
  <c r="H2566" i="1"/>
  <c r="H1908" i="1"/>
  <c r="H1909" i="1"/>
  <c r="H1910" i="1"/>
  <c r="H1911" i="1"/>
  <c r="H1912" i="1"/>
  <c r="H1913" i="1"/>
  <c r="H1914" i="1"/>
  <c r="H1915" i="1"/>
  <c r="H1916" i="1"/>
  <c r="H1917" i="1"/>
  <c r="H1918" i="1"/>
  <c r="H1919" i="1"/>
  <c r="H1920" i="1"/>
  <c r="H1921" i="1"/>
  <c r="H1922" i="1"/>
  <c r="H1923" i="1"/>
  <c r="H1924" i="1"/>
  <c r="H1925" i="1"/>
  <c r="H1926" i="1"/>
  <c r="H1927" i="1"/>
  <c r="H1928" i="1"/>
  <c r="H1929" i="1"/>
  <c r="H1930" i="1"/>
  <c r="H2567" i="1"/>
  <c r="H2568" i="1"/>
  <c r="H1931" i="1"/>
  <c r="H2569" i="1"/>
  <c r="H1932" i="1"/>
  <c r="H1933" i="1"/>
  <c r="H1934" i="1"/>
  <c r="H1935" i="1"/>
  <c r="H2570" i="1"/>
  <c r="H1936" i="1"/>
  <c r="H1937" i="1"/>
  <c r="H1938" i="1"/>
  <c r="H1939" i="1"/>
  <c r="H2571" i="1"/>
  <c r="H2572" i="1"/>
  <c r="H1940" i="1"/>
  <c r="H1941" i="1"/>
  <c r="H1942" i="1"/>
  <c r="H1943" i="1"/>
  <c r="H1944" i="1"/>
  <c r="H1945" i="1"/>
  <c r="H1946" i="1"/>
  <c r="H1947" i="1"/>
  <c r="H1948" i="1"/>
  <c r="H1949" i="1"/>
  <c r="H1950" i="1"/>
  <c r="H1951" i="1"/>
  <c r="H2285" i="1"/>
  <c r="H2573" i="1"/>
  <c r="H1952" i="1"/>
  <c r="H1953" i="1"/>
  <c r="H2574" i="1"/>
  <c r="H1954" i="1"/>
  <c r="H1955" i="1"/>
  <c r="H1956" i="1"/>
  <c r="H1957" i="1"/>
  <c r="H1958" i="1"/>
  <c r="H1959" i="1"/>
  <c r="H1960" i="1"/>
  <c r="H1961" i="1"/>
  <c r="H1962" i="1"/>
  <c r="H1963" i="1"/>
  <c r="H1964" i="1"/>
  <c r="H1965" i="1"/>
  <c r="H1966" i="1"/>
  <c r="H1967" i="1"/>
  <c r="H2575" i="1"/>
  <c r="H1968" i="1"/>
  <c r="H1969" i="1"/>
  <c r="H2576" i="1"/>
  <c r="H1970" i="1"/>
  <c r="H1971" i="1"/>
  <c r="H1972" i="1"/>
  <c r="H1973" i="1"/>
  <c r="H1974" i="1"/>
  <c r="H2286" i="1"/>
  <c r="H1975" i="1"/>
  <c r="H2577" i="1"/>
  <c r="H1976" i="1"/>
  <c r="H1977" i="1"/>
  <c r="H1978" i="1"/>
  <c r="H1979" i="1"/>
  <c r="H1980" i="1"/>
  <c r="H2578" i="1"/>
  <c r="H1981" i="1"/>
  <c r="H1982" i="1"/>
  <c r="H1983" i="1"/>
  <c r="H1984" i="1"/>
  <c r="H1985" i="1"/>
  <c r="H1986" i="1"/>
  <c r="H1987" i="1"/>
  <c r="H1988" i="1"/>
  <c r="H1989" i="1"/>
  <c r="H1990" i="1"/>
  <c r="H1991" i="1"/>
  <c r="H1992" i="1"/>
  <c r="H1993" i="1"/>
  <c r="H1994" i="1"/>
  <c r="H1995" i="1"/>
  <c r="H1996" i="1"/>
  <c r="H1997" i="1"/>
  <c r="H1998" i="1"/>
  <c r="H1999" i="1"/>
  <c r="H2000" i="1"/>
  <c r="H2001" i="1"/>
  <c r="H2002" i="1"/>
  <c r="H2003" i="1"/>
  <c r="H2004" i="1"/>
  <c r="H2005" i="1"/>
  <c r="H2006" i="1"/>
  <c r="H2007" i="1"/>
  <c r="H2008" i="1"/>
  <c r="H2009" i="1"/>
  <c r="H2010" i="1"/>
  <c r="H2011" i="1"/>
  <c r="H2012" i="1"/>
  <c r="H2013" i="1"/>
  <c r="H2014" i="1"/>
  <c r="H2015" i="1"/>
  <c r="H2016" i="1"/>
  <c r="H2017" i="1"/>
  <c r="H2018" i="1"/>
  <c r="H2019" i="1"/>
  <c r="H2020" i="1"/>
  <c r="H2021" i="1"/>
  <c r="H2022" i="1"/>
  <c r="H2023" i="1"/>
  <c r="H2024" i="1"/>
  <c r="H2025" i="1"/>
  <c r="H2026" i="1"/>
  <c r="H2579" i="1"/>
  <c r="H2580" i="1"/>
  <c r="H2027" i="1"/>
  <c r="H2028" i="1"/>
  <c r="H2029" i="1"/>
  <c r="H2030" i="1"/>
  <c r="H2031" i="1"/>
  <c r="H2032" i="1"/>
  <c r="H2033" i="1"/>
  <c r="H2034" i="1"/>
  <c r="H2035" i="1"/>
  <c r="H2036" i="1"/>
  <c r="H2581" i="1"/>
  <c r="H2037" i="1"/>
  <c r="H2038" i="1"/>
  <c r="H2039" i="1"/>
  <c r="H2040" i="1"/>
  <c r="H2041" i="1"/>
  <c r="H2042" i="1"/>
  <c r="H2043" i="1"/>
  <c r="H2044" i="1"/>
  <c r="H2582" i="1"/>
  <c r="H2045" i="1"/>
  <c r="H2046" i="1"/>
  <c r="H2047" i="1"/>
  <c r="H2048" i="1"/>
  <c r="H2049" i="1"/>
  <c r="H2050" i="1"/>
  <c r="H2051" i="1"/>
  <c r="H2052" i="1"/>
  <c r="H2053" i="1"/>
  <c r="H2054" i="1"/>
  <c r="H2055" i="1"/>
  <c r="H2056" i="1"/>
  <c r="H2057" i="1"/>
  <c r="H2058" i="1"/>
  <c r="H2059" i="1"/>
  <c r="H2060" i="1"/>
  <c r="H2061" i="1"/>
  <c r="H2062" i="1"/>
  <c r="H2063" i="1"/>
  <c r="H2583" i="1"/>
  <c r="H2064" i="1"/>
  <c r="H2065" i="1"/>
  <c r="H2066" i="1"/>
  <c r="H2067" i="1"/>
  <c r="H2068" i="1"/>
  <c r="H2069" i="1"/>
  <c r="H2070" i="1"/>
  <c r="H2071" i="1"/>
  <c r="H2584" i="1"/>
  <c r="H2072" i="1"/>
  <c r="H2073" i="1"/>
  <c r="H2074" i="1"/>
  <c r="H2075" i="1"/>
  <c r="H2585" i="1"/>
  <c r="H2076" i="1"/>
  <c r="H2077" i="1"/>
  <c r="H2078" i="1"/>
  <c r="H2079" i="1"/>
  <c r="H2080" i="1"/>
  <c r="H2081" i="1"/>
  <c r="H2082" i="1"/>
  <c r="H2083" i="1"/>
  <c r="H2084" i="1"/>
  <c r="H2085" i="1"/>
  <c r="H2086" i="1"/>
  <c r="H2087" i="1"/>
  <c r="H2586" i="1"/>
  <c r="H2088" i="1"/>
  <c r="H2587" i="1"/>
  <c r="H2089" i="1"/>
  <c r="H2090" i="1"/>
  <c r="H2091" i="1"/>
  <c r="H2092" i="1"/>
  <c r="H2093" i="1"/>
  <c r="H2094" i="1"/>
  <c r="H2095" i="1"/>
  <c r="H2096" i="1"/>
  <c r="H2097" i="1"/>
  <c r="H2098" i="1"/>
  <c r="H2099" i="1"/>
  <c r="H2100" i="1"/>
  <c r="H2588" i="1"/>
  <c r="H2589" i="1"/>
  <c r="H2101" i="1"/>
  <c r="H2102" i="1"/>
  <c r="H2103" i="1"/>
  <c r="H2104" i="1"/>
  <c r="H2590" i="1"/>
  <c r="H2105" i="1"/>
  <c r="H2106" i="1"/>
  <c r="H2107" i="1"/>
  <c r="H2108" i="1"/>
  <c r="H2109" i="1"/>
  <c r="H2110" i="1"/>
  <c r="H2111" i="1"/>
  <c r="H2112" i="1"/>
  <c r="H2113" i="1"/>
  <c r="H2114" i="1"/>
  <c r="H2115" i="1"/>
  <c r="H2116" i="1"/>
  <c r="H2117" i="1"/>
  <c r="H2118" i="1"/>
  <c r="H2119" i="1"/>
  <c r="H2120" i="1"/>
  <c r="H2121" i="1"/>
  <c r="H2591" i="1"/>
  <c r="H2122" i="1"/>
  <c r="H2123" i="1"/>
  <c r="H2124" i="1"/>
  <c r="H2125" i="1"/>
  <c r="H2126" i="1"/>
  <c r="H2127" i="1"/>
  <c r="H2128" i="1"/>
  <c r="H2129" i="1"/>
  <c r="H2130" i="1"/>
  <c r="H2131" i="1"/>
  <c r="H2132" i="1"/>
  <c r="H2133" i="1"/>
  <c r="H2592" i="1"/>
  <c r="H2134" i="1"/>
  <c r="H2135" i="1"/>
  <c r="H2136" i="1"/>
  <c r="H2137" i="1"/>
  <c r="H2138" i="1"/>
  <c r="H2139" i="1"/>
  <c r="H2140" i="1"/>
  <c r="H2141" i="1"/>
  <c r="H2142" i="1"/>
  <c r="H2143" i="1"/>
  <c r="H2144" i="1"/>
  <c r="H2145" i="1"/>
  <c r="H2146" i="1"/>
  <c r="H2147" i="1"/>
  <c r="H2148" i="1"/>
  <c r="H2149" i="1"/>
  <c r="H2150" i="1"/>
  <c r="H2151" i="1"/>
  <c r="H2152" i="1"/>
  <c r="H2153" i="1"/>
  <c r="H2593" i="1"/>
  <c r="H2154" i="1"/>
  <c r="H2155" i="1"/>
  <c r="H2156" i="1"/>
  <c r="H2594" i="1"/>
  <c r="H2157" i="1"/>
  <c r="H2158" i="1"/>
  <c r="H2159" i="1"/>
  <c r="H2160" i="1"/>
  <c r="H2161" i="1"/>
  <c r="H2162" i="1"/>
  <c r="H2595" i="1"/>
  <c r="H2596" i="1"/>
  <c r="H2163" i="1"/>
  <c r="H2164" i="1"/>
  <c r="H2165" i="1"/>
  <c r="H2166" i="1"/>
  <c r="H2167" i="1"/>
  <c r="H2168" i="1"/>
  <c r="H2169" i="1"/>
  <c r="H2287" i="1"/>
  <c r="H2597" i="1"/>
  <c r="H2170" i="1"/>
  <c r="H2171" i="1"/>
  <c r="H2172" i="1"/>
  <c r="H2173" i="1"/>
  <c r="H2598" i="1"/>
  <c r="H2288" i="1"/>
  <c r="H2174" i="1"/>
  <c r="H2289" i="1"/>
  <c r="H2175" i="1"/>
  <c r="H2176" i="1"/>
  <c r="H2177" i="1"/>
  <c r="H2178" i="1"/>
  <c r="H2179" i="1"/>
  <c r="H2180" i="1"/>
  <c r="H2599" i="1"/>
  <c r="H2181" i="1"/>
  <c r="H2182" i="1"/>
  <c r="H2183" i="1"/>
  <c r="H2184" i="1"/>
  <c r="H2290" i="1"/>
  <c r="H2185" i="1"/>
  <c r="H2186" i="1"/>
  <c r="H2187" i="1"/>
  <c r="H2188" i="1"/>
  <c r="H2189" i="1"/>
  <c r="H2190" i="1"/>
  <c r="H2191" i="1"/>
  <c r="H2192" i="1"/>
  <c r="H2193" i="1"/>
  <c r="H2194" i="1"/>
  <c r="H2195" i="1"/>
  <c r="H2196" i="1"/>
  <c r="H2197" i="1"/>
  <c r="H2600" i="1"/>
  <c r="H2198" i="1"/>
  <c r="H2199" i="1"/>
  <c r="H2200" i="1"/>
  <c r="H2601" i="1"/>
  <c r="H2201" i="1"/>
  <c r="H2202" i="1"/>
  <c r="H2203" i="1"/>
  <c r="H2204" i="1"/>
  <c r="H2205" i="1"/>
  <c r="H2206" i="1"/>
  <c r="H2207" i="1"/>
  <c r="H2208" i="1"/>
  <c r="H2209" i="1"/>
  <c r="H2210" i="1"/>
  <c r="H2211" i="1"/>
  <c r="H2212" i="1"/>
  <c r="H2213" i="1"/>
  <c r="H2602" i="1"/>
  <c r="H2214" i="1"/>
  <c r="H2215" i="1"/>
  <c r="H2603" i="1"/>
  <c r="H2216" i="1"/>
  <c r="H2217" i="1"/>
  <c r="H2604" i="1"/>
  <c r="H2218" i="1"/>
  <c r="H2219" i="1"/>
  <c r="H2220" i="1"/>
  <c r="H2221" i="1"/>
  <c r="H2605" i="1"/>
  <c r="H2291" i="1"/>
  <c r="H2222" i="1"/>
  <c r="H2606" i="1"/>
  <c r="H2223" i="1"/>
  <c r="H2224" i="1"/>
  <c r="H2607" i="1"/>
  <c r="H2225" i="1"/>
  <c r="H2226" i="1"/>
  <c r="H2227" i="1"/>
  <c r="H2228" i="1"/>
  <c r="H2229" i="1"/>
  <c r="H2230" i="1"/>
  <c r="H2231" i="1"/>
  <c r="H2232" i="1"/>
  <c r="H2233" i="1"/>
  <c r="H2" i="1"/>
  <c r="J3" i="1" a="1"/>
  <c r="J3" i="1" s="1"/>
  <c r="J4" i="1" a="1"/>
  <c r="J4" i="1" s="1"/>
  <c r="J5" i="1" a="1"/>
  <c r="J5" i="1" s="1"/>
  <c r="J6" i="1" a="1"/>
  <c r="J6" i="1" s="1"/>
  <c r="J7" i="1" a="1"/>
  <c r="J7" i="1" s="1"/>
  <c r="J8" i="1" a="1"/>
  <c r="J8" i="1" s="1"/>
  <c r="J9" i="1" a="1"/>
  <c r="J9" i="1" s="1"/>
  <c r="J10" i="1" a="1"/>
  <c r="J10" i="1" s="1"/>
  <c r="J11" i="1" a="1"/>
  <c r="J11" i="1" s="1"/>
  <c r="J12" i="1" a="1"/>
  <c r="J12" i="1" s="1"/>
  <c r="J13" i="1" a="1"/>
  <c r="J13" i="1" s="1"/>
  <c r="J14" i="1" a="1"/>
  <c r="J14" i="1" s="1"/>
  <c r="J15" i="1" a="1"/>
  <c r="J15" i="1" s="1"/>
  <c r="J16" i="1" a="1"/>
  <c r="J16" i="1" s="1"/>
  <c r="J2292" i="1" a="1"/>
  <c r="J2292" i="1" s="1"/>
  <c r="J17" i="1" a="1"/>
  <c r="J17" i="1" s="1"/>
  <c r="J18" i="1" a="1"/>
  <c r="J18" i="1" s="1"/>
  <c r="J19" i="1" a="1"/>
  <c r="J19" i="1" s="1"/>
  <c r="J20" i="1" a="1"/>
  <c r="J20" i="1" s="1"/>
  <c r="J21" i="1" a="1"/>
  <c r="J21" i="1" s="1"/>
  <c r="J22" i="1" a="1"/>
  <c r="J22" i="1" s="1"/>
  <c r="J23" i="1" a="1"/>
  <c r="J23" i="1" s="1"/>
  <c r="J24" i="1" a="1"/>
  <c r="J24" i="1" s="1"/>
  <c r="J25" i="1" a="1"/>
  <c r="J25" i="1" s="1"/>
  <c r="J26" i="1" a="1"/>
  <c r="J26" i="1" s="1"/>
  <c r="J27" i="1" a="1"/>
  <c r="J27" i="1" s="1"/>
  <c r="J28" i="1" a="1"/>
  <c r="J28" i="1" s="1"/>
  <c r="J29" i="1" a="1"/>
  <c r="J29" i="1" s="1"/>
  <c r="J30" i="1" a="1"/>
  <c r="J30" i="1" s="1"/>
  <c r="J31" i="1" a="1"/>
  <c r="J31" i="1" s="1"/>
  <c r="J32" i="1" a="1"/>
  <c r="J32" i="1" s="1"/>
  <c r="J33" i="1" a="1"/>
  <c r="J33" i="1" s="1"/>
  <c r="J2293" i="1" a="1"/>
  <c r="J2293" i="1" s="1"/>
  <c r="J34" i="1" a="1"/>
  <c r="J34" i="1" s="1"/>
  <c r="J35" i="1" a="1"/>
  <c r="J35" i="1" s="1"/>
  <c r="J36" i="1" a="1"/>
  <c r="J36" i="1" s="1"/>
  <c r="J37" i="1" a="1"/>
  <c r="J37" i="1" s="1"/>
  <c r="J38" i="1" a="1"/>
  <c r="J38" i="1" s="1"/>
  <c r="J39" i="1" a="1"/>
  <c r="J39" i="1" s="1"/>
  <c r="J40" i="1" a="1"/>
  <c r="J40" i="1" s="1"/>
  <c r="J41" i="1" a="1"/>
  <c r="J41" i="1" s="1"/>
  <c r="J42" i="1" a="1"/>
  <c r="J42" i="1" s="1"/>
  <c r="J43" i="1" a="1"/>
  <c r="J43" i="1" s="1"/>
  <c r="J44" i="1" a="1"/>
  <c r="J44" i="1" s="1"/>
  <c r="J45" i="1" a="1"/>
  <c r="J45" i="1" s="1"/>
  <c r="J46" i="1" a="1"/>
  <c r="J46" i="1" s="1"/>
  <c r="J47" i="1" a="1"/>
  <c r="J47" i="1" s="1"/>
  <c r="J48" i="1" a="1"/>
  <c r="J48" i="1" s="1"/>
  <c r="J2294" i="1" a="1"/>
  <c r="J2294" i="1" s="1"/>
  <c r="J49" i="1" a="1"/>
  <c r="J49" i="1" s="1"/>
  <c r="J50" i="1" a="1"/>
  <c r="J50" i="1" s="1"/>
  <c r="J51" i="1" a="1"/>
  <c r="J51" i="1" s="1"/>
  <c r="J52" i="1" a="1"/>
  <c r="J52" i="1" s="1"/>
  <c r="J2295" i="1" a="1"/>
  <c r="J2295" i="1" s="1"/>
  <c r="J2296" i="1" a="1"/>
  <c r="J2296" i="1" s="1"/>
  <c r="J53" i="1" a="1"/>
  <c r="J53" i="1" s="1"/>
  <c r="J54" i="1" a="1"/>
  <c r="J54" i="1" s="1"/>
  <c r="J55" i="1" a="1"/>
  <c r="J55" i="1" s="1"/>
  <c r="J56" i="1" a="1"/>
  <c r="J56" i="1" s="1"/>
  <c r="J57" i="1" a="1"/>
  <c r="J57" i="1" s="1"/>
  <c r="J2234" i="1" a="1"/>
  <c r="J2234" i="1" s="1"/>
  <c r="J58" i="1" a="1"/>
  <c r="J58" i="1" s="1"/>
  <c r="J59" i="1" a="1"/>
  <c r="J59" i="1" s="1"/>
  <c r="J60" i="1" a="1"/>
  <c r="J60" i="1" s="1"/>
  <c r="J61" i="1" a="1"/>
  <c r="J61" i="1" s="1"/>
  <c r="J62" i="1" a="1"/>
  <c r="J62" i="1" s="1"/>
  <c r="J2235" i="1" a="1"/>
  <c r="J2235" i="1" s="1"/>
  <c r="J63" i="1" a="1"/>
  <c r="J63" i="1" s="1"/>
  <c r="J64" i="1" a="1"/>
  <c r="J64" i="1" s="1"/>
  <c r="J65" i="1" a="1"/>
  <c r="J65" i="1" s="1"/>
  <c r="J66" i="1" a="1"/>
  <c r="J66" i="1" s="1"/>
  <c r="J67" i="1" a="1"/>
  <c r="J67" i="1" s="1"/>
  <c r="J68" i="1" a="1"/>
  <c r="J68" i="1" s="1"/>
  <c r="J69" i="1" a="1"/>
  <c r="J69" i="1" s="1"/>
  <c r="J70" i="1" a="1"/>
  <c r="J70" i="1" s="1"/>
  <c r="J2297" i="1" a="1"/>
  <c r="J2297" i="1" s="1"/>
  <c r="J71" i="1" a="1"/>
  <c r="J71" i="1" s="1"/>
  <c r="J72" i="1" a="1"/>
  <c r="J72" i="1" s="1"/>
  <c r="J73" i="1" a="1"/>
  <c r="J73" i="1" s="1"/>
  <c r="J74" i="1" a="1"/>
  <c r="J74" i="1" s="1"/>
  <c r="J75" i="1" a="1"/>
  <c r="J75" i="1" s="1"/>
  <c r="J76" i="1" a="1"/>
  <c r="J76" i="1" s="1"/>
  <c r="J77" i="1" a="1"/>
  <c r="J77" i="1" s="1"/>
  <c r="J78" i="1" a="1"/>
  <c r="J78" i="1" s="1"/>
  <c r="J79" i="1" a="1"/>
  <c r="J79" i="1" s="1"/>
  <c r="J80" i="1" a="1"/>
  <c r="J80" i="1" s="1"/>
  <c r="J2236" i="1" a="1"/>
  <c r="J2236" i="1" s="1"/>
  <c r="J81" i="1" a="1"/>
  <c r="J81" i="1" s="1"/>
  <c r="J2298" i="1" a="1"/>
  <c r="J2298" i="1" s="1"/>
  <c r="J82" i="1" a="1"/>
  <c r="J82" i="1" s="1"/>
  <c r="J83" i="1" a="1"/>
  <c r="J83" i="1" s="1"/>
  <c r="J84" i="1" a="1"/>
  <c r="J84" i="1" s="1"/>
  <c r="J85" i="1" a="1"/>
  <c r="J85" i="1" s="1"/>
  <c r="J86" i="1" a="1"/>
  <c r="J86" i="1" s="1"/>
  <c r="J87" i="1" a="1"/>
  <c r="J87" i="1" s="1"/>
  <c r="J88" i="1" a="1"/>
  <c r="J88" i="1" s="1"/>
  <c r="J89" i="1" a="1"/>
  <c r="J89" i="1" s="1"/>
  <c r="J90" i="1" a="1"/>
  <c r="J90" i="1" s="1"/>
  <c r="J91" i="1" a="1"/>
  <c r="J91" i="1" s="1"/>
  <c r="J92" i="1" a="1"/>
  <c r="J92" i="1" s="1"/>
  <c r="J93" i="1" a="1"/>
  <c r="J93" i="1" s="1"/>
  <c r="J94" i="1" a="1"/>
  <c r="J94" i="1" s="1"/>
  <c r="J95" i="1" a="1"/>
  <c r="J95" i="1" s="1"/>
  <c r="J96" i="1" a="1"/>
  <c r="J96" i="1" s="1"/>
  <c r="J97" i="1" a="1"/>
  <c r="J97" i="1" s="1"/>
  <c r="J98" i="1" a="1"/>
  <c r="J98" i="1" s="1"/>
  <c r="J99" i="1" a="1"/>
  <c r="J99" i="1" s="1"/>
  <c r="J100" i="1" a="1"/>
  <c r="J100" i="1" s="1"/>
  <c r="J101" i="1" a="1"/>
  <c r="J101" i="1" s="1"/>
  <c r="J102" i="1" a="1"/>
  <c r="J102" i="1" s="1"/>
  <c r="J2299" i="1" a="1"/>
  <c r="J2299" i="1" s="1"/>
  <c r="J2300" i="1" a="1"/>
  <c r="J2300" i="1" s="1"/>
  <c r="J103" i="1" a="1"/>
  <c r="J103" i="1" s="1"/>
  <c r="J104" i="1" a="1"/>
  <c r="J104" i="1" s="1"/>
  <c r="J105" i="1" a="1"/>
  <c r="J105" i="1" s="1"/>
  <c r="J2301" i="1" a="1"/>
  <c r="J2301" i="1" s="1"/>
  <c r="J106" i="1" a="1"/>
  <c r="J106" i="1" s="1"/>
  <c r="J107" i="1" a="1"/>
  <c r="J107" i="1" s="1"/>
  <c r="J108" i="1" a="1"/>
  <c r="J108" i="1" s="1"/>
  <c r="J109" i="1" a="1"/>
  <c r="J109" i="1" s="1"/>
  <c r="J110" i="1" a="1"/>
  <c r="J110" i="1" s="1"/>
  <c r="J2302" i="1" a="1"/>
  <c r="J2302" i="1" s="1"/>
  <c r="J111" i="1" a="1"/>
  <c r="J111" i="1" s="1"/>
  <c r="J112" i="1" a="1"/>
  <c r="J112" i="1" s="1"/>
  <c r="J113" i="1" a="1"/>
  <c r="J113" i="1" s="1"/>
  <c r="J114" i="1" a="1"/>
  <c r="J114" i="1" s="1"/>
  <c r="J115" i="1" a="1"/>
  <c r="J115" i="1" s="1"/>
  <c r="J116" i="1" a="1"/>
  <c r="J116" i="1" s="1"/>
  <c r="J117" i="1" a="1"/>
  <c r="J117" i="1" s="1"/>
  <c r="J118" i="1" a="1"/>
  <c r="J118" i="1" s="1"/>
  <c r="J119" i="1" a="1"/>
  <c r="J119" i="1" s="1"/>
  <c r="J120" i="1" a="1"/>
  <c r="J120" i="1" s="1"/>
  <c r="J121" i="1" a="1"/>
  <c r="J121" i="1" s="1"/>
  <c r="J122" i="1" a="1"/>
  <c r="J122" i="1" s="1"/>
  <c r="J2303" i="1" a="1"/>
  <c r="J2303" i="1" s="1"/>
  <c r="J123" i="1" a="1"/>
  <c r="J123" i="1" s="1"/>
  <c r="J124" i="1" a="1"/>
  <c r="J124" i="1" s="1"/>
  <c r="J125" i="1" a="1"/>
  <c r="J125" i="1" s="1"/>
  <c r="J126" i="1" a="1"/>
  <c r="J126" i="1" s="1"/>
  <c r="J127" i="1" a="1"/>
  <c r="J127" i="1" s="1"/>
  <c r="J128" i="1" a="1"/>
  <c r="J128" i="1" s="1"/>
  <c r="J129" i="1" a="1"/>
  <c r="J129" i="1" s="1"/>
  <c r="J130" i="1" a="1"/>
  <c r="J130" i="1" s="1"/>
  <c r="J131" i="1" a="1"/>
  <c r="J131" i="1" s="1"/>
  <c r="J132" i="1" a="1"/>
  <c r="J132" i="1" s="1"/>
  <c r="J133" i="1" a="1"/>
  <c r="J133" i="1" s="1"/>
  <c r="J134" i="1" a="1"/>
  <c r="J134" i="1" s="1"/>
  <c r="J2304" i="1" a="1"/>
  <c r="J2304" i="1" s="1"/>
  <c r="J135" i="1" a="1"/>
  <c r="J135" i="1" s="1"/>
  <c r="J136" i="1" a="1"/>
  <c r="J136" i="1" s="1"/>
  <c r="J137" i="1" a="1"/>
  <c r="J137" i="1" s="1"/>
  <c r="J138" i="1" a="1"/>
  <c r="J138" i="1" s="1"/>
  <c r="J2305" i="1" a="1"/>
  <c r="J2305" i="1" s="1"/>
  <c r="J139" i="1" a="1"/>
  <c r="J139" i="1" s="1"/>
  <c r="J140" i="1" a="1"/>
  <c r="J140" i="1" s="1"/>
  <c r="J141" i="1" a="1"/>
  <c r="J141" i="1" s="1"/>
  <c r="J142" i="1" a="1"/>
  <c r="J142" i="1" s="1"/>
  <c r="J143" i="1" a="1"/>
  <c r="J143" i="1" s="1"/>
  <c r="J144" i="1" a="1"/>
  <c r="J144" i="1" s="1"/>
  <c r="J145" i="1" a="1"/>
  <c r="J145" i="1" s="1"/>
  <c r="J146" i="1" a="1"/>
  <c r="J146" i="1" s="1"/>
  <c r="J147" i="1" a="1"/>
  <c r="J147" i="1" s="1"/>
  <c r="J148" i="1" a="1"/>
  <c r="J148" i="1" s="1"/>
  <c r="J149" i="1" a="1"/>
  <c r="J149" i="1" s="1"/>
  <c r="J150" i="1" a="1"/>
  <c r="J150" i="1" s="1"/>
  <c r="J151" i="1" a="1"/>
  <c r="J151" i="1" s="1"/>
  <c r="J152" i="1" a="1"/>
  <c r="J152" i="1" s="1"/>
  <c r="J153" i="1" a="1"/>
  <c r="J153" i="1" s="1"/>
  <c r="J154" i="1" a="1"/>
  <c r="J154" i="1" s="1"/>
  <c r="J155" i="1" a="1"/>
  <c r="J155" i="1" s="1"/>
  <c r="J156" i="1" a="1"/>
  <c r="J156" i="1" s="1"/>
  <c r="J157" i="1" a="1"/>
  <c r="J157" i="1" s="1"/>
  <c r="J158" i="1" a="1"/>
  <c r="J158" i="1" s="1"/>
  <c r="J159" i="1" a="1"/>
  <c r="J159" i="1" s="1"/>
  <c r="J160" i="1" a="1"/>
  <c r="J160" i="1" s="1"/>
  <c r="J161" i="1" a="1"/>
  <c r="J161" i="1" s="1"/>
  <c r="J162" i="1" a="1"/>
  <c r="J162" i="1" s="1"/>
  <c r="J163" i="1" a="1"/>
  <c r="J163" i="1" s="1"/>
  <c r="J164" i="1" a="1"/>
  <c r="J164" i="1" s="1"/>
  <c r="J165" i="1" a="1"/>
  <c r="J165" i="1" s="1"/>
  <c r="J166" i="1" a="1"/>
  <c r="J166" i="1" s="1"/>
  <c r="J167" i="1" a="1"/>
  <c r="J167" i="1" s="1"/>
  <c r="J168" i="1" a="1"/>
  <c r="J168" i="1" s="1"/>
  <c r="J169" i="1" a="1"/>
  <c r="J169" i="1" s="1"/>
  <c r="J170" i="1" a="1"/>
  <c r="J170" i="1" s="1"/>
  <c r="J171" i="1" a="1"/>
  <c r="J171" i="1" s="1"/>
  <c r="J172" i="1" a="1"/>
  <c r="J172" i="1" s="1"/>
  <c r="J173" i="1" a="1"/>
  <c r="J173" i="1" s="1"/>
  <c r="J174" i="1" a="1"/>
  <c r="J174" i="1" s="1"/>
  <c r="J175" i="1" a="1"/>
  <c r="J175" i="1" s="1"/>
  <c r="J176" i="1" a="1"/>
  <c r="J176" i="1" s="1"/>
  <c r="J177" i="1" a="1"/>
  <c r="J177" i="1" s="1"/>
  <c r="J178" i="1" a="1"/>
  <c r="J178" i="1" s="1"/>
  <c r="J179" i="1" a="1"/>
  <c r="J179" i="1" s="1"/>
  <c r="J180" i="1" a="1"/>
  <c r="J180" i="1" s="1"/>
  <c r="J2306" i="1" a="1"/>
  <c r="J2306" i="1" s="1"/>
  <c r="J181" i="1" a="1"/>
  <c r="J181" i="1" s="1"/>
  <c r="J182" i="1" a="1"/>
  <c r="J182" i="1" s="1"/>
  <c r="J183" i="1" a="1"/>
  <c r="J183" i="1" s="1"/>
  <c r="J184" i="1" a="1"/>
  <c r="J184" i="1" s="1"/>
  <c r="J185" i="1" a="1"/>
  <c r="J185" i="1" s="1"/>
  <c r="J186" i="1" a="1"/>
  <c r="J186" i="1" s="1"/>
  <c r="J187" i="1" a="1"/>
  <c r="J187" i="1" s="1"/>
  <c r="J188" i="1" a="1"/>
  <c r="J188" i="1" s="1"/>
  <c r="J2237" i="1" a="1"/>
  <c r="J2237" i="1" s="1"/>
  <c r="J189" i="1" a="1"/>
  <c r="J189" i="1" s="1"/>
  <c r="J190" i="1" a="1"/>
  <c r="J190" i="1" s="1"/>
  <c r="J191" i="1" a="1"/>
  <c r="J191" i="1" s="1"/>
  <c r="J192" i="1" a="1"/>
  <c r="J192" i="1" s="1"/>
  <c r="J193" i="1" a="1"/>
  <c r="J193" i="1" s="1"/>
  <c r="J194" i="1" a="1"/>
  <c r="J194" i="1" s="1"/>
  <c r="J195" i="1" a="1"/>
  <c r="J195" i="1" s="1"/>
  <c r="J2307" i="1" a="1"/>
  <c r="J2307" i="1" s="1"/>
  <c r="J196" i="1" a="1"/>
  <c r="J196" i="1" s="1"/>
  <c r="J197" i="1" a="1"/>
  <c r="J197" i="1" s="1"/>
  <c r="J198" i="1" a="1"/>
  <c r="J198" i="1" s="1"/>
  <c r="J2308" i="1" a="1"/>
  <c r="J2308" i="1" s="1"/>
  <c r="J199" i="1" a="1"/>
  <c r="J199" i="1" s="1"/>
  <c r="J2309" i="1" a="1"/>
  <c r="J2309" i="1" s="1"/>
  <c r="J200" i="1" a="1"/>
  <c r="J200" i="1" s="1"/>
  <c r="J201" i="1" a="1"/>
  <c r="J201" i="1" s="1"/>
  <c r="J202" i="1" a="1"/>
  <c r="J202" i="1" s="1"/>
  <c r="J2238" i="1" a="1"/>
  <c r="J2238" i="1" s="1"/>
  <c r="J203" i="1" a="1"/>
  <c r="J203" i="1" s="1"/>
  <c r="J2310" i="1" a="1"/>
  <c r="J2310" i="1" s="1"/>
  <c r="J204" i="1" a="1"/>
  <c r="J204" i="1" s="1"/>
  <c r="J2311" i="1" a="1"/>
  <c r="J2311" i="1" s="1"/>
  <c r="J205" i="1" a="1"/>
  <c r="J205" i="1" s="1"/>
  <c r="J206" i="1" a="1"/>
  <c r="J206" i="1" s="1"/>
  <c r="J207" i="1" a="1"/>
  <c r="J207" i="1" s="1"/>
  <c r="J208" i="1" a="1"/>
  <c r="J208" i="1" s="1"/>
  <c r="J209" i="1" a="1"/>
  <c r="J209" i="1" s="1"/>
  <c r="J210" i="1" a="1"/>
  <c r="J210" i="1" s="1"/>
  <c r="J2312" i="1" a="1"/>
  <c r="J2312" i="1" s="1"/>
  <c r="J211" i="1" a="1"/>
  <c r="J211" i="1" s="1"/>
  <c r="J212" i="1" a="1"/>
  <c r="J212" i="1" s="1"/>
  <c r="J213" i="1" a="1"/>
  <c r="J213" i="1" s="1"/>
  <c r="J214" i="1" a="1"/>
  <c r="J214" i="1" s="1"/>
  <c r="J215" i="1" a="1"/>
  <c r="J215" i="1" s="1"/>
  <c r="J2313" i="1" a="1"/>
  <c r="J2313" i="1" s="1"/>
  <c r="J2314" i="1" a="1"/>
  <c r="J2314" i="1" s="1"/>
  <c r="J216" i="1" a="1"/>
  <c r="J216" i="1" s="1"/>
  <c r="J217" i="1" a="1"/>
  <c r="J217" i="1" s="1"/>
  <c r="J2315" i="1" a="1"/>
  <c r="J2315" i="1" s="1"/>
  <c r="J2239" i="1" a="1"/>
  <c r="J2239" i="1" s="1"/>
  <c r="J218" i="1" a="1"/>
  <c r="J218" i="1" s="1"/>
  <c r="J219" i="1" a="1"/>
  <c r="J219" i="1" s="1"/>
  <c r="J220" i="1" a="1"/>
  <c r="J220" i="1" s="1"/>
  <c r="J221" i="1" a="1"/>
  <c r="J221" i="1" s="1"/>
  <c r="J222" i="1" a="1"/>
  <c r="J222" i="1" s="1"/>
  <c r="J2316" i="1" a="1"/>
  <c r="J2316" i="1" s="1"/>
  <c r="J223" i="1" a="1"/>
  <c r="J223" i="1" s="1"/>
  <c r="J224" i="1" a="1"/>
  <c r="J224" i="1" s="1"/>
  <c r="J225" i="1" a="1"/>
  <c r="J225" i="1" s="1"/>
  <c r="J226" i="1" a="1"/>
  <c r="J226" i="1" s="1"/>
  <c r="J227" i="1" a="1"/>
  <c r="J227" i="1" s="1"/>
  <c r="J228" i="1" a="1"/>
  <c r="J228" i="1" s="1"/>
  <c r="J229" i="1" a="1"/>
  <c r="J229" i="1" s="1"/>
  <c r="J230" i="1" a="1"/>
  <c r="J230" i="1" s="1"/>
  <c r="J231" i="1" a="1"/>
  <c r="J231" i="1" s="1"/>
  <c r="J232" i="1" a="1"/>
  <c r="J232" i="1" s="1"/>
  <c r="J233" i="1" a="1"/>
  <c r="J233" i="1" s="1"/>
  <c r="J2317" i="1" a="1"/>
  <c r="J2317" i="1" s="1"/>
  <c r="J2318" i="1" a="1"/>
  <c r="J2318" i="1" s="1"/>
  <c r="J234" i="1" a="1"/>
  <c r="J234" i="1" s="1"/>
  <c r="J2319" i="1" a="1"/>
  <c r="J2319" i="1" s="1"/>
  <c r="J235" i="1" a="1"/>
  <c r="J235" i="1" s="1"/>
  <c r="J236" i="1" a="1"/>
  <c r="J236" i="1" s="1"/>
  <c r="J237" i="1" a="1"/>
  <c r="J237" i="1" s="1"/>
  <c r="J2320" i="1" a="1"/>
  <c r="J2320" i="1" s="1"/>
  <c r="J238" i="1" a="1"/>
  <c r="J238" i="1" s="1"/>
  <c r="J239" i="1" a="1"/>
  <c r="J239" i="1" s="1"/>
  <c r="J2321" i="1" a="1"/>
  <c r="J2321" i="1" s="1"/>
  <c r="J240" i="1" a="1"/>
  <c r="J240" i="1" s="1"/>
  <c r="J241" i="1" a="1"/>
  <c r="J241" i="1" s="1"/>
  <c r="J242" i="1" a="1"/>
  <c r="J242" i="1" s="1"/>
  <c r="J2322" i="1" a="1"/>
  <c r="J2322" i="1" s="1"/>
  <c r="J243" i="1" a="1"/>
  <c r="J243" i="1" s="1"/>
  <c r="J244" i="1" a="1"/>
  <c r="J244" i="1" s="1"/>
  <c r="J245" i="1" a="1"/>
  <c r="J245" i="1" s="1"/>
  <c r="J2323" i="1" a="1"/>
  <c r="J2323" i="1" s="1"/>
  <c r="J246" i="1" a="1"/>
  <c r="J246" i="1" s="1"/>
  <c r="J247" i="1" a="1"/>
  <c r="J247" i="1" s="1"/>
  <c r="J248" i="1" a="1"/>
  <c r="J248" i="1" s="1"/>
  <c r="J249" i="1" a="1"/>
  <c r="J249" i="1" s="1"/>
  <c r="J250" i="1" a="1"/>
  <c r="J250" i="1" s="1"/>
  <c r="J251" i="1" a="1"/>
  <c r="J251" i="1" s="1"/>
  <c r="J252" i="1" a="1"/>
  <c r="J252" i="1" s="1"/>
  <c r="J253" i="1" a="1"/>
  <c r="J253" i="1" s="1"/>
  <c r="J2324" i="1" a="1"/>
  <c r="J2324" i="1" s="1"/>
  <c r="J254" i="1" a="1"/>
  <c r="J254" i="1" s="1"/>
  <c r="J2240" i="1" a="1"/>
  <c r="J2240" i="1" s="1"/>
  <c r="J255" i="1" a="1"/>
  <c r="J255" i="1" s="1"/>
  <c r="J256" i="1" a="1"/>
  <c r="J256" i="1" s="1"/>
  <c r="J257" i="1" a="1"/>
  <c r="J257" i="1" s="1"/>
  <c r="J258" i="1" a="1"/>
  <c r="J258" i="1" s="1"/>
  <c r="J259" i="1" a="1"/>
  <c r="J259" i="1" s="1"/>
  <c r="J260" i="1" a="1"/>
  <c r="J260" i="1" s="1"/>
  <c r="J261" i="1" a="1"/>
  <c r="J261" i="1" s="1"/>
  <c r="J262" i="1" a="1"/>
  <c r="J262" i="1" s="1"/>
  <c r="J263" i="1" a="1"/>
  <c r="J263" i="1" s="1"/>
  <c r="J264" i="1" a="1"/>
  <c r="J264" i="1" s="1"/>
  <c r="J265" i="1" a="1"/>
  <c r="J265" i="1" s="1"/>
  <c r="J266" i="1" a="1"/>
  <c r="J266" i="1" s="1"/>
  <c r="J2325" i="1" a="1"/>
  <c r="J2325" i="1" s="1"/>
  <c r="J267" i="1" a="1"/>
  <c r="J267" i="1" s="1"/>
  <c r="J2326" i="1" a="1"/>
  <c r="J2326" i="1" s="1"/>
  <c r="J2327" i="1" a="1"/>
  <c r="J2327" i="1" s="1"/>
  <c r="J268" i="1" a="1"/>
  <c r="J268" i="1" s="1"/>
  <c r="J269" i="1" a="1"/>
  <c r="J269" i="1" s="1"/>
  <c r="J270" i="1" a="1"/>
  <c r="J270" i="1" s="1"/>
  <c r="J271" i="1" a="1"/>
  <c r="J271" i="1" s="1"/>
  <c r="J272" i="1" a="1"/>
  <c r="J272" i="1" s="1"/>
  <c r="J273" i="1" a="1"/>
  <c r="J273" i="1" s="1"/>
  <c r="J274" i="1" a="1"/>
  <c r="J274" i="1" s="1"/>
  <c r="J2328" i="1" a="1"/>
  <c r="J2328" i="1" s="1"/>
  <c r="J275" i="1" a="1"/>
  <c r="J275" i="1" s="1"/>
  <c r="J276" i="1" a="1"/>
  <c r="J276" i="1" s="1"/>
  <c r="J277" i="1" a="1"/>
  <c r="J277" i="1" s="1"/>
  <c r="J278" i="1" a="1"/>
  <c r="J278" i="1" s="1"/>
  <c r="J279" i="1" a="1"/>
  <c r="J279" i="1" s="1"/>
  <c r="J2329" i="1" a="1"/>
  <c r="J2329" i="1" s="1"/>
  <c r="J280" i="1" a="1"/>
  <c r="J280" i="1" s="1"/>
  <c r="J281" i="1" a="1"/>
  <c r="J281" i="1" s="1"/>
  <c r="J282" i="1" a="1"/>
  <c r="J282" i="1" s="1"/>
  <c r="J283" i="1" a="1"/>
  <c r="J283" i="1" s="1"/>
  <c r="J284" i="1" a="1"/>
  <c r="J284" i="1" s="1"/>
  <c r="J285" i="1" a="1"/>
  <c r="J285" i="1" s="1"/>
  <c r="J286" i="1" a="1"/>
  <c r="J286" i="1" s="1"/>
  <c r="J2241" i="1" a="1"/>
  <c r="J2241" i="1" s="1"/>
  <c r="J287" i="1" a="1"/>
  <c r="J287" i="1" s="1"/>
  <c r="J288" i="1" a="1"/>
  <c r="J288" i="1" s="1"/>
  <c r="J289" i="1" a="1"/>
  <c r="J289" i="1" s="1"/>
  <c r="J290" i="1" a="1"/>
  <c r="J290" i="1" s="1"/>
  <c r="J291" i="1" a="1"/>
  <c r="J291" i="1" s="1"/>
  <c r="J292" i="1" a="1"/>
  <c r="J292" i="1" s="1"/>
  <c r="J293" i="1" a="1"/>
  <c r="J293" i="1" s="1"/>
  <c r="J2330" i="1" a="1"/>
  <c r="J2330" i="1" s="1"/>
  <c r="J294" i="1" a="1"/>
  <c r="J294" i="1" s="1"/>
  <c r="J295" i="1" a="1"/>
  <c r="J295" i="1" s="1"/>
  <c r="J2331" i="1" a="1"/>
  <c r="J2331" i="1" s="1"/>
  <c r="J2332" i="1" a="1"/>
  <c r="J2332" i="1" s="1"/>
  <c r="J296" i="1" a="1"/>
  <c r="J296" i="1" s="1"/>
  <c r="J2333" i="1" a="1"/>
  <c r="J2333" i="1" s="1"/>
  <c r="J297" i="1" a="1"/>
  <c r="J297" i="1" s="1"/>
  <c r="J298" i="1" a="1"/>
  <c r="J298" i="1" s="1"/>
  <c r="J299" i="1" a="1"/>
  <c r="J299" i="1" s="1"/>
  <c r="J300" i="1" a="1"/>
  <c r="J300" i="1" s="1"/>
  <c r="J2334" i="1" a="1"/>
  <c r="J2334" i="1" s="1"/>
  <c r="J301" i="1" a="1"/>
  <c r="J301" i="1" s="1"/>
  <c r="J302" i="1" a="1"/>
  <c r="J302" i="1" s="1"/>
  <c r="J303" i="1" a="1"/>
  <c r="J303" i="1" s="1"/>
  <c r="J304" i="1" a="1"/>
  <c r="J304" i="1" s="1"/>
  <c r="J305" i="1" a="1"/>
  <c r="J305" i="1" s="1"/>
  <c r="J306" i="1" a="1"/>
  <c r="J306" i="1" s="1"/>
  <c r="J307" i="1" a="1"/>
  <c r="J307" i="1" s="1"/>
  <c r="J2335" i="1" a="1"/>
  <c r="J2335" i="1" s="1"/>
  <c r="J308" i="1" a="1"/>
  <c r="J308" i="1" s="1"/>
  <c r="J309" i="1" a="1"/>
  <c r="J309" i="1" s="1"/>
  <c r="J310" i="1" a="1"/>
  <c r="J310" i="1" s="1"/>
  <c r="J311" i="1" a="1"/>
  <c r="J311" i="1" s="1"/>
  <c r="J312" i="1" a="1"/>
  <c r="J312" i="1" s="1"/>
  <c r="J313" i="1" a="1"/>
  <c r="J313" i="1" s="1"/>
  <c r="J314" i="1" a="1"/>
  <c r="J314" i="1" s="1"/>
  <c r="J315" i="1" a="1"/>
  <c r="J315" i="1" s="1"/>
  <c r="J2336" i="1" a="1"/>
  <c r="J2336" i="1" s="1"/>
  <c r="J316" i="1" a="1"/>
  <c r="J316" i="1" s="1"/>
  <c r="J317" i="1" a="1"/>
  <c r="J317" i="1" s="1"/>
  <c r="J318" i="1" a="1"/>
  <c r="J318" i="1" s="1"/>
  <c r="J319" i="1" a="1"/>
  <c r="J319" i="1" s="1"/>
  <c r="J320" i="1" a="1"/>
  <c r="J320" i="1" s="1"/>
  <c r="J321" i="1" a="1"/>
  <c r="J321" i="1" s="1"/>
  <c r="J322" i="1" a="1"/>
  <c r="J322" i="1" s="1"/>
  <c r="J323" i="1" a="1"/>
  <c r="J323" i="1" s="1"/>
  <c r="J324" i="1" a="1"/>
  <c r="J324" i="1" s="1"/>
  <c r="J325" i="1" a="1"/>
  <c r="J325" i="1" s="1"/>
  <c r="J2337" i="1" a="1"/>
  <c r="J2337" i="1" s="1"/>
  <c r="J326" i="1" a="1"/>
  <c r="J326" i="1" s="1"/>
  <c r="J327" i="1" a="1"/>
  <c r="J327" i="1" s="1"/>
  <c r="J328" i="1" a="1"/>
  <c r="J328" i="1" s="1"/>
  <c r="J329" i="1" a="1"/>
  <c r="J329" i="1" s="1"/>
  <c r="J330" i="1" a="1"/>
  <c r="J330" i="1" s="1"/>
  <c r="J2242" i="1" a="1"/>
  <c r="J2242" i="1" s="1"/>
  <c r="J331" i="1" a="1"/>
  <c r="J331" i="1" s="1"/>
  <c r="J2338" i="1" a="1"/>
  <c r="J2338" i="1" s="1"/>
  <c r="J332" i="1" a="1"/>
  <c r="J332" i="1" s="1"/>
  <c r="J333" i="1" a="1"/>
  <c r="J333" i="1" s="1"/>
  <c r="J2339" i="1" a="1"/>
  <c r="J2339" i="1" s="1"/>
  <c r="J334" i="1" a="1"/>
  <c r="J334" i="1" s="1"/>
  <c r="J335" i="1" a="1"/>
  <c r="J335" i="1" s="1"/>
  <c r="J336" i="1" a="1"/>
  <c r="J336" i="1" s="1"/>
  <c r="J337" i="1" a="1"/>
  <c r="J337" i="1" s="1"/>
  <c r="J338" i="1" a="1"/>
  <c r="J338" i="1" s="1"/>
  <c r="J339" i="1" a="1"/>
  <c r="J339" i="1" s="1"/>
  <c r="J340" i="1" a="1"/>
  <c r="J340" i="1" s="1"/>
  <c r="J341" i="1" a="1"/>
  <c r="J341" i="1" s="1"/>
  <c r="J342" i="1" a="1"/>
  <c r="J342" i="1" s="1"/>
  <c r="J343" i="1" a="1"/>
  <c r="J343" i="1" s="1"/>
  <c r="J344" i="1" a="1"/>
  <c r="J344" i="1" s="1"/>
  <c r="J345" i="1" a="1"/>
  <c r="J345" i="1" s="1"/>
  <c r="J2243" i="1" a="1"/>
  <c r="J2243" i="1" s="1"/>
  <c r="J2340" i="1" a="1"/>
  <c r="J2340" i="1" s="1"/>
  <c r="J346" i="1" a="1"/>
  <c r="J346" i="1" s="1"/>
  <c r="J2341" i="1" a="1"/>
  <c r="J2341" i="1" s="1"/>
  <c r="J347" i="1" a="1"/>
  <c r="J347" i="1" s="1"/>
  <c r="J348" i="1" a="1"/>
  <c r="J348" i="1" s="1"/>
  <c r="J349" i="1" a="1"/>
  <c r="J349" i="1" s="1"/>
  <c r="J350" i="1" a="1"/>
  <c r="J350" i="1" s="1"/>
  <c r="J351" i="1" a="1"/>
  <c r="J351" i="1" s="1"/>
  <c r="J352" i="1" a="1"/>
  <c r="J352" i="1" s="1"/>
  <c r="J2342" i="1" a="1"/>
  <c r="J2342" i="1" s="1"/>
  <c r="J2343" i="1" a="1"/>
  <c r="J2343" i="1" s="1"/>
  <c r="J353" i="1" a="1"/>
  <c r="J353" i="1" s="1"/>
  <c r="J354" i="1" a="1"/>
  <c r="J354" i="1" s="1"/>
  <c r="J355" i="1" a="1"/>
  <c r="J355" i="1" s="1"/>
  <c r="J356" i="1" a="1"/>
  <c r="J356" i="1" s="1"/>
  <c r="J357" i="1" a="1"/>
  <c r="J357" i="1" s="1"/>
  <c r="J358" i="1" a="1"/>
  <c r="J358" i="1" s="1"/>
  <c r="J2244" i="1" a="1"/>
  <c r="J2244" i="1" s="1"/>
  <c r="J359" i="1" a="1"/>
  <c r="J359" i="1" s="1"/>
  <c r="J360" i="1" a="1"/>
  <c r="J360" i="1" s="1"/>
  <c r="J361" i="1" a="1"/>
  <c r="J361" i="1" s="1"/>
  <c r="J362" i="1" a="1"/>
  <c r="J362" i="1" s="1"/>
  <c r="J363" i="1" a="1"/>
  <c r="J363" i="1" s="1"/>
  <c r="J364" i="1" a="1"/>
  <c r="J364" i="1" s="1"/>
  <c r="J365" i="1" a="1"/>
  <c r="J365" i="1" s="1"/>
  <c r="J2245" i="1" a="1"/>
  <c r="J2245" i="1" s="1"/>
  <c r="J366" i="1" a="1"/>
  <c r="J366" i="1" s="1"/>
  <c r="J367" i="1" a="1"/>
  <c r="J367" i="1" s="1"/>
  <c r="J368" i="1" a="1"/>
  <c r="J368" i="1" s="1"/>
  <c r="J2344" i="1" a="1"/>
  <c r="J2344" i="1" s="1"/>
  <c r="J2345" i="1" a="1"/>
  <c r="J2345" i="1" s="1"/>
  <c r="J369" i="1" a="1"/>
  <c r="J369" i="1" s="1"/>
  <c r="J370" i="1" a="1"/>
  <c r="J370" i="1" s="1"/>
  <c r="J371" i="1" a="1"/>
  <c r="J371" i="1" s="1"/>
  <c r="J2346" i="1" a="1"/>
  <c r="J2346" i="1" s="1"/>
  <c r="J372" i="1" a="1"/>
  <c r="J372" i="1" s="1"/>
  <c r="J373" i="1" a="1"/>
  <c r="J373" i="1" s="1"/>
  <c r="J374" i="1" a="1"/>
  <c r="J374" i="1" s="1"/>
  <c r="J375" i="1" a="1"/>
  <c r="J375" i="1" s="1"/>
  <c r="J376" i="1" a="1"/>
  <c r="J376" i="1" s="1"/>
  <c r="J377" i="1" a="1"/>
  <c r="J377" i="1" s="1"/>
  <c r="J378" i="1" a="1"/>
  <c r="J378" i="1" s="1"/>
  <c r="J379" i="1" a="1"/>
  <c r="J379" i="1" s="1"/>
  <c r="J380" i="1" a="1"/>
  <c r="J380" i="1" s="1"/>
  <c r="J381" i="1" a="1"/>
  <c r="J381" i="1" s="1"/>
  <c r="J382" i="1" a="1"/>
  <c r="J382" i="1" s="1"/>
  <c r="J383" i="1" a="1"/>
  <c r="J383" i="1" s="1"/>
  <c r="J384" i="1" a="1"/>
  <c r="J384" i="1" s="1"/>
  <c r="J385" i="1" a="1"/>
  <c r="J385" i="1" s="1"/>
  <c r="J386" i="1" a="1"/>
  <c r="J386" i="1" s="1"/>
  <c r="J387" i="1" a="1"/>
  <c r="J387" i="1" s="1"/>
  <c r="J388" i="1" a="1"/>
  <c r="J388" i="1" s="1"/>
  <c r="J389" i="1" a="1"/>
  <c r="J389" i="1" s="1"/>
  <c r="J390" i="1" a="1"/>
  <c r="J390" i="1" s="1"/>
  <c r="J391" i="1" a="1"/>
  <c r="J391" i="1" s="1"/>
  <c r="J392" i="1" a="1"/>
  <c r="J392" i="1" s="1"/>
  <c r="J393" i="1" a="1"/>
  <c r="J393" i="1" s="1"/>
  <c r="J2347" i="1" a="1"/>
  <c r="J2347" i="1" s="1"/>
  <c r="J394" i="1" a="1"/>
  <c r="J394" i="1" s="1"/>
  <c r="J2348" i="1" a="1"/>
  <c r="J2348" i="1" s="1"/>
  <c r="J395" i="1" a="1"/>
  <c r="J395" i="1" s="1"/>
  <c r="J396" i="1" a="1"/>
  <c r="J396" i="1" s="1"/>
  <c r="J397" i="1" a="1"/>
  <c r="J397" i="1" s="1"/>
  <c r="J398" i="1" a="1"/>
  <c r="J398" i="1" s="1"/>
  <c r="J399" i="1" a="1"/>
  <c r="J399" i="1" s="1"/>
  <c r="J400" i="1" a="1"/>
  <c r="J400" i="1" s="1"/>
  <c r="J401" i="1" a="1"/>
  <c r="J401" i="1" s="1"/>
  <c r="J402" i="1" a="1"/>
  <c r="J402" i="1" s="1"/>
  <c r="J403" i="1" a="1"/>
  <c r="J403" i="1" s="1"/>
  <c r="J404" i="1" a="1"/>
  <c r="J404" i="1" s="1"/>
  <c r="J405" i="1" a="1"/>
  <c r="J405" i="1" s="1"/>
  <c r="J406" i="1" a="1"/>
  <c r="J406" i="1" s="1"/>
  <c r="J407" i="1" a="1"/>
  <c r="J407" i="1" s="1"/>
  <c r="J408" i="1" a="1"/>
  <c r="J408" i="1" s="1"/>
  <c r="J409" i="1" a="1"/>
  <c r="J409" i="1" s="1"/>
  <c r="J410" i="1" a="1"/>
  <c r="J410" i="1" s="1"/>
  <c r="J411" i="1" a="1"/>
  <c r="J411" i="1" s="1"/>
  <c r="J412" i="1" a="1"/>
  <c r="J412" i="1" s="1"/>
  <c r="J413" i="1" a="1"/>
  <c r="J413" i="1" s="1"/>
  <c r="J2349" i="1" a="1"/>
  <c r="J2349" i="1" s="1"/>
  <c r="J414" i="1" a="1"/>
  <c r="J414" i="1" s="1"/>
  <c r="J415" i="1" a="1"/>
  <c r="J415" i="1" s="1"/>
  <c r="J416" i="1" a="1"/>
  <c r="J416" i="1" s="1"/>
  <c r="J417" i="1" a="1"/>
  <c r="J417" i="1" s="1"/>
  <c r="J418" i="1" a="1"/>
  <c r="J418" i="1" s="1"/>
  <c r="J419" i="1" a="1"/>
  <c r="J419" i="1" s="1"/>
  <c r="J420" i="1" a="1"/>
  <c r="J420" i="1" s="1"/>
  <c r="J421" i="1" a="1"/>
  <c r="J421" i="1" s="1"/>
  <c r="J422" i="1" a="1"/>
  <c r="J422" i="1" s="1"/>
  <c r="J423" i="1" a="1"/>
  <c r="J423" i="1" s="1"/>
  <c r="J2350" i="1" a="1"/>
  <c r="J2350" i="1" s="1"/>
  <c r="J424" i="1" a="1"/>
  <c r="J424" i="1" s="1"/>
  <c r="J425" i="1" a="1"/>
  <c r="J425" i="1" s="1"/>
  <c r="J426" i="1" a="1"/>
  <c r="J426" i="1" s="1"/>
  <c r="J427" i="1" a="1"/>
  <c r="J427" i="1" s="1"/>
  <c r="J428" i="1" a="1"/>
  <c r="J428" i="1" s="1"/>
  <c r="J429" i="1" a="1"/>
  <c r="J429" i="1" s="1"/>
  <c r="J430" i="1" a="1"/>
  <c r="J430" i="1" s="1"/>
  <c r="J431" i="1" a="1"/>
  <c r="J431" i="1" s="1"/>
  <c r="J432" i="1" a="1"/>
  <c r="J432" i="1" s="1"/>
  <c r="J433" i="1" a="1"/>
  <c r="J433" i="1" s="1"/>
  <c r="J434" i="1" a="1"/>
  <c r="J434" i="1" s="1"/>
  <c r="J435" i="1" a="1"/>
  <c r="J435" i="1" s="1"/>
  <c r="J436" i="1" a="1"/>
  <c r="J436" i="1" s="1"/>
  <c r="J437" i="1" a="1"/>
  <c r="J437" i="1" s="1"/>
  <c r="J438" i="1" a="1"/>
  <c r="J438" i="1" s="1"/>
  <c r="J439" i="1" a="1"/>
  <c r="J439" i="1" s="1"/>
  <c r="J440" i="1" a="1"/>
  <c r="J440" i="1" s="1"/>
  <c r="J441" i="1" a="1"/>
  <c r="J441" i="1" s="1"/>
  <c r="J442" i="1" a="1"/>
  <c r="J442" i="1" s="1"/>
  <c r="J443" i="1" a="1"/>
  <c r="J443" i="1" s="1"/>
  <c r="J444" i="1" a="1"/>
  <c r="J444" i="1" s="1"/>
  <c r="J2351" i="1" a="1"/>
  <c r="J2351" i="1" s="1"/>
  <c r="J445" i="1" a="1"/>
  <c r="J445" i="1" s="1"/>
  <c r="J446" i="1" a="1"/>
  <c r="J446" i="1" s="1"/>
  <c r="J447" i="1" a="1"/>
  <c r="J447" i="1" s="1"/>
  <c r="J448" i="1" a="1"/>
  <c r="J448" i="1" s="1"/>
  <c r="J449" i="1" a="1"/>
  <c r="J449" i="1" s="1"/>
  <c r="J450" i="1" a="1"/>
  <c r="J450" i="1" s="1"/>
  <c r="J451" i="1" a="1"/>
  <c r="J451" i="1" s="1"/>
  <c r="J452" i="1" a="1"/>
  <c r="J452" i="1" s="1"/>
  <c r="J453" i="1" a="1"/>
  <c r="J453" i="1" s="1"/>
  <c r="J2352" i="1" a="1"/>
  <c r="J2352" i="1" s="1"/>
  <c r="J2246" i="1" a="1"/>
  <c r="J2246" i="1" s="1"/>
  <c r="J2353" i="1" a="1"/>
  <c r="J2353" i="1" s="1"/>
  <c r="J454" i="1" a="1"/>
  <c r="J454" i="1" s="1"/>
  <c r="J455" i="1" a="1"/>
  <c r="J455" i="1" s="1"/>
  <c r="J456" i="1" a="1"/>
  <c r="J456" i="1" s="1"/>
  <c r="J457" i="1" a="1"/>
  <c r="J457" i="1" s="1"/>
  <c r="J458" i="1" a="1"/>
  <c r="J458" i="1" s="1"/>
  <c r="J459" i="1" a="1"/>
  <c r="J459" i="1" s="1"/>
  <c r="J460" i="1" a="1"/>
  <c r="J460" i="1" s="1"/>
  <c r="J461" i="1" a="1"/>
  <c r="J461" i="1" s="1"/>
  <c r="J462" i="1" a="1"/>
  <c r="J462" i="1" s="1"/>
  <c r="J463" i="1" a="1"/>
  <c r="J463" i="1" s="1"/>
  <c r="J464" i="1" a="1"/>
  <c r="J464" i="1" s="1"/>
  <c r="J465" i="1" a="1"/>
  <c r="J465" i="1" s="1"/>
  <c r="J466" i="1" a="1"/>
  <c r="J466" i="1" s="1"/>
  <c r="J467" i="1" a="1"/>
  <c r="J467" i="1" s="1"/>
  <c r="J468" i="1" a="1"/>
  <c r="J468" i="1" s="1"/>
  <c r="J469" i="1" a="1"/>
  <c r="J469" i="1" s="1"/>
  <c r="J470" i="1" a="1"/>
  <c r="J470" i="1" s="1"/>
  <c r="J471" i="1" a="1"/>
  <c r="J471" i="1" s="1"/>
  <c r="J472" i="1" a="1"/>
  <c r="J472" i="1" s="1"/>
  <c r="J473" i="1" a="1"/>
  <c r="J473" i="1" s="1"/>
  <c r="J474" i="1" a="1"/>
  <c r="J474" i="1" s="1"/>
  <c r="J475" i="1" a="1"/>
  <c r="J475" i="1" s="1"/>
  <c r="J476" i="1" a="1"/>
  <c r="J476" i="1" s="1"/>
  <c r="J477" i="1" a="1"/>
  <c r="J477" i="1" s="1"/>
  <c r="J478" i="1" a="1"/>
  <c r="J478" i="1" s="1"/>
  <c r="J2354" i="1" a="1"/>
  <c r="J2354" i="1" s="1"/>
  <c r="J2247" i="1" a="1"/>
  <c r="J2247" i="1" s="1"/>
  <c r="J479" i="1" a="1"/>
  <c r="J479" i="1" s="1"/>
  <c r="J480" i="1" a="1"/>
  <c r="J480" i="1" s="1"/>
  <c r="J481" i="1" a="1"/>
  <c r="J481" i="1" s="1"/>
  <c r="J482" i="1" a="1"/>
  <c r="J482" i="1" s="1"/>
  <c r="J2355" i="1" a="1"/>
  <c r="J2355" i="1" s="1"/>
  <c r="J2356" i="1" a="1"/>
  <c r="J2356" i="1" s="1"/>
  <c r="J483" i="1" a="1"/>
  <c r="J483" i="1" s="1"/>
  <c r="J484" i="1" a="1"/>
  <c r="J484" i="1" s="1"/>
  <c r="J485" i="1" a="1"/>
  <c r="J485" i="1" s="1"/>
  <c r="J486" i="1" a="1"/>
  <c r="J486" i="1" s="1"/>
  <c r="J487" i="1" a="1"/>
  <c r="J487" i="1" s="1"/>
  <c r="J488" i="1" a="1"/>
  <c r="J488" i="1" s="1"/>
  <c r="J489" i="1" a="1"/>
  <c r="J489" i="1" s="1"/>
  <c r="J490" i="1" a="1"/>
  <c r="J490" i="1" s="1"/>
  <c r="J2357" i="1" a="1"/>
  <c r="J2357" i="1" s="1"/>
  <c r="J491" i="1" a="1"/>
  <c r="J491" i="1" s="1"/>
  <c r="J492" i="1" a="1"/>
  <c r="J492" i="1" s="1"/>
  <c r="J2248" i="1" a="1"/>
  <c r="J2248" i="1" s="1"/>
  <c r="J493" i="1" a="1"/>
  <c r="J493" i="1" s="1"/>
  <c r="J494" i="1" a="1"/>
  <c r="J494" i="1" s="1"/>
  <c r="J495" i="1" a="1"/>
  <c r="J495" i="1" s="1"/>
  <c r="J496" i="1" a="1"/>
  <c r="J496" i="1" s="1"/>
  <c r="J497" i="1" a="1"/>
  <c r="J497" i="1" s="1"/>
  <c r="J498" i="1" a="1"/>
  <c r="J498" i="1" s="1"/>
  <c r="J499" i="1" a="1"/>
  <c r="J499" i="1" s="1"/>
  <c r="J500" i="1" a="1"/>
  <c r="J500" i="1" s="1"/>
  <c r="J501" i="1" a="1"/>
  <c r="J501" i="1" s="1"/>
  <c r="J502" i="1" a="1"/>
  <c r="J502" i="1" s="1"/>
  <c r="J503" i="1" a="1"/>
  <c r="J503" i="1" s="1"/>
  <c r="J504" i="1" a="1"/>
  <c r="J504" i="1" s="1"/>
  <c r="J505" i="1" a="1"/>
  <c r="J505" i="1" s="1"/>
  <c r="J506" i="1" a="1"/>
  <c r="J506" i="1" s="1"/>
  <c r="J507" i="1" a="1"/>
  <c r="J507" i="1" s="1"/>
  <c r="J508" i="1" a="1"/>
  <c r="J508" i="1" s="1"/>
  <c r="J509" i="1" a="1"/>
  <c r="J509" i="1" s="1"/>
  <c r="J510" i="1" a="1"/>
  <c r="J510" i="1" s="1"/>
  <c r="J511" i="1" a="1"/>
  <c r="J511" i="1" s="1"/>
  <c r="J2358" i="1" a="1"/>
  <c r="J2358" i="1" s="1"/>
  <c r="J512" i="1" a="1"/>
  <c r="J512" i="1" s="1"/>
  <c r="J2359" i="1" a="1"/>
  <c r="J2359" i="1" s="1"/>
  <c r="J513" i="1" a="1"/>
  <c r="J513" i="1" s="1"/>
  <c r="J514" i="1" a="1"/>
  <c r="J514" i="1" s="1"/>
  <c r="J2360" i="1" a="1"/>
  <c r="J2360" i="1" s="1"/>
  <c r="J515" i="1" a="1"/>
  <c r="J515" i="1" s="1"/>
  <c r="J516" i="1" a="1"/>
  <c r="J516" i="1" s="1"/>
  <c r="J517" i="1" a="1"/>
  <c r="J517" i="1" s="1"/>
  <c r="J518" i="1" a="1"/>
  <c r="J518" i="1" s="1"/>
  <c r="J519" i="1" a="1"/>
  <c r="J519" i="1" s="1"/>
  <c r="J520" i="1" a="1"/>
  <c r="J520" i="1" s="1"/>
  <c r="J521" i="1" a="1"/>
  <c r="J521" i="1" s="1"/>
  <c r="J522" i="1" a="1"/>
  <c r="J522" i="1" s="1"/>
  <c r="J523" i="1" a="1"/>
  <c r="J523" i="1" s="1"/>
  <c r="J2361" i="1" a="1"/>
  <c r="J2361" i="1" s="1"/>
  <c r="J524" i="1" a="1"/>
  <c r="J524" i="1" s="1"/>
  <c r="J525" i="1" a="1"/>
  <c r="J525" i="1" s="1"/>
  <c r="J2362" i="1" a="1"/>
  <c r="J2362" i="1" s="1"/>
  <c r="J526" i="1" a="1"/>
  <c r="J526" i="1" s="1"/>
  <c r="J2249" i="1" a="1"/>
  <c r="J2249" i="1" s="1"/>
  <c r="J2363" i="1" a="1"/>
  <c r="J2363" i="1" s="1"/>
  <c r="J2364" i="1" a="1"/>
  <c r="J2364" i="1" s="1"/>
  <c r="J527" i="1" a="1"/>
  <c r="J527" i="1" s="1"/>
  <c r="J528" i="1" a="1"/>
  <c r="J528" i="1" s="1"/>
  <c r="J529" i="1" a="1"/>
  <c r="J529" i="1" s="1"/>
  <c r="J530" i="1" a="1"/>
  <c r="J530" i="1" s="1"/>
  <c r="J531" i="1" a="1"/>
  <c r="J531" i="1" s="1"/>
  <c r="J532" i="1" a="1"/>
  <c r="J532" i="1" s="1"/>
  <c r="J2365" i="1" a="1"/>
  <c r="J2365" i="1" s="1"/>
  <c r="J533" i="1" a="1"/>
  <c r="J533" i="1" s="1"/>
  <c r="J534" i="1" a="1"/>
  <c r="J534" i="1" s="1"/>
  <c r="J535" i="1" a="1"/>
  <c r="J535" i="1" s="1"/>
  <c r="J536" i="1" a="1"/>
  <c r="J536" i="1" s="1"/>
  <c r="J537" i="1" a="1"/>
  <c r="J537" i="1" s="1"/>
  <c r="J2250" i="1" a="1"/>
  <c r="J2250" i="1" s="1"/>
  <c r="J538" i="1" a="1"/>
  <c r="J538" i="1" s="1"/>
  <c r="J2366" i="1" a="1"/>
  <c r="J2366" i="1" s="1"/>
  <c r="J539" i="1" a="1"/>
  <c r="J539" i="1" s="1"/>
  <c r="J540" i="1" a="1"/>
  <c r="J540" i="1" s="1"/>
  <c r="J541" i="1" a="1"/>
  <c r="J541" i="1" s="1"/>
  <c r="J542" i="1" a="1"/>
  <c r="J542" i="1" s="1"/>
  <c r="J543" i="1" a="1"/>
  <c r="J543" i="1" s="1"/>
  <c r="J544" i="1" a="1"/>
  <c r="J544" i="1" s="1"/>
  <c r="J545" i="1" a="1"/>
  <c r="J545" i="1" s="1"/>
  <c r="J546" i="1" a="1"/>
  <c r="J546" i="1" s="1"/>
  <c r="J547" i="1" a="1"/>
  <c r="J547" i="1" s="1"/>
  <c r="J548" i="1" a="1"/>
  <c r="J548" i="1" s="1"/>
  <c r="J549" i="1" a="1"/>
  <c r="J549" i="1" s="1"/>
  <c r="J550" i="1" a="1"/>
  <c r="J550" i="1" s="1"/>
  <c r="J2367" i="1" a="1"/>
  <c r="J2367" i="1" s="1"/>
  <c r="J2368" i="1" a="1"/>
  <c r="J2368" i="1" s="1"/>
  <c r="J551" i="1" a="1"/>
  <c r="J551" i="1" s="1"/>
  <c r="J552" i="1" a="1"/>
  <c r="J552" i="1" s="1"/>
  <c r="J553" i="1" a="1"/>
  <c r="J553" i="1" s="1"/>
  <c r="J554" i="1" a="1"/>
  <c r="J554" i="1" s="1"/>
  <c r="J555" i="1" a="1"/>
  <c r="J555" i="1" s="1"/>
  <c r="J556" i="1" a="1"/>
  <c r="J556" i="1" s="1"/>
  <c r="J557" i="1" a="1"/>
  <c r="J557" i="1" s="1"/>
  <c r="J558" i="1" a="1"/>
  <c r="J558" i="1" s="1"/>
  <c r="J559" i="1" a="1"/>
  <c r="J559" i="1" s="1"/>
  <c r="J560" i="1" a="1"/>
  <c r="J560" i="1" s="1"/>
  <c r="J2369" i="1" a="1"/>
  <c r="J2369" i="1" s="1"/>
  <c r="J561" i="1" a="1"/>
  <c r="J561" i="1" s="1"/>
  <c r="J562" i="1" a="1"/>
  <c r="J562" i="1" s="1"/>
  <c r="J563" i="1" a="1"/>
  <c r="J563" i="1" s="1"/>
  <c r="J564" i="1" a="1"/>
  <c r="J564" i="1" s="1"/>
  <c r="J2251" i="1" a="1"/>
  <c r="J2251" i="1" s="1"/>
  <c r="J565" i="1" a="1"/>
  <c r="J565" i="1" s="1"/>
  <c r="J566" i="1" a="1"/>
  <c r="J566" i="1" s="1"/>
  <c r="J567" i="1" a="1"/>
  <c r="J567" i="1" s="1"/>
  <c r="J568" i="1" a="1"/>
  <c r="J568" i="1" s="1"/>
  <c r="J569" i="1" a="1"/>
  <c r="J569" i="1" s="1"/>
  <c r="J570" i="1" a="1"/>
  <c r="J570" i="1" s="1"/>
  <c r="J571" i="1" a="1"/>
  <c r="J571" i="1" s="1"/>
  <c r="J572" i="1" a="1"/>
  <c r="J572" i="1" s="1"/>
  <c r="J573" i="1" a="1"/>
  <c r="J573" i="1" s="1"/>
  <c r="J574" i="1" a="1"/>
  <c r="J574" i="1" s="1"/>
  <c r="J575" i="1" a="1"/>
  <c r="J575" i="1" s="1"/>
  <c r="J576" i="1" a="1"/>
  <c r="J576" i="1" s="1"/>
  <c r="J577" i="1" a="1"/>
  <c r="J577" i="1" s="1"/>
  <c r="J578" i="1" a="1"/>
  <c r="J578" i="1" s="1"/>
  <c r="J579" i="1" a="1"/>
  <c r="J579" i="1" s="1"/>
  <c r="J580" i="1" a="1"/>
  <c r="J580" i="1" s="1"/>
  <c r="J581" i="1" a="1"/>
  <c r="J581" i="1" s="1"/>
  <c r="J582" i="1" a="1"/>
  <c r="J582" i="1" s="1"/>
  <c r="J583" i="1" a="1"/>
  <c r="J583" i="1" s="1"/>
  <c r="J584" i="1" a="1"/>
  <c r="J584" i="1" s="1"/>
  <c r="J585" i="1" a="1"/>
  <c r="J585" i="1" s="1"/>
  <c r="J586" i="1" a="1"/>
  <c r="J586" i="1" s="1"/>
  <c r="J2370" i="1" a="1"/>
  <c r="J2370" i="1" s="1"/>
  <c r="J587" i="1" a="1"/>
  <c r="J587" i="1" s="1"/>
  <c r="J588" i="1" a="1"/>
  <c r="J588" i="1" s="1"/>
  <c r="J589" i="1" a="1"/>
  <c r="J589" i="1" s="1"/>
  <c r="J590" i="1" a="1"/>
  <c r="J590" i="1" s="1"/>
  <c r="J591" i="1" a="1"/>
  <c r="J591" i="1" s="1"/>
  <c r="J592" i="1" a="1"/>
  <c r="J592" i="1" s="1"/>
  <c r="J593" i="1" a="1"/>
  <c r="J593" i="1" s="1"/>
  <c r="J594" i="1" a="1"/>
  <c r="J594" i="1" s="1"/>
  <c r="J595" i="1" a="1"/>
  <c r="J595" i="1" s="1"/>
  <c r="J596" i="1" a="1"/>
  <c r="J596" i="1" s="1"/>
  <c r="J597" i="1" a="1"/>
  <c r="J597" i="1" s="1"/>
  <c r="J598" i="1" a="1"/>
  <c r="J598" i="1" s="1"/>
  <c r="J599" i="1" a="1"/>
  <c r="J599" i="1" s="1"/>
  <c r="J600" i="1" a="1"/>
  <c r="J600" i="1" s="1"/>
  <c r="J601" i="1" a="1"/>
  <c r="J601" i="1" s="1"/>
  <c r="J602" i="1" a="1"/>
  <c r="J602" i="1" s="1"/>
  <c r="J2371" i="1" a="1"/>
  <c r="J2371" i="1" s="1"/>
  <c r="J2372" i="1" a="1"/>
  <c r="J2372" i="1" s="1"/>
  <c r="J603" i="1" a="1"/>
  <c r="J603" i="1" s="1"/>
  <c r="J604" i="1" a="1"/>
  <c r="J604" i="1" s="1"/>
  <c r="J605" i="1" a="1"/>
  <c r="J605" i="1" s="1"/>
  <c r="J606" i="1" a="1"/>
  <c r="J606" i="1" s="1"/>
  <c r="J2373" i="1" a="1"/>
  <c r="J2373" i="1" s="1"/>
  <c r="J607" i="1" a="1"/>
  <c r="J607" i="1" s="1"/>
  <c r="J2374" i="1" a="1"/>
  <c r="J2374" i="1" s="1"/>
  <c r="J608" i="1" a="1"/>
  <c r="J608" i="1" s="1"/>
  <c r="J609" i="1" a="1"/>
  <c r="J609" i="1" s="1"/>
  <c r="J2375" i="1" a="1"/>
  <c r="J2375" i="1" s="1"/>
  <c r="J610" i="1" a="1"/>
  <c r="J610" i="1" s="1"/>
  <c r="J611" i="1" a="1"/>
  <c r="J611" i="1" s="1"/>
  <c r="J2376" i="1" a="1"/>
  <c r="J2376" i="1" s="1"/>
  <c r="J612" i="1" a="1"/>
  <c r="J612" i="1" s="1"/>
  <c r="J2377" i="1" a="1"/>
  <c r="J2377" i="1" s="1"/>
  <c r="J613" i="1" a="1"/>
  <c r="J613" i="1" s="1"/>
  <c r="J614" i="1" a="1"/>
  <c r="J614" i="1" s="1"/>
  <c r="J615" i="1" a="1"/>
  <c r="J615" i="1" s="1"/>
  <c r="J616" i="1" a="1"/>
  <c r="J616" i="1" s="1"/>
  <c r="J617" i="1" a="1"/>
  <c r="J617" i="1" s="1"/>
  <c r="J618" i="1" a="1"/>
  <c r="J618" i="1" s="1"/>
  <c r="J619" i="1" a="1"/>
  <c r="J619" i="1" s="1"/>
  <c r="J620" i="1" a="1"/>
  <c r="J620" i="1" s="1"/>
  <c r="J621" i="1" a="1"/>
  <c r="J621" i="1" s="1"/>
  <c r="J2252" i="1" a="1"/>
  <c r="J2252" i="1" s="1"/>
  <c r="J622" i="1" a="1"/>
  <c r="J622" i="1" s="1"/>
  <c r="J623" i="1" a="1"/>
  <c r="J623" i="1" s="1"/>
  <c r="J2378" i="1" a="1"/>
  <c r="J2378" i="1" s="1"/>
  <c r="J624" i="1" a="1"/>
  <c r="J624" i="1" s="1"/>
  <c r="J625" i="1" a="1"/>
  <c r="J625" i="1" s="1"/>
  <c r="J626" i="1" a="1"/>
  <c r="J626" i="1" s="1"/>
  <c r="J627" i="1" a="1"/>
  <c r="J627" i="1" s="1"/>
  <c r="J628" i="1" a="1"/>
  <c r="J628" i="1" s="1"/>
  <c r="J629" i="1" a="1"/>
  <c r="J629" i="1" s="1"/>
  <c r="J630" i="1" a="1"/>
  <c r="J630" i="1" s="1"/>
  <c r="J631" i="1" a="1"/>
  <c r="J631" i="1" s="1"/>
  <c r="J632" i="1" a="1"/>
  <c r="J632" i="1" s="1"/>
  <c r="J633" i="1" a="1"/>
  <c r="J633" i="1" s="1"/>
  <c r="J634" i="1" a="1"/>
  <c r="J634" i="1" s="1"/>
  <c r="J635" i="1" a="1"/>
  <c r="J635" i="1" s="1"/>
  <c r="J2379" i="1" a="1"/>
  <c r="J2379" i="1" s="1"/>
  <c r="J636" i="1" a="1"/>
  <c r="J636" i="1" s="1"/>
  <c r="J637" i="1" a="1"/>
  <c r="J637" i="1" s="1"/>
  <c r="J638" i="1" a="1"/>
  <c r="J638" i="1" s="1"/>
  <c r="J639" i="1" a="1"/>
  <c r="J639" i="1" s="1"/>
  <c r="J640" i="1" a="1"/>
  <c r="J640" i="1" s="1"/>
  <c r="J641" i="1" a="1"/>
  <c r="J641" i="1" s="1"/>
  <c r="J2253" i="1" a="1"/>
  <c r="J2253" i="1" s="1"/>
  <c r="J642" i="1" a="1"/>
  <c r="J642" i="1" s="1"/>
  <c r="J643" i="1" a="1"/>
  <c r="J643" i="1" s="1"/>
  <c r="J2380" i="1" a="1"/>
  <c r="J2380" i="1" s="1"/>
  <c r="J644" i="1" a="1"/>
  <c r="J644" i="1" s="1"/>
  <c r="J645" i="1" a="1"/>
  <c r="J645" i="1" s="1"/>
  <c r="J646" i="1" a="1"/>
  <c r="J646" i="1" s="1"/>
  <c r="J2381" i="1" a="1"/>
  <c r="J2381" i="1" s="1"/>
  <c r="J2382" i="1" a="1"/>
  <c r="J2382" i="1" s="1"/>
  <c r="J2383" i="1" a="1"/>
  <c r="J2383" i="1" s="1"/>
  <c r="J2384" i="1" a="1"/>
  <c r="J2384" i="1" s="1"/>
  <c r="J2385" i="1" a="1"/>
  <c r="J2385" i="1" s="1"/>
  <c r="J647" i="1" a="1"/>
  <c r="J647" i="1" s="1"/>
  <c r="J2386" i="1" a="1"/>
  <c r="J2386" i="1" s="1"/>
  <c r="J648" i="1" a="1"/>
  <c r="J648" i="1" s="1"/>
  <c r="J649" i="1" a="1"/>
  <c r="J649" i="1" s="1"/>
  <c r="J650" i="1" a="1"/>
  <c r="J650" i="1" s="1"/>
  <c r="J2387" i="1" a="1"/>
  <c r="J2387" i="1" s="1"/>
  <c r="J651" i="1" a="1"/>
  <c r="J651" i="1" s="1"/>
  <c r="J652" i="1" a="1"/>
  <c r="J652" i="1" s="1"/>
  <c r="J653" i="1" a="1"/>
  <c r="J653" i="1" s="1"/>
  <c r="J654" i="1" a="1"/>
  <c r="J654" i="1" s="1"/>
  <c r="J655" i="1" a="1"/>
  <c r="J655" i="1" s="1"/>
  <c r="J656" i="1" a="1"/>
  <c r="J656" i="1" s="1"/>
  <c r="J657" i="1" a="1"/>
  <c r="J657" i="1" s="1"/>
  <c r="J658" i="1" a="1"/>
  <c r="J658" i="1" s="1"/>
  <c r="J659" i="1" a="1"/>
  <c r="J659" i="1" s="1"/>
  <c r="J660" i="1" a="1"/>
  <c r="J660" i="1" s="1"/>
  <c r="J661" i="1" a="1"/>
  <c r="J661" i="1" s="1"/>
  <c r="J662" i="1" a="1"/>
  <c r="J662" i="1" s="1"/>
  <c r="J663" i="1" a="1"/>
  <c r="J663" i="1" s="1"/>
  <c r="J664" i="1" a="1"/>
  <c r="J664" i="1" s="1"/>
  <c r="J665" i="1" a="1"/>
  <c r="J665" i="1" s="1"/>
  <c r="J666" i="1" a="1"/>
  <c r="J666" i="1" s="1"/>
  <c r="J667" i="1" a="1"/>
  <c r="J667" i="1" s="1"/>
  <c r="J2388" i="1" a="1"/>
  <c r="J2388" i="1" s="1"/>
  <c r="J668" i="1" a="1"/>
  <c r="J668" i="1" s="1"/>
  <c r="J669" i="1" a="1"/>
  <c r="J669" i="1" s="1"/>
  <c r="J670" i="1" a="1"/>
  <c r="J670" i="1" s="1"/>
  <c r="J671" i="1" a="1"/>
  <c r="J671" i="1" s="1"/>
  <c r="J672" i="1" a="1"/>
  <c r="J672" i="1" s="1"/>
  <c r="J2389" i="1" a="1"/>
  <c r="J2389" i="1" s="1"/>
  <c r="J673" i="1" a="1"/>
  <c r="J673" i="1" s="1"/>
  <c r="J674" i="1" a="1"/>
  <c r="J674" i="1" s="1"/>
  <c r="J675" i="1" a="1"/>
  <c r="J675" i="1" s="1"/>
  <c r="J676" i="1" a="1"/>
  <c r="J676" i="1" s="1"/>
  <c r="J677" i="1" a="1"/>
  <c r="J677" i="1" s="1"/>
  <c r="J2390" i="1" a="1"/>
  <c r="J2390" i="1" s="1"/>
  <c r="J678" i="1" a="1"/>
  <c r="J678" i="1" s="1"/>
  <c r="J679" i="1" a="1"/>
  <c r="J679" i="1" s="1"/>
  <c r="J680" i="1" a="1"/>
  <c r="J680" i="1" s="1"/>
  <c r="J2391" i="1" a="1"/>
  <c r="J2391" i="1" s="1"/>
  <c r="J2392" i="1" a="1"/>
  <c r="J2392" i="1" s="1"/>
  <c r="J681" i="1" a="1"/>
  <c r="J681" i="1" s="1"/>
  <c r="J682" i="1" a="1"/>
  <c r="J682" i="1" s="1"/>
  <c r="J2393" i="1" a="1"/>
  <c r="J2393" i="1" s="1"/>
  <c r="J683" i="1" a="1"/>
  <c r="J683" i="1" s="1"/>
  <c r="J684" i="1" a="1"/>
  <c r="J684" i="1" s="1"/>
  <c r="J2394" i="1" a="1"/>
  <c r="J2394" i="1" s="1"/>
  <c r="J685" i="1" a="1"/>
  <c r="J685" i="1" s="1"/>
  <c r="J686" i="1" a="1"/>
  <c r="J686" i="1" s="1"/>
  <c r="J687" i="1" a="1"/>
  <c r="J687" i="1" s="1"/>
  <c r="J688" i="1" a="1"/>
  <c r="J688" i="1" s="1"/>
  <c r="J2395" i="1" a="1"/>
  <c r="J2395" i="1" s="1"/>
  <c r="J2396" i="1" a="1"/>
  <c r="J2396" i="1" s="1"/>
  <c r="J689" i="1" a="1"/>
  <c r="J689" i="1" s="1"/>
  <c r="J690" i="1" a="1"/>
  <c r="J690" i="1" s="1"/>
  <c r="J691" i="1" a="1"/>
  <c r="J691" i="1" s="1"/>
  <c r="J692" i="1" a="1"/>
  <c r="J692" i="1" s="1"/>
  <c r="J693" i="1" a="1"/>
  <c r="J693" i="1" s="1"/>
  <c r="J694" i="1" a="1"/>
  <c r="J694" i="1" s="1"/>
  <c r="J695" i="1" a="1"/>
  <c r="J695" i="1" s="1"/>
  <c r="J696" i="1" a="1"/>
  <c r="J696" i="1" s="1"/>
  <c r="J697" i="1" a="1"/>
  <c r="J697" i="1" s="1"/>
  <c r="J698" i="1" a="1"/>
  <c r="J698" i="1" s="1"/>
  <c r="J699" i="1" a="1"/>
  <c r="J699" i="1" s="1"/>
  <c r="J700" i="1" a="1"/>
  <c r="J700" i="1" s="1"/>
  <c r="J701" i="1" a="1"/>
  <c r="J701" i="1" s="1"/>
  <c r="J702" i="1" a="1"/>
  <c r="J702" i="1" s="1"/>
  <c r="J703" i="1" a="1"/>
  <c r="J703" i="1" s="1"/>
  <c r="J704" i="1" a="1"/>
  <c r="J704" i="1" s="1"/>
  <c r="J705" i="1" a="1"/>
  <c r="J705" i="1" s="1"/>
  <c r="J706" i="1" a="1"/>
  <c r="J706" i="1" s="1"/>
  <c r="J2397" i="1" a="1"/>
  <c r="J2397" i="1" s="1"/>
  <c r="J707" i="1" a="1"/>
  <c r="J707" i="1" s="1"/>
  <c r="J708" i="1" a="1"/>
  <c r="J708" i="1" s="1"/>
  <c r="J709" i="1" a="1"/>
  <c r="J709" i="1" s="1"/>
  <c r="J710" i="1" a="1"/>
  <c r="J710" i="1" s="1"/>
  <c r="J711" i="1" a="1"/>
  <c r="J711" i="1" s="1"/>
  <c r="J712" i="1" a="1"/>
  <c r="J712" i="1" s="1"/>
  <c r="J713" i="1" a="1"/>
  <c r="J713" i="1" s="1"/>
  <c r="J714" i="1" a="1"/>
  <c r="J714" i="1" s="1"/>
  <c r="J2398" i="1" a="1"/>
  <c r="J2398" i="1" s="1"/>
  <c r="J715" i="1" a="1"/>
  <c r="J715" i="1" s="1"/>
  <c r="J716" i="1" a="1"/>
  <c r="J716" i="1" s="1"/>
  <c r="J717" i="1" a="1"/>
  <c r="J717" i="1" s="1"/>
  <c r="J718" i="1" a="1"/>
  <c r="J718" i="1" s="1"/>
  <c r="J719" i="1" a="1"/>
  <c r="J719" i="1" s="1"/>
  <c r="J720" i="1" a="1"/>
  <c r="J720" i="1" s="1"/>
  <c r="J721" i="1" a="1"/>
  <c r="J721" i="1" s="1"/>
  <c r="J2399" i="1" a="1"/>
  <c r="J2399" i="1" s="1"/>
  <c r="J722" i="1" a="1"/>
  <c r="J722" i="1" s="1"/>
  <c r="J723" i="1" a="1"/>
  <c r="J723" i="1" s="1"/>
  <c r="J2400" i="1" a="1"/>
  <c r="J2400" i="1" s="1"/>
  <c r="J724" i="1" a="1"/>
  <c r="J724" i="1" s="1"/>
  <c r="J725" i="1" a="1"/>
  <c r="J725" i="1" s="1"/>
  <c r="J726" i="1" a="1"/>
  <c r="J726" i="1" s="1"/>
  <c r="J2254" i="1" a="1"/>
  <c r="J2254" i="1" s="1"/>
  <c r="J2255" i="1" a="1"/>
  <c r="J2255" i="1" s="1"/>
  <c r="J727" i="1" a="1"/>
  <c r="J727" i="1" s="1"/>
  <c r="J728" i="1" a="1"/>
  <c r="J728" i="1" s="1"/>
  <c r="J729" i="1" a="1"/>
  <c r="J729" i="1" s="1"/>
  <c r="J730" i="1" a="1"/>
  <c r="J730" i="1" s="1"/>
  <c r="J731" i="1" a="1"/>
  <c r="J731" i="1" s="1"/>
  <c r="J732" i="1" a="1"/>
  <c r="J732" i="1" s="1"/>
  <c r="J733" i="1" a="1"/>
  <c r="J733" i="1" s="1"/>
  <c r="J734" i="1" a="1"/>
  <c r="J734" i="1" s="1"/>
  <c r="J735" i="1" a="1"/>
  <c r="J735" i="1" s="1"/>
  <c r="J736" i="1" a="1"/>
  <c r="J736" i="1" s="1"/>
  <c r="J737" i="1" a="1"/>
  <c r="J737" i="1" s="1"/>
  <c r="J2401" i="1" a="1"/>
  <c r="J2401" i="1" s="1"/>
  <c r="J738" i="1" a="1"/>
  <c r="J738" i="1" s="1"/>
  <c r="J739" i="1" a="1"/>
  <c r="J739" i="1" s="1"/>
  <c r="J740" i="1" a="1"/>
  <c r="J740" i="1" s="1"/>
  <c r="J741" i="1" a="1"/>
  <c r="J741" i="1" s="1"/>
  <c r="J742" i="1" a="1"/>
  <c r="J742" i="1" s="1"/>
  <c r="J743" i="1" a="1"/>
  <c r="J743" i="1" s="1"/>
  <c r="J744" i="1" a="1"/>
  <c r="J744" i="1" s="1"/>
  <c r="J745" i="1" a="1"/>
  <c r="J745" i="1" s="1"/>
  <c r="J746" i="1" a="1"/>
  <c r="J746" i="1" s="1"/>
  <c r="J747" i="1" a="1"/>
  <c r="J747" i="1" s="1"/>
  <c r="J748" i="1" a="1"/>
  <c r="J748" i="1" s="1"/>
  <c r="J749" i="1" a="1"/>
  <c r="J749" i="1" s="1"/>
  <c r="J2402" i="1" a="1"/>
  <c r="J2402" i="1" s="1"/>
  <c r="J750" i="1" a="1"/>
  <c r="J750" i="1" s="1"/>
  <c r="J751" i="1" a="1"/>
  <c r="J751" i="1" s="1"/>
  <c r="J752" i="1" a="1"/>
  <c r="J752" i="1" s="1"/>
  <c r="J753" i="1" a="1"/>
  <c r="J753" i="1" s="1"/>
  <c r="J2403" i="1" a="1"/>
  <c r="J2403" i="1" s="1"/>
  <c r="J754" i="1" a="1"/>
  <c r="J754" i="1" s="1"/>
  <c r="J2404" i="1" a="1"/>
  <c r="J2404" i="1" s="1"/>
  <c r="J755" i="1" a="1"/>
  <c r="J755" i="1" s="1"/>
  <c r="J756" i="1" a="1"/>
  <c r="J756" i="1" s="1"/>
  <c r="J757" i="1" a="1"/>
  <c r="J757" i="1" s="1"/>
  <c r="J758" i="1" a="1"/>
  <c r="J758" i="1" s="1"/>
  <c r="J759" i="1" a="1"/>
  <c r="J759" i="1" s="1"/>
  <c r="J760" i="1" a="1"/>
  <c r="J760" i="1" s="1"/>
  <c r="J761" i="1" a="1"/>
  <c r="J761" i="1" s="1"/>
  <c r="J2405" i="1" a="1"/>
  <c r="J2405" i="1" s="1"/>
  <c r="J762" i="1" a="1"/>
  <c r="J762" i="1" s="1"/>
  <c r="J763" i="1" a="1"/>
  <c r="J763" i="1" s="1"/>
  <c r="J764" i="1" a="1"/>
  <c r="J764" i="1" s="1"/>
  <c r="J765" i="1" a="1"/>
  <c r="J765" i="1" s="1"/>
  <c r="J766" i="1" a="1"/>
  <c r="J766" i="1" s="1"/>
  <c r="J767" i="1" a="1"/>
  <c r="J767" i="1" s="1"/>
  <c r="J768" i="1" a="1"/>
  <c r="J768" i="1" s="1"/>
  <c r="J769" i="1" a="1"/>
  <c r="J769" i="1" s="1"/>
  <c r="J2406" i="1" a="1"/>
  <c r="J2406" i="1" s="1"/>
  <c r="J770" i="1" a="1"/>
  <c r="J770" i="1" s="1"/>
  <c r="J2407" i="1" a="1"/>
  <c r="J2407" i="1" s="1"/>
  <c r="J771" i="1" a="1"/>
  <c r="J771" i="1" s="1"/>
  <c r="J772" i="1" a="1"/>
  <c r="J772" i="1" s="1"/>
  <c r="J773" i="1" a="1"/>
  <c r="J773" i="1" s="1"/>
  <c r="J774" i="1" a="1"/>
  <c r="J774" i="1" s="1"/>
  <c r="J775" i="1" a="1"/>
  <c r="J775" i="1" s="1"/>
  <c r="J776" i="1" a="1"/>
  <c r="J776" i="1" s="1"/>
  <c r="J777" i="1" a="1"/>
  <c r="J777" i="1" s="1"/>
  <c r="J2408" i="1" a="1"/>
  <c r="J2408" i="1" s="1"/>
  <c r="J2409" i="1" a="1"/>
  <c r="J2409" i="1" s="1"/>
  <c r="J778" i="1" a="1"/>
  <c r="J778" i="1" s="1"/>
  <c r="J779" i="1" a="1"/>
  <c r="J779" i="1" s="1"/>
  <c r="J780" i="1" a="1"/>
  <c r="J780" i="1" s="1"/>
  <c r="J781" i="1" a="1"/>
  <c r="J781" i="1" s="1"/>
  <c r="J782" i="1" a="1"/>
  <c r="J782" i="1" s="1"/>
  <c r="J783" i="1" a="1"/>
  <c r="J783" i="1" s="1"/>
  <c r="J784" i="1" a="1"/>
  <c r="J784" i="1" s="1"/>
  <c r="J785" i="1" a="1"/>
  <c r="J785" i="1" s="1"/>
  <c r="J786" i="1" a="1"/>
  <c r="J786" i="1" s="1"/>
  <c r="J787" i="1" a="1"/>
  <c r="J787" i="1" s="1"/>
  <c r="J788" i="1" a="1"/>
  <c r="J788" i="1" s="1"/>
  <c r="J789" i="1" a="1"/>
  <c r="J789" i="1" s="1"/>
  <c r="J790" i="1" a="1"/>
  <c r="J790" i="1" s="1"/>
  <c r="J791" i="1" a="1"/>
  <c r="J791" i="1" s="1"/>
  <c r="J792" i="1" a="1"/>
  <c r="J792" i="1" s="1"/>
  <c r="J2410" i="1" a="1"/>
  <c r="J2410" i="1" s="1"/>
  <c r="J2411" i="1" a="1"/>
  <c r="J2411" i="1" s="1"/>
  <c r="J793" i="1" a="1"/>
  <c r="J793" i="1" s="1"/>
  <c r="J794" i="1" a="1"/>
  <c r="J794" i="1" s="1"/>
  <c r="J795" i="1" a="1"/>
  <c r="J795" i="1" s="1"/>
  <c r="J796" i="1" a="1"/>
  <c r="J796" i="1" s="1"/>
  <c r="J797" i="1" a="1"/>
  <c r="J797" i="1" s="1"/>
  <c r="J798" i="1" a="1"/>
  <c r="J798" i="1" s="1"/>
  <c r="J799" i="1" a="1"/>
  <c r="J799" i="1" s="1"/>
  <c r="J800" i="1" a="1"/>
  <c r="J800" i="1" s="1"/>
  <c r="J801" i="1" a="1"/>
  <c r="J801" i="1" s="1"/>
  <c r="J802" i="1" a="1"/>
  <c r="J802" i="1" s="1"/>
  <c r="J803" i="1" a="1"/>
  <c r="J803" i="1" s="1"/>
  <c r="J804" i="1" a="1"/>
  <c r="J804" i="1" s="1"/>
  <c r="J805" i="1" a="1"/>
  <c r="J805" i="1" s="1"/>
  <c r="J806" i="1" a="1"/>
  <c r="J806" i="1" s="1"/>
  <c r="J807" i="1" a="1"/>
  <c r="J807" i="1" s="1"/>
  <c r="J808" i="1" a="1"/>
  <c r="J808" i="1" s="1"/>
  <c r="J809" i="1" a="1"/>
  <c r="J809" i="1" s="1"/>
  <c r="J810" i="1" a="1"/>
  <c r="J810" i="1" s="1"/>
  <c r="J811" i="1" a="1"/>
  <c r="J811" i="1" s="1"/>
  <c r="J812" i="1" a="1"/>
  <c r="J812" i="1" s="1"/>
  <c r="J813" i="1" a="1"/>
  <c r="J813" i="1" s="1"/>
  <c r="J814" i="1" a="1"/>
  <c r="J814" i="1" s="1"/>
  <c r="J815" i="1" a="1"/>
  <c r="J815" i="1" s="1"/>
  <c r="J816" i="1" a="1"/>
  <c r="J816" i="1" s="1"/>
  <c r="J817" i="1" a="1"/>
  <c r="J817" i="1" s="1"/>
  <c r="J2412" i="1" a="1"/>
  <c r="J2412" i="1" s="1"/>
  <c r="J818" i="1" a="1"/>
  <c r="J818" i="1" s="1"/>
  <c r="J819" i="1" a="1"/>
  <c r="J819" i="1" s="1"/>
  <c r="J820" i="1" a="1"/>
  <c r="J820" i="1" s="1"/>
  <c r="J821" i="1" a="1"/>
  <c r="J821" i="1" s="1"/>
  <c r="J822" i="1" a="1"/>
  <c r="J822" i="1" s="1"/>
  <c r="J823" i="1" a="1"/>
  <c r="J823" i="1" s="1"/>
  <c r="J2413" i="1" a="1"/>
  <c r="J2413" i="1" s="1"/>
  <c r="J2414" i="1" a="1"/>
  <c r="J2414" i="1" s="1"/>
  <c r="J824" i="1" a="1"/>
  <c r="J824" i="1" s="1"/>
  <c r="J825" i="1" a="1"/>
  <c r="J825" i="1" s="1"/>
  <c r="J826" i="1" a="1"/>
  <c r="J826" i="1" s="1"/>
  <c r="J827" i="1" a="1"/>
  <c r="J827" i="1" s="1"/>
  <c r="J828" i="1" a="1"/>
  <c r="J828" i="1" s="1"/>
  <c r="J2256" i="1" a="1"/>
  <c r="J2256" i="1" s="1"/>
  <c r="J829" i="1" a="1"/>
  <c r="J829" i="1" s="1"/>
  <c r="J830" i="1" a="1"/>
  <c r="J830" i="1" s="1"/>
  <c r="J2415" i="1" a="1"/>
  <c r="J2415" i="1" s="1"/>
  <c r="J831" i="1" a="1"/>
  <c r="J831" i="1" s="1"/>
  <c r="J832" i="1" a="1"/>
  <c r="J832" i="1" s="1"/>
  <c r="J833" i="1" a="1"/>
  <c r="J833" i="1" s="1"/>
  <c r="J834" i="1" a="1"/>
  <c r="J834" i="1" s="1"/>
  <c r="J835" i="1" a="1"/>
  <c r="J835" i="1" s="1"/>
  <c r="J836" i="1" a="1"/>
  <c r="J836" i="1" s="1"/>
  <c r="J837" i="1" a="1"/>
  <c r="J837" i="1" s="1"/>
  <c r="J838" i="1" a="1"/>
  <c r="J838" i="1" s="1"/>
  <c r="J839" i="1" a="1"/>
  <c r="J839" i="1" s="1"/>
  <c r="J840" i="1" a="1"/>
  <c r="J840" i="1" s="1"/>
  <c r="J841" i="1" a="1"/>
  <c r="J841" i="1" s="1"/>
  <c r="J842" i="1" a="1"/>
  <c r="J842" i="1" s="1"/>
  <c r="J2416" i="1" a="1"/>
  <c r="J2416" i="1" s="1"/>
  <c r="J843" i="1" a="1"/>
  <c r="J843" i="1" s="1"/>
  <c r="J844" i="1" a="1"/>
  <c r="J844" i="1" s="1"/>
  <c r="J845" i="1" a="1"/>
  <c r="J845" i="1" s="1"/>
  <c r="J846" i="1" a="1"/>
  <c r="J846" i="1" s="1"/>
  <c r="J847" i="1" a="1"/>
  <c r="J847" i="1" s="1"/>
  <c r="J848" i="1" a="1"/>
  <c r="J848" i="1" s="1"/>
  <c r="J849" i="1" a="1"/>
  <c r="J849" i="1" s="1"/>
  <c r="J850" i="1" a="1"/>
  <c r="J850" i="1" s="1"/>
  <c r="J851" i="1" a="1"/>
  <c r="J851" i="1" s="1"/>
  <c r="J852" i="1" a="1"/>
  <c r="J852" i="1" s="1"/>
  <c r="J853" i="1" a="1"/>
  <c r="J853" i="1" s="1"/>
  <c r="J854" i="1" a="1"/>
  <c r="J854" i="1" s="1"/>
  <c r="J2417" i="1" a="1"/>
  <c r="J2417" i="1" s="1"/>
  <c r="J855" i="1" a="1"/>
  <c r="J855" i="1" s="1"/>
  <c r="J856" i="1" a="1"/>
  <c r="J856" i="1" s="1"/>
  <c r="J857" i="1" a="1"/>
  <c r="J857" i="1" s="1"/>
  <c r="J858" i="1" a="1"/>
  <c r="J858" i="1" s="1"/>
  <c r="J859" i="1" a="1"/>
  <c r="J859" i="1" s="1"/>
  <c r="J2418" i="1" a="1"/>
  <c r="J2418" i="1" s="1"/>
  <c r="J860" i="1" a="1"/>
  <c r="J860" i="1" s="1"/>
  <c r="J861" i="1" a="1"/>
  <c r="J861" i="1" s="1"/>
  <c r="J862" i="1" a="1"/>
  <c r="J862" i="1" s="1"/>
  <c r="J863" i="1" a="1"/>
  <c r="J863" i="1"/>
  <c r="J864" i="1" a="1"/>
  <c r="J864" i="1" s="1"/>
  <c r="J865" i="1" a="1"/>
  <c r="J865" i="1" s="1"/>
  <c r="J866" i="1" a="1"/>
  <c r="J866" i="1" s="1"/>
  <c r="J867" i="1" a="1"/>
  <c r="J867" i="1" s="1"/>
  <c r="J2419" i="1" a="1"/>
  <c r="J2419" i="1" s="1"/>
  <c r="J2420" i="1" a="1"/>
  <c r="J2420" i="1" s="1"/>
  <c r="J868" i="1" a="1"/>
  <c r="J868" i="1" s="1"/>
  <c r="J869" i="1" a="1"/>
  <c r="J869" i="1" s="1"/>
  <c r="J870" i="1" a="1"/>
  <c r="J870" i="1" s="1"/>
  <c r="J871" i="1" a="1"/>
  <c r="J871" i="1" s="1"/>
  <c r="J872" i="1" a="1"/>
  <c r="J872" i="1" s="1"/>
  <c r="J873" i="1" a="1"/>
  <c r="J873" i="1" s="1"/>
  <c r="J874" i="1" a="1"/>
  <c r="J874" i="1" s="1"/>
  <c r="J875" i="1" a="1"/>
  <c r="J875" i="1" s="1"/>
  <c r="J876" i="1" a="1"/>
  <c r="J876" i="1" s="1"/>
  <c r="J877" i="1" a="1"/>
  <c r="J877" i="1" s="1"/>
  <c r="J878" i="1" a="1"/>
  <c r="J878" i="1" s="1"/>
  <c r="J879" i="1" a="1"/>
  <c r="J879" i="1" s="1"/>
  <c r="J880" i="1" a="1"/>
  <c r="J880" i="1" s="1"/>
  <c r="J2421" i="1" a="1"/>
  <c r="J2421" i="1" s="1"/>
  <c r="J881" i="1" a="1"/>
  <c r="J881" i="1" s="1"/>
  <c r="J882" i="1" a="1"/>
  <c r="J882" i="1" s="1"/>
  <c r="J2422" i="1" a="1"/>
  <c r="J2422" i="1" s="1"/>
  <c r="J883" i="1" a="1"/>
  <c r="J883" i="1" s="1"/>
  <c r="J884" i="1" a="1"/>
  <c r="J884" i="1" s="1"/>
  <c r="J2423" i="1" a="1"/>
  <c r="J2423" i="1" s="1"/>
  <c r="J885" i="1" a="1"/>
  <c r="J885" i="1" s="1"/>
  <c r="J886" i="1" a="1"/>
  <c r="J886" i="1" s="1"/>
  <c r="J887" i="1" a="1"/>
  <c r="J887" i="1" s="1"/>
  <c r="J888" i="1" a="1"/>
  <c r="J888" i="1" s="1"/>
  <c r="J889" i="1" a="1"/>
  <c r="J889" i="1" s="1"/>
  <c r="J890" i="1" a="1"/>
  <c r="J890" i="1" s="1"/>
  <c r="J891" i="1" a="1"/>
  <c r="J891" i="1" s="1"/>
  <c r="J892" i="1" a="1"/>
  <c r="J892" i="1" s="1"/>
  <c r="J2424" i="1" a="1"/>
  <c r="J2424" i="1" s="1"/>
  <c r="J893" i="1" a="1"/>
  <c r="J893" i="1" s="1"/>
  <c r="J2425" i="1" a="1"/>
  <c r="J2425" i="1" s="1"/>
  <c r="J894" i="1" a="1"/>
  <c r="J894" i="1" s="1"/>
  <c r="J895" i="1" a="1"/>
  <c r="J895" i="1" s="1"/>
  <c r="J2257" i="1" a="1"/>
  <c r="J2257" i="1" s="1"/>
  <c r="J896" i="1" a="1"/>
  <c r="J896" i="1" s="1"/>
  <c r="J897" i="1" a="1"/>
  <c r="J897" i="1" s="1"/>
  <c r="J898" i="1" a="1"/>
  <c r="J898" i="1" s="1"/>
  <c r="J899" i="1" a="1"/>
  <c r="J899" i="1" s="1"/>
  <c r="J900" i="1" a="1"/>
  <c r="J900" i="1" s="1"/>
  <c r="J901" i="1" a="1"/>
  <c r="J901" i="1" s="1"/>
  <c r="J902" i="1" a="1"/>
  <c r="J902" i="1" s="1"/>
  <c r="J903" i="1" a="1"/>
  <c r="J903" i="1" s="1"/>
  <c r="J904" i="1" a="1"/>
  <c r="J904" i="1" s="1"/>
  <c r="J905" i="1" a="1"/>
  <c r="J905" i="1" s="1"/>
  <c r="J906" i="1" a="1"/>
  <c r="J906" i="1" s="1"/>
  <c r="J907" i="1" a="1"/>
  <c r="J907" i="1" s="1"/>
  <c r="J908" i="1" a="1"/>
  <c r="J908" i="1" s="1"/>
  <c r="J909" i="1" a="1"/>
  <c r="J909" i="1" s="1"/>
  <c r="J910" i="1" a="1"/>
  <c r="J910" i="1" s="1"/>
  <c r="J911" i="1" a="1"/>
  <c r="J911" i="1" s="1"/>
  <c r="J912" i="1" a="1"/>
  <c r="J912" i="1" s="1"/>
  <c r="J913" i="1" a="1"/>
  <c r="J913" i="1" s="1"/>
  <c r="J914" i="1" a="1"/>
  <c r="J914" i="1" s="1"/>
  <c r="J915" i="1" a="1"/>
  <c r="J915" i="1" s="1"/>
  <c r="J2426" i="1" a="1"/>
  <c r="J2426" i="1" s="1"/>
  <c r="J916" i="1" a="1"/>
  <c r="J916" i="1" s="1"/>
  <c r="J917" i="1" a="1"/>
  <c r="J917" i="1" s="1"/>
  <c r="J918" i="1" a="1"/>
  <c r="J918" i="1" s="1"/>
  <c r="J919" i="1" a="1"/>
  <c r="J919" i="1" s="1"/>
  <c r="J920" i="1" a="1"/>
  <c r="J920" i="1" s="1"/>
  <c r="J921" i="1" a="1"/>
  <c r="J921" i="1" s="1"/>
  <c r="J922" i="1" a="1"/>
  <c r="J922" i="1" s="1"/>
  <c r="J923" i="1" a="1"/>
  <c r="J923" i="1" s="1"/>
  <c r="J924" i="1" a="1"/>
  <c r="J924" i="1" s="1"/>
  <c r="J2427" i="1" a="1"/>
  <c r="J2427" i="1" s="1"/>
  <c r="J925" i="1" a="1"/>
  <c r="J925" i="1" s="1"/>
  <c r="J926" i="1" a="1"/>
  <c r="J926" i="1" s="1"/>
  <c r="J927" i="1" a="1"/>
  <c r="J927" i="1" s="1"/>
  <c r="J928" i="1" a="1"/>
  <c r="J928" i="1" s="1"/>
  <c r="J929" i="1" a="1"/>
  <c r="J929" i="1" s="1"/>
  <c r="J930" i="1" a="1"/>
  <c r="J930" i="1" s="1"/>
  <c r="J931" i="1" a="1"/>
  <c r="J931" i="1" s="1"/>
  <c r="J932" i="1" a="1"/>
  <c r="J932" i="1" s="1"/>
  <c r="J933" i="1" a="1"/>
  <c r="J933" i="1" s="1"/>
  <c r="J2258" i="1" a="1"/>
  <c r="J2258" i="1" s="1"/>
  <c r="J934" i="1" a="1"/>
  <c r="J934" i="1" s="1"/>
  <c r="J935" i="1" a="1"/>
  <c r="J935" i="1" s="1"/>
  <c r="J936" i="1" a="1"/>
  <c r="J936" i="1" s="1"/>
  <c r="J937" i="1" a="1"/>
  <c r="J937" i="1" s="1"/>
  <c r="J938" i="1" a="1"/>
  <c r="J938" i="1" s="1"/>
  <c r="J939" i="1" a="1"/>
  <c r="J939" i="1" s="1"/>
  <c r="J940" i="1" a="1"/>
  <c r="J940" i="1" s="1"/>
  <c r="J941" i="1" a="1"/>
  <c r="J941" i="1" s="1"/>
  <c r="J942" i="1" a="1"/>
  <c r="J942" i="1" s="1"/>
  <c r="J2259" i="1" a="1"/>
  <c r="J2259" i="1" s="1"/>
  <c r="J943" i="1" a="1"/>
  <c r="J943" i="1" s="1"/>
  <c r="J944" i="1" a="1"/>
  <c r="J944" i="1" s="1"/>
  <c r="J2428" i="1" a="1"/>
  <c r="J2428" i="1" s="1"/>
  <c r="J945" i="1" a="1"/>
  <c r="J945" i="1" s="1"/>
  <c r="J946" i="1" a="1"/>
  <c r="J946" i="1" s="1"/>
  <c r="J2429" i="1" a="1"/>
  <c r="J2429" i="1" s="1"/>
  <c r="J947" i="1" a="1"/>
  <c r="J947" i="1" s="1"/>
  <c r="J948" i="1" a="1"/>
  <c r="J948" i="1" s="1"/>
  <c r="J949" i="1" a="1"/>
  <c r="J949" i="1" s="1"/>
  <c r="J950" i="1" a="1"/>
  <c r="J950" i="1" s="1"/>
  <c r="J951" i="1" a="1"/>
  <c r="J951" i="1" s="1"/>
  <c r="J952" i="1" a="1"/>
  <c r="J952" i="1" s="1"/>
  <c r="J953" i="1" a="1"/>
  <c r="J953" i="1" s="1"/>
  <c r="J954" i="1" a="1"/>
  <c r="J954" i="1" s="1"/>
  <c r="J2430" i="1" a="1"/>
  <c r="J2430" i="1" s="1"/>
  <c r="J955" i="1" a="1"/>
  <c r="J955" i="1" s="1"/>
  <c r="J956" i="1" a="1"/>
  <c r="J956" i="1" s="1"/>
  <c r="J957" i="1" a="1"/>
  <c r="J957" i="1" s="1"/>
  <c r="J958" i="1" a="1"/>
  <c r="J958" i="1" s="1"/>
  <c r="J959" i="1" a="1"/>
  <c r="J959" i="1" s="1"/>
  <c r="J960" i="1" a="1"/>
  <c r="J960" i="1" s="1"/>
  <c r="J961" i="1" a="1"/>
  <c r="J961" i="1" s="1"/>
  <c r="J962" i="1" a="1"/>
  <c r="J962" i="1" s="1"/>
  <c r="J963" i="1" a="1"/>
  <c r="J963" i="1" s="1"/>
  <c r="J964" i="1" a="1"/>
  <c r="J964" i="1" s="1"/>
  <c r="J2431" i="1" a="1"/>
  <c r="J2431" i="1" s="1"/>
  <c r="J965" i="1" a="1"/>
  <c r="J965" i="1" s="1"/>
  <c r="J966" i="1" a="1"/>
  <c r="J966" i="1" s="1"/>
  <c r="J967" i="1" a="1"/>
  <c r="J967" i="1" s="1"/>
  <c r="J968" i="1" a="1"/>
  <c r="J968" i="1" s="1"/>
  <c r="J2432" i="1" a="1"/>
  <c r="J2432" i="1" s="1"/>
  <c r="J969" i="1" a="1"/>
  <c r="J969" i="1" s="1"/>
  <c r="J970" i="1" a="1"/>
  <c r="J970" i="1" s="1"/>
  <c r="J971" i="1" a="1"/>
  <c r="J971" i="1" s="1"/>
  <c r="J972" i="1" a="1"/>
  <c r="J972" i="1" s="1"/>
  <c r="J973" i="1" a="1"/>
  <c r="J973" i="1" s="1"/>
  <c r="J974" i="1" a="1"/>
  <c r="J974" i="1" s="1"/>
  <c r="J975" i="1" a="1"/>
  <c r="J975" i="1" s="1"/>
  <c r="J976" i="1" a="1"/>
  <c r="J976" i="1" s="1"/>
  <c r="J977" i="1" a="1"/>
  <c r="J977" i="1" s="1"/>
  <c r="J978" i="1" a="1"/>
  <c r="J978" i="1" s="1"/>
  <c r="J979" i="1" a="1"/>
  <c r="J979" i="1" s="1"/>
  <c r="J980" i="1" a="1"/>
  <c r="J980" i="1" s="1"/>
  <c r="J981" i="1" a="1"/>
  <c r="J981" i="1" s="1"/>
  <c r="J982" i="1" a="1"/>
  <c r="J982" i="1" s="1"/>
  <c r="J983" i="1" a="1"/>
  <c r="J983" i="1" s="1"/>
  <c r="J984" i="1" a="1"/>
  <c r="J984" i="1" s="1"/>
  <c r="J985" i="1" a="1"/>
  <c r="J985" i="1" s="1"/>
  <c r="J986" i="1" a="1"/>
  <c r="J986" i="1" s="1"/>
  <c r="J987" i="1" a="1"/>
  <c r="J987" i="1" s="1"/>
  <c r="J988" i="1" a="1"/>
  <c r="J988" i="1" s="1"/>
  <c r="J989" i="1" a="1"/>
  <c r="J989" i="1" s="1"/>
  <c r="J990" i="1" a="1"/>
  <c r="J990" i="1" s="1"/>
  <c r="J991" i="1" a="1"/>
  <c r="J991" i="1" s="1"/>
  <c r="J992" i="1" a="1"/>
  <c r="J992" i="1" s="1"/>
  <c r="J2433" i="1" a="1"/>
  <c r="J2433" i="1" s="1"/>
  <c r="J993" i="1" a="1"/>
  <c r="J993" i="1" s="1"/>
  <c r="J994" i="1" a="1"/>
  <c r="J994" i="1" s="1"/>
  <c r="J2434" i="1" a="1"/>
  <c r="J2434" i="1" s="1"/>
  <c r="J995" i="1" a="1"/>
  <c r="J995" i="1" s="1"/>
  <c r="J996" i="1" a="1"/>
  <c r="J996" i="1" s="1"/>
  <c r="J997" i="1" a="1"/>
  <c r="J997" i="1" s="1"/>
  <c r="J998" i="1" a="1"/>
  <c r="J998" i="1" s="1"/>
  <c r="J999" i="1" a="1"/>
  <c r="J999" i="1" s="1"/>
  <c r="J1000" i="1" a="1"/>
  <c r="J1000" i="1" s="1"/>
  <c r="J1001" i="1" a="1"/>
  <c r="J1001" i="1" s="1"/>
  <c r="J1002" i="1" a="1"/>
  <c r="J1002" i="1" s="1"/>
  <c r="J1003" i="1" a="1"/>
  <c r="J1003" i="1" s="1"/>
  <c r="J1004" i="1" a="1"/>
  <c r="J1004" i="1" s="1"/>
  <c r="J1005" i="1" a="1"/>
  <c r="J1005" i="1" s="1"/>
  <c r="J1006" i="1" a="1"/>
  <c r="J1006" i="1" s="1"/>
  <c r="J1007" i="1" a="1"/>
  <c r="J1007" i="1" s="1"/>
  <c r="J1008" i="1" a="1"/>
  <c r="J1008" i="1" s="1"/>
  <c r="J1009" i="1" a="1"/>
  <c r="J1009" i="1" s="1"/>
  <c r="J1010" i="1" a="1"/>
  <c r="J1010" i="1" s="1"/>
  <c r="J1011" i="1" a="1"/>
  <c r="J1011" i="1" s="1"/>
  <c r="J1012" i="1" a="1"/>
  <c r="J1012" i="1" s="1"/>
  <c r="J1013" i="1" a="1"/>
  <c r="J1013" i="1" s="1"/>
  <c r="J1014" i="1" a="1"/>
  <c r="J1014" i="1" s="1"/>
  <c r="J1015" i="1" a="1"/>
  <c r="J1015" i="1" s="1"/>
  <c r="J1016" i="1" a="1"/>
  <c r="J1016" i="1" s="1"/>
  <c r="J1017" i="1" a="1"/>
  <c r="J1017" i="1" s="1"/>
  <c r="J1018" i="1" a="1"/>
  <c r="J1018" i="1" s="1"/>
  <c r="J1019" i="1" a="1"/>
  <c r="J1019" i="1" s="1"/>
  <c r="J1020" i="1" a="1"/>
  <c r="J1020" i="1" s="1"/>
  <c r="J1021" i="1" a="1"/>
  <c r="J1021" i="1" s="1"/>
  <c r="J1022" i="1" a="1"/>
  <c r="J1022" i="1" s="1"/>
  <c r="J1023" i="1" a="1"/>
  <c r="J1023" i="1" s="1"/>
  <c r="J1024" i="1" a="1"/>
  <c r="J1024" i="1" s="1"/>
  <c r="J1025" i="1" a="1"/>
  <c r="J1025" i="1" s="1"/>
  <c r="J1026" i="1" a="1"/>
  <c r="J1026" i="1" s="1"/>
  <c r="J1027" i="1" a="1"/>
  <c r="J1027" i="1" s="1"/>
  <c r="J1028" i="1" a="1"/>
  <c r="J1028" i="1" s="1"/>
  <c r="J2260" i="1" a="1"/>
  <c r="J2260" i="1" s="1"/>
  <c r="J1029" i="1" a="1"/>
  <c r="J1029" i="1" s="1"/>
  <c r="J1030" i="1" a="1"/>
  <c r="J1030" i="1" s="1"/>
  <c r="J1031" i="1" a="1"/>
  <c r="J1031" i="1" s="1"/>
  <c r="J2435" i="1" a="1"/>
  <c r="J2435" i="1" s="1"/>
  <c r="J2261" i="1" a="1"/>
  <c r="J2261" i="1" s="1"/>
  <c r="J2436" i="1" a="1"/>
  <c r="J2436" i="1" s="1"/>
  <c r="J1032" i="1" a="1"/>
  <c r="J1032" i="1" s="1"/>
  <c r="J1033" i="1" a="1"/>
  <c r="J1033" i="1" s="1"/>
  <c r="J1034" i="1" a="1"/>
  <c r="J1034" i="1" s="1"/>
  <c r="J1035" i="1" a="1"/>
  <c r="J1035" i="1" s="1"/>
  <c r="J1036" i="1" a="1"/>
  <c r="J1036" i="1" s="1"/>
  <c r="J2437" i="1" a="1"/>
  <c r="J2437" i="1" s="1"/>
  <c r="J1037" i="1" a="1"/>
  <c r="J1037" i="1" s="1"/>
  <c r="J1038" i="1" a="1"/>
  <c r="J1038" i="1" s="1"/>
  <c r="J1039" i="1" a="1"/>
  <c r="J1039" i="1" s="1"/>
  <c r="J2438" i="1" a="1"/>
  <c r="J2438" i="1" s="1"/>
  <c r="J1040" i="1" a="1"/>
  <c r="J1040" i="1" s="1"/>
  <c r="J1041" i="1" a="1"/>
  <c r="J1041" i="1" s="1"/>
  <c r="J1042" i="1" a="1"/>
  <c r="J1042" i="1" s="1"/>
  <c r="J1043" i="1" a="1"/>
  <c r="J1043" i="1" s="1"/>
  <c r="J1044" i="1" a="1"/>
  <c r="J1044" i="1" s="1"/>
  <c r="J1045" i="1" a="1"/>
  <c r="J1045" i="1" s="1"/>
  <c r="J1046" i="1" a="1"/>
  <c r="J1046" i="1" s="1"/>
  <c r="J1047" i="1" a="1"/>
  <c r="J1047" i="1" s="1"/>
  <c r="J1048" i="1" a="1"/>
  <c r="J1048" i="1" s="1"/>
  <c r="J1049" i="1" a="1"/>
  <c r="J1049" i="1" s="1"/>
  <c r="J1050" i="1" a="1"/>
  <c r="J1050" i="1" s="1"/>
  <c r="J1051" i="1" a="1"/>
  <c r="J1051" i="1" s="1"/>
  <c r="J1052" i="1" a="1"/>
  <c r="J1052" i="1" s="1"/>
  <c r="J1053" i="1" a="1"/>
  <c r="J1053" i="1" s="1"/>
  <c r="J1054" i="1" a="1"/>
  <c r="J1054" i="1" s="1"/>
  <c r="J1055" i="1" a="1"/>
  <c r="J1055" i="1" s="1"/>
  <c r="J1056" i="1" a="1"/>
  <c r="J1056" i="1" s="1"/>
  <c r="J1057" i="1" a="1"/>
  <c r="J1057" i="1" s="1"/>
  <c r="J2439" i="1" a="1"/>
  <c r="J2439" i="1" s="1"/>
  <c r="J1058" i="1" a="1"/>
  <c r="J1058" i="1" s="1"/>
  <c r="J1059" i="1" a="1"/>
  <c r="J1059" i="1" s="1"/>
  <c r="J1060" i="1" a="1"/>
  <c r="J1060" i="1" s="1"/>
  <c r="J1061" i="1" a="1"/>
  <c r="J1061" i="1" s="1"/>
  <c r="J1062" i="1" a="1"/>
  <c r="J1062" i="1" s="1"/>
  <c r="J1063" i="1" a="1"/>
  <c r="J1063" i="1" s="1"/>
  <c r="J1064" i="1" a="1"/>
  <c r="J1064" i="1" s="1"/>
  <c r="J1065" i="1" a="1"/>
  <c r="J1065" i="1" s="1"/>
  <c r="J2440" i="1" a="1"/>
  <c r="J2440" i="1" s="1"/>
  <c r="J1066" i="1" a="1"/>
  <c r="J1066" i="1" s="1"/>
  <c r="J1067" i="1" a="1"/>
  <c r="J1067" i="1" s="1"/>
  <c r="J1068" i="1" a="1"/>
  <c r="J1068" i="1" s="1"/>
  <c r="J1069" i="1" a="1"/>
  <c r="J1069" i="1" s="1"/>
  <c r="J1070" i="1" a="1"/>
  <c r="J1070" i="1" s="1"/>
  <c r="J2441" i="1" a="1"/>
  <c r="J2441" i="1" s="1"/>
  <c r="J1071" i="1" a="1"/>
  <c r="J1071" i="1" s="1"/>
  <c r="J1072" i="1" a="1"/>
  <c r="J1072" i="1" s="1"/>
  <c r="J1073" i="1" a="1"/>
  <c r="J1073" i="1" s="1"/>
  <c r="J1074" i="1" a="1"/>
  <c r="J1074" i="1" s="1"/>
  <c r="J1075" i="1" a="1"/>
  <c r="J1075" i="1" s="1"/>
  <c r="J1076" i="1" a="1"/>
  <c r="J1076" i="1" s="1"/>
  <c r="J1077" i="1" a="1"/>
  <c r="J1077" i="1" s="1"/>
  <c r="J1078" i="1" a="1"/>
  <c r="J1078" i="1" s="1"/>
  <c r="J1079" i="1" a="1"/>
  <c r="J1079" i="1" s="1"/>
  <c r="J2262" i="1" a="1"/>
  <c r="J2262" i="1" s="1"/>
  <c r="J2442" i="1" a="1"/>
  <c r="J2442" i="1" s="1"/>
  <c r="J2443" i="1" a="1"/>
  <c r="J2443" i="1" s="1"/>
  <c r="J2444" i="1" a="1"/>
  <c r="J2444" i="1" s="1"/>
  <c r="J1080" i="1" a="1"/>
  <c r="J1080" i="1" s="1"/>
  <c r="J1081" i="1" a="1"/>
  <c r="J1081" i="1" s="1"/>
  <c r="J1082" i="1" a="1"/>
  <c r="J1082" i="1" s="1"/>
  <c r="J1083" i="1" a="1"/>
  <c r="J1083" i="1" s="1"/>
  <c r="J1084" i="1" a="1"/>
  <c r="J1084" i="1" s="1"/>
  <c r="J1085" i="1" a="1"/>
  <c r="J1085" i="1" s="1"/>
  <c r="J2445" i="1" a="1"/>
  <c r="J2445" i="1" s="1"/>
  <c r="J1086" i="1" a="1"/>
  <c r="J1086" i="1" s="1"/>
  <c r="J1087" i="1" a="1"/>
  <c r="J1087" i="1" s="1"/>
  <c r="J1088" i="1" a="1"/>
  <c r="J1088" i="1" s="1"/>
  <c r="J2446" i="1" a="1"/>
  <c r="J2446" i="1" s="1"/>
  <c r="J1089" i="1" a="1"/>
  <c r="J1089" i="1" s="1"/>
  <c r="J1090" i="1" a="1"/>
  <c r="J1090" i="1" s="1"/>
  <c r="J1091" i="1" a="1"/>
  <c r="J1091" i="1" s="1"/>
  <c r="J1092" i="1" a="1"/>
  <c r="J1092" i="1" s="1"/>
  <c r="J1093" i="1" a="1"/>
  <c r="J1093" i="1" s="1"/>
  <c r="J1094" i="1" a="1"/>
  <c r="J1094" i="1" s="1"/>
  <c r="J1095" i="1" a="1"/>
  <c r="J1095" i="1" s="1"/>
  <c r="J2447" i="1" a="1"/>
  <c r="J2447" i="1" s="1"/>
  <c r="J1096" i="1" a="1"/>
  <c r="J1096" i="1" s="1"/>
  <c r="J2448" i="1" a="1"/>
  <c r="J2448" i="1" s="1"/>
  <c r="J1097" i="1" a="1"/>
  <c r="J1097" i="1" s="1"/>
  <c r="J1098" i="1" a="1"/>
  <c r="J1098" i="1" s="1"/>
  <c r="J2449" i="1" a="1"/>
  <c r="J2449" i="1" s="1"/>
  <c r="J2263" i="1" a="1"/>
  <c r="J2263" i="1" s="1"/>
  <c r="J1099" i="1" a="1"/>
  <c r="J1099" i="1" s="1"/>
  <c r="J1100" i="1" a="1"/>
  <c r="J1100" i="1" s="1"/>
  <c r="J1101" i="1" a="1"/>
  <c r="J1101" i="1" s="1"/>
  <c r="J2450" i="1" a="1"/>
  <c r="J2450" i="1" s="1"/>
  <c r="J1102" i="1" a="1"/>
  <c r="J1102" i="1" s="1"/>
  <c r="J1103" i="1" a="1"/>
  <c r="J1103" i="1" s="1"/>
  <c r="J1104" i="1" a="1"/>
  <c r="J1104" i="1" s="1"/>
  <c r="J2451" i="1" a="1"/>
  <c r="J2451" i="1" s="1"/>
  <c r="J1105" i="1" a="1"/>
  <c r="J1105" i="1" s="1"/>
  <c r="J2452" i="1" a="1"/>
  <c r="J2452" i="1" s="1"/>
  <c r="J1106" i="1" a="1"/>
  <c r="J1106" i="1" s="1"/>
  <c r="J1107" i="1" a="1"/>
  <c r="J1107" i="1" s="1"/>
  <c r="J1108" i="1" a="1"/>
  <c r="J1108" i="1" s="1"/>
  <c r="J1109" i="1" a="1"/>
  <c r="J1109" i="1" s="1"/>
  <c r="J1110" i="1" a="1"/>
  <c r="J1110" i="1" s="1"/>
  <c r="J1111" i="1" a="1"/>
  <c r="J1111" i="1" s="1"/>
  <c r="J1112" i="1" a="1"/>
  <c r="J1112" i="1" s="1"/>
  <c r="J1113" i="1" a="1"/>
  <c r="J1113" i="1" s="1"/>
  <c r="J1114" i="1" a="1"/>
  <c r="J1114" i="1" s="1"/>
  <c r="J1115" i="1" a="1"/>
  <c r="J1115" i="1" s="1"/>
  <c r="J2453" i="1" a="1"/>
  <c r="J2453" i="1" s="1"/>
  <c r="J1116" i="1" a="1"/>
  <c r="J1116" i="1" s="1"/>
  <c r="J1117" i="1" a="1"/>
  <c r="J1117" i="1" s="1"/>
  <c r="J2454" i="1" a="1"/>
  <c r="J2454" i="1" s="1"/>
  <c r="J1118" i="1" a="1"/>
  <c r="J1118" i="1" s="1"/>
  <c r="J1119" i="1" a="1"/>
  <c r="J1119" i="1" s="1"/>
  <c r="J2455" i="1" a="1"/>
  <c r="J2455" i="1" s="1"/>
  <c r="J1120" i="1" a="1"/>
  <c r="J1120" i="1" s="1"/>
  <c r="J1121" i="1" a="1"/>
  <c r="J1121" i="1" s="1"/>
  <c r="J1122" i="1" a="1"/>
  <c r="J1122" i="1" s="1"/>
  <c r="J1123" i="1" a="1"/>
  <c r="J1123" i="1" s="1"/>
  <c r="J1124" i="1" a="1"/>
  <c r="J1124" i="1" s="1"/>
  <c r="J1125" i="1" a="1"/>
  <c r="J1125" i="1" s="1"/>
  <c r="J1126" i="1" a="1"/>
  <c r="J1126" i="1" s="1"/>
  <c r="J1127" i="1" a="1"/>
  <c r="J1127" i="1" s="1"/>
  <c r="J1128" i="1" a="1"/>
  <c r="J1128" i="1" s="1"/>
  <c r="J1129" i="1" a="1"/>
  <c r="J1129" i="1" s="1"/>
  <c r="J1130" i="1" a="1"/>
  <c r="J1130" i="1" s="1"/>
  <c r="J1131" i="1" a="1"/>
  <c r="J1131" i="1" s="1"/>
  <c r="J2456" i="1" a="1"/>
  <c r="J2456" i="1" s="1"/>
  <c r="J2264" i="1" a="1"/>
  <c r="J2264" i="1" s="1"/>
  <c r="J1132" i="1" a="1"/>
  <c r="J1132" i="1" s="1"/>
  <c r="J1133" i="1" a="1"/>
  <c r="J1133" i="1" s="1"/>
  <c r="J1134" i="1" a="1"/>
  <c r="J1134" i="1" s="1"/>
  <c r="J1135" i="1" a="1"/>
  <c r="J1135" i="1" s="1"/>
  <c r="J1136" i="1" a="1"/>
  <c r="J1136" i="1" s="1"/>
  <c r="J1137" i="1" a="1"/>
  <c r="J1137" i="1" s="1"/>
  <c r="J2265" i="1" a="1"/>
  <c r="J2265" i="1" s="1"/>
  <c r="J1138" i="1" a="1"/>
  <c r="J1138" i="1" s="1"/>
  <c r="J1139" i="1" a="1"/>
  <c r="J1139" i="1" s="1"/>
  <c r="J1140" i="1" a="1"/>
  <c r="J1140" i="1" s="1"/>
  <c r="J1141" i="1" a="1"/>
  <c r="J1141" i="1" s="1"/>
  <c r="J1142" i="1" a="1"/>
  <c r="J1142" i="1" s="1"/>
  <c r="J1143" i="1" a="1"/>
  <c r="J1143" i="1" s="1"/>
  <c r="J1144" i="1" a="1"/>
  <c r="J1144" i="1" s="1"/>
  <c r="J1145" i="1" a="1"/>
  <c r="J1145" i="1" s="1"/>
  <c r="J1146" i="1" a="1"/>
  <c r="J1146" i="1" s="1"/>
  <c r="J1147" i="1" a="1"/>
  <c r="J1147" i="1" s="1"/>
  <c r="J1148" i="1" a="1"/>
  <c r="J1148" i="1" s="1"/>
  <c r="J1149" i="1" a="1"/>
  <c r="J1149" i="1" s="1"/>
  <c r="J1150" i="1" a="1"/>
  <c r="J1150" i="1" s="1"/>
  <c r="J1151" i="1" a="1"/>
  <c r="J1151" i="1" s="1"/>
  <c r="J1152" i="1" a="1"/>
  <c r="J1152" i="1" s="1"/>
  <c r="J1153" i="1" a="1"/>
  <c r="J1153" i="1" s="1"/>
  <c r="J1154" i="1" a="1"/>
  <c r="J1154" i="1" s="1"/>
  <c r="J1155" i="1" a="1"/>
  <c r="J1155" i="1" s="1"/>
  <c r="J1156" i="1" a="1"/>
  <c r="J1156" i="1" s="1"/>
  <c r="J2457" i="1" a="1"/>
  <c r="J2457" i="1" s="1"/>
  <c r="J1157" i="1" a="1"/>
  <c r="J1157" i="1" s="1"/>
  <c r="J1158" i="1" a="1"/>
  <c r="J1158" i="1" s="1"/>
  <c r="J1159" i="1" a="1"/>
  <c r="J1159" i="1" s="1"/>
  <c r="J1160" i="1" a="1"/>
  <c r="J1160" i="1" s="1"/>
  <c r="J1161" i="1" a="1"/>
  <c r="J1161" i="1" s="1"/>
  <c r="J1162" i="1" a="1"/>
  <c r="J1162" i="1" s="1"/>
  <c r="J1163" i="1" a="1"/>
  <c r="J1163" i="1" s="1"/>
  <c r="J1164" i="1" a="1"/>
  <c r="J1164" i="1" s="1"/>
  <c r="J1165" i="1" a="1"/>
  <c r="J1165" i="1" s="1"/>
  <c r="J1166" i="1" a="1"/>
  <c r="J1166" i="1" s="1"/>
  <c r="J1167" i="1" a="1"/>
  <c r="J1167" i="1" s="1"/>
  <c r="J1168" i="1" a="1"/>
  <c r="J1168" i="1" s="1"/>
  <c r="J1169" i="1" a="1"/>
  <c r="J1169" i="1" s="1"/>
  <c r="J1170" i="1" a="1"/>
  <c r="J1170" i="1" s="1"/>
  <c r="J1171" i="1" a="1"/>
  <c r="J1171" i="1" s="1"/>
  <c r="J1172" i="1" a="1"/>
  <c r="J1172" i="1" s="1"/>
  <c r="J1173" i="1" a="1"/>
  <c r="J1173" i="1" s="1"/>
  <c r="J1174" i="1" a="1"/>
  <c r="J1174" i="1" s="1"/>
  <c r="J1175" i="1" a="1"/>
  <c r="J1175" i="1" s="1"/>
  <c r="J1176" i="1" a="1"/>
  <c r="J1176" i="1" s="1"/>
  <c r="J1177" i="1" a="1"/>
  <c r="J1177" i="1" s="1"/>
  <c r="J1178" i="1" a="1"/>
  <c r="J1178" i="1" s="1"/>
  <c r="J2458" i="1" a="1"/>
  <c r="J2458" i="1" s="1"/>
  <c r="J1179" i="1" a="1"/>
  <c r="J1179" i="1" s="1"/>
  <c r="J1180" i="1" a="1"/>
  <c r="J1180" i="1" s="1"/>
  <c r="J1181" i="1" a="1"/>
  <c r="J1181" i="1" s="1"/>
  <c r="J1182" i="1" a="1"/>
  <c r="J1182" i="1" s="1"/>
  <c r="J1183" i="1" a="1"/>
  <c r="J1183" i="1" s="1"/>
  <c r="J1184" i="1" a="1"/>
  <c r="J1184" i="1" s="1"/>
  <c r="J1185" i="1" a="1"/>
  <c r="J1185" i="1" s="1"/>
  <c r="J1186" i="1" a="1"/>
  <c r="J1186" i="1" s="1"/>
  <c r="J1187" i="1" a="1"/>
  <c r="J1187" i="1" s="1"/>
  <c r="J1188" i="1" a="1"/>
  <c r="J1188" i="1" s="1"/>
  <c r="J2459" i="1" a="1"/>
  <c r="J2459" i="1" s="1"/>
  <c r="J1189" i="1" a="1"/>
  <c r="J1189" i="1" s="1"/>
  <c r="J1190" i="1" a="1"/>
  <c r="J1190" i="1" s="1"/>
  <c r="J1191" i="1" a="1"/>
  <c r="J1191" i="1" s="1"/>
  <c r="J1192" i="1" a="1"/>
  <c r="J1192" i="1" s="1"/>
  <c r="J2460" i="1" a="1"/>
  <c r="J2460" i="1" s="1"/>
  <c r="J2461" i="1" a="1"/>
  <c r="J2461" i="1" s="1"/>
  <c r="J1193" i="1" a="1"/>
  <c r="J1193" i="1" s="1"/>
  <c r="J1194" i="1" a="1"/>
  <c r="J1194" i="1" s="1"/>
  <c r="J1195" i="1" a="1"/>
  <c r="J1195" i="1" s="1"/>
  <c r="J1196" i="1" a="1"/>
  <c r="J1196" i="1" s="1"/>
  <c r="J1197" i="1" a="1"/>
  <c r="J1197" i="1" s="1"/>
  <c r="J1198" i="1" a="1"/>
  <c r="J1198" i="1" s="1"/>
  <c r="J1199" i="1" a="1"/>
  <c r="J1199" i="1" s="1"/>
  <c r="J2462" i="1" a="1"/>
  <c r="J2462" i="1" s="1"/>
  <c r="J1200" i="1" a="1"/>
  <c r="J1200" i="1" s="1"/>
  <c r="J1201" i="1" a="1"/>
  <c r="J1201" i="1" s="1"/>
  <c r="J1202" i="1" a="1"/>
  <c r="J1202" i="1" s="1"/>
  <c r="J1203" i="1" a="1"/>
  <c r="J1203" i="1" s="1"/>
  <c r="J1204" i="1" a="1"/>
  <c r="J1204" i="1" s="1"/>
  <c r="J1205" i="1" a="1"/>
  <c r="J1205" i="1" s="1"/>
  <c r="J2463" i="1" a="1"/>
  <c r="J2463" i="1" s="1"/>
  <c r="J1206" i="1" a="1"/>
  <c r="J1206" i="1" s="1"/>
  <c r="J1207" i="1" a="1"/>
  <c r="J1207" i="1" s="1"/>
  <c r="J2464" i="1" a="1"/>
  <c r="J2464" i="1" s="1"/>
  <c r="J1208" i="1" a="1"/>
  <c r="J1208" i="1" s="1"/>
  <c r="J2465" i="1" a="1"/>
  <c r="J2465" i="1" s="1"/>
  <c r="J1209" i="1" a="1"/>
  <c r="J1209" i="1" s="1"/>
  <c r="J2266" i="1" a="1"/>
  <c r="J2266" i="1" s="1"/>
  <c r="J1210" i="1" a="1"/>
  <c r="J1210" i="1" s="1"/>
  <c r="J1211" i="1" a="1"/>
  <c r="J1211" i="1" s="1"/>
  <c r="J1212" i="1" a="1"/>
  <c r="J1212" i="1" s="1"/>
  <c r="J1213" i="1" a="1"/>
  <c r="J1213" i="1" s="1"/>
  <c r="J1214" i="1" a="1"/>
  <c r="J1214" i="1" s="1"/>
  <c r="J1215" i="1" a="1"/>
  <c r="J1215" i="1" s="1"/>
  <c r="J1216" i="1" a="1"/>
  <c r="J1216" i="1" s="1"/>
  <c r="J1217" i="1" a="1"/>
  <c r="J1217" i="1" s="1"/>
  <c r="J1218" i="1" a="1"/>
  <c r="J1218" i="1" s="1"/>
  <c r="J1219" i="1" a="1"/>
  <c r="J1219" i="1" s="1"/>
  <c r="J1220" i="1" a="1"/>
  <c r="J1220" i="1" s="1"/>
  <c r="J1221" i="1" a="1"/>
  <c r="J1221" i="1" s="1"/>
  <c r="J1222" i="1" a="1"/>
  <c r="J1222" i="1" s="1"/>
  <c r="J1223" i="1" a="1"/>
  <c r="J1223" i="1" s="1"/>
  <c r="J1224" i="1" a="1"/>
  <c r="J1224" i="1" s="1"/>
  <c r="J1225" i="1" a="1"/>
  <c r="J1225" i="1" s="1"/>
  <c r="J1226" i="1" a="1"/>
  <c r="J1226" i="1" s="1"/>
  <c r="J1227" i="1" a="1"/>
  <c r="J1227" i="1" s="1"/>
  <c r="J1228" i="1" a="1"/>
  <c r="J1228" i="1" s="1"/>
  <c r="J2267" i="1" a="1"/>
  <c r="J2267" i="1" s="1"/>
  <c r="J1229" i="1" a="1"/>
  <c r="J1229" i="1" s="1"/>
  <c r="J1230" i="1" a="1"/>
  <c r="J1230" i="1" s="1"/>
  <c r="J1231" i="1" a="1"/>
  <c r="J1231" i="1" s="1"/>
  <c r="J1232" i="1" a="1"/>
  <c r="J1232" i="1" s="1"/>
  <c r="J1233" i="1" a="1"/>
  <c r="J1233" i="1" s="1"/>
  <c r="J1234" i="1" a="1"/>
  <c r="J1234" i="1" s="1"/>
  <c r="J1235" i="1" a="1"/>
  <c r="J1235" i="1" s="1"/>
  <c r="J1236" i="1" a="1"/>
  <c r="J1236" i="1" s="1"/>
  <c r="J1237" i="1" a="1"/>
  <c r="J1237" i="1" s="1"/>
  <c r="J1238" i="1" a="1"/>
  <c r="J1238" i="1" s="1"/>
  <c r="J1239" i="1" a="1"/>
  <c r="J1239" i="1" s="1"/>
  <c r="J1240" i="1" a="1"/>
  <c r="J1240" i="1" s="1"/>
  <c r="J1241" i="1" a="1"/>
  <c r="J1241" i="1" s="1"/>
  <c r="J1242" i="1" a="1"/>
  <c r="J1242" i="1" s="1"/>
  <c r="J1243" i="1" a="1"/>
  <c r="J1243" i="1" s="1"/>
  <c r="J1244" i="1" a="1"/>
  <c r="J1244" i="1" s="1"/>
  <c r="J1245" i="1" a="1"/>
  <c r="J1245" i="1" s="1"/>
  <c r="J1246" i="1" a="1"/>
  <c r="J1246" i="1" s="1"/>
  <c r="J1247" i="1" a="1"/>
  <c r="J1247" i="1" s="1"/>
  <c r="J1248" i="1" a="1"/>
  <c r="J1248" i="1" s="1"/>
  <c r="J1249" i="1" a="1"/>
  <c r="J1249" i="1" s="1"/>
  <c r="J2466" i="1" a="1"/>
  <c r="J2466" i="1" s="1"/>
  <c r="J1250" i="1" a="1"/>
  <c r="J1250" i="1" s="1"/>
  <c r="J1251" i="1" a="1"/>
  <c r="J1251" i="1" s="1"/>
  <c r="J1252" i="1" a="1"/>
  <c r="J1252" i="1" s="1"/>
  <c r="J2467" i="1" a="1"/>
  <c r="J2467" i="1" s="1"/>
  <c r="J1253" i="1" a="1"/>
  <c r="J1253" i="1" s="1"/>
  <c r="J1254" i="1" a="1"/>
  <c r="J1254" i="1" s="1"/>
  <c r="J1255" i="1" a="1"/>
  <c r="J1255" i="1" s="1"/>
  <c r="J2468" i="1" a="1"/>
  <c r="J2468" i="1" s="1"/>
  <c r="J1256" i="1" a="1"/>
  <c r="J1256" i="1" s="1"/>
  <c r="J1257" i="1" a="1"/>
  <c r="J1257" i="1" s="1"/>
  <c r="J1258" i="1" a="1"/>
  <c r="J1258" i="1" s="1"/>
  <c r="J1259" i="1" a="1"/>
  <c r="J1259" i="1" s="1"/>
  <c r="J2469" i="1" a="1"/>
  <c r="J2469" i="1" s="1"/>
  <c r="J2470" i="1" a="1"/>
  <c r="J2470" i="1" s="1"/>
  <c r="J2471" i="1" a="1"/>
  <c r="J2471" i="1" s="1"/>
  <c r="J2472" i="1" a="1"/>
  <c r="J2472" i="1" s="1"/>
  <c r="J2473" i="1" a="1"/>
  <c r="J2473" i="1" s="1"/>
  <c r="J1260" i="1" a="1"/>
  <c r="J1260" i="1" s="1"/>
  <c r="J2268" i="1" a="1"/>
  <c r="J2268" i="1" s="1"/>
  <c r="J1261" i="1" a="1"/>
  <c r="J1261" i="1" s="1"/>
  <c r="J1262" i="1" a="1"/>
  <c r="J1262" i="1" s="1"/>
  <c r="J1263" i="1" a="1"/>
  <c r="J1263" i="1" s="1"/>
  <c r="J1264" i="1" a="1"/>
  <c r="J1264" i="1" s="1"/>
  <c r="J1265" i="1" a="1"/>
  <c r="J1265" i="1" s="1"/>
  <c r="J1266" i="1" a="1"/>
  <c r="J1266" i="1" s="1"/>
  <c r="J2474" i="1" a="1"/>
  <c r="J2474" i="1" s="1"/>
  <c r="J1267" i="1" a="1"/>
  <c r="J1267" i="1" s="1"/>
  <c r="J1268" i="1" a="1"/>
  <c r="J1268" i="1" s="1"/>
  <c r="J1269" i="1" a="1"/>
  <c r="J1269" i="1" s="1"/>
  <c r="J1270" i="1" a="1"/>
  <c r="J1270" i="1" s="1"/>
  <c r="J1271" i="1" a="1"/>
  <c r="J1271" i="1" s="1"/>
  <c r="J1272" i="1" a="1"/>
  <c r="J1272" i="1" s="1"/>
  <c r="J1273" i="1" a="1"/>
  <c r="J1273" i="1" s="1"/>
  <c r="J1274" i="1" a="1"/>
  <c r="J1274" i="1" s="1"/>
  <c r="J1275" i="1" a="1"/>
  <c r="J1275" i="1" s="1"/>
  <c r="J1276" i="1" a="1"/>
  <c r="J1276" i="1" s="1"/>
  <c r="J1277" i="1" a="1"/>
  <c r="J1277" i="1" s="1"/>
  <c r="J1278" i="1" a="1"/>
  <c r="J1278" i="1" s="1"/>
  <c r="J1279" i="1" a="1"/>
  <c r="J1279" i="1" s="1"/>
  <c r="J1280" i="1" a="1"/>
  <c r="J1280" i="1" s="1"/>
  <c r="J1281" i="1" a="1"/>
  <c r="J1281" i="1" s="1"/>
  <c r="J1282" i="1" a="1"/>
  <c r="J1282" i="1" s="1"/>
  <c r="J1283" i="1" a="1"/>
  <c r="J1283" i="1" s="1"/>
  <c r="J1284" i="1" a="1"/>
  <c r="J1284" i="1" s="1"/>
  <c r="J1285" i="1" a="1"/>
  <c r="J1285" i="1" s="1"/>
  <c r="J1286" i="1" a="1"/>
  <c r="J1286" i="1" s="1"/>
  <c r="J2475" i="1" a="1"/>
  <c r="J2475" i="1" s="1"/>
  <c r="J1287" i="1" a="1"/>
  <c r="J1287" i="1" s="1"/>
  <c r="J1288" i="1" a="1"/>
  <c r="J1288" i="1" s="1"/>
  <c r="J1289" i="1" a="1"/>
  <c r="J1289" i="1" s="1"/>
  <c r="J1290" i="1" a="1"/>
  <c r="J1290" i="1" s="1"/>
  <c r="J1291" i="1" a="1"/>
  <c r="J1291" i="1" s="1"/>
  <c r="J1292" i="1" a="1"/>
  <c r="J1292" i="1" s="1"/>
  <c r="J1293" i="1" a="1"/>
  <c r="J1293" i="1" s="1"/>
  <c r="J1294" i="1" a="1"/>
  <c r="J1294" i="1" s="1"/>
  <c r="J1295" i="1" a="1"/>
  <c r="J1295" i="1" s="1"/>
  <c r="J1296" i="1" a="1"/>
  <c r="J1296" i="1" s="1"/>
  <c r="J1297" i="1" a="1"/>
  <c r="J1297" i="1" s="1"/>
  <c r="J1298" i="1" a="1"/>
  <c r="J1298" i="1" s="1"/>
  <c r="J1299" i="1" a="1"/>
  <c r="J1299" i="1" s="1"/>
  <c r="J1300" i="1" a="1"/>
  <c r="J1300" i="1" s="1"/>
  <c r="J1301" i="1" a="1"/>
  <c r="J1301" i="1" s="1"/>
  <c r="J1302" i="1" a="1"/>
  <c r="J1302" i="1" s="1"/>
  <c r="J1303" i="1" a="1"/>
  <c r="J1303" i="1" s="1"/>
  <c r="J2476" i="1" a="1"/>
  <c r="J2476" i="1" s="1"/>
  <c r="J1304" i="1" a="1"/>
  <c r="J1304" i="1" s="1"/>
  <c r="J1305" i="1" a="1"/>
  <c r="J1305" i="1" s="1"/>
  <c r="J1306" i="1" a="1"/>
  <c r="J1306" i="1" s="1"/>
  <c r="J1307" i="1" a="1"/>
  <c r="J1307" i="1" s="1"/>
  <c r="J1308" i="1" a="1"/>
  <c r="J1308" i="1" s="1"/>
  <c r="J1309" i="1" a="1"/>
  <c r="J1309" i="1" s="1"/>
  <c r="J1310" i="1" a="1"/>
  <c r="J1310" i="1" s="1"/>
  <c r="J1311" i="1" a="1"/>
  <c r="J1311" i="1" s="1"/>
  <c r="J1312" i="1" a="1"/>
  <c r="J1312" i="1" s="1"/>
  <c r="J1313" i="1" a="1"/>
  <c r="J1313" i="1" s="1"/>
  <c r="J1314" i="1" a="1"/>
  <c r="J1314" i="1" s="1"/>
  <c r="J1315" i="1" a="1"/>
  <c r="J1315" i="1" s="1"/>
  <c r="J1316" i="1" a="1"/>
  <c r="J1316" i="1" s="1"/>
  <c r="J1317" i="1" a="1"/>
  <c r="J1317" i="1" s="1"/>
  <c r="J2477" i="1" a="1"/>
  <c r="J2477" i="1" s="1"/>
  <c r="J1318" i="1" a="1"/>
  <c r="J1318" i="1" s="1"/>
  <c r="J1319" i="1" a="1"/>
  <c r="J1319" i="1" s="1"/>
  <c r="J1320" i="1" a="1"/>
  <c r="J1320" i="1" s="1"/>
  <c r="J1321" i="1" a="1"/>
  <c r="J1321" i="1" s="1"/>
  <c r="J1322" i="1" a="1"/>
  <c r="J1322" i="1" s="1"/>
  <c r="J1323" i="1" a="1"/>
  <c r="J1323" i="1" s="1"/>
  <c r="J1324" i="1" a="1"/>
  <c r="J1324" i="1" s="1"/>
  <c r="J1325" i="1" a="1"/>
  <c r="J1325" i="1" s="1"/>
  <c r="J2478" i="1" a="1"/>
  <c r="J2478" i="1" s="1"/>
  <c r="J1326" i="1" a="1"/>
  <c r="J1326" i="1" s="1"/>
  <c r="J1327" i="1" a="1"/>
  <c r="J1327" i="1" s="1"/>
  <c r="J1328" i="1" a="1"/>
  <c r="J1328" i="1" s="1"/>
  <c r="J1329" i="1" a="1"/>
  <c r="J1329" i="1" s="1"/>
  <c r="J1330" i="1" a="1"/>
  <c r="J1330" i="1" s="1"/>
  <c r="J1331" i="1" a="1"/>
  <c r="J1331" i="1" s="1"/>
  <c r="J1332" i="1" a="1"/>
  <c r="J1332" i="1" s="1"/>
  <c r="J1333" i="1" a="1"/>
  <c r="J1333" i="1" s="1"/>
  <c r="J2479" i="1" a="1"/>
  <c r="J2479" i="1" s="1"/>
  <c r="J1334" i="1" a="1"/>
  <c r="J1334" i="1" s="1"/>
  <c r="J1335" i="1" a="1"/>
  <c r="J1335" i="1" s="1"/>
  <c r="J1336" i="1" a="1"/>
  <c r="J1336" i="1" s="1"/>
  <c r="J1337" i="1" a="1"/>
  <c r="J1337" i="1" s="1"/>
  <c r="J1338" i="1" a="1"/>
  <c r="J1338" i="1" s="1"/>
  <c r="J1339" i="1" a="1"/>
  <c r="J1339" i="1" s="1"/>
  <c r="J1340" i="1" a="1"/>
  <c r="J1340" i="1" s="1"/>
  <c r="J2480" i="1" a="1"/>
  <c r="J2480" i="1" s="1"/>
  <c r="J1341" i="1" a="1"/>
  <c r="J1341" i="1" s="1"/>
  <c r="J1342" i="1" a="1"/>
  <c r="J1342" i="1" s="1"/>
  <c r="J1343" i="1" a="1"/>
  <c r="J1343" i="1" s="1"/>
  <c r="J1344" i="1" a="1"/>
  <c r="J1344" i="1" s="1"/>
  <c r="J1345" i="1" a="1"/>
  <c r="J1345" i="1" s="1"/>
  <c r="J2481" i="1" a="1"/>
  <c r="J2481" i="1" s="1"/>
  <c r="J1346" i="1" a="1"/>
  <c r="J1346" i="1" s="1"/>
  <c r="J1347" i="1" a="1"/>
  <c r="J1347" i="1" s="1"/>
  <c r="J2482" i="1" a="1"/>
  <c r="J2482" i="1" s="1"/>
  <c r="J1348" i="1" a="1"/>
  <c r="J1348" i="1" s="1"/>
  <c r="J2483" i="1" a="1"/>
  <c r="J2483" i="1" s="1"/>
  <c r="J1349" i="1" a="1"/>
  <c r="J1349" i="1" s="1"/>
  <c r="J1350" i="1" a="1"/>
  <c r="J1350" i="1" s="1"/>
  <c r="J1351" i="1" a="1"/>
  <c r="J1351" i="1" s="1"/>
  <c r="J1352" i="1" a="1"/>
  <c r="J1352" i="1" s="1"/>
  <c r="J1353" i="1" a="1"/>
  <c r="J1353" i="1" s="1"/>
  <c r="J1354" i="1" a="1"/>
  <c r="J1354" i="1" s="1"/>
  <c r="J2484" i="1" a="1"/>
  <c r="J2484" i="1" s="1"/>
  <c r="J1355" i="1" a="1"/>
  <c r="J1355" i="1" s="1"/>
  <c r="J1356" i="1" a="1"/>
  <c r="J1356" i="1" s="1"/>
  <c r="J1357" i="1" a="1"/>
  <c r="J1357" i="1" s="1"/>
  <c r="J1358" i="1" a="1"/>
  <c r="J1358" i="1" s="1"/>
  <c r="J1359" i="1" a="1"/>
  <c r="J1359" i="1" s="1"/>
  <c r="J1360" i="1" a="1"/>
  <c r="J1360" i="1" s="1"/>
  <c r="J1361" i="1" a="1"/>
  <c r="J1361" i="1" s="1"/>
  <c r="J2485" i="1" a="1"/>
  <c r="J2485" i="1" s="1"/>
  <c r="J2486" i="1" a="1"/>
  <c r="J2486" i="1" s="1"/>
  <c r="J1362" i="1" a="1"/>
  <c r="J1362" i="1" s="1"/>
  <c r="J1363" i="1" a="1"/>
  <c r="J1363" i="1" s="1"/>
  <c r="J1364" i="1" a="1"/>
  <c r="J1364" i="1" s="1"/>
  <c r="J1365" i="1" a="1"/>
  <c r="J1365" i="1" s="1"/>
  <c r="J1366" i="1" a="1"/>
  <c r="J1366" i="1" s="1"/>
  <c r="J1367" i="1" a="1"/>
  <c r="J1367" i="1" s="1"/>
  <c r="J2487" i="1" a="1"/>
  <c r="J2487" i="1" s="1"/>
  <c r="J1368" i="1" a="1"/>
  <c r="J1368" i="1" s="1"/>
  <c r="J1369" i="1" a="1"/>
  <c r="J1369" i="1" s="1"/>
  <c r="J2269" i="1" a="1"/>
  <c r="J2269" i="1" s="1"/>
  <c r="J2488" i="1" a="1"/>
  <c r="J2488" i="1" s="1"/>
  <c r="J1370" i="1" a="1"/>
  <c r="J1370" i="1" s="1"/>
  <c r="J1371" i="1" a="1"/>
  <c r="J1371" i="1" s="1"/>
  <c r="J1372" i="1" a="1"/>
  <c r="J1372" i="1" s="1"/>
  <c r="J2489" i="1" a="1"/>
  <c r="J2489" i="1" s="1"/>
  <c r="J1373" i="1" a="1"/>
  <c r="J1373" i="1" s="1"/>
  <c r="J1374" i="1" a="1"/>
  <c r="J1374" i="1" s="1"/>
  <c r="J2490" i="1" a="1"/>
  <c r="J2490" i="1" s="1"/>
  <c r="J1375" i="1" a="1"/>
  <c r="J1375" i="1" s="1"/>
  <c r="J1376" i="1" a="1"/>
  <c r="J1376" i="1" s="1"/>
  <c r="J1377" i="1" a="1"/>
  <c r="J1377" i="1" s="1"/>
  <c r="J1378" i="1" a="1"/>
  <c r="J1378" i="1" s="1"/>
  <c r="J1379" i="1" a="1"/>
  <c r="J1379" i="1" s="1"/>
  <c r="J1380" i="1" a="1"/>
  <c r="J1380" i="1" s="1"/>
  <c r="J1381" i="1" a="1"/>
  <c r="J1381" i="1" s="1"/>
  <c r="J1382" i="1" a="1"/>
  <c r="J1382" i="1" s="1"/>
  <c r="J2491" i="1" a="1"/>
  <c r="J2491" i="1" s="1"/>
  <c r="J1383" i="1" a="1"/>
  <c r="J1383" i="1" s="1"/>
  <c r="J1384" i="1" a="1"/>
  <c r="J1384" i="1" s="1"/>
  <c r="J1385" i="1" a="1"/>
  <c r="J1385" i="1" s="1"/>
  <c r="J1386" i="1" a="1"/>
  <c r="J1386" i="1" s="1"/>
  <c r="J1387" i="1" a="1"/>
  <c r="J1387" i="1" s="1"/>
  <c r="J1388" i="1" a="1"/>
  <c r="J1388" i="1" s="1"/>
  <c r="J1389" i="1" a="1"/>
  <c r="J1389" i="1" s="1"/>
  <c r="J1390" i="1" a="1"/>
  <c r="J1390" i="1" s="1"/>
  <c r="J1391" i="1" a="1"/>
  <c r="J1391" i="1" s="1"/>
  <c r="J1392" i="1" a="1"/>
  <c r="J1392" i="1" s="1"/>
  <c r="J1393" i="1" a="1"/>
  <c r="J1393" i="1" s="1"/>
  <c r="J1394" i="1" a="1"/>
  <c r="J1394" i="1" s="1"/>
  <c r="J1395" i="1" a="1"/>
  <c r="J1395" i="1" s="1"/>
  <c r="J1396" i="1" a="1"/>
  <c r="J1396" i="1" s="1"/>
  <c r="J1397" i="1" a="1"/>
  <c r="J1397" i="1" s="1"/>
  <c r="J1398" i="1" a="1"/>
  <c r="J1398" i="1" s="1"/>
  <c r="J1399" i="1" a="1"/>
  <c r="J1399" i="1" s="1"/>
  <c r="J1400" i="1" a="1"/>
  <c r="J1400" i="1" s="1"/>
  <c r="J1401" i="1" a="1"/>
  <c r="J1401" i="1" s="1"/>
  <c r="J1402" i="1" a="1"/>
  <c r="J1402" i="1" s="1"/>
  <c r="J1403" i="1" a="1"/>
  <c r="J1403" i="1" s="1"/>
  <c r="J1404" i="1" a="1"/>
  <c r="J1404" i="1" s="1"/>
  <c r="J1405" i="1" a="1"/>
  <c r="J1405" i="1" s="1"/>
  <c r="J2492" i="1" a="1"/>
  <c r="J2492" i="1" s="1"/>
  <c r="J1406" i="1" a="1"/>
  <c r="J1406" i="1" s="1"/>
  <c r="J2270" i="1" a="1"/>
  <c r="J2270" i="1" s="1"/>
  <c r="J2493" i="1" a="1"/>
  <c r="J2493" i="1" s="1"/>
  <c r="J1407" i="1" a="1"/>
  <c r="J1407" i="1" s="1"/>
  <c r="J1408" i="1" a="1"/>
  <c r="J1408" i="1" s="1"/>
  <c r="J1409" i="1" a="1"/>
  <c r="J1409" i="1" s="1"/>
  <c r="J1410" i="1" a="1"/>
  <c r="J1410" i="1" s="1"/>
  <c r="J1411" i="1" a="1"/>
  <c r="J1411" i="1" s="1"/>
  <c r="J2494" i="1" a="1"/>
  <c r="J2494" i="1" s="1"/>
  <c r="J1412" i="1" a="1"/>
  <c r="J1412" i="1" s="1"/>
  <c r="J2495" i="1" a="1"/>
  <c r="J2495" i="1" s="1"/>
  <c r="J1413" i="1" a="1"/>
  <c r="J1413" i="1" s="1"/>
  <c r="J1414" i="1" a="1"/>
  <c r="J1414" i="1" s="1"/>
  <c r="J1415" i="1" a="1"/>
  <c r="J1415" i="1" s="1"/>
  <c r="J1416" i="1" a="1"/>
  <c r="J1416" i="1" s="1"/>
  <c r="J1417" i="1" a="1"/>
  <c r="J1417" i="1" s="1"/>
  <c r="J2496" i="1" a="1"/>
  <c r="J2496" i="1" s="1"/>
  <c r="J1418" i="1" a="1"/>
  <c r="J1418" i="1" s="1"/>
  <c r="J1419" i="1" a="1"/>
  <c r="J1419" i="1" s="1"/>
  <c r="J2271" i="1" a="1"/>
  <c r="J2271" i="1" s="1"/>
  <c r="J1420" i="1" a="1"/>
  <c r="J1420" i="1" s="1"/>
  <c r="J2272" i="1" a="1"/>
  <c r="J2272" i="1" s="1"/>
  <c r="J2497" i="1" a="1"/>
  <c r="J2497" i="1" s="1"/>
  <c r="J1421" i="1" a="1"/>
  <c r="J1421" i="1" s="1"/>
  <c r="J2498" i="1" a="1"/>
  <c r="J2498" i="1" s="1"/>
  <c r="J2273" i="1" a="1"/>
  <c r="J2273" i="1" s="1"/>
  <c r="J1422" i="1" a="1"/>
  <c r="J1422" i="1" s="1"/>
  <c r="J1423" i="1" a="1"/>
  <c r="J1423" i="1" s="1"/>
  <c r="J1424" i="1" a="1"/>
  <c r="J1424" i="1" s="1"/>
  <c r="J1425" i="1" a="1"/>
  <c r="J1425" i="1" s="1"/>
  <c r="J1426" i="1" a="1"/>
  <c r="J1426" i="1" s="1"/>
  <c r="J1427" i="1" a="1"/>
  <c r="J1427" i="1" s="1"/>
  <c r="J1428" i="1" a="1"/>
  <c r="J1428" i="1" s="1"/>
  <c r="J1429" i="1" a="1"/>
  <c r="J1429" i="1" s="1"/>
  <c r="J1430" i="1" a="1"/>
  <c r="J1430" i="1" s="1"/>
  <c r="J1431" i="1" a="1"/>
  <c r="J1431" i="1" s="1"/>
  <c r="J1432" i="1" a="1"/>
  <c r="J1432" i="1" s="1"/>
  <c r="J1433" i="1" a="1"/>
  <c r="J1433" i="1" s="1"/>
  <c r="J1434" i="1" a="1"/>
  <c r="J1434" i="1" s="1"/>
  <c r="J1435" i="1" a="1"/>
  <c r="J1435" i="1" s="1"/>
  <c r="J1436" i="1" a="1"/>
  <c r="J1436" i="1" s="1"/>
  <c r="J2499" i="1" a="1"/>
  <c r="J2499" i="1" s="1"/>
  <c r="J2500" i="1" a="1"/>
  <c r="J2500" i="1" s="1"/>
  <c r="J2501" i="1" a="1"/>
  <c r="J2501" i="1" s="1"/>
  <c r="J1437" i="1" a="1"/>
  <c r="J1437" i="1" s="1"/>
  <c r="J1438" i="1" a="1"/>
  <c r="J1438" i="1" s="1"/>
  <c r="J2502" i="1" a="1"/>
  <c r="J2502" i="1" s="1"/>
  <c r="J1439" i="1" a="1"/>
  <c r="J1439" i="1" s="1"/>
  <c r="J1440" i="1" a="1"/>
  <c r="J1440" i="1" s="1"/>
  <c r="J1441" i="1" a="1"/>
  <c r="J1441" i="1" s="1"/>
  <c r="J1442" i="1" a="1"/>
  <c r="J1442" i="1" s="1"/>
  <c r="J1443" i="1" a="1"/>
  <c r="J1443" i="1" s="1"/>
  <c r="J1444" i="1" a="1"/>
  <c r="J1444" i="1" s="1"/>
  <c r="J1445" i="1" a="1"/>
  <c r="J1445" i="1" s="1"/>
  <c r="J1446" i="1" a="1"/>
  <c r="J1446" i="1" s="1"/>
  <c r="J1447" i="1" a="1"/>
  <c r="J1447" i="1" s="1"/>
  <c r="J1448" i="1" a="1"/>
  <c r="J1448" i="1" s="1"/>
  <c r="J1449" i="1" a="1"/>
  <c r="J1449" i="1" s="1"/>
  <c r="J1450" i="1" a="1"/>
  <c r="J1450" i="1" s="1"/>
  <c r="J1451" i="1" a="1"/>
  <c r="J1451" i="1" s="1"/>
  <c r="J2503" i="1" a="1"/>
  <c r="J2503" i="1" s="1"/>
  <c r="J1452" i="1" a="1"/>
  <c r="J1452" i="1" s="1"/>
  <c r="J2274" i="1" a="1"/>
  <c r="J2274" i="1" s="1"/>
  <c r="J1453" i="1" a="1"/>
  <c r="J1453" i="1" s="1"/>
  <c r="J1454" i="1" a="1"/>
  <c r="J1454" i="1" s="1"/>
  <c r="J1455" i="1" a="1"/>
  <c r="J1455" i="1" s="1"/>
  <c r="J1456" i="1" a="1"/>
  <c r="J1456" i="1" s="1"/>
  <c r="J1457" i="1" a="1"/>
  <c r="J1457" i="1" s="1"/>
  <c r="J1458" i="1" a="1"/>
  <c r="J1458" i="1" s="1"/>
  <c r="J1459" i="1" a="1"/>
  <c r="J1459" i="1" s="1"/>
  <c r="J1460" i="1" a="1"/>
  <c r="J1460" i="1" s="1"/>
  <c r="J2504" i="1" a="1"/>
  <c r="J2504" i="1" s="1"/>
  <c r="J1461" i="1" a="1"/>
  <c r="J1461" i="1" s="1"/>
  <c r="J1462" i="1" a="1"/>
  <c r="J1462" i="1" s="1"/>
  <c r="J1463" i="1" a="1"/>
  <c r="J1463" i="1" s="1"/>
  <c r="J1464" i="1" a="1"/>
  <c r="J1464" i="1" s="1"/>
  <c r="J1465" i="1" a="1"/>
  <c r="J1465" i="1" s="1"/>
  <c r="J1466" i="1" a="1"/>
  <c r="J1466" i="1" s="1"/>
  <c r="J1467" i="1" a="1"/>
  <c r="J1467" i="1" s="1"/>
  <c r="J1468" i="1" a="1"/>
  <c r="J1468" i="1" s="1"/>
  <c r="J1469" i="1" a="1"/>
  <c r="J1469" i="1" s="1"/>
  <c r="J2505" i="1" a="1"/>
  <c r="J2505" i="1" s="1"/>
  <c r="J1470" i="1" a="1"/>
  <c r="J1470" i="1" s="1"/>
  <c r="J2506" i="1" a="1"/>
  <c r="J2506" i="1" s="1"/>
  <c r="J1471" i="1" a="1"/>
  <c r="J1471" i="1" s="1"/>
  <c r="J2507" i="1" a="1"/>
  <c r="J2507" i="1" s="1"/>
  <c r="J1472" i="1" a="1"/>
  <c r="J1472" i="1" s="1"/>
  <c r="J1473" i="1" a="1"/>
  <c r="J1473" i="1" s="1"/>
  <c r="J1474" i="1" a="1"/>
  <c r="J1474" i="1" s="1"/>
  <c r="J2508" i="1" a="1"/>
  <c r="J2508" i="1" s="1"/>
  <c r="J1475" i="1" a="1"/>
  <c r="J1475" i="1" s="1"/>
  <c r="J1476" i="1" a="1"/>
  <c r="J1476" i="1" s="1"/>
  <c r="J1477" i="1" a="1"/>
  <c r="J1477" i="1" s="1"/>
  <c r="J2509" i="1" a="1"/>
  <c r="J2509" i="1" s="1"/>
  <c r="J1478" i="1" a="1"/>
  <c r="J1478" i="1" s="1"/>
  <c r="J1479" i="1" a="1"/>
  <c r="J1479" i="1" s="1"/>
  <c r="J1480" i="1" a="1"/>
  <c r="J1480" i="1" s="1"/>
  <c r="J1481" i="1" a="1"/>
  <c r="J1481" i="1" s="1"/>
  <c r="J1482" i="1" a="1"/>
  <c r="J1482" i="1" s="1"/>
  <c r="J1483" i="1" a="1"/>
  <c r="J1483" i="1" s="1"/>
  <c r="J1484" i="1" a="1"/>
  <c r="J1484" i="1" s="1"/>
  <c r="J1485" i="1" a="1"/>
  <c r="J1485" i="1" s="1"/>
  <c r="J1486" i="1" a="1"/>
  <c r="J1486" i="1" s="1"/>
  <c r="J2510" i="1" a="1"/>
  <c r="J2510" i="1" s="1"/>
  <c r="J1487" i="1" a="1"/>
  <c r="J1487" i="1" s="1"/>
  <c r="J2511" i="1" a="1"/>
  <c r="J2511" i="1" s="1"/>
  <c r="J2512" i="1" a="1"/>
  <c r="J2512" i="1" s="1"/>
  <c r="J1488" i="1" a="1"/>
  <c r="J1488" i="1" s="1"/>
  <c r="J1489" i="1" a="1"/>
  <c r="J1489" i="1" s="1"/>
  <c r="J1490" i="1" a="1"/>
  <c r="J1490" i="1" s="1"/>
  <c r="J1491" i="1" a="1"/>
  <c r="J1491" i="1" s="1"/>
  <c r="J1492" i="1" a="1"/>
  <c r="J1492" i="1" s="1"/>
  <c r="J1493" i="1" a="1"/>
  <c r="J1493" i="1" s="1"/>
  <c r="J1494" i="1" a="1"/>
  <c r="J1494" i="1" s="1"/>
  <c r="J1495" i="1" a="1"/>
  <c r="J1495" i="1" s="1"/>
  <c r="J2275" i="1" a="1"/>
  <c r="J2275" i="1" s="1"/>
  <c r="J1496" i="1" a="1"/>
  <c r="J1496" i="1" s="1"/>
  <c r="J1497" i="1" a="1"/>
  <c r="J1497" i="1" s="1"/>
  <c r="J1498" i="1" a="1"/>
  <c r="J1498" i="1" s="1"/>
  <c r="J1499" i="1" a="1"/>
  <c r="J1499" i="1" s="1"/>
  <c r="J1500" i="1" a="1"/>
  <c r="J1500" i="1" s="1"/>
  <c r="J1501" i="1" a="1"/>
  <c r="J1501" i="1" s="1"/>
  <c r="J1502" i="1" a="1"/>
  <c r="J1502" i="1" s="1"/>
  <c r="J2513" i="1" a="1"/>
  <c r="J2513" i="1" s="1"/>
  <c r="J1503" i="1" a="1"/>
  <c r="J1503" i="1" s="1"/>
  <c r="J1504" i="1" a="1"/>
  <c r="J1504" i="1" s="1"/>
  <c r="J2514" i="1" a="1"/>
  <c r="J2514" i="1" s="1"/>
  <c r="J1505" i="1" a="1"/>
  <c r="J1505" i="1" s="1"/>
  <c r="J1506" i="1" a="1"/>
  <c r="J1506" i="1" s="1"/>
  <c r="J1507" i="1" a="1"/>
  <c r="J1507" i="1" s="1"/>
  <c r="J1508" i="1" a="1"/>
  <c r="J1508" i="1" s="1"/>
  <c r="J1509" i="1" a="1"/>
  <c r="J1509" i="1" s="1"/>
  <c r="J1510" i="1" a="1"/>
  <c r="J1510" i="1" s="1"/>
  <c r="J1511" i="1" a="1"/>
  <c r="J1511" i="1" s="1"/>
  <c r="J1512" i="1" a="1"/>
  <c r="J1512" i="1" s="1"/>
  <c r="J1513" i="1" a="1"/>
  <c r="J1513" i="1" s="1"/>
  <c r="J1514" i="1" a="1"/>
  <c r="J1514" i="1" s="1"/>
  <c r="J1515" i="1" a="1"/>
  <c r="J1515" i="1" s="1"/>
  <c r="J1516" i="1" a="1"/>
  <c r="J1516" i="1" s="1"/>
  <c r="J1517" i="1" a="1"/>
  <c r="J1517" i="1" s="1"/>
  <c r="J1518" i="1" a="1"/>
  <c r="J1518" i="1" s="1"/>
  <c r="J1519" i="1" a="1"/>
  <c r="J1519" i="1" s="1"/>
  <c r="J1520" i="1" a="1"/>
  <c r="J1520" i="1" s="1"/>
  <c r="J1521" i="1" a="1"/>
  <c r="J1521" i="1" s="1"/>
  <c r="J1522" i="1" a="1"/>
  <c r="J1522" i="1" s="1"/>
  <c r="J1523" i="1" a="1"/>
  <c r="J1523" i="1" s="1"/>
  <c r="J1524" i="1" a="1"/>
  <c r="J1524" i="1" s="1"/>
  <c r="J1525" i="1" a="1"/>
  <c r="J1525" i="1" s="1"/>
  <c r="J1526" i="1" a="1"/>
  <c r="J1526" i="1" s="1"/>
  <c r="J1527" i="1" a="1"/>
  <c r="J1527" i="1" s="1"/>
  <c r="J1528" i="1" a="1"/>
  <c r="J1528" i="1" s="1"/>
  <c r="J1529" i="1" a="1"/>
  <c r="J1529" i="1" s="1"/>
  <c r="J1530" i="1" a="1"/>
  <c r="J1530" i="1" s="1"/>
  <c r="J1531" i="1" a="1"/>
  <c r="J1531" i="1" s="1"/>
  <c r="J1532" i="1" a="1"/>
  <c r="J1532" i="1" s="1"/>
  <c r="J1533" i="1" a="1"/>
  <c r="J1533" i="1" s="1"/>
  <c r="J1534" i="1" a="1"/>
  <c r="J1534" i="1" s="1"/>
  <c r="J1535" i="1" a="1"/>
  <c r="J1535" i="1" s="1"/>
  <c r="J1536" i="1" a="1"/>
  <c r="J1536" i="1" s="1"/>
  <c r="J1537" i="1" a="1"/>
  <c r="J1537" i="1" s="1"/>
  <c r="J1538" i="1" a="1"/>
  <c r="J1538" i="1" s="1"/>
  <c r="J1539" i="1" a="1"/>
  <c r="J1539" i="1" s="1"/>
  <c r="J1540" i="1" a="1"/>
  <c r="J1540" i="1" s="1"/>
  <c r="J1541" i="1" a="1"/>
  <c r="J1541" i="1" s="1"/>
  <c r="J2276" i="1" a="1"/>
  <c r="J2276" i="1" s="1"/>
  <c r="J1542" i="1" a="1"/>
  <c r="J1542" i="1" s="1"/>
  <c r="J1543" i="1" a="1"/>
  <c r="J1543" i="1" s="1"/>
  <c r="J2515" i="1" a="1"/>
  <c r="J2515" i="1" s="1"/>
  <c r="J2516" i="1" a="1"/>
  <c r="J2516" i="1" s="1"/>
  <c r="J1544" i="1" a="1"/>
  <c r="J1544" i="1" s="1"/>
  <c r="J1545" i="1" a="1"/>
  <c r="J1545" i="1" s="1"/>
  <c r="J1546" i="1" a="1"/>
  <c r="J1546" i="1" s="1"/>
  <c r="J1547" i="1" a="1"/>
  <c r="J1547" i="1" s="1"/>
  <c r="J1548" i="1" a="1"/>
  <c r="J1548" i="1" s="1"/>
  <c r="J1549" i="1" a="1"/>
  <c r="J1549" i="1" s="1"/>
  <c r="J1550" i="1" a="1"/>
  <c r="J1550" i="1" s="1"/>
  <c r="J1551" i="1" a="1"/>
  <c r="J1551" i="1" s="1"/>
  <c r="J1552" i="1" a="1"/>
  <c r="J1552" i="1" s="1"/>
  <c r="J2517" i="1" a="1"/>
  <c r="J2517" i="1" s="1"/>
  <c r="J2518" i="1" a="1"/>
  <c r="J2518" i="1" s="1"/>
  <c r="J1553" i="1" a="1"/>
  <c r="J1553" i="1" s="1"/>
  <c r="J1554" i="1" a="1"/>
  <c r="J1554" i="1" s="1"/>
  <c r="J1555" i="1" a="1"/>
  <c r="J1555" i="1" s="1"/>
  <c r="J1556" i="1" a="1"/>
  <c r="J1556" i="1" s="1"/>
  <c r="J1557" i="1" a="1"/>
  <c r="J1557" i="1" s="1"/>
  <c r="J2519" i="1" a="1"/>
  <c r="J2519" i="1" s="1"/>
  <c r="J1558" i="1" a="1"/>
  <c r="J1558" i="1" s="1"/>
  <c r="J1559" i="1" a="1"/>
  <c r="J1559" i="1" s="1"/>
  <c r="J1560" i="1" a="1"/>
  <c r="J1560" i="1" s="1"/>
  <c r="J1561" i="1" a="1"/>
  <c r="J1561" i="1" s="1"/>
  <c r="J1562" i="1" a="1"/>
  <c r="J1562" i="1" s="1"/>
  <c r="J1563" i="1" a="1"/>
  <c r="J1563" i="1" s="1"/>
  <c r="J1564" i="1" a="1"/>
  <c r="J1564" i="1" s="1"/>
  <c r="J2277" i="1" a="1"/>
  <c r="J2277" i="1" s="1"/>
  <c r="J1565" i="1" a="1"/>
  <c r="J1565" i="1" s="1"/>
  <c r="J1566" i="1" a="1"/>
  <c r="J1566" i="1" s="1"/>
  <c r="J1567" i="1" a="1"/>
  <c r="J1567" i="1" s="1"/>
  <c r="J2278" i="1" a="1"/>
  <c r="J2278" i="1" s="1"/>
  <c r="J1568" i="1" a="1"/>
  <c r="J1568" i="1" s="1"/>
  <c r="J2520" i="1" a="1"/>
  <c r="J2520" i="1" s="1"/>
  <c r="J1569" i="1" a="1"/>
  <c r="J1569" i="1" s="1"/>
  <c r="J1570" i="1" a="1"/>
  <c r="J1570" i="1" s="1"/>
  <c r="J2279" i="1" a="1"/>
  <c r="J2279" i="1" s="1"/>
  <c r="J1571" i="1" a="1"/>
  <c r="J1571" i="1" s="1"/>
  <c r="J1572" i="1" a="1"/>
  <c r="J1572" i="1" s="1"/>
  <c r="J1573" i="1" a="1"/>
  <c r="J1573" i="1" s="1"/>
  <c r="J1574" i="1" a="1"/>
  <c r="J1574" i="1" s="1"/>
  <c r="J1575" i="1" a="1"/>
  <c r="J1575" i="1" s="1"/>
  <c r="J1576" i="1" a="1"/>
  <c r="J1576" i="1" s="1"/>
  <c r="J1577" i="1" a="1"/>
  <c r="J1577" i="1" s="1"/>
  <c r="J1578" i="1" a="1"/>
  <c r="J1578" i="1" s="1"/>
  <c r="J1579" i="1" a="1"/>
  <c r="J1579" i="1" s="1"/>
  <c r="J2280" i="1" a="1"/>
  <c r="J2280" i="1" s="1"/>
  <c r="J1580" i="1" a="1"/>
  <c r="J1580" i="1" s="1"/>
  <c r="J2521" i="1" a="1"/>
  <c r="J2521" i="1" s="1"/>
  <c r="J1581" i="1" a="1"/>
  <c r="J1581" i="1" s="1"/>
  <c r="J1582" i="1" a="1"/>
  <c r="J1582" i="1" s="1"/>
  <c r="J2522" i="1" a="1"/>
  <c r="J2522" i="1" s="1"/>
  <c r="J1583" i="1" a="1"/>
  <c r="J1583" i="1" s="1"/>
  <c r="J1584" i="1" a="1"/>
  <c r="J1584" i="1" s="1"/>
  <c r="J1585" i="1" a="1"/>
  <c r="J1585" i="1" s="1"/>
  <c r="J2523" i="1" a="1"/>
  <c r="J2523" i="1" s="1"/>
  <c r="J1586" i="1" a="1"/>
  <c r="J1586" i="1" s="1"/>
  <c r="J1587" i="1" a="1"/>
  <c r="J1587" i="1" s="1"/>
  <c r="J1588" i="1" a="1"/>
  <c r="J1588" i="1" s="1"/>
  <c r="J2524" i="1" a="1"/>
  <c r="J2524" i="1" s="1"/>
  <c r="J2525" i="1" a="1"/>
  <c r="J2525" i="1" s="1"/>
  <c r="J1589" i="1" a="1"/>
  <c r="J1589" i="1" s="1"/>
  <c r="J1590" i="1" a="1"/>
  <c r="J1590" i="1" s="1"/>
  <c r="J1591" i="1" a="1"/>
  <c r="J1591" i="1" s="1"/>
  <c r="J1592" i="1" a="1"/>
  <c r="J1592" i="1" s="1"/>
  <c r="J1593" i="1" a="1"/>
  <c r="J1593" i="1" s="1"/>
  <c r="J1594" i="1" a="1"/>
  <c r="J1594" i="1" s="1"/>
  <c r="J1595" i="1" a="1"/>
  <c r="J1595" i="1" s="1"/>
  <c r="J1596" i="1" a="1"/>
  <c r="J1596" i="1" s="1"/>
  <c r="J1597" i="1" a="1"/>
  <c r="J1597" i="1" s="1"/>
  <c r="J1598" i="1" a="1"/>
  <c r="J1598" i="1" s="1"/>
  <c r="J1599" i="1" a="1"/>
  <c r="J1599" i="1" s="1"/>
  <c r="J1600" i="1" a="1"/>
  <c r="J1600" i="1" s="1"/>
  <c r="J1601" i="1" a="1"/>
  <c r="J1601" i="1" s="1"/>
  <c r="J1602" i="1" a="1"/>
  <c r="J1602" i="1" s="1"/>
  <c r="J1603" i="1" a="1"/>
  <c r="J1603" i="1" s="1"/>
  <c r="J1604" i="1" a="1"/>
  <c r="J1604" i="1" s="1"/>
  <c r="J1605" i="1" a="1"/>
  <c r="J1605" i="1" s="1"/>
  <c r="J1606" i="1" a="1"/>
  <c r="J1606" i="1" s="1"/>
  <c r="J1607" i="1" a="1"/>
  <c r="J1607" i="1" s="1"/>
  <c r="J1608" i="1" a="1"/>
  <c r="J1608" i="1" s="1"/>
  <c r="J1609" i="1" a="1"/>
  <c r="J1609" i="1" s="1"/>
  <c r="J2281" i="1" a="1"/>
  <c r="J2281" i="1" s="1"/>
  <c r="J2526" i="1" a="1"/>
  <c r="J2526" i="1" s="1"/>
  <c r="J1610" i="1" a="1"/>
  <c r="J1610" i="1" s="1"/>
  <c r="J1611" i="1" a="1"/>
  <c r="J1611" i="1" s="1"/>
  <c r="J1612" i="1" a="1"/>
  <c r="J1612" i="1" s="1"/>
  <c r="J1613" i="1" a="1"/>
  <c r="J1613" i="1" s="1"/>
  <c r="J1614" i="1" a="1"/>
  <c r="J1614" i="1" s="1"/>
  <c r="J1615" i="1" a="1"/>
  <c r="J1615" i="1" s="1"/>
  <c r="J1616" i="1" a="1"/>
  <c r="J1616" i="1" s="1"/>
  <c r="J1617" i="1" a="1"/>
  <c r="J1617" i="1" s="1"/>
  <c r="J1618" i="1" a="1"/>
  <c r="J1618" i="1" s="1"/>
  <c r="J1619" i="1" a="1"/>
  <c r="J1619" i="1" s="1"/>
  <c r="J2527" i="1" a="1"/>
  <c r="J2527" i="1" s="1"/>
  <c r="J1620" i="1" a="1"/>
  <c r="J1620" i="1" s="1"/>
  <c r="J1621" i="1" a="1"/>
  <c r="J1621" i="1" s="1"/>
  <c r="J1622" i="1" a="1"/>
  <c r="J1622" i="1" s="1"/>
  <c r="J1623" i="1" a="1"/>
  <c r="J1623" i="1" s="1"/>
  <c r="J2528" i="1" a="1"/>
  <c r="J2528" i="1" s="1"/>
  <c r="J1624" i="1" a="1"/>
  <c r="J1624" i="1" s="1"/>
  <c r="J1625" i="1" a="1"/>
  <c r="J1625" i="1" s="1"/>
  <c r="J1626" i="1" a="1"/>
  <c r="J1626" i="1" s="1"/>
  <c r="J1627" i="1" a="1"/>
  <c r="J1627" i="1" s="1"/>
  <c r="J1628" i="1" a="1"/>
  <c r="J1628" i="1" s="1"/>
  <c r="J1629" i="1" a="1"/>
  <c r="J1629" i="1" s="1"/>
  <c r="J1630" i="1" a="1"/>
  <c r="J1630" i="1" s="1"/>
  <c r="J1631" i="1" a="1"/>
  <c r="J1631" i="1" s="1"/>
  <c r="J1632" i="1" a="1"/>
  <c r="J1632" i="1" s="1"/>
  <c r="J1633" i="1" a="1"/>
  <c r="J1633" i="1" s="1"/>
  <c r="J1634" i="1" a="1"/>
  <c r="J1634" i="1" s="1"/>
  <c r="J1635" i="1" a="1"/>
  <c r="J1635" i="1" s="1"/>
  <c r="J1636" i="1" a="1"/>
  <c r="J1636" i="1" s="1"/>
  <c r="J1637" i="1" a="1"/>
  <c r="J1637" i="1" s="1"/>
  <c r="J1638" i="1" a="1"/>
  <c r="J1638" i="1" s="1"/>
  <c r="J2529" i="1" a="1"/>
  <c r="J2529" i="1" s="1"/>
  <c r="J1639" i="1" a="1"/>
  <c r="J1639" i="1" s="1"/>
  <c r="J2530" i="1" a="1"/>
  <c r="J2530" i="1" s="1"/>
  <c r="J1640" i="1" a="1"/>
  <c r="J1640" i="1" s="1"/>
  <c r="J1641" i="1" a="1"/>
  <c r="J1641" i="1" s="1"/>
  <c r="J1642" i="1" a="1"/>
  <c r="J1642" i="1" s="1"/>
  <c r="J1643" i="1" a="1"/>
  <c r="J1643" i="1" s="1"/>
  <c r="J1644" i="1" a="1"/>
  <c r="J1644" i="1" s="1"/>
  <c r="J1645" i="1" a="1"/>
  <c r="J1645" i="1" s="1"/>
  <c r="J2531" i="1" a="1"/>
  <c r="J2531" i="1" s="1"/>
  <c r="J1646" i="1" a="1"/>
  <c r="J1646" i="1" s="1"/>
  <c r="J1647" i="1" a="1"/>
  <c r="J1647" i="1" s="1"/>
  <c r="J1648" i="1" a="1"/>
  <c r="J1648" i="1" s="1"/>
  <c r="J1649" i="1" a="1"/>
  <c r="J1649" i="1" s="1"/>
  <c r="J2532" i="1" a="1"/>
  <c r="J2532" i="1" s="1"/>
  <c r="J1650" i="1" a="1"/>
  <c r="J1650" i="1" s="1"/>
  <c r="J1651" i="1" a="1"/>
  <c r="J1651" i="1" s="1"/>
  <c r="J2533" i="1" a="1"/>
  <c r="J2533" i="1" s="1"/>
  <c r="J1652" i="1" a="1"/>
  <c r="J1652" i="1" s="1"/>
  <c r="J2534" i="1" a="1"/>
  <c r="J2534" i="1" s="1"/>
  <c r="J1653" i="1" a="1"/>
  <c r="J1653" i="1" s="1"/>
  <c r="J1654" i="1" a="1"/>
  <c r="J1654" i="1" s="1"/>
  <c r="J1655" i="1" a="1"/>
  <c r="J1655" i="1" s="1"/>
  <c r="J1656" i="1" a="1"/>
  <c r="J1656" i="1" s="1"/>
  <c r="J1657" i="1" a="1"/>
  <c r="J1657" i="1" s="1"/>
  <c r="J1658" i="1" a="1"/>
  <c r="J1658" i="1" s="1"/>
  <c r="J1659" i="1" a="1"/>
  <c r="J1659" i="1" s="1"/>
  <c r="J1660" i="1" a="1"/>
  <c r="J1660" i="1" s="1"/>
  <c r="J1661" i="1" a="1"/>
  <c r="J1661" i="1" s="1"/>
  <c r="J1662" i="1" a="1"/>
  <c r="J1662" i="1" s="1"/>
  <c r="J1663" i="1" a="1"/>
  <c r="J1663" i="1" s="1"/>
  <c r="J1664" i="1" a="1"/>
  <c r="J1664" i="1" s="1"/>
  <c r="J1665" i="1" a="1"/>
  <c r="J1665" i="1" s="1"/>
  <c r="J2535" i="1" a="1"/>
  <c r="J2535" i="1" s="1"/>
  <c r="J1666" i="1" a="1"/>
  <c r="J1666" i="1" s="1"/>
  <c r="J2536" i="1" a="1"/>
  <c r="J2536" i="1" s="1"/>
  <c r="J1667" i="1" a="1"/>
  <c r="J1667" i="1" s="1"/>
  <c r="J1668" i="1" a="1"/>
  <c r="J1668" i="1" s="1"/>
  <c r="J1669" i="1" a="1"/>
  <c r="J1669" i="1" s="1"/>
  <c r="J1670" i="1" a="1"/>
  <c r="J1670" i="1" s="1"/>
  <c r="J1671" i="1" a="1"/>
  <c r="J1671" i="1" s="1"/>
  <c r="J1672" i="1" a="1"/>
  <c r="J1672" i="1" s="1"/>
  <c r="J1673" i="1" a="1"/>
  <c r="J1673" i="1" s="1"/>
  <c r="J1674" i="1" a="1"/>
  <c r="J1674" i="1" s="1"/>
  <c r="J1675" i="1" a="1"/>
  <c r="J1675" i="1" s="1"/>
  <c r="J2537" i="1" a="1"/>
  <c r="J2537" i="1" s="1"/>
  <c r="J1676" i="1" a="1"/>
  <c r="J1676" i="1" s="1"/>
  <c r="J1677" i="1" a="1"/>
  <c r="J1677" i="1" s="1"/>
  <c r="J1678" i="1" a="1"/>
  <c r="J1678" i="1" s="1"/>
  <c r="J1679" i="1" a="1"/>
  <c r="J1679" i="1" s="1"/>
  <c r="J1680" i="1" a="1"/>
  <c r="J1680" i="1" s="1"/>
  <c r="J1681" i="1" a="1"/>
  <c r="J1681" i="1" s="1"/>
  <c r="J1682" i="1" a="1"/>
  <c r="J1682" i="1" s="1"/>
  <c r="J1683" i="1" a="1"/>
  <c r="J1683" i="1" s="1"/>
  <c r="J1684" i="1" a="1"/>
  <c r="J1684" i="1" s="1"/>
  <c r="J1685" i="1" a="1"/>
  <c r="J1685" i="1" s="1"/>
  <c r="J1686" i="1" a="1"/>
  <c r="J1686" i="1" s="1"/>
  <c r="J1687" i="1" a="1"/>
  <c r="J1687" i="1" s="1"/>
  <c r="J1688" i="1" a="1"/>
  <c r="J1688" i="1" s="1"/>
  <c r="J1689" i="1" a="1"/>
  <c r="J1689" i="1" s="1"/>
  <c r="J1690" i="1" a="1"/>
  <c r="J1690" i="1" s="1"/>
  <c r="J1691" i="1" a="1"/>
  <c r="J1691" i="1" s="1"/>
  <c r="J1692" i="1" a="1"/>
  <c r="J1692" i="1" s="1"/>
  <c r="J1693" i="1" a="1"/>
  <c r="J1693" i="1" s="1"/>
  <c r="J1694" i="1" a="1"/>
  <c r="J1694" i="1" s="1"/>
  <c r="J1695" i="1" a="1"/>
  <c r="J1695" i="1" s="1"/>
  <c r="J1696" i="1" a="1"/>
  <c r="J1696" i="1" s="1"/>
  <c r="J1697" i="1" a="1"/>
  <c r="J1697" i="1" s="1"/>
  <c r="J1698" i="1" a="1"/>
  <c r="J1698" i="1" s="1"/>
  <c r="J1699" i="1" a="1"/>
  <c r="J1699" i="1" s="1"/>
  <c r="J2538" i="1" a="1"/>
  <c r="J2538" i="1" s="1"/>
  <c r="J1700" i="1" a="1"/>
  <c r="J1700" i="1" s="1"/>
  <c r="J1701" i="1" a="1"/>
  <c r="J1701" i="1" s="1"/>
  <c r="J1702" i="1" a="1"/>
  <c r="J1702" i="1" s="1"/>
  <c r="J1703" i="1" a="1"/>
  <c r="J1703" i="1" s="1"/>
  <c r="J1704" i="1" a="1"/>
  <c r="J1704" i="1" s="1"/>
  <c r="J1705" i="1" a="1"/>
  <c r="J1705" i="1" s="1"/>
  <c r="J1706" i="1" a="1"/>
  <c r="J1706" i="1" s="1"/>
  <c r="J1707" i="1" a="1"/>
  <c r="J1707" i="1" s="1"/>
  <c r="J1708" i="1" a="1"/>
  <c r="J1708" i="1" s="1"/>
  <c r="J2539" i="1" a="1"/>
  <c r="J2539" i="1" s="1"/>
  <c r="J1709" i="1" a="1"/>
  <c r="J1709" i="1" s="1"/>
  <c r="J2540" i="1" a="1"/>
  <c r="J2540" i="1" s="1"/>
  <c r="J2282" i="1" a="1"/>
  <c r="J2282" i="1" s="1"/>
  <c r="J1710" i="1" a="1"/>
  <c r="J1710" i="1" s="1"/>
  <c r="J1711" i="1" a="1"/>
  <c r="J1711" i="1" s="1"/>
  <c r="J2541" i="1" a="1"/>
  <c r="J2541" i="1" s="1"/>
  <c r="J2542" i="1" a="1"/>
  <c r="J2542" i="1" s="1"/>
  <c r="J1712" i="1" a="1"/>
  <c r="J1712" i="1" s="1"/>
  <c r="J1713" i="1" a="1"/>
  <c r="J1713" i="1" s="1"/>
  <c r="J1714" i="1" a="1"/>
  <c r="J1714" i="1" s="1"/>
  <c r="J2543" i="1" a="1"/>
  <c r="J2543" i="1" s="1"/>
  <c r="J1715" i="1" a="1"/>
  <c r="J1715" i="1" s="1"/>
  <c r="J1716" i="1" a="1"/>
  <c r="J1716" i="1" s="1"/>
  <c r="J1717" i="1" a="1"/>
  <c r="J1717" i="1" s="1"/>
  <c r="J1718" i="1" a="1"/>
  <c r="J1718" i="1" s="1"/>
  <c r="J1719" i="1" a="1"/>
  <c r="J1719" i="1" s="1"/>
  <c r="J2283" i="1" a="1"/>
  <c r="J2283" i="1" s="1"/>
  <c r="J1720" i="1" a="1"/>
  <c r="J1720" i="1" s="1"/>
  <c r="J1721" i="1" a="1"/>
  <c r="J1721" i="1" s="1"/>
  <c r="J1722" i="1" a="1"/>
  <c r="J1722" i="1" s="1"/>
  <c r="J1723" i="1" a="1"/>
  <c r="J1723" i="1" s="1"/>
  <c r="J2544" i="1" a="1"/>
  <c r="J2544" i="1" s="1"/>
  <c r="J2545" i="1" a="1"/>
  <c r="J2545" i="1" s="1"/>
  <c r="J1724" i="1" a="1"/>
  <c r="J1724" i="1" s="1"/>
  <c r="J2546" i="1" a="1"/>
  <c r="J2546" i="1" s="1"/>
  <c r="J1725" i="1" a="1"/>
  <c r="J1725" i="1" s="1"/>
  <c r="J1726" i="1" a="1"/>
  <c r="J1726" i="1" s="1"/>
  <c r="J1727" i="1" a="1"/>
  <c r="J1727" i="1" s="1"/>
  <c r="J1728" i="1" a="1"/>
  <c r="J1728" i="1" s="1"/>
  <c r="J1729" i="1" a="1"/>
  <c r="J1729" i="1" s="1"/>
  <c r="J1730" i="1" a="1"/>
  <c r="J1730" i="1" s="1"/>
  <c r="J1731" i="1" a="1"/>
  <c r="J1731" i="1" s="1"/>
  <c r="J1732" i="1" a="1"/>
  <c r="J1732" i="1" s="1"/>
  <c r="J1733" i="1" a="1"/>
  <c r="J1733" i="1" s="1"/>
  <c r="J1734" i="1" a="1"/>
  <c r="J1734" i="1" s="1"/>
  <c r="J1735" i="1" a="1"/>
  <c r="J1735" i="1" s="1"/>
  <c r="J1736" i="1" a="1"/>
  <c r="J1736" i="1" s="1"/>
  <c r="J2547" i="1" a="1"/>
  <c r="J2547" i="1" s="1"/>
  <c r="J1737" i="1" a="1"/>
  <c r="J1737" i="1" s="1"/>
  <c r="J1738" i="1" a="1"/>
  <c r="J1738" i="1" s="1"/>
  <c r="J1739" i="1" a="1"/>
  <c r="J1739" i="1" s="1"/>
  <c r="J1740" i="1" a="1"/>
  <c r="J1740" i="1" s="1"/>
  <c r="J1741" i="1" a="1"/>
  <c r="J1741" i="1" s="1"/>
  <c r="J1742" i="1" a="1"/>
  <c r="J1742" i="1" s="1"/>
  <c r="J1743" i="1" a="1"/>
  <c r="J1743" i="1" s="1"/>
  <c r="J1744" i="1" a="1"/>
  <c r="J1744" i="1" s="1"/>
  <c r="J1745" i="1" a="1"/>
  <c r="J1745" i="1" s="1"/>
  <c r="J1746" i="1" a="1"/>
  <c r="J1746" i="1" s="1"/>
  <c r="J1747" i="1" a="1"/>
  <c r="J1747" i="1" s="1"/>
  <c r="J2548" i="1" a="1"/>
  <c r="J2548" i="1" s="1"/>
  <c r="J1748" i="1" a="1"/>
  <c r="J1748" i="1" s="1"/>
  <c r="J1749" i="1" a="1"/>
  <c r="J1749" i="1" s="1"/>
  <c r="J1750" i="1" a="1"/>
  <c r="J1750" i="1" s="1"/>
  <c r="J1751" i="1" a="1"/>
  <c r="J1751" i="1" s="1"/>
  <c r="J1752" i="1" a="1"/>
  <c r="J1752" i="1" s="1"/>
  <c r="J2549" i="1" a="1"/>
  <c r="J2549" i="1" s="1"/>
  <c r="J1753" i="1" a="1"/>
  <c r="J1753" i="1" s="1"/>
  <c r="J1754" i="1" a="1"/>
  <c r="J1754" i="1" s="1"/>
  <c r="J1755" i="1" a="1"/>
  <c r="J1755" i="1" s="1"/>
  <c r="J1756" i="1" a="1"/>
  <c r="J1756" i="1" s="1"/>
  <c r="J1757" i="1" a="1"/>
  <c r="J1757" i="1" s="1"/>
  <c r="J1758" i="1" a="1"/>
  <c r="J1758" i="1" s="1"/>
  <c r="J2550" i="1" a="1"/>
  <c r="J2550" i="1" s="1"/>
  <c r="J1759" i="1" a="1"/>
  <c r="J1759" i="1" s="1"/>
  <c r="J1760" i="1" a="1"/>
  <c r="J1760" i="1" s="1"/>
  <c r="J1761" i="1" a="1"/>
  <c r="J1761" i="1" s="1"/>
  <c r="J1762" i="1" a="1"/>
  <c r="J1762" i="1" s="1"/>
  <c r="J1763" i="1" a="1"/>
  <c r="J1763" i="1" s="1"/>
  <c r="J1764" i="1" a="1"/>
  <c r="J1764" i="1" s="1"/>
  <c r="J1765" i="1" a="1"/>
  <c r="J1765" i="1" s="1"/>
  <c r="J1766" i="1" a="1"/>
  <c r="J1766" i="1" s="1"/>
  <c r="J1767" i="1" a="1"/>
  <c r="J1767" i="1" s="1"/>
  <c r="J1768" i="1" a="1"/>
  <c r="J1768" i="1" s="1"/>
  <c r="J1769" i="1" a="1"/>
  <c r="J1769" i="1" s="1"/>
  <c r="J1770" i="1" a="1"/>
  <c r="J1770" i="1" s="1"/>
  <c r="J1771" i="1" a="1"/>
  <c r="J1771" i="1" s="1"/>
  <c r="J1772" i="1" a="1"/>
  <c r="J1772" i="1" s="1"/>
  <c r="J2284" i="1" a="1"/>
  <c r="J2284" i="1" s="1"/>
  <c r="J1773" i="1" a="1"/>
  <c r="J1773" i="1" s="1"/>
  <c r="J1774" i="1" a="1"/>
  <c r="J1774" i="1" s="1"/>
  <c r="J1775" i="1" a="1"/>
  <c r="J1775" i="1" s="1"/>
  <c r="J1776" i="1" a="1"/>
  <c r="J1776" i="1" s="1"/>
  <c r="J1777" i="1" a="1"/>
  <c r="J1777" i="1" s="1"/>
  <c r="J1778" i="1" a="1"/>
  <c r="J1778" i="1" s="1"/>
  <c r="J1779" i="1" a="1"/>
  <c r="J1779" i="1" s="1"/>
  <c r="J1780" i="1" a="1"/>
  <c r="J1780" i="1" s="1"/>
  <c r="J1781" i="1" a="1"/>
  <c r="J1781" i="1" s="1"/>
  <c r="J1782" i="1" a="1"/>
  <c r="J1782" i="1" s="1"/>
  <c r="J1783" i="1" a="1"/>
  <c r="J1783" i="1" s="1"/>
  <c r="J2551" i="1" a="1"/>
  <c r="J2551" i="1" s="1"/>
  <c r="J2552" i="1" a="1"/>
  <c r="J2552" i="1" s="1"/>
  <c r="J1784" i="1" a="1"/>
  <c r="J1784" i="1" s="1"/>
  <c r="J1785" i="1" a="1"/>
  <c r="J1785" i="1" s="1"/>
  <c r="J1786" i="1" a="1"/>
  <c r="J1786" i="1" s="1"/>
  <c r="J1787" i="1" a="1"/>
  <c r="J1787" i="1" s="1"/>
  <c r="J2553" i="1" a="1"/>
  <c r="J2553" i="1" s="1"/>
  <c r="J1788" i="1" a="1"/>
  <c r="J1788" i="1" s="1"/>
  <c r="J2554" i="1" a="1"/>
  <c r="J2554" i="1" s="1"/>
  <c r="J1789" i="1" a="1"/>
  <c r="J1789" i="1" s="1"/>
  <c r="J1790" i="1" a="1"/>
  <c r="J1790" i="1" s="1"/>
  <c r="J2555" i="1" a="1"/>
  <c r="J2555" i="1" s="1"/>
  <c r="J1791" i="1" a="1"/>
  <c r="J1791" i="1" s="1"/>
  <c r="J1792" i="1" a="1"/>
  <c r="J1792" i="1" s="1"/>
  <c r="J1793" i="1" a="1"/>
  <c r="J1793" i="1" s="1"/>
  <c r="J1794" i="1" a="1"/>
  <c r="J1794" i="1" s="1"/>
  <c r="J1795" i="1" a="1"/>
  <c r="J1795" i="1" s="1"/>
  <c r="J1796" i="1" a="1"/>
  <c r="J1796" i="1" s="1"/>
  <c r="J1797" i="1" a="1"/>
  <c r="J1797" i="1" s="1"/>
  <c r="J1798" i="1" a="1"/>
  <c r="J1798" i="1" s="1"/>
  <c r="J1799" i="1" a="1"/>
  <c r="J1799" i="1" s="1"/>
  <c r="J1800" i="1" a="1"/>
  <c r="J1800" i="1" s="1"/>
  <c r="J1801" i="1" a="1"/>
  <c r="J1801" i="1" s="1"/>
  <c r="J1802" i="1" a="1"/>
  <c r="J1802" i="1" s="1"/>
  <c r="J2556" i="1" a="1"/>
  <c r="J2556" i="1" s="1"/>
  <c r="J1803" i="1" a="1"/>
  <c r="J1803" i="1" s="1"/>
  <c r="J1804" i="1" a="1"/>
  <c r="J1804" i="1" s="1"/>
  <c r="J1805" i="1" a="1"/>
  <c r="J1805" i="1" s="1"/>
  <c r="J1806" i="1" a="1"/>
  <c r="J1806" i="1" s="1"/>
  <c r="J1807" i="1" a="1"/>
  <c r="J1807" i="1" s="1"/>
  <c r="J2557" i="1" a="1"/>
  <c r="J2557" i="1" s="1"/>
  <c r="J1808" i="1" a="1"/>
  <c r="J1808" i="1" s="1"/>
  <c r="J1809" i="1" a="1"/>
  <c r="J1809" i="1" s="1"/>
  <c r="J1810" i="1" a="1"/>
  <c r="J1810" i="1" s="1"/>
  <c r="J1811" i="1" a="1"/>
  <c r="J1811" i="1" s="1"/>
  <c r="J1812" i="1" a="1"/>
  <c r="J1812" i="1" s="1"/>
  <c r="J1813" i="1" a="1"/>
  <c r="J1813" i="1" s="1"/>
  <c r="J1814" i="1" a="1"/>
  <c r="J1814" i="1" s="1"/>
  <c r="J1815" i="1" a="1"/>
  <c r="J1815" i="1" s="1"/>
  <c r="J1816" i="1" a="1"/>
  <c r="J1816" i="1" s="1"/>
  <c r="J1817" i="1" a="1"/>
  <c r="J1817" i="1" s="1"/>
  <c r="J1818" i="1" a="1"/>
  <c r="J1818" i="1" s="1"/>
  <c r="J1819" i="1" a="1"/>
  <c r="J1819" i="1" s="1"/>
  <c r="J1820" i="1" a="1"/>
  <c r="J1820" i="1" s="1"/>
  <c r="J1821" i="1" a="1"/>
  <c r="J1821" i="1" s="1"/>
  <c r="J1822" i="1" a="1"/>
  <c r="J1822" i="1" s="1"/>
  <c r="J1823" i="1" a="1"/>
  <c r="J1823" i="1" s="1"/>
  <c r="J1824" i="1" a="1"/>
  <c r="J1824" i="1" s="1"/>
  <c r="J1825" i="1" a="1"/>
  <c r="J1825" i="1" s="1"/>
  <c r="J1826" i="1" a="1"/>
  <c r="J1826" i="1" s="1"/>
  <c r="J1827" i="1" a="1"/>
  <c r="J1827" i="1" s="1"/>
  <c r="J1828" i="1" a="1"/>
  <c r="J1828" i="1" s="1"/>
  <c r="J1829" i="1" a="1"/>
  <c r="J1829" i="1" s="1"/>
  <c r="J1830" i="1" a="1"/>
  <c r="J1830" i="1" s="1"/>
  <c r="J1831" i="1" a="1"/>
  <c r="J1831" i="1" s="1"/>
  <c r="J1832" i="1" a="1"/>
  <c r="J1832" i="1" s="1"/>
  <c r="J1833" i="1" a="1"/>
  <c r="J1833" i="1" s="1"/>
  <c r="J1834" i="1" a="1"/>
  <c r="J1834" i="1" s="1"/>
  <c r="J1835" i="1" a="1"/>
  <c r="J1835" i="1" s="1"/>
  <c r="J1836" i="1" a="1"/>
  <c r="J1836" i="1" s="1"/>
  <c r="J1837" i="1" a="1"/>
  <c r="J1837" i="1" s="1"/>
  <c r="J1838" i="1" a="1"/>
  <c r="J1838" i="1" s="1"/>
  <c r="J1839" i="1" a="1"/>
  <c r="J1839" i="1" s="1"/>
  <c r="J1840" i="1" a="1"/>
  <c r="J1840" i="1" s="1"/>
  <c r="J1841" i="1" a="1"/>
  <c r="J1841" i="1" s="1"/>
  <c r="J2558" i="1" a="1"/>
  <c r="J2558" i="1" s="1"/>
  <c r="J1842" i="1" a="1"/>
  <c r="J1842" i="1" s="1"/>
  <c r="J1843" i="1" a="1"/>
  <c r="J1843" i="1" s="1"/>
  <c r="J1844" i="1" a="1"/>
  <c r="J1844" i="1" s="1"/>
  <c r="J1845" i="1" a="1"/>
  <c r="J1845" i="1" s="1"/>
  <c r="J1846" i="1" a="1"/>
  <c r="J1846" i="1" s="1"/>
  <c r="J1847" i="1" a="1"/>
  <c r="J1847" i="1" s="1"/>
  <c r="J1848" i="1" a="1"/>
  <c r="J1848" i="1" s="1"/>
  <c r="J2559" i="1" a="1"/>
  <c r="J2559" i="1" s="1"/>
  <c r="J1849" i="1" a="1"/>
  <c r="J1849" i="1" s="1"/>
  <c r="J1850" i="1" a="1"/>
  <c r="J1850" i="1" s="1"/>
  <c r="J1851" i="1" a="1"/>
  <c r="J1851" i="1" s="1"/>
  <c r="J1852" i="1" a="1"/>
  <c r="J1852" i="1" s="1"/>
  <c r="J2560" i="1" a="1"/>
  <c r="J2560" i="1" s="1"/>
  <c r="J1853" i="1" a="1"/>
  <c r="J1853" i="1" s="1"/>
  <c r="J1854" i="1" a="1"/>
  <c r="J1854" i="1" s="1"/>
  <c r="J1855" i="1" a="1"/>
  <c r="J1855" i="1" s="1"/>
  <c r="J1856" i="1" a="1"/>
  <c r="J1856" i="1" s="1"/>
  <c r="J1857" i="1" a="1"/>
  <c r="J1857" i="1" s="1"/>
  <c r="J1858" i="1" a="1"/>
  <c r="J1858" i="1" s="1"/>
  <c r="J1859" i="1" a="1"/>
  <c r="J1859" i="1" s="1"/>
  <c r="J1860" i="1" a="1"/>
  <c r="J1860" i="1" s="1"/>
  <c r="J1861" i="1" a="1"/>
  <c r="J1861" i="1" s="1"/>
  <c r="J1862" i="1" a="1"/>
  <c r="J1862" i="1" s="1"/>
  <c r="J1863" i="1" a="1"/>
  <c r="J1863" i="1" s="1"/>
  <c r="J1864" i="1" a="1"/>
  <c r="J1864" i="1" s="1"/>
  <c r="J1865" i="1" a="1"/>
  <c r="J1865" i="1" s="1"/>
  <c r="J1866" i="1" a="1"/>
  <c r="J1866" i="1" s="1"/>
  <c r="J1867" i="1" a="1"/>
  <c r="J1867" i="1" s="1"/>
  <c r="J1868" i="1" a="1"/>
  <c r="J1868" i="1" s="1"/>
  <c r="J1869" i="1" a="1"/>
  <c r="J1869" i="1" s="1"/>
  <c r="J1870" i="1" a="1"/>
  <c r="J1870" i="1" s="1"/>
  <c r="J1871" i="1" a="1"/>
  <c r="J1871" i="1" s="1"/>
  <c r="J1872" i="1" a="1"/>
  <c r="J1872" i="1" s="1"/>
  <c r="J2561" i="1" a="1"/>
  <c r="J2561" i="1" s="1"/>
  <c r="J2562" i="1" a="1"/>
  <c r="J2562" i="1" s="1"/>
  <c r="J1873" i="1" a="1"/>
  <c r="J1873" i="1" s="1"/>
  <c r="J1874" i="1" a="1"/>
  <c r="J1874" i="1" s="1"/>
  <c r="J1875" i="1" a="1"/>
  <c r="J1875" i="1" s="1"/>
  <c r="J1876" i="1" a="1"/>
  <c r="J1876" i="1" s="1"/>
  <c r="J1877" i="1" a="1"/>
  <c r="J1877" i="1" s="1"/>
  <c r="J1878" i="1" a="1"/>
  <c r="J1878" i="1" s="1"/>
  <c r="J1879" i="1" a="1"/>
  <c r="J1879" i="1" s="1"/>
  <c r="J1880" i="1" a="1"/>
  <c r="J1880" i="1" s="1"/>
  <c r="J2563" i="1" a="1"/>
  <c r="J2563" i="1" s="1"/>
  <c r="J1881" i="1" a="1"/>
  <c r="J1881" i="1" s="1"/>
  <c r="J1882" i="1" a="1"/>
  <c r="J1882" i="1" s="1"/>
  <c r="J1883" i="1" a="1"/>
  <c r="J1883" i="1" s="1"/>
  <c r="J1884" i="1" a="1"/>
  <c r="J1884" i="1" s="1"/>
  <c r="J1885" i="1" a="1"/>
  <c r="J1885" i="1" s="1"/>
  <c r="J1886" i="1" a="1"/>
  <c r="J1886" i="1" s="1"/>
  <c r="J1887" i="1" a="1"/>
  <c r="J1887" i="1" s="1"/>
  <c r="J1888" i="1" a="1"/>
  <c r="J1888" i="1" s="1"/>
  <c r="J1889" i="1" a="1"/>
  <c r="J1889" i="1" s="1"/>
  <c r="J1890" i="1" a="1"/>
  <c r="J1890" i="1" s="1"/>
  <c r="J1891" i="1" a="1"/>
  <c r="J1891" i="1" s="1"/>
  <c r="J1892" i="1" a="1"/>
  <c r="J1892" i="1" s="1"/>
  <c r="J1893" i="1" a="1"/>
  <c r="J1893" i="1" s="1"/>
  <c r="J1894" i="1" a="1"/>
  <c r="J1894" i="1" s="1"/>
  <c r="J1895" i="1" a="1"/>
  <c r="J1895" i="1" s="1"/>
  <c r="J1896" i="1" a="1"/>
  <c r="J1896" i="1" s="1"/>
  <c r="J1897" i="1" a="1"/>
  <c r="J1897" i="1" s="1"/>
  <c r="J1898" i="1" a="1"/>
  <c r="J1898" i="1" s="1"/>
  <c r="J1899" i="1" a="1"/>
  <c r="J1899" i="1" s="1"/>
  <c r="J1900" i="1" a="1"/>
  <c r="J1900" i="1" s="1"/>
  <c r="J1901" i="1" a="1"/>
  <c r="J1901" i="1" s="1"/>
  <c r="J1902" i="1" a="1"/>
  <c r="J1902" i="1" s="1"/>
  <c r="J1903" i="1" a="1"/>
  <c r="J1903" i="1" s="1"/>
  <c r="J1904" i="1" a="1"/>
  <c r="J1904" i="1" s="1"/>
  <c r="J1905" i="1" a="1"/>
  <c r="J1905" i="1" s="1"/>
  <c r="J2564" i="1" a="1"/>
  <c r="J2564" i="1" s="1"/>
  <c r="J1906" i="1" a="1"/>
  <c r="J1906" i="1" s="1"/>
  <c r="J2565" i="1" a="1"/>
  <c r="J2565" i="1" s="1"/>
  <c r="J1907" i="1" a="1"/>
  <c r="J1907" i="1" s="1"/>
  <c r="J2566" i="1" a="1"/>
  <c r="J2566" i="1" s="1"/>
  <c r="J1908" i="1" a="1"/>
  <c r="J1908" i="1" s="1"/>
  <c r="J1909" i="1" a="1"/>
  <c r="J1909" i="1" s="1"/>
  <c r="J1910" i="1" a="1"/>
  <c r="J1910" i="1" s="1"/>
  <c r="J1911" i="1" a="1"/>
  <c r="J1911" i="1" s="1"/>
  <c r="J1912" i="1" a="1"/>
  <c r="J1912" i="1" s="1"/>
  <c r="J1913" i="1" a="1"/>
  <c r="J1913" i="1" s="1"/>
  <c r="J1914" i="1" a="1"/>
  <c r="J1914" i="1" s="1"/>
  <c r="J1915" i="1" a="1"/>
  <c r="J1915" i="1" s="1"/>
  <c r="J1916" i="1" a="1"/>
  <c r="J1916" i="1" s="1"/>
  <c r="J1917" i="1" a="1"/>
  <c r="J1917" i="1" s="1"/>
  <c r="J1918" i="1" a="1"/>
  <c r="J1918" i="1" s="1"/>
  <c r="J1919" i="1" a="1"/>
  <c r="J1919" i="1" s="1"/>
  <c r="J1920" i="1" a="1"/>
  <c r="J1920" i="1" s="1"/>
  <c r="J1921" i="1" a="1"/>
  <c r="J1921" i="1" s="1"/>
  <c r="J1922" i="1" a="1"/>
  <c r="J1922" i="1" s="1"/>
  <c r="J1923" i="1" a="1"/>
  <c r="J1923" i="1" s="1"/>
  <c r="J1924" i="1" a="1"/>
  <c r="J1924" i="1" s="1"/>
  <c r="J1925" i="1" a="1"/>
  <c r="J1925" i="1" s="1"/>
  <c r="J1926" i="1" a="1"/>
  <c r="J1926" i="1" s="1"/>
  <c r="J1927" i="1" a="1"/>
  <c r="J1927" i="1" s="1"/>
  <c r="J1928" i="1" a="1"/>
  <c r="J1928" i="1" s="1"/>
  <c r="J1929" i="1" a="1"/>
  <c r="J1929" i="1" s="1"/>
  <c r="J1930" i="1" a="1"/>
  <c r="J1930" i="1" s="1"/>
  <c r="J2567" i="1" a="1"/>
  <c r="J2567" i="1" s="1"/>
  <c r="J2568" i="1" a="1"/>
  <c r="J2568" i="1" s="1"/>
  <c r="J1931" i="1" a="1"/>
  <c r="J1931" i="1" s="1"/>
  <c r="J2569" i="1" a="1"/>
  <c r="J2569" i="1" s="1"/>
  <c r="J1932" i="1" a="1"/>
  <c r="J1932" i="1" s="1"/>
  <c r="J1933" i="1" a="1"/>
  <c r="J1933" i="1" s="1"/>
  <c r="J1934" i="1" a="1"/>
  <c r="J1934" i="1" s="1"/>
  <c r="J1935" i="1" a="1"/>
  <c r="J1935" i="1" s="1"/>
  <c r="J2570" i="1" a="1"/>
  <c r="J2570" i="1" s="1"/>
  <c r="J1936" i="1" a="1"/>
  <c r="J1936" i="1" s="1"/>
  <c r="J1937" i="1" a="1"/>
  <c r="J1937" i="1" s="1"/>
  <c r="J1938" i="1" a="1"/>
  <c r="J1938" i="1" s="1"/>
  <c r="J1939" i="1" a="1"/>
  <c r="J1939" i="1" s="1"/>
  <c r="J2571" i="1" a="1"/>
  <c r="J2571" i="1" s="1"/>
  <c r="J2572" i="1" a="1"/>
  <c r="J2572" i="1" s="1"/>
  <c r="J1940" i="1" a="1"/>
  <c r="J1940" i="1" s="1"/>
  <c r="J1941" i="1" a="1"/>
  <c r="J1941" i="1" s="1"/>
  <c r="J1942" i="1" a="1"/>
  <c r="J1942" i="1" s="1"/>
  <c r="J1943" i="1" a="1"/>
  <c r="J1943" i="1" s="1"/>
  <c r="J1944" i="1" a="1"/>
  <c r="J1944" i="1" s="1"/>
  <c r="J1945" i="1" a="1"/>
  <c r="J1945" i="1" s="1"/>
  <c r="J1946" i="1" a="1"/>
  <c r="J1946" i="1" s="1"/>
  <c r="J1947" i="1" a="1"/>
  <c r="J1947" i="1" s="1"/>
  <c r="J1948" i="1" a="1"/>
  <c r="J1948" i="1" s="1"/>
  <c r="J1949" i="1" a="1"/>
  <c r="J1949" i="1" s="1"/>
  <c r="J1950" i="1" a="1"/>
  <c r="J1950" i="1" s="1"/>
  <c r="J1951" i="1" a="1"/>
  <c r="J1951" i="1" s="1"/>
  <c r="J2285" i="1" a="1"/>
  <c r="J2285" i="1" s="1"/>
  <c r="J2573" i="1" a="1"/>
  <c r="J2573" i="1" s="1"/>
  <c r="J1952" i="1" a="1"/>
  <c r="J1952" i="1" s="1"/>
  <c r="J1953" i="1" a="1"/>
  <c r="J1953" i="1" s="1"/>
  <c r="J2574" i="1" a="1"/>
  <c r="J2574" i="1" s="1"/>
  <c r="J1954" i="1" a="1"/>
  <c r="J1954" i="1" s="1"/>
  <c r="J1955" i="1" a="1"/>
  <c r="J1955" i="1" s="1"/>
  <c r="J1956" i="1" a="1"/>
  <c r="J1956" i="1" s="1"/>
  <c r="J1957" i="1" a="1"/>
  <c r="J1957" i="1" s="1"/>
  <c r="J1958" i="1" a="1"/>
  <c r="J1958" i="1" s="1"/>
  <c r="J1959" i="1" a="1"/>
  <c r="J1959" i="1" s="1"/>
  <c r="J1960" i="1" a="1"/>
  <c r="J1960" i="1" s="1"/>
  <c r="J1961" i="1" a="1"/>
  <c r="J1961" i="1" s="1"/>
  <c r="J1962" i="1" a="1"/>
  <c r="J1962" i="1" s="1"/>
  <c r="J1963" i="1" a="1"/>
  <c r="J1963" i="1" s="1"/>
  <c r="J1964" i="1" a="1"/>
  <c r="J1964" i="1" s="1"/>
  <c r="J1965" i="1" a="1"/>
  <c r="J1965" i="1" s="1"/>
  <c r="J1966" i="1" a="1"/>
  <c r="J1966" i="1" s="1"/>
  <c r="J1967" i="1" a="1"/>
  <c r="J1967" i="1" s="1"/>
  <c r="J2575" i="1" a="1"/>
  <c r="J2575" i="1" s="1"/>
  <c r="J1968" i="1" a="1"/>
  <c r="J1968" i="1" s="1"/>
  <c r="J1969" i="1" a="1"/>
  <c r="J1969" i="1" s="1"/>
  <c r="J2576" i="1" a="1"/>
  <c r="J2576" i="1" s="1"/>
  <c r="J1970" i="1" a="1"/>
  <c r="J1970" i="1" s="1"/>
  <c r="J1971" i="1" a="1"/>
  <c r="J1971" i="1" s="1"/>
  <c r="J1972" i="1" a="1"/>
  <c r="J1972" i="1" s="1"/>
  <c r="J1973" i="1" a="1"/>
  <c r="J1973" i="1" s="1"/>
  <c r="J1974" i="1" a="1"/>
  <c r="J1974" i="1" s="1"/>
  <c r="J2286" i="1" a="1"/>
  <c r="J2286" i="1" s="1"/>
  <c r="J1975" i="1" a="1"/>
  <c r="J1975" i="1" s="1"/>
  <c r="J2577" i="1" a="1"/>
  <c r="J2577" i="1" s="1"/>
  <c r="J1976" i="1" a="1"/>
  <c r="J1976" i="1" s="1"/>
  <c r="J1977" i="1" a="1"/>
  <c r="J1977" i="1" s="1"/>
  <c r="J1978" i="1" a="1"/>
  <c r="J1978" i="1" s="1"/>
  <c r="J1979" i="1" a="1"/>
  <c r="J1979" i="1" s="1"/>
  <c r="J1980" i="1" a="1"/>
  <c r="J1980" i="1" s="1"/>
  <c r="J2578" i="1" a="1"/>
  <c r="J2578" i="1" s="1"/>
  <c r="J1981" i="1" a="1"/>
  <c r="J1981" i="1" s="1"/>
  <c r="J1982" i="1" a="1"/>
  <c r="J1982" i="1" s="1"/>
  <c r="J1983" i="1" a="1"/>
  <c r="J1983" i="1" s="1"/>
  <c r="J1984" i="1" a="1"/>
  <c r="J1984" i="1" s="1"/>
  <c r="J1985" i="1" a="1"/>
  <c r="J1985" i="1" s="1"/>
  <c r="J1986" i="1" a="1"/>
  <c r="J1986" i="1" s="1"/>
  <c r="J1987" i="1" a="1"/>
  <c r="J1987" i="1" s="1"/>
  <c r="J1988" i="1" a="1"/>
  <c r="J1988" i="1" s="1"/>
  <c r="J1989" i="1" a="1"/>
  <c r="J1989" i="1" s="1"/>
  <c r="J1990" i="1" a="1"/>
  <c r="J1990" i="1" s="1"/>
  <c r="J1991" i="1" a="1"/>
  <c r="J1991" i="1" s="1"/>
  <c r="J1992" i="1" a="1"/>
  <c r="J1992" i="1" s="1"/>
  <c r="J1993" i="1" a="1"/>
  <c r="J1993" i="1" s="1"/>
  <c r="J1994" i="1" a="1"/>
  <c r="J1994" i="1" s="1"/>
  <c r="J1995" i="1" a="1"/>
  <c r="J1995" i="1" s="1"/>
  <c r="J1996" i="1" a="1"/>
  <c r="J1996" i="1" s="1"/>
  <c r="J1997" i="1" a="1"/>
  <c r="J1997" i="1" s="1"/>
  <c r="J1998" i="1" a="1"/>
  <c r="J1998" i="1" s="1"/>
  <c r="J1999" i="1" a="1"/>
  <c r="J1999" i="1" s="1"/>
  <c r="J2000" i="1" a="1"/>
  <c r="J2000" i="1" s="1"/>
  <c r="J2001" i="1" a="1"/>
  <c r="J2001" i="1" s="1"/>
  <c r="J2002" i="1" a="1"/>
  <c r="J2002" i="1" s="1"/>
  <c r="J2003" i="1" a="1"/>
  <c r="J2003" i="1" s="1"/>
  <c r="J2004" i="1" a="1"/>
  <c r="J2004" i="1" s="1"/>
  <c r="J2005" i="1" a="1"/>
  <c r="J2005" i="1" s="1"/>
  <c r="J2006" i="1" a="1"/>
  <c r="J2006" i="1" s="1"/>
  <c r="J2007" i="1" a="1"/>
  <c r="J2007" i="1" s="1"/>
  <c r="J2008" i="1" a="1"/>
  <c r="J2008" i="1" s="1"/>
  <c r="J2009" i="1" a="1"/>
  <c r="J2009" i="1" s="1"/>
  <c r="J2010" i="1" a="1"/>
  <c r="J2010" i="1" s="1"/>
  <c r="J2011" i="1" a="1"/>
  <c r="J2011" i="1" s="1"/>
  <c r="J2012" i="1" a="1"/>
  <c r="J2012" i="1" s="1"/>
  <c r="J2013" i="1" a="1"/>
  <c r="J2013" i="1" s="1"/>
  <c r="J2014" i="1" a="1"/>
  <c r="J2014" i="1" s="1"/>
  <c r="J2015" i="1" a="1"/>
  <c r="J2015" i="1" s="1"/>
  <c r="J2016" i="1" a="1"/>
  <c r="J2016" i="1" s="1"/>
  <c r="J2017" i="1" a="1"/>
  <c r="J2017" i="1" s="1"/>
  <c r="J2018" i="1" a="1"/>
  <c r="J2018" i="1" s="1"/>
  <c r="J2019" i="1" a="1"/>
  <c r="J2019" i="1" s="1"/>
  <c r="J2020" i="1" a="1"/>
  <c r="J2020" i="1" s="1"/>
  <c r="J2021" i="1" a="1"/>
  <c r="J2021" i="1" s="1"/>
  <c r="J2022" i="1" a="1"/>
  <c r="J2022" i="1" s="1"/>
  <c r="J2023" i="1" a="1"/>
  <c r="J2023" i="1" s="1"/>
  <c r="J2024" i="1" a="1"/>
  <c r="J2024" i="1" s="1"/>
  <c r="J2025" i="1" a="1"/>
  <c r="J2025" i="1" s="1"/>
  <c r="J2026" i="1" a="1"/>
  <c r="J2026" i="1" s="1"/>
  <c r="J2579" i="1" a="1"/>
  <c r="J2579" i="1" s="1"/>
  <c r="J2580" i="1" a="1"/>
  <c r="J2580" i="1" s="1"/>
  <c r="J2027" i="1" a="1"/>
  <c r="J2027" i="1" s="1"/>
  <c r="J2028" i="1" a="1"/>
  <c r="J2028" i="1" s="1"/>
  <c r="J2029" i="1" a="1"/>
  <c r="J2029" i="1" s="1"/>
  <c r="J2030" i="1" a="1"/>
  <c r="J2030" i="1" s="1"/>
  <c r="J2031" i="1" a="1"/>
  <c r="J2031" i="1" s="1"/>
  <c r="J2032" i="1" a="1"/>
  <c r="J2032" i="1" s="1"/>
  <c r="J2033" i="1" a="1"/>
  <c r="J2033" i="1" s="1"/>
  <c r="J2034" i="1" a="1"/>
  <c r="J2034" i="1" s="1"/>
  <c r="J2035" i="1" a="1"/>
  <c r="J2035" i="1" s="1"/>
  <c r="J2036" i="1" a="1"/>
  <c r="J2036" i="1" s="1"/>
  <c r="J2581" i="1" a="1"/>
  <c r="J2581" i="1" s="1"/>
  <c r="J2037" i="1" a="1"/>
  <c r="J2037" i="1" s="1"/>
  <c r="J2038" i="1" a="1"/>
  <c r="J2038" i="1" s="1"/>
  <c r="J2039" i="1" a="1"/>
  <c r="J2039" i="1" s="1"/>
  <c r="J2040" i="1" a="1"/>
  <c r="J2040" i="1" s="1"/>
  <c r="J2041" i="1" a="1"/>
  <c r="J2041" i="1" s="1"/>
  <c r="J2042" i="1" a="1"/>
  <c r="J2042" i="1" s="1"/>
  <c r="J2043" i="1" a="1"/>
  <c r="J2043" i="1" s="1"/>
  <c r="J2044" i="1" a="1"/>
  <c r="J2044" i="1" s="1"/>
  <c r="J2582" i="1" a="1"/>
  <c r="J2582" i="1" s="1"/>
  <c r="J2045" i="1" a="1"/>
  <c r="J2045" i="1" s="1"/>
  <c r="J2046" i="1" a="1"/>
  <c r="J2046" i="1" s="1"/>
  <c r="J2047" i="1" a="1"/>
  <c r="J2047" i="1" s="1"/>
  <c r="J2048" i="1" a="1"/>
  <c r="J2048" i="1" s="1"/>
  <c r="J2049" i="1" a="1"/>
  <c r="J2049" i="1" s="1"/>
  <c r="J2050" i="1" a="1"/>
  <c r="J2050" i="1" s="1"/>
  <c r="J2051" i="1" a="1"/>
  <c r="J2051" i="1" s="1"/>
  <c r="J2052" i="1" a="1"/>
  <c r="J2052" i="1" s="1"/>
  <c r="J2053" i="1" a="1"/>
  <c r="J2053" i="1" s="1"/>
  <c r="J2054" i="1" a="1"/>
  <c r="J2054" i="1" s="1"/>
  <c r="J2055" i="1" a="1"/>
  <c r="J2055" i="1" s="1"/>
  <c r="J2056" i="1" a="1"/>
  <c r="J2056" i="1" s="1"/>
  <c r="J2057" i="1" a="1"/>
  <c r="J2057" i="1" s="1"/>
  <c r="J2058" i="1" a="1"/>
  <c r="J2058" i="1" s="1"/>
  <c r="J2059" i="1" a="1"/>
  <c r="J2059" i="1" s="1"/>
  <c r="J2060" i="1" a="1"/>
  <c r="J2060" i="1" s="1"/>
  <c r="J2061" i="1" a="1"/>
  <c r="J2061" i="1" s="1"/>
  <c r="J2062" i="1" a="1"/>
  <c r="J2062" i="1" s="1"/>
  <c r="J2063" i="1" a="1"/>
  <c r="J2063" i="1" s="1"/>
  <c r="J2583" i="1" a="1"/>
  <c r="J2583" i="1" s="1"/>
  <c r="J2064" i="1" a="1"/>
  <c r="J2064" i="1" s="1"/>
  <c r="J2065" i="1" a="1"/>
  <c r="J2065" i="1" s="1"/>
  <c r="J2066" i="1" a="1"/>
  <c r="J2066" i="1" s="1"/>
  <c r="J2067" i="1" a="1"/>
  <c r="J2067" i="1" s="1"/>
  <c r="J2068" i="1" a="1"/>
  <c r="J2068" i="1" s="1"/>
  <c r="J2069" i="1" a="1"/>
  <c r="J2069" i="1" s="1"/>
  <c r="J2070" i="1" a="1"/>
  <c r="J2070" i="1" s="1"/>
  <c r="J2071" i="1" a="1"/>
  <c r="J2071" i="1" s="1"/>
  <c r="J2584" i="1" a="1"/>
  <c r="J2584" i="1" s="1"/>
  <c r="J2072" i="1" a="1"/>
  <c r="J2072" i="1" s="1"/>
  <c r="J2073" i="1" a="1"/>
  <c r="J2073" i="1" s="1"/>
  <c r="J2074" i="1" a="1"/>
  <c r="J2074" i="1" s="1"/>
  <c r="J2075" i="1" a="1"/>
  <c r="J2075" i="1" s="1"/>
  <c r="J2585" i="1" a="1"/>
  <c r="J2585" i="1" s="1"/>
  <c r="J2076" i="1" a="1"/>
  <c r="J2076" i="1" s="1"/>
  <c r="J2077" i="1" a="1"/>
  <c r="J2077" i="1" s="1"/>
  <c r="J2078" i="1" a="1"/>
  <c r="J2078" i="1" s="1"/>
  <c r="J2079" i="1" a="1"/>
  <c r="J2079" i="1" s="1"/>
  <c r="J2080" i="1" a="1"/>
  <c r="J2080" i="1" s="1"/>
  <c r="J2081" i="1" a="1"/>
  <c r="J2081" i="1" s="1"/>
  <c r="J2082" i="1" a="1"/>
  <c r="J2082" i="1" s="1"/>
  <c r="J2083" i="1" a="1"/>
  <c r="J2083" i="1" s="1"/>
  <c r="J2084" i="1" a="1"/>
  <c r="J2084" i="1" s="1"/>
  <c r="J2085" i="1" a="1"/>
  <c r="J2085" i="1" s="1"/>
  <c r="J2086" i="1" a="1"/>
  <c r="J2086" i="1" s="1"/>
  <c r="J2087" i="1" a="1"/>
  <c r="J2087" i="1" s="1"/>
  <c r="J2586" i="1" a="1"/>
  <c r="J2586" i="1" s="1"/>
  <c r="J2088" i="1" a="1"/>
  <c r="J2088" i="1" s="1"/>
  <c r="J2587" i="1" a="1"/>
  <c r="J2587" i="1" s="1"/>
  <c r="J2089" i="1" a="1"/>
  <c r="J2089" i="1" s="1"/>
  <c r="J2090" i="1" a="1"/>
  <c r="J2090" i="1" s="1"/>
  <c r="J2091" i="1" a="1"/>
  <c r="J2091" i="1" s="1"/>
  <c r="J2092" i="1" a="1"/>
  <c r="J2092" i="1" s="1"/>
  <c r="J2093" i="1" a="1"/>
  <c r="J2093" i="1" s="1"/>
  <c r="J2094" i="1" a="1"/>
  <c r="J2094" i="1" s="1"/>
  <c r="J2095" i="1" a="1"/>
  <c r="J2095" i="1" s="1"/>
  <c r="J2096" i="1" a="1"/>
  <c r="J2096" i="1" s="1"/>
  <c r="J2097" i="1" a="1"/>
  <c r="J2097" i="1" s="1"/>
  <c r="J2098" i="1" a="1"/>
  <c r="J2098" i="1" s="1"/>
  <c r="J2099" i="1" a="1"/>
  <c r="J2099" i="1" s="1"/>
  <c r="J2100" i="1" a="1"/>
  <c r="J2100" i="1" s="1"/>
  <c r="J2588" i="1" a="1"/>
  <c r="J2588" i="1" s="1"/>
  <c r="J2589" i="1" a="1"/>
  <c r="J2589" i="1" s="1"/>
  <c r="J2101" i="1" a="1"/>
  <c r="J2101" i="1" s="1"/>
  <c r="J2102" i="1" a="1"/>
  <c r="J2102" i="1" s="1"/>
  <c r="J2103" i="1" a="1"/>
  <c r="J2103" i="1" s="1"/>
  <c r="J2104" i="1" a="1"/>
  <c r="J2104" i="1" s="1"/>
  <c r="J2590" i="1" a="1"/>
  <c r="J2590" i="1" s="1"/>
  <c r="J2105" i="1" a="1"/>
  <c r="J2105" i="1" s="1"/>
  <c r="J2106" i="1" a="1"/>
  <c r="J2106" i="1" s="1"/>
  <c r="J2107" i="1" a="1"/>
  <c r="J2107" i="1" s="1"/>
  <c r="J2108" i="1" a="1"/>
  <c r="J2108" i="1" s="1"/>
  <c r="J2109" i="1" a="1"/>
  <c r="J2109" i="1" s="1"/>
  <c r="J2110" i="1" a="1"/>
  <c r="J2110" i="1" s="1"/>
  <c r="J2111" i="1" a="1"/>
  <c r="J2111" i="1" s="1"/>
  <c r="J2112" i="1" a="1"/>
  <c r="J2112" i="1" s="1"/>
  <c r="J2113" i="1" a="1"/>
  <c r="J2113" i="1" s="1"/>
  <c r="J2114" i="1" a="1"/>
  <c r="J2114" i="1" s="1"/>
  <c r="J2115" i="1" a="1"/>
  <c r="J2115" i="1" s="1"/>
  <c r="J2116" i="1" a="1"/>
  <c r="J2116" i="1" s="1"/>
  <c r="J2117" i="1" a="1"/>
  <c r="J2117" i="1" s="1"/>
  <c r="J2118" i="1" a="1"/>
  <c r="J2118" i="1" s="1"/>
  <c r="J2119" i="1" a="1"/>
  <c r="J2119" i="1" s="1"/>
  <c r="J2120" i="1" a="1"/>
  <c r="J2120" i="1" s="1"/>
  <c r="J2121" i="1" a="1"/>
  <c r="J2121" i="1" s="1"/>
  <c r="J2591" i="1" a="1"/>
  <c r="J2591" i="1" s="1"/>
  <c r="J2122" i="1" a="1"/>
  <c r="J2122" i="1" s="1"/>
  <c r="J2123" i="1" a="1"/>
  <c r="J2123" i="1" s="1"/>
  <c r="J2124" i="1" a="1"/>
  <c r="J2124" i="1" s="1"/>
  <c r="J2125" i="1" a="1"/>
  <c r="J2125" i="1" s="1"/>
  <c r="J2126" i="1" a="1"/>
  <c r="J2126" i="1" s="1"/>
  <c r="J2127" i="1" a="1"/>
  <c r="J2127" i="1" s="1"/>
  <c r="J2128" i="1" a="1"/>
  <c r="J2128" i="1" s="1"/>
  <c r="J2129" i="1" a="1"/>
  <c r="J2129" i="1" s="1"/>
  <c r="J2130" i="1" a="1"/>
  <c r="J2130" i="1" s="1"/>
  <c r="J2131" i="1" a="1"/>
  <c r="J2131" i="1" s="1"/>
  <c r="J2132" i="1" a="1"/>
  <c r="J2132" i="1" s="1"/>
  <c r="J2133" i="1" a="1"/>
  <c r="J2133" i="1" s="1"/>
  <c r="J2592" i="1" a="1"/>
  <c r="J2592" i="1" s="1"/>
  <c r="J2134" i="1" a="1"/>
  <c r="J2134" i="1" s="1"/>
  <c r="J2135" i="1" a="1"/>
  <c r="J2135" i="1" s="1"/>
  <c r="J2136" i="1" a="1"/>
  <c r="J2136" i="1" s="1"/>
  <c r="J2137" i="1" a="1"/>
  <c r="J2137" i="1" s="1"/>
  <c r="J2138" i="1" a="1"/>
  <c r="J2138" i="1" s="1"/>
  <c r="J2139" i="1" a="1"/>
  <c r="J2139" i="1" s="1"/>
  <c r="J2140" i="1" a="1"/>
  <c r="J2140" i="1" s="1"/>
  <c r="J2141" i="1" a="1"/>
  <c r="J2141" i="1" s="1"/>
  <c r="J2142" i="1" a="1"/>
  <c r="J2142" i="1" s="1"/>
  <c r="J2143" i="1" a="1"/>
  <c r="J2143" i="1" s="1"/>
  <c r="J2144" i="1" a="1"/>
  <c r="J2144" i="1" s="1"/>
  <c r="J2145" i="1" a="1"/>
  <c r="J2145" i="1" s="1"/>
  <c r="J2146" i="1" a="1"/>
  <c r="J2146" i="1" s="1"/>
  <c r="J2147" i="1" a="1"/>
  <c r="J2147" i="1" s="1"/>
  <c r="J2148" i="1" a="1"/>
  <c r="J2148" i="1" s="1"/>
  <c r="J2149" i="1" a="1"/>
  <c r="J2149" i="1" s="1"/>
  <c r="J2150" i="1" a="1"/>
  <c r="J2150" i="1" s="1"/>
  <c r="J2151" i="1" a="1"/>
  <c r="J2151" i="1" s="1"/>
  <c r="J2152" i="1" a="1"/>
  <c r="J2152" i="1" s="1"/>
  <c r="J2153" i="1" a="1"/>
  <c r="J2153" i="1" s="1"/>
  <c r="J2593" i="1" a="1"/>
  <c r="J2593" i="1" s="1"/>
  <c r="J2154" i="1" a="1"/>
  <c r="J2154" i="1" s="1"/>
  <c r="J2155" i="1" a="1"/>
  <c r="J2155" i="1" s="1"/>
  <c r="J2156" i="1" a="1"/>
  <c r="J2156" i="1" s="1"/>
  <c r="J2594" i="1" a="1"/>
  <c r="J2594" i="1" s="1"/>
  <c r="J2157" i="1" a="1"/>
  <c r="J2157" i="1" s="1"/>
  <c r="J2158" i="1" a="1"/>
  <c r="J2158" i="1" s="1"/>
  <c r="J2159" i="1" a="1"/>
  <c r="J2159" i="1" s="1"/>
  <c r="J2160" i="1" a="1"/>
  <c r="J2160" i="1" s="1"/>
  <c r="J2161" i="1" a="1"/>
  <c r="J2161" i="1" s="1"/>
  <c r="J2162" i="1" a="1"/>
  <c r="J2162" i="1" s="1"/>
  <c r="J2595" i="1" a="1"/>
  <c r="J2595" i="1" s="1"/>
  <c r="J2596" i="1" a="1"/>
  <c r="J2596" i="1" s="1"/>
  <c r="J2163" i="1" a="1"/>
  <c r="J2163" i="1" s="1"/>
  <c r="J2164" i="1" a="1"/>
  <c r="J2164" i="1" s="1"/>
  <c r="J2165" i="1" a="1"/>
  <c r="J2165" i="1" s="1"/>
  <c r="J2166" i="1" a="1"/>
  <c r="J2166" i="1" s="1"/>
  <c r="J2167" i="1" a="1"/>
  <c r="J2167" i="1" s="1"/>
  <c r="J2168" i="1" a="1"/>
  <c r="J2168" i="1" s="1"/>
  <c r="J2169" i="1" a="1"/>
  <c r="J2169" i="1" s="1"/>
  <c r="J2287" i="1" a="1"/>
  <c r="J2287" i="1" s="1"/>
  <c r="J2597" i="1" a="1"/>
  <c r="J2597" i="1" s="1"/>
  <c r="J2170" i="1" a="1"/>
  <c r="J2170" i="1" s="1"/>
  <c r="J2171" i="1" a="1"/>
  <c r="J2171" i="1" s="1"/>
  <c r="J2172" i="1" a="1"/>
  <c r="J2172" i="1" s="1"/>
  <c r="J2173" i="1" a="1"/>
  <c r="J2173" i="1" s="1"/>
  <c r="J2598" i="1" a="1"/>
  <c r="J2598" i="1" s="1"/>
  <c r="J2288" i="1" a="1"/>
  <c r="J2288" i="1" s="1"/>
  <c r="J2174" i="1" a="1"/>
  <c r="J2174" i="1" s="1"/>
  <c r="J2289" i="1" a="1"/>
  <c r="J2289" i="1" s="1"/>
  <c r="J2175" i="1" a="1"/>
  <c r="J2175" i="1" s="1"/>
  <c r="J2176" i="1" a="1"/>
  <c r="J2176" i="1" s="1"/>
  <c r="J2177" i="1" a="1"/>
  <c r="J2177" i="1" s="1"/>
  <c r="J2178" i="1" a="1"/>
  <c r="J2178" i="1" s="1"/>
  <c r="J2179" i="1" a="1"/>
  <c r="J2179" i="1" s="1"/>
  <c r="J2180" i="1" a="1"/>
  <c r="J2180" i="1" s="1"/>
  <c r="J2599" i="1" a="1"/>
  <c r="J2599" i="1" s="1"/>
  <c r="J2181" i="1" a="1"/>
  <c r="J2181" i="1" s="1"/>
  <c r="J2182" i="1" a="1"/>
  <c r="J2182" i="1" s="1"/>
  <c r="J2183" i="1" a="1"/>
  <c r="J2183" i="1" s="1"/>
  <c r="J2184" i="1" a="1"/>
  <c r="J2184" i="1" s="1"/>
  <c r="J2290" i="1" a="1"/>
  <c r="J2290" i="1" s="1"/>
  <c r="J2185" i="1" a="1"/>
  <c r="J2185" i="1" s="1"/>
  <c r="J2186" i="1" a="1"/>
  <c r="J2186" i="1" s="1"/>
  <c r="J2187" i="1" a="1"/>
  <c r="J2187" i="1" s="1"/>
  <c r="J2188" i="1" a="1"/>
  <c r="J2188" i="1" s="1"/>
  <c r="J2189" i="1" a="1"/>
  <c r="J2189" i="1" s="1"/>
  <c r="J2190" i="1" a="1"/>
  <c r="J2190" i="1" s="1"/>
  <c r="J2191" i="1" a="1"/>
  <c r="J2191" i="1" s="1"/>
  <c r="J2192" i="1" a="1"/>
  <c r="J2192" i="1" s="1"/>
  <c r="J2193" i="1" a="1"/>
  <c r="J2193" i="1" s="1"/>
  <c r="J2194" i="1" a="1"/>
  <c r="J2194" i="1" s="1"/>
  <c r="J2195" i="1" a="1"/>
  <c r="J2195" i="1" s="1"/>
  <c r="J2196" i="1" a="1"/>
  <c r="J2196" i="1" s="1"/>
  <c r="J2197" i="1" a="1"/>
  <c r="J2197" i="1" s="1"/>
  <c r="J2600" i="1" a="1"/>
  <c r="J2600" i="1" s="1"/>
  <c r="J2198" i="1" a="1"/>
  <c r="J2198" i="1" s="1"/>
  <c r="J2199" i="1" a="1"/>
  <c r="J2199" i="1" s="1"/>
  <c r="J2200" i="1" a="1"/>
  <c r="J2200" i="1" s="1"/>
  <c r="J2601" i="1" a="1"/>
  <c r="J2601" i="1" s="1"/>
  <c r="J2201" i="1" a="1"/>
  <c r="J2201" i="1" s="1"/>
  <c r="J2202" i="1" a="1"/>
  <c r="J2202" i="1" s="1"/>
  <c r="J2203" i="1" a="1"/>
  <c r="J2203" i="1" s="1"/>
  <c r="J2204" i="1" a="1"/>
  <c r="J2204" i="1" s="1"/>
  <c r="J2205" i="1" a="1"/>
  <c r="J2205" i="1" s="1"/>
  <c r="J2206" i="1" a="1"/>
  <c r="J2206" i="1" s="1"/>
  <c r="J2207" i="1" a="1"/>
  <c r="J2207" i="1" s="1"/>
  <c r="J2208" i="1" a="1"/>
  <c r="J2208" i="1" s="1"/>
  <c r="J2209" i="1" a="1"/>
  <c r="J2209" i="1"/>
  <c r="J2210" i="1" a="1"/>
  <c r="J2210" i="1" s="1"/>
  <c r="J2211" i="1" a="1"/>
  <c r="J2211" i="1" s="1"/>
  <c r="J2212" i="1" a="1"/>
  <c r="J2212" i="1" s="1"/>
  <c r="J2213" i="1" a="1"/>
  <c r="J2213" i="1" s="1"/>
  <c r="J2602" i="1" a="1"/>
  <c r="J2602" i="1" s="1"/>
  <c r="J2214" i="1" a="1"/>
  <c r="J2214" i="1" s="1"/>
  <c r="J2215" i="1" a="1"/>
  <c r="J2215" i="1" s="1"/>
  <c r="J2603" i="1" a="1"/>
  <c r="J2603" i="1" s="1"/>
  <c r="J2216" i="1" a="1"/>
  <c r="J2216" i="1" s="1"/>
  <c r="J2217" i="1" a="1"/>
  <c r="J2217" i="1" s="1"/>
  <c r="J2604" i="1" a="1"/>
  <c r="J2604" i="1" s="1"/>
  <c r="J2218" i="1" a="1"/>
  <c r="J2218" i="1" s="1"/>
  <c r="J2219" i="1" a="1"/>
  <c r="J2219" i="1" s="1"/>
  <c r="J2220" i="1" a="1"/>
  <c r="J2220" i="1" s="1"/>
  <c r="J2221" i="1" a="1"/>
  <c r="J2221" i="1" s="1"/>
  <c r="J2605" i="1" a="1"/>
  <c r="J2605" i="1" s="1"/>
  <c r="J2291" i="1" a="1"/>
  <c r="J2291" i="1" s="1"/>
  <c r="J2222" i="1" a="1"/>
  <c r="J2222" i="1" s="1"/>
  <c r="J2606" i="1" a="1"/>
  <c r="J2606" i="1" s="1"/>
  <c r="J2223" i="1" a="1"/>
  <c r="J2223" i="1" s="1"/>
  <c r="J2224" i="1" a="1"/>
  <c r="J2224" i="1" s="1"/>
  <c r="J2607" i="1" a="1"/>
  <c r="J2607" i="1" s="1"/>
  <c r="J2225" i="1" a="1"/>
  <c r="J2225" i="1" s="1"/>
  <c r="J2226" i="1" a="1"/>
  <c r="J2226" i="1" s="1"/>
  <c r="J2227" i="1" a="1"/>
  <c r="J2227" i="1" s="1"/>
  <c r="J2228" i="1" a="1"/>
  <c r="J2228" i="1" s="1"/>
  <c r="J2229" i="1" a="1"/>
  <c r="J2229" i="1" s="1"/>
  <c r="J2230" i="1" a="1"/>
  <c r="J2230" i="1" s="1"/>
  <c r="J2231" i="1" a="1"/>
  <c r="J2231" i="1" s="1"/>
  <c r="J2232" i="1" a="1"/>
  <c r="J2232" i="1" s="1"/>
  <c r="J2233" i="1" a="1"/>
  <c r="J2233" i="1" s="1"/>
  <c r="J2" i="1" a="1"/>
  <c r="J2" i="1" s="1"/>
  <c r="I3" i="1" a="1"/>
  <c r="I3" i="1" s="1"/>
  <c r="I4" i="1" a="1"/>
  <c r="I4" i="1" s="1"/>
  <c r="I5" i="1" a="1"/>
  <c r="I5" i="1" s="1"/>
  <c r="I6" i="1" a="1"/>
  <c r="I6" i="1" s="1"/>
  <c r="I7" i="1" a="1"/>
  <c r="I7" i="1" s="1"/>
  <c r="I8" i="1" a="1"/>
  <c r="I8" i="1" s="1"/>
  <c r="I9" i="1" a="1"/>
  <c r="I9" i="1" s="1"/>
  <c r="I10" i="1" a="1"/>
  <c r="I10" i="1" s="1"/>
  <c r="I11" i="1" a="1"/>
  <c r="I11" i="1" s="1"/>
  <c r="I12" i="1" a="1"/>
  <c r="I12" i="1" s="1"/>
  <c r="I13" i="1" a="1"/>
  <c r="I13" i="1" s="1"/>
  <c r="I14" i="1" a="1"/>
  <c r="I14" i="1" s="1"/>
  <c r="I15" i="1" a="1"/>
  <c r="I15" i="1" s="1"/>
  <c r="I16" i="1" a="1"/>
  <c r="I16" i="1" s="1"/>
  <c r="I2292" i="1" a="1"/>
  <c r="I2292" i="1" s="1"/>
  <c r="I17" i="1" a="1"/>
  <c r="I17" i="1" s="1"/>
  <c r="I18" i="1" a="1"/>
  <c r="I18" i="1" s="1"/>
  <c r="I19" i="1" a="1"/>
  <c r="I19" i="1" s="1"/>
  <c r="I20" i="1" a="1"/>
  <c r="I20" i="1" s="1"/>
  <c r="I21" i="1" a="1"/>
  <c r="I21" i="1" s="1"/>
  <c r="I22" i="1" a="1"/>
  <c r="I22" i="1" s="1"/>
  <c r="I23" i="1" a="1"/>
  <c r="I23" i="1" s="1"/>
  <c r="I24" i="1" a="1"/>
  <c r="I24" i="1" s="1"/>
  <c r="I25" i="1" a="1"/>
  <c r="I25" i="1" s="1"/>
  <c r="I26" i="1" a="1"/>
  <c r="I26" i="1" s="1"/>
  <c r="I27" i="1" a="1"/>
  <c r="I27" i="1" s="1"/>
  <c r="I28" i="1" a="1"/>
  <c r="I28" i="1" s="1"/>
  <c r="I29" i="1" a="1"/>
  <c r="I29" i="1" s="1"/>
  <c r="I30" i="1" a="1"/>
  <c r="I30" i="1" s="1"/>
  <c r="I31" i="1" a="1"/>
  <c r="I31" i="1" s="1"/>
  <c r="I32" i="1" a="1"/>
  <c r="I32" i="1" s="1"/>
  <c r="I33" i="1" a="1"/>
  <c r="I33" i="1" s="1"/>
  <c r="I2293" i="1" a="1"/>
  <c r="I2293" i="1" s="1"/>
  <c r="I34" i="1" a="1"/>
  <c r="I34" i="1" s="1"/>
  <c r="I35" i="1" a="1"/>
  <c r="I35" i="1" s="1"/>
  <c r="I36" i="1" a="1"/>
  <c r="I36" i="1" s="1"/>
  <c r="I37" i="1" a="1"/>
  <c r="I37" i="1" s="1"/>
  <c r="I38" i="1" a="1"/>
  <c r="I38" i="1" s="1"/>
  <c r="I39" i="1" a="1"/>
  <c r="I39" i="1" s="1"/>
  <c r="I40" i="1" a="1"/>
  <c r="I40" i="1" s="1"/>
  <c r="I41" i="1" a="1"/>
  <c r="I41" i="1" s="1"/>
  <c r="I42" i="1" a="1"/>
  <c r="I42" i="1" s="1"/>
  <c r="I43" i="1" a="1"/>
  <c r="I43" i="1" s="1"/>
  <c r="I44" i="1" a="1"/>
  <c r="I44" i="1" s="1"/>
  <c r="I45" i="1" a="1"/>
  <c r="I45" i="1" s="1"/>
  <c r="I46" i="1" a="1"/>
  <c r="I46" i="1" s="1"/>
  <c r="I47" i="1" a="1"/>
  <c r="I47" i="1" s="1"/>
  <c r="I48" i="1" a="1"/>
  <c r="I48" i="1" s="1"/>
  <c r="I2294" i="1" a="1"/>
  <c r="I2294" i="1" s="1"/>
  <c r="I49" i="1" a="1"/>
  <c r="I49" i="1" s="1"/>
  <c r="I50" i="1" a="1"/>
  <c r="I50" i="1" s="1"/>
  <c r="I51" i="1" a="1"/>
  <c r="I51" i="1" s="1"/>
  <c r="I52" i="1" a="1"/>
  <c r="I52" i="1" s="1"/>
  <c r="I2295" i="1" a="1"/>
  <c r="I2295" i="1" s="1"/>
  <c r="I2296" i="1" a="1"/>
  <c r="I2296" i="1" s="1"/>
  <c r="I53" i="1" a="1"/>
  <c r="I53" i="1" s="1"/>
  <c r="I54" i="1" a="1"/>
  <c r="I54" i="1" s="1"/>
  <c r="I55" i="1" a="1"/>
  <c r="I55" i="1" s="1"/>
  <c r="I56" i="1" a="1"/>
  <c r="I56" i="1" s="1"/>
  <c r="I57" i="1" a="1"/>
  <c r="I57" i="1" s="1"/>
  <c r="I2234" i="1" a="1"/>
  <c r="I2234" i="1" s="1"/>
  <c r="I58" i="1" a="1"/>
  <c r="I58" i="1" s="1"/>
  <c r="I59" i="1" a="1"/>
  <c r="I59" i="1" s="1"/>
  <c r="I60" i="1" a="1"/>
  <c r="I60" i="1" s="1"/>
  <c r="I61" i="1" a="1"/>
  <c r="I61" i="1" s="1"/>
  <c r="I62" i="1" a="1"/>
  <c r="I62" i="1" s="1"/>
  <c r="I2235" i="1" a="1"/>
  <c r="I2235" i="1" s="1"/>
  <c r="I63" i="1" a="1"/>
  <c r="I63" i="1" s="1"/>
  <c r="I64" i="1" a="1"/>
  <c r="I64" i="1" s="1"/>
  <c r="I65" i="1" a="1"/>
  <c r="I65" i="1" s="1"/>
  <c r="I66" i="1" a="1"/>
  <c r="I66" i="1" s="1"/>
  <c r="I67" i="1" a="1"/>
  <c r="I67" i="1" s="1"/>
  <c r="I68" i="1" a="1"/>
  <c r="I68" i="1" s="1"/>
  <c r="I69" i="1" a="1"/>
  <c r="I69" i="1" s="1"/>
  <c r="I70" i="1" a="1"/>
  <c r="I70" i="1" s="1"/>
  <c r="I2297" i="1" a="1"/>
  <c r="I2297" i="1" s="1"/>
  <c r="I71" i="1" a="1"/>
  <c r="I71" i="1" s="1"/>
  <c r="I72" i="1" a="1"/>
  <c r="I72" i="1" s="1"/>
  <c r="I73" i="1" a="1"/>
  <c r="I73" i="1" s="1"/>
  <c r="I74" i="1" a="1"/>
  <c r="I74" i="1" s="1"/>
  <c r="I75" i="1" a="1"/>
  <c r="I75" i="1" s="1"/>
  <c r="I76" i="1" a="1"/>
  <c r="I76" i="1" s="1"/>
  <c r="I77" i="1" a="1"/>
  <c r="I77" i="1" s="1"/>
  <c r="I78" i="1" a="1"/>
  <c r="I78" i="1" s="1"/>
  <c r="I79" i="1" a="1"/>
  <c r="I79" i="1" s="1"/>
  <c r="I80" i="1" a="1"/>
  <c r="I80" i="1" s="1"/>
  <c r="I2236" i="1" a="1"/>
  <c r="I2236" i="1" s="1"/>
  <c r="I81" i="1" a="1"/>
  <c r="I81" i="1" s="1"/>
  <c r="I2298" i="1" a="1"/>
  <c r="I2298" i="1" s="1"/>
  <c r="I82" i="1" a="1"/>
  <c r="I82" i="1" s="1"/>
  <c r="I83" i="1" a="1"/>
  <c r="I83" i="1" s="1"/>
  <c r="I84" i="1" a="1"/>
  <c r="I84" i="1" s="1"/>
  <c r="I85" i="1" a="1"/>
  <c r="I85" i="1" s="1"/>
  <c r="I86" i="1" a="1"/>
  <c r="I86" i="1" s="1"/>
  <c r="I87" i="1" a="1"/>
  <c r="I87" i="1" s="1"/>
  <c r="I88" i="1" a="1"/>
  <c r="I88" i="1" s="1"/>
  <c r="I89" i="1" a="1"/>
  <c r="I89" i="1" s="1"/>
  <c r="I90" i="1" a="1"/>
  <c r="I90" i="1" s="1"/>
  <c r="I91" i="1" a="1"/>
  <c r="I91" i="1" s="1"/>
  <c r="I92" i="1" a="1"/>
  <c r="I92" i="1" s="1"/>
  <c r="I93" i="1" a="1"/>
  <c r="I93" i="1" s="1"/>
  <c r="I94" i="1" a="1"/>
  <c r="I94" i="1" s="1"/>
  <c r="I95" i="1" a="1"/>
  <c r="I95" i="1" s="1"/>
  <c r="I96" i="1" a="1"/>
  <c r="I96" i="1" s="1"/>
  <c r="I97" i="1" a="1"/>
  <c r="I97" i="1" s="1"/>
  <c r="I98" i="1" a="1"/>
  <c r="I98" i="1" s="1"/>
  <c r="I99" i="1" a="1"/>
  <c r="I99" i="1" s="1"/>
  <c r="I100" i="1" a="1"/>
  <c r="I100" i="1" s="1"/>
  <c r="I101" i="1" a="1"/>
  <c r="I101" i="1" s="1"/>
  <c r="I102" i="1" a="1"/>
  <c r="I102" i="1" s="1"/>
  <c r="I2299" i="1" a="1"/>
  <c r="I2299" i="1" s="1"/>
  <c r="I2300" i="1" a="1"/>
  <c r="I2300" i="1" s="1"/>
  <c r="I103" i="1" a="1"/>
  <c r="I103" i="1" s="1"/>
  <c r="I104" i="1" a="1"/>
  <c r="I104" i="1" s="1"/>
  <c r="I105" i="1" a="1"/>
  <c r="I105" i="1" s="1"/>
  <c r="I2301" i="1" a="1"/>
  <c r="I2301" i="1" s="1"/>
  <c r="I106" i="1" a="1"/>
  <c r="I106" i="1" s="1"/>
  <c r="I107" i="1" a="1"/>
  <c r="I107" i="1" s="1"/>
  <c r="I108" i="1" a="1"/>
  <c r="I108" i="1" s="1"/>
  <c r="I109" i="1" a="1"/>
  <c r="I109" i="1" s="1"/>
  <c r="I110" i="1" a="1"/>
  <c r="I110" i="1" s="1"/>
  <c r="I2302" i="1" a="1"/>
  <c r="I2302" i="1" s="1"/>
  <c r="I111" i="1" a="1"/>
  <c r="I111" i="1" s="1"/>
  <c r="I112" i="1" a="1"/>
  <c r="I112" i="1" s="1"/>
  <c r="I113" i="1" a="1"/>
  <c r="I113" i="1" s="1"/>
  <c r="I114" i="1" a="1"/>
  <c r="I114" i="1" s="1"/>
  <c r="I115" i="1" a="1"/>
  <c r="I115" i="1" s="1"/>
  <c r="I116" i="1" a="1"/>
  <c r="I116" i="1" s="1"/>
  <c r="I117" i="1" a="1"/>
  <c r="I117" i="1" s="1"/>
  <c r="I118" i="1" a="1"/>
  <c r="I118" i="1" s="1"/>
  <c r="I119" i="1" a="1"/>
  <c r="I119" i="1" s="1"/>
  <c r="I120" i="1" a="1"/>
  <c r="I120" i="1" s="1"/>
  <c r="I121" i="1" a="1"/>
  <c r="I121" i="1" s="1"/>
  <c r="I122" i="1" a="1"/>
  <c r="I122" i="1" s="1"/>
  <c r="I2303" i="1" a="1"/>
  <c r="I2303" i="1" s="1"/>
  <c r="I123" i="1" a="1"/>
  <c r="I123" i="1" s="1"/>
  <c r="I124" i="1" a="1"/>
  <c r="I124" i="1" s="1"/>
  <c r="I125" i="1" a="1"/>
  <c r="I125" i="1" s="1"/>
  <c r="I126" i="1" a="1"/>
  <c r="I126" i="1" s="1"/>
  <c r="I127" i="1" a="1"/>
  <c r="I127" i="1" s="1"/>
  <c r="I128" i="1" a="1"/>
  <c r="I128" i="1" s="1"/>
  <c r="I129" i="1" a="1"/>
  <c r="I129" i="1" s="1"/>
  <c r="I130" i="1" a="1"/>
  <c r="I130" i="1" s="1"/>
  <c r="I131" i="1" a="1"/>
  <c r="I131" i="1" s="1"/>
  <c r="I132" i="1" a="1"/>
  <c r="I132" i="1" s="1"/>
  <c r="I133" i="1" a="1"/>
  <c r="I133" i="1" s="1"/>
  <c r="I134" i="1" a="1"/>
  <c r="I134" i="1" s="1"/>
  <c r="I2304" i="1" a="1"/>
  <c r="I2304" i="1" s="1"/>
  <c r="I135" i="1" a="1"/>
  <c r="I135" i="1" s="1"/>
  <c r="I136" i="1" a="1"/>
  <c r="I136" i="1" s="1"/>
  <c r="I137" i="1" a="1"/>
  <c r="I137" i="1" s="1"/>
  <c r="I138" i="1" a="1"/>
  <c r="I138" i="1" s="1"/>
  <c r="I2305" i="1" a="1"/>
  <c r="I2305" i="1" s="1"/>
  <c r="I139" i="1" a="1"/>
  <c r="I139" i="1" s="1"/>
  <c r="I140" i="1" a="1"/>
  <c r="I140" i="1" s="1"/>
  <c r="I141" i="1" a="1"/>
  <c r="I141" i="1" s="1"/>
  <c r="I142" i="1" a="1"/>
  <c r="I142" i="1" s="1"/>
  <c r="I143" i="1" a="1"/>
  <c r="I143" i="1" s="1"/>
  <c r="I144" i="1" a="1"/>
  <c r="I144" i="1" s="1"/>
  <c r="I145" i="1" a="1"/>
  <c r="I145" i="1" s="1"/>
  <c r="I146" i="1" a="1"/>
  <c r="I146" i="1" s="1"/>
  <c r="I147" i="1" a="1"/>
  <c r="I147" i="1" s="1"/>
  <c r="I148" i="1" a="1"/>
  <c r="I148" i="1" s="1"/>
  <c r="I149" i="1" a="1"/>
  <c r="I149" i="1" s="1"/>
  <c r="I150" i="1" a="1"/>
  <c r="I150" i="1" s="1"/>
  <c r="I151" i="1" a="1"/>
  <c r="I151" i="1" s="1"/>
  <c r="I152" i="1" a="1"/>
  <c r="I152" i="1" s="1"/>
  <c r="I153" i="1" a="1"/>
  <c r="I153" i="1" s="1"/>
  <c r="I154" i="1" a="1"/>
  <c r="I154" i="1" s="1"/>
  <c r="I155" i="1" a="1"/>
  <c r="I155" i="1" s="1"/>
  <c r="I156" i="1" a="1"/>
  <c r="I156" i="1" s="1"/>
  <c r="I157" i="1" a="1"/>
  <c r="I157" i="1" s="1"/>
  <c r="I158" i="1" a="1"/>
  <c r="I158" i="1" s="1"/>
  <c r="I159" i="1" a="1"/>
  <c r="I159" i="1" s="1"/>
  <c r="I160" i="1" a="1"/>
  <c r="I160" i="1" s="1"/>
  <c r="I161" i="1" a="1"/>
  <c r="I161" i="1" s="1"/>
  <c r="I162" i="1" a="1"/>
  <c r="I162" i="1" s="1"/>
  <c r="I163" i="1" a="1"/>
  <c r="I163" i="1" s="1"/>
  <c r="I164" i="1" a="1"/>
  <c r="I164" i="1" s="1"/>
  <c r="I165" i="1" a="1"/>
  <c r="I165" i="1" s="1"/>
  <c r="I166" i="1" a="1"/>
  <c r="I166" i="1" s="1"/>
  <c r="I167" i="1" a="1"/>
  <c r="I167" i="1" s="1"/>
  <c r="I168" i="1" a="1"/>
  <c r="I168" i="1" s="1"/>
  <c r="I169" i="1" a="1"/>
  <c r="I169" i="1" s="1"/>
  <c r="I170" i="1" a="1"/>
  <c r="I170" i="1" s="1"/>
  <c r="I171" i="1" a="1"/>
  <c r="I171" i="1" s="1"/>
  <c r="I172" i="1" a="1"/>
  <c r="I172" i="1" s="1"/>
  <c r="I173" i="1" a="1"/>
  <c r="I173" i="1" s="1"/>
  <c r="I174" i="1" a="1"/>
  <c r="I174" i="1" s="1"/>
  <c r="I175" i="1" a="1"/>
  <c r="I175" i="1" s="1"/>
  <c r="I176" i="1" a="1"/>
  <c r="I176" i="1" s="1"/>
  <c r="I177" i="1" a="1"/>
  <c r="I177" i="1" s="1"/>
  <c r="I178" i="1" a="1"/>
  <c r="I178" i="1" s="1"/>
  <c r="I179" i="1" a="1"/>
  <c r="I179" i="1" s="1"/>
  <c r="I180" i="1" a="1"/>
  <c r="I180" i="1" s="1"/>
  <c r="I2306" i="1" a="1"/>
  <c r="I2306" i="1" s="1"/>
  <c r="I181" i="1" a="1"/>
  <c r="I181" i="1" s="1"/>
  <c r="I182" i="1" a="1"/>
  <c r="I182" i="1" s="1"/>
  <c r="I183" i="1" a="1"/>
  <c r="I183" i="1" s="1"/>
  <c r="I184" i="1" a="1"/>
  <c r="I184" i="1" s="1"/>
  <c r="I185" i="1" a="1"/>
  <c r="I185" i="1" s="1"/>
  <c r="I186" i="1" a="1"/>
  <c r="I186" i="1" s="1"/>
  <c r="I187" i="1" a="1"/>
  <c r="I187" i="1" s="1"/>
  <c r="I188" i="1" a="1"/>
  <c r="I188" i="1" s="1"/>
  <c r="I2237" i="1" a="1"/>
  <c r="I2237" i="1" s="1"/>
  <c r="I189" i="1" a="1"/>
  <c r="I189" i="1" s="1"/>
  <c r="I190" i="1" a="1"/>
  <c r="I190" i="1" s="1"/>
  <c r="I191" i="1" a="1"/>
  <c r="I191" i="1" s="1"/>
  <c r="I192" i="1" a="1"/>
  <c r="I192" i="1" s="1"/>
  <c r="I193" i="1" a="1"/>
  <c r="I193" i="1" s="1"/>
  <c r="I194" i="1" a="1"/>
  <c r="I194" i="1" s="1"/>
  <c r="I195" i="1" a="1"/>
  <c r="I195" i="1" s="1"/>
  <c r="I2307" i="1" a="1"/>
  <c r="I2307" i="1" s="1"/>
  <c r="I196" i="1" a="1"/>
  <c r="I196" i="1" s="1"/>
  <c r="I197" i="1" a="1"/>
  <c r="I197" i="1" s="1"/>
  <c r="I198" i="1" a="1"/>
  <c r="I198" i="1" s="1"/>
  <c r="I2308" i="1" a="1"/>
  <c r="I2308" i="1" s="1"/>
  <c r="I199" i="1" a="1"/>
  <c r="I199" i="1" s="1"/>
  <c r="I2309" i="1" a="1"/>
  <c r="I2309" i="1" s="1"/>
  <c r="I200" i="1" a="1"/>
  <c r="I200" i="1" s="1"/>
  <c r="I201" i="1" a="1"/>
  <c r="I201" i="1" s="1"/>
  <c r="I202" i="1" a="1"/>
  <c r="I202" i="1" s="1"/>
  <c r="I2238" i="1" a="1"/>
  <c r="I2238" i="1" s="1"/>
  <c r="I203" i="1" a="1"/>
  <c r="I203" i="1" s="1"/>
  <c r="I2310" i="1" a="1"/>
  <c r="I2310" i="1" s="1"/>
  <c r="I204" i="1" a="1"/>
  <c r="I204" i="1" s="1"/>
  <c r="I2311" i="1" a="1"/>
  <c r="I2311" i="1" s="1"/>
  <c r="I205" i="1" a="1"/>
  <c r="I205" i="1" s="1"/>
  <c r="I206" i="1" a="1"/>
  <c r="I206" i="1" s="1"/>
  <c r="I207" i="1" a="1"/>
  <c r="I207" i="1" s="1"/>
  <c r="I208" i="1" a="1"/>
  <c r="I208" i="1" s="1"/>
  <c r="I209" i="1" a="1"/>
  <c r="I209" i="1" s="1"/>
  <c r="I210" i="1" a="1"/>
  <c r="I210" i="1" s="1"/>
  <c r="I2312" i="1" a="1"/>
  <c r="I2312" i="1" s="1"/>
  <c r="I211" i="1" a="1"/>
  <c r="I211" i="1" s="1"/>
  <c r="I212" i="1" a="1"/>
  <c r="I212" i="1" s="1"/>
  <c r="I213" i="1" a="1"/>
  <c r="I213" i="1" s="1"/>
  <c r="I214" i="1" a="1"/>
  <c r="I214" i="1" s="1"/>
  <c r="I215" i="1" a="1"/>
  <c r="I215" i="1" s="1"/>
  <c r="I2313" i="1" a="1"/>
  <c r="I2313" i="1" s="1"/>
  <c r="I2314" i="1" a="1"/>
  <c r="I2314" i="1" s="1"/>
  <c r="I216" i="1" a="1"/>
  <c r="I216" i="1" s="1"/>
  <c r="I217" i="1" a="1"/>
  <c r="I217" i="1" s="1"/>
  <c r="I2315" i="1" a="1"/>
  <c r="I2315" i="1" s="1"/>
  <c r="I2239" i="1" a="1"/>
  <c r="I2239" i="1" s="1"/>
  <c r="I218" i="1" a="1"/>
  <c r="I218" i="1" s="1"/>
  <c r="I219" i="1" a="1"/>
  <c r="I219" i="1" s="1"/>
  <c r="I220" i="1" a="1"/>
  <c r="I220" i="1" s="1"/>
  <c r="I221" i="1" a="1"/>
  <c r="I221" i="1" s="1"/>
  <c r="I222" i="1" a="1"/>
  <c r="I222" i="1" s="1"/>
  <c r="I2316" i="1" a="1"/>
  <c r="I2316" i="1" s="1"/>
  <c r="I223" i="1" a="1"/>
  <c r="I223" i="1" s="1"/>
  <c r="I224" i="1" a="1"/>
  <c r="I224" i="1" s="1"/>
  <c r="I225" i="1" a="1"/>
  <c r="I225" i="1" s="1"/>
  <c r="I226" i="1" a="1"/>
  <c r="I226" i="1" s="1"/>
  <c r="I227" i="1" a="1"/>
  <c r="I227" i="1" s="1"/>
  <c r="I228" i="1" a="1"/>
  <c r="I228" i="1" s="1"/>
  <c r="I229" i="1" a="1"/>
  <c r="I229" i="1" s="1"/>
  <c r="I230" i="1" a="1"/>
  <c r="I230" i="1" s="1"/>
  <c r="I231" i="1" a="1"/>
  <c r="I231" i="1" s="1"/>
  <c r="I232" i="1" a="1"/>
  <c r="I232" i="1" s="1"/>
  <c r="I233" i="1" a="1"/>
  <c r="I233" i="1" s="1"/>
  <c r="I2317" i="1" a="1"/>
  <c r="I2317" i="1" s="1"/>
  <c r="I2318" i="1" a="1"/>
  <c r="I2318" i="1" s="1"/>
  <c r="I234" i="1" a="1"/>
  <c r="I234" i="1" s="1"/>
  <c r="I2319" i="1" a="1"/>
  <c r="I2319" i="1" s="1"/>
  <c r="I235" i="1" a="1"/>
  <c r="I235" i="1" s="1"/>
  <c r="I236" i="1" a="1"/>
  <c r="I236" i="1" s="1"/>
  <c r="I237" i="1" a="1"/>
  <c r="I237" i="1" s="1"/>
  <c r="I2320" i="1" a="1"/>
  <c r="I2320" i="1" s="1"/>
  <c r="I238" i="1" a="1"/>
  <c r="I238" i="1" s="1"/>
  <c r="I239" i="1" a="1"/>
  <c r="I239" i="1" s="1"/>
  <c r="I2321" i="1" a="1"/>
  <c r="I2321" i="1" s="1"/>
  <c r="I240" i="1" a="1"/>
  <c r="I240" i="1" s="1"/>
  <c r="I241" i="1" a="1"/>
  <c r="I241" i="1" s="1"/>
  <c r="I242" i="1" a="1"/>
  <c r="I242" i="1" s="1"/>
  <c r="I2322" i="1" a="1"/>
  <c r="I2322" i="1" s="1"/>
  <c r="I243" i="1" a="1"/>
  <c r="I243" i="1" s="1"/>
  <c r="I244" i="1" a="1"/>
  <c r="I244" i="1" s="1"/>
  <c r="I245" i="1" a="1"/>
  <c r="I245" i="1" s="1"/>
  <c r="I2323" i="1" a="1"/>
  <c r="I2323" i="1" s="1"/>
  <c r="I246" i="1" a="1"/>
  <c r="I246" i="1" s="1"/>
  <c r="I247" i="1" a="1"/>
  <c r="I247" i="1" s="1"/>
  <c r="I248" i="1" a="1"/>
  <c r="I248" i="1" s="1"/>
  <c r="I249" i="1" a="1"/>
  <c r="I249" i="1" s="1"/>
  <c r="I250" i="1" a="1"/>
  <c r="I250" i="1" s="1"/>
  <c r="I251" i="1" a="1"/>
  <c r="I251" i="1" s="1"/>
  <c r="I252" i="1" a="1"/>
  <c r="I252" i="1" s="1"/>
  <c r="I253" i="1" a="1"/>
  <c r="I253" i="1" s="1"/>
  <c r="I2324" i="1" a="1"/>
  <c r="I2324" i="1" s="1"/>
  <c r="I254" i="1" a="1"/>
  <c r="I254" i="1" s="1"/>
  <c r="I2240" i="1" a="1"/>
  <c r="I2240" i="1" s="1"/>
  <c r="I255" i="1" a="1"/>
  <c r="I255" i="1" s="1"/>
  <c r="I256" i="1" a="1"/>
  <c r="I256" i="1" s="1"/>
  <c r="I257" i="1" a="1"/>
  <c r="I257" i="1" s="1"/>
  <c r="I258" i="1" a="1"/>
  <c r="I258" i="1" s="1"/>
  <c r="I259" i="1" a="1"/>
  <c r="I259" i="1" s="1"/>
  <c r="I260" i="1" a="1"/>
  <c r="I260" i="1" s="1"/>
  <c r="I261" i="1" a="1"/>
  <c r="I261" i="1" s="1"/>
  <c r="I262" i="1" a="1"/>
  <c r="I262" i="1" s="1"/>
  <c r="I263" i="1" a="1"/>
  <c r="I263" i="1" s="1"/>
  <c r="I264" i="1" a="1"/>
  <c r="I264" i="1" s="1"/>
  <c r="I265" i="1" a="1"/>
  <c r="I265" i="1" s="1"/>
  <c r="I266" i="1" a="1"/>
  <c r="I266" i="1" s="1"/>
  <c r="I2325" i="1" a="1"/>
  <c r="I2325" i="1" s="1"/>
  <c r="I267" i="1" a="1"/>
  <c r="I267" i="1" s="1"/>
  <c r="I2326" i="1" a="1"/>
  <c r="I2326" i="1" s="1"/>
  <c r="I2327" i="1" a="1"/>
  <c r="I2327" i="1" s="1"/>
  <c r="I268" i="1" a="1"/>
  <c r="I268" i="1" s="1"/>
  <c r="I269" i="1" a="1"/>
  <c r="I269" i="1" s="1"/>
  <c r="I270" i="1" a="1"/>
  <c r="I270" i="1" s="1"/>
  <c r="I271" i="1" a="1"/>
  <c r="I271" i="1" s="1"/>
  <c r="I272" i="1" a="1"/>
  <c r="I272" i="1" s="1"/>
  <c r="I273" i="1" a="1"/>
  <c r="I273" i="1" s="1"/>
  <c r="I274" i="1" a="1"/>
  <c r="I274" i="1" s="1"/>
  <c r="I2328" i="1" a="1"/>
  <c r="I2328" i="1" s="1"/>
  <c r="I275" i="1" a="1"/>
  <c r="I275" i="1" s="1"/>
  <c r="I276" i="1" a="1"/>
  <c r="I276" i="1" s="1"/>
  <c r="I277" i="1" a="1"/>
  <c r="I277" i="1" s="1"/>
  <c r="I278" i="1" a="1"/>
  <c r="I278" i="1" s="1"/>
  <c r="I279" i="1" a="1"/>
  <c r="I279" i="1" s="1"/>
  <c r="I2329" i="1" a="1"/>
  <c r="I2329" i="1" s="1"/>
  <c r="I280" i="1" a="1"/>
  <c r="I280" i="1" s="1"/>
  <c r="I281" i="1" a="1"/>
  <c r="I281" i="1" s="1"/>
  <c r="I282" i="1" a="1"/>
  <c r="I282" i="1" s="1"/>
  <c r="I283" i="1" a="1"/>
  <c r="I283" i="1" s="1"/>
  <c r="I284" i="1" a="1"/>
  <c r="I284" i="1" s="1"/>
  <c r="I285" i="1" a="1"/>
  <c r="I285" i="1" s="1"/>
  <c r="I286" i="1" a="1"/>
  <c r="I286" i="1" s="1"/>
  <c r="I2241" i="1" a="1"/>
  <c r="I2241" i="1" s="1"/>
  <c r="I287" i="1" a="1"/>
  <c r="I287" i="1" s="1"/>
  <c r="I288" i="1" a="1"/>
  <c r="I288" i="1" s="1"/>
  <c r="I289" i="1" a="1"/>
  <c r="I289" i="1" s="1"/>
  <c r="I290" i="1" a="1"/>
  <c r="I290" i="1" s="1"/>
  <c r="I291" i="1" a="1"/>
  <c r="I291" i="1" s="1"/>
  <c r="I292" i="1" a="1"/>
  <c r="I292" i="1" s="1"/>
  <c r="I293" i="1" a="1"/>
  <c r="I293" i="1" s="1"/>
  <c r="I2330" i="1" a="1"/>
  <c r="I2330" i="1" s="1"/>
  <c r="I294" i="1" a="1"/>
  <c r="I294" i="1" s="1"/>
  <c r="I295" i="1" a="1"/>
  <c r="I295" i="1" s="1"/>
  <c r="I2331" i="1" a="1"/>
  <c r="I2331" i="1" s="1"/>
  <c r="I2332" i="1" a="1"/>
  <c r="I2332" i="1" s="1"/>
  <c r="I296" i="1" a="1"/>
  <c r="I296" i="1" s="1"/>
  <c r="I2333" i="1" a="1"/>
  <c r="I2333" i="1" s="1"/>
  <c r="I297" i="1" a="1"/>
  <c r="I297" i="1" s="1"/>
  <c r="I298" i="1" a="1"/>
  <c r="I298" i="1" s="1"/>
  <c r="I299" i="1" a="1"/>
  <c r="I299" i="1" s="1"/>
  <c r="I300" i="1" a="1"/>
  <c r="I300" i="1" s="1"/>
  <c r="I2334" i="1" a="1"/>
  <c r="I2334" i="1" s="1"/>
  <c r="I301" i="1" a="1"/>
  <c r="I301" i="1" s="1"/>
  <c r="I302" i="1" a="1"/>
  <c r="I302" i="1" s="1"/>
  <c r="I303" i="1" a="1"/>
  <c r="I303" i="1" s="1"/>
  <c r="I304" i="1" a="1"/>
  <c r="I304" i="1" s="1"/>
  <c r="I305" i="1" a="1"/>
  <c r="I305" i="1" s="1"/>
  <c r="I306" i="1" a="1"/>
  <c r="I306" i="1" s="1"/>
  <c r="I307" i="1" a="1"/>
  <c r="I307" i="1" s="1"/>
  <c r="I2335" i="1" a="1"/>
  <c r="I2335" i="1" s="1"/>
  <c r="I308" i="1" a="1"/>
  <c r="I308" i="1" s="1"/>
  <c r="I309" i="1" a="1"/>
  <c r="I309" i="1" s="1"/>
  <c r="I310" i="1" a="1"/>
  <c r="I310" i="1" s="1"/>
  <c r="I311" i="1" a="1"/>
  <c r="I311" i="1" s="1"/>
  <c r="I312" i="1" a="1"/>
  <c r="I312" i="1" s="1"/>
  <c r="I313" i="1" a="1"/>
  <c r="I313" i="1" s="1"/>
  <c r="I314" i="1" a="1"/>
  <c r="I314" i="1" s="1"/>
  <c r="I315" i="1" a="1"/>
  <c r="I315" i="1" s="1"/>
  <c r="I2336" i="1" a="1"/>
  <c r="I2336" i="1" s="1"/>
  <c r="I316" i="1" a="1"/>
  <c r="I316" i="1" s="1"/>
  <c r="I317" i="1" a="1"/>
  <c r="I317" i="1" s="1"/>
  <c r="I318" i="1" a="1"/>
  <c r="I318" i="1" s="1"/>
  <c r="I319" i="1" a="1"/>
  <c r="I319" i="1" s="1"/>
  <c r="I320" i="1" a="1"/>
  <c r="I320" i="1" s="1"/>
  <c r="I321" i="1" a="1"/>
  <c r="I321" i="1" s="1"/>
  <c r="I322" i="1" a="1"/>
  <c r="I322" i="1" s="1"/>
  <c r="I323" i="1" a="1"/>
  <c r="I323" i="1" s="1"/>
  <c r="I324" i="1" a="1"/>
  <c r="I324" i="1" s="1"/>
  <c r="I325" i="1" a="1"/>
  <c r="I325" i="1" s="1"/>
  <c r="I2337" i="1" a="1"/>
  <c r="I2337" i="1" s="1"/>
  <c r="I326" i="1" a="1"/>
  <c r="I326" i="1" s="1"/>
  <c r="I327" i="1" a="1"/>
  <c r="I327" i="1" s="1"/>
  <c r="I328" i="1" a="1"/>
  <c r="I328" i="1" s="1"/>
  <c r="I329" i="1" a="1"/>
  <c r="I329" i="1" s="1"/>
  <c r="I330" i="1" a="1"/>
  <c r="I330" i="1" s="1"/>
  <c r="I2242" i="1" a="1"/>
  <c r="I2242" i="1" s="1"/>
  <c r="I331" i="1" a="1"/>
  <c r="I331" i="1" s="1"/>
  <c r="I2338" i="1" a="1"/>
  <c r="I2338" i="1" s="1"/>
  <c r="I332" i="1" a="1"/>
  <c r="I332" i="1" s="1"/>
  <c r="I333" i="1" a="1"/>
  <c r="I333" i="1" s="1"/>
  <c r="I2339" i="1" a="1"/>
  <c r="I2339" i="1" s="1"/>
  <c r="I334" i="1" a="1"/>
  <c r="I334" i="1" s="1"/>
  <c r="I335" i="1" a="1"/>
  <c r="I335" i="1" s="1"/>
  <c r="I336" i="1" a="1"/>
  <c r="I336" i="1" s="1"/>
  <c r="I337" i="1" a="1"/>
  <c r="I337" i="1" s="1"/>
  <c r="I338" i="1" a="1"/>
  <c r="I338" i="1" s="1"/>
  <c r="I339" i="1" a="1"/>
  <c r="I339" i="1" s="1"/>
  <c r="I340" i="1" a="1"/>
  <c r="I340" i="1" s="1"/>
  <c r="I341" i="1" a="1"/>
  <c r="I341" i="1" s="1"/>
  <c r="I342" i="1" a="1"/>
  <c r="I342" i="1" s="1"/>
  <c r="I343" i="1" a="1"/>
  <c r="I343" i="1" s="1"/>
  <c r="I344" i="1" a="1"/>
  <c r="I344" i="1" s="1"/>
  <c r="I345" i="1" a="1"/>
  <c r="I345" i="1" s="1"/>
  <c r="I2243" i="1" a="1"/>
  <c r="I2243" i="1" s="1"/>
  <c r="I2340" i="1" a="1"/>
  <c r="I2340" i="1" s="1"/>
  <c r="I346" i="1" a="1"/>
  <c r="I346" i="1" s="1"/>
  <c r="I2341" i="1" a="1"/>
  <c r="I2341" i="1" s="1"/>
  <c r="I347" i="1" a="1"/>
  <c r="I347" i="1" s="1"/>
  <c r="I348" i="1" a="1"/>
  <c r="I348" i="1" s="1"/>
  <c r="I349" i="1" a="1"/>
  <c r="I349" i="1" s="1"/>
  <c r="I350" i="1" a="1"/>
  <c r="I350" i="1" s="1"/>
  <c r="I351" i="1" a="1"/>
  <c r="I351" i="1" s="1"/>
  <c r="I352" i="1" a="1"/>
  <c r="I352" i="1" s="1"/>
  <c r="I2342" i="1" a="1"/>
  <c r="I2342" i="1" s="1"/>
  <c r="I2343" i="1" a="1"/>
  <c r="I2343" i="1" s="1"/>
  <c r="I353" i="1" a="1"/>
  <c r="I353" i="1" s="1"/>
  <c r="I354" i="1" a="1"/>
  <c r="I354" i="1" s="1"/>
  <c r="I355" i="1" a="1"/>
  <c r="I355" i="1" s="1"/>
  <c r="I356" i="1" a="1"/>
  <c r="I356" i="1" s="1"/>
  <c r="I357" i="1" a="1"/>
  <c r="I357" i="1" s="1"/>
  <c r="I358" i="1" a="1"/>
  <c r="I358" i="1" s="1"/>
  <c r="I2244" i="1" a="1"/>
  <c r="I2244" i="1" s="1"/>
  <c r="I359" i="1" a="1"/>
  <c r="I359" i="1" s="1"/>
  <c r="I360" i="1" a="1"/>
  <c r="I360" i="1" s="1"/>
  <c r="I361" i="1" a="1"/>
  <c r="I361" i="1" s="1"/>
  <c r="I362" i="1" a="1"/>
  <c r="I362" i="1" s="1"/>
  <c r="I363" i="1" a="1"/>
  <c r="I363" i="1" s="1"/>
  <c r="I364" i="1" a="1"/>
  <c r="I364" i="1" s="1"/>
  <c r="I365" i="1" a="1"/>
  <c r="I365" i="1" s="1"/>
  <c r="I2245" i="1" a="1"/>
  <c r="I2245" i="1" s="1"/>
  <c r="I366" i="1" a="1"/>
  <c r="I366" i="1" s="1"/>
  <c r="I367" i="1" a="1"/>
  <c r="I367" i="1" s="1"/>
  <c r="I368" i="1" a="1"/>
  <c r="I368" i="1" s="1"/>
  <c r="I2344" i="1" a="1"/>
  <c r="I2344" i="1" s="1"/>
  <c r="I2345" i="1" a="1"/>
  <c r="I2345" i="1" s="1"/>
  <c r="I369" i="1" a="1"/>
  <c r="I369" i="1" s="1"/>
  <c r="I370" i="1" a="1"/>
  <c r="I370" i="1" s="1"/>
  <c r="I371" i="1" a="1"/>
  <c r="I371" i="1" s="1"/>
  <c r="I2346" i="1" a="1"/>
  <c r="I2346" i="1" s="1"/>
  <c r="I372" i="1" a="1"/>
  <c r="I372" i="1" s="1"/>
  <c r="I373" i="1" a="1"/>
  <c r="I373" i="1" s="1"/>
  <c r="I374" i="1" a="1"/>
  <c r="I374" i="1" s="1"/>
  <c r="I375" i="1" a="1"/>
  <c r="I375" i="1" s="1"/>
  <c r="I376" i="1" a="1"/>
  <c r="I376" i="1" s="1"/>
  <c r="I377" i="1" a="1"/>
  <c r="I377" i="1" s="1"/>
  <c r="I378" i="1" a="1"/>
  <c r="I378" i="1" s="1"/>
  <c r="I379" i="1" a="1"/>
  <c r="I379" i="1" s="1"/>
  <c r="I380" i="1" a="1"/>
  <c r="I380" i="1" s="1"/>
  <c r="I381" i="1" a="1"/>
  <c r="I381" i="1" s="1"/>
  <c r="I382" i="1" a="1"/>
  <c r="I382" i="1" s="1"/>
  <c r="I383" i="1" a="1"/>
  <c r="I383" i="1" s="1"/>
  <c r="I384" i="1" a="1"/>
  <c r="I384" i="1" s="1"/>
  <c r="I385" i="1" a="1"/>
  <c r="I385" i="1" s="1"/>
  <c r="I386" i="1" a="1"/>
  <c r="I386" i="1" s="1"/>
  <c r="I387" i="1" a="1"/>
  <c r="I387" i="1" s="1"/>
  <c r="I388" i="1" a="1"/>
  <c r="I388" i="1" s="1"/>
  <c r="I389" i="1" a="1"/>
  <c r="I389" i="1" s="1"/>
  <c r="I390" i="1" a="1"/>
  <c r="I390" i="1" s="1"/>
  <c r="I391" i="1" a="1"/>
  <c r="I391" i="1" s="1"/>
  <c r="I392" i="1" a="1"/>
  <c r="I392" i="1" s="1"/>
  <c r="I393" i="1" a="1"/>
  <c r="I393" i="1" s="1"/>
  <c r="I2347" i="1" a="1"/>
  <c r="I2347" i="1" s="1"/>
  <c r="I394" i="1" a="1"/>
  <c r="I394" i="1" s="1"/>
  <c r="I2348" i="1" a="1"/>
  <c r="I2348" i="1" s="1"/>
  <c r="I395" i="1" a="1"/>
  <c r="I395" i="1" s="1"/>
  <c r="I396" i="1" a="1"/>
  <c r="I396" i="1" s="1"/>
  <c r="I397" i="1" a="1"/>
  <c r="I397" i="1" s="1"/>
  <c r="I398" i="1" a="1"/>
  <c r="I398" i="1" s="1"/>
  <c r="I399" i="1" a="1"/>
  <c r="I399" i="1" s="1"/>
  <c r="I400" i="1" a="1"/>
  <c r="I400" i="1" s="1"/>
  <c r="I401" i="1" a="1"/>
  <c r="I401" i="1" s="1"/>
  <c r="I402" i="1" a="1"/>
  <c r="I402" i="1" s="1"/>
  <c r="I403" i="1" a="1"/>
  <c r="I403" i="1" s="1"/>
  <c r="I404" i="1" a="1"/>
  <c r="I404" i="1" s="1"/>
  <c r="I405" i="1" a="1"/>
  <c r="I405" i="1" s="1"/>
  <c r="I406" i="1" a="1"/>
  <c r="I406" i="1" s="1"/>
  <c r="I407" i="1" a="1"/>
  <c r="I407" i="1" s="1"/>
  <c r="I408" i="1" a="1"/>
  <c r="I408" i="1" s="1"/>
  <c r="I409" i="1" a="1"/>
  <c r="I409" i="1" s="1"/>
  <c r="I410" i="1" a="1"/>
  <c r="I410" i="1" s="1"/>
  <c r="I411" i="1" a="1"/>
  <c r="I411" i="1" s="1"/>
  <c r="I412" i="1" a="1"/>
  <c r="I412" i="1" s="1"/>
  <c r="I413" i="1" a="1"/>
  <c r="I413" i="1" s="1"/>
  <c r="I2349" i="1" a="1"/>
  <c r="I2349" i="1" s="1"/>
  <c r="I414" i="1" a="1"/>
  <c r="I414" i="1" s="1"/>
  <c r="I415" i="1" a="1"/>
  <c r="I415" i="1" s="1"/>
  <c r="I416" i="1" a="1"/>
  <c r="I416" i="1" s="1"/>
  <c r="I417" i="1" a="1"/>
  <c r="I417" i="1" s="1"/>
  <c r="I418" i="1" a="1"/>
  <c r="I418" i="1" s="1"/>
  <c r="I419" i="1" a="1"/>
  <c r="I419" i="1" s="1"/>
  <c r="I420" i="1" a="1"/>
  <c r="I420" i="1" s="1"/>
  <c r="I421" i="1" a="1"/>
  <c r="I421" i="1" s="1"/>
  <c r="I422" i="1" a="1"/>
  <c r="I422" i="1" s="1"/>
  <c r="I423" i="1" a="1"/>
  <c r="I423" i="1" s="1"/>
  <c r="I2350" i="1" a="1"/>
  <c r="I2350" i="1" s="1"/>
  <c r="I424" i="1" a="1"/>
  <c r="I424" i="1" s="1"/>
  <c r="I425" i="1" a="1"/>
  <c r="I425" i="1" s="1"/>
  <c r="I426" i="1" a="1"/>
  <c r="I426" i="1" s="1"/>
  <c r="I427" i="1" a="1"/>
  <c r="I427" i="1" s="1"/>
  <c r="I428" i="1" a="1"/>
  <c r="I428" i="1" s="1"/>
  <c r="I429" i="1" a="1"/>
  <c r="I429" i="1" s="1"/>
  <c r="I430" i="1" a="1"/>
  <c r="I430" i="1" s="1"/>
  <c r="I431" i="1" a="1"/>
  <c r="I431" i="1" s="1"/>
  <c r="I432" i="1" a="1"/>
  <c r="I432" i="1" s="1"/>
  <c r="I433" i="1" a="1"/>
  <c r="I433" i="1" s="1"/>
  <c r="I434" i="1" a="1"/>
  <c r="I434" i="1" s="1"/>
  <c r="I435" i="1" a="1"/>
  <c r="I435" i="1" s="1"/>
  <c r="I436" i="1" a="1"/>
  <c r="I436" i="1" s="1"/>
  <c r="I437" i="1" a="1"/>
  <c r="I437" i="1" s="1"/>
  <c r="I438" i="1" a="1"/>
  <c r="I438" i="1" s="1"/>
  <c r="I439" i="1" a="1"/>
  <c r="I439" i="1" s="1"/>
  <c r="I440" i="1" a="1"/>
  <c r="I440" i="1" s="1"/>
  <c r="I441" i="1" a="1"/>
  <c r="I441" i="1" s="1"/>
  <c r="I442" i="1" a="1"/>
  <c r="I442" i="1" s="1"/>
  <c r="I443" i="1" a="1"/>
  <c r="I443" i="1" s="1"/>
  <c r="I444" i="1" a="1"/>
  <c r="I444" i="1" s="1"/>
  <c r="I2351" i="1" a="1"/>
  <c r="I2351" i="1" s="1"/>
  <c r="I445" i="1" a="1"/>
  <c r="I445" i="1" s="1"/>
  <c r="I446" i="1" a="1"/>
  <c r="I446" i="1" s="1"/>
  <c r="I447" i="1" a="1"/>
  <c r="I447" i="1" s="1"/>
  <c r="I448" i="1" a="1"/>
  <c r="I448" i="1" s="1"/>
  <c r="I449" i="1" a="1"/>
  <c r="I449" i="1" s="1"/>
  <c r="I450" i="1" a="1"/>
  <c r="I450" i="1" s="1"/>
  <c r="I451" i="1" a="1"/>
  <c r="I451" i="1" s="1"/>
  <c r="I452" i="1" a="1"/>
  <c r="I452" i="1" s="1"/>
  <c r="I453" i="1" a="1"/>
  <c r="I453" i="1" s="1"/>
  <c r="I2352" i="1" a="1"/>
  <c r="I2352" i="1" s="1"/>
  <c r="I2246" i="1" a="1"/>
  <c r="I2246" i="1" s="1"/>
  <c r="I2353" i="1" a="1"/>
  <c r="I2353" i="1" s="1"/>
  <c r="I454" i="1" a="1"/>
  <c r="I454" i="1" s="1"/>
  <c r="I455" i="1" a="1"/>
  <c r="I455" i="1" s="1"/>
  <c r="I456" i="1" a="1"/>
  <c r="I456" i="1" s="1"/>
  <c r="I457" i="1" a="1"/>
  <c r="I457" i="1" s="1"/>
  <c r="I458" i="1" a="1"/>
  <c r="I458" i="1" s="1"/>
  <c r="I459" i="1" a="1"/>
  <c r="I459" i="1" s="1"/>
  <c r="I460" i="1" a="1"/>
  <c r="I460" i="1" s="1"/>
  <c r="I461" i="1" a="1"/>
  <c r="I461" i="1" s="1"/>
  <c r="I462" i="1" a="1"/>
  <c r="I462" i="1" s="1"/>
  <c r="I463" i="1" a="1"/>
  <c r="I463" i="1" s="1"/>
  <c r="I464" i="1" a="1"/>
  <c r="I464" i="1" s="1"/>
  <c r="I465" i="1" a="1"/>
  <c r="I465" i="1" s="1"/>
  <c r="I466" i="1" a="1"/>
  <c r="I466" i="1" s="1"/>
  <c r="I467" i="1" a="1"/>
  <c r="I467" i="1" s="1"/>
  <c r="I468" i="1" a="1"/>
  <c r="I468" i="1" s="1"/>
  <c r="I469" i="1" a="1"/>
  <c r="I469" i="1" s="1"/>
  <c r="I470" i="1" a="1"/>
  <c r="I470" i="1" s="1"/>
  <c r="I471" i="1" a="1"/>
  <c r="I471" i="1" s="1"/>
  <c r="I472" i="1" a="1"/>
  <c r="I472" i="1" s="1"/>
  <c r="I473" i="1" a="1"/>
  <c r="I473" i="1" s="1"/>
  <c r="I474" i="1" a="1"/>
  <c r="I474" i="1" s="1"/>
  <c r="I475" i="1" a="1"/>
  <c r="I475" i="1" s="1"/>
  <c r="I476" i="1" a="1"/>
  <c r="I476" i="1" s="1"/>
  <c r="I477" i="1" a="1"/>
  <c r="I477" i="1" s="1"/>
  <c r="I478" i="1" a="1"/>
  <c r="I478" i="1" s="1"/>
  <c r="I2354" i="1" a="1"/>
  <c r="I2354" i="1" s="1"/>
  <c r="I2247" i="1" a="1"/>
  <c r="I2247" i="1" s="1"/>
  <c r="I479" i="1" a="1"/>
  <c r="I479" i="1" s="1"/>
  <c r="I480" i="1" a="1"/>
  <c r="I480" i="1" s="1"/>
  <c r="I481" i="1" a="1"/>
  <c r="I481" i="1" s="1"/>
  <c r="I482" i="1" a="1"/>
  <c r="I482" i="1" s="1"/>
  <c r="I2355" i="1" a="1"/>
  <c r="I2355" i="1" s="1"/>
  <c r="I2356" i="1" a="1"/>
  <c r="I2356" i="1" s="1"/>
  <c r="I483" i="1" a="1"/>
  <c r="I483" i="1" s="1"/>
  <c r="I484" i="1" a="1"/>
  <c r="I484" i="1" s="1"/>
  <c r="I485" i="1" a="1"/>
  <c r="I485" i="1" s="1"/>
  <c r="I486" i="1" a="1"/>
  <c r="I486" i="1" s="1"/>
  <c r="I487" i="1" a="1"/>
  <c r="I487" i="1" s="1"/>
  <c r="I488" i="1" a="1"/>
  <c r="I488" i="1" s="1"/>
  <c r="I489" i="1" a="1"/>
  <c r="I489" i="1" s="1"/>
  <c r="I490" i="1" a="1"/>
  <c r="I490" i="1" s="1"/>
  <c r="I2357" i="1" a="1"/>
  <c r="I2357" i="1" s="1"/>
  <c r="I491" i="1" a="1"/>
  <c r="I491" i="1" s="1"/>
  <c r="I492" i="1" a="1"/>
  <c r="I492" i="1" s="1"/>
  <c r="I2248" i="1" a="1"/>
  <c r="I2248" i="1" s="1"/>
  <c r="I493" i="1" a="1"/>
  <c r="I493" i="1" s="1"/>
  <c r="I494" i="1" a="1"/>
  <c r="I494" i="1" s="1"/>
  <c r="I495" i="1" a="1"/>
  <c r="I495" i="1" s="1"/>
  <c r="I496" i="1" a="1"/>
  <c r="I496" i="1" s="1"/>
  <c r="I497" i="1" a="1"/>
  <c r="I497" i="1" s="1"/>
  <c r="I498" i="1" a="1"/>
  <c r="I498" i="1" s="1"/>
  <c r="I499" i="1" a="1"/>
  <c r="I499" i="1" s="1"/>
  <c r="I500" i="1" a="1"/>
  <c r="I500" i="1" s="1"/>
  <c r="I501" i="1" a="1"/>
  <c r="I501" i="1" s="1"/>
  <c r="I502" i="1" a="1"/>
  <c r="I502" i="1" s="1"/>
  <c r="I503" i="1" a="1"/>
  <c r="I503" i="1" s="1"/>
  <c r="I504" i="1" a="1"/>
  <c r="I504" i="1" s="1"/>
  <c r="I505" i="1" a="1"/>
  <c r="I505" i="1" s="1"/>
  <c r="I506" i="1" a="1"/>
  <c r="I506" i="1" s="1"/>
  <c r="I507" i="1" a="1"/>
  <c r="I507" i="1" s="1"/>
  <c r="I508" i="1" a="1"/>
  <c r="I508" i="1" s="1"/>
  <c r="I509" i="1" a="1"/>
  <c r="I509" i="1" s="1"/>
  <c r="I510" i="1" a="1"/>
  <c r="I510" i="1" s="1"/>
  <c r="I511" i="1" a="1"/>
  <c r="I511" i="1" s="1"/>
  <c r="I2358" i="1" a="1"/>
  <c r="I2358" i="1" s="1"/>
  <c r="I512" i="1" a="1"/>
  <c r="I512" i="1" s="1"/>
  <c r="I2359" i="1" a="1"/>
  <c r="I2359" i="1" s="1"/>
  <c r="I513" i="1" a="1"/>
  <c r="I513" i="1" s="1"/>
  <c r="I514" i="1" a="1"/>
  <c r="I514" i="1" s="1"/>
  <c r="I2360" i="1" a="1"/>
  <c r="I2360" i="1" s="1"/>
  <c r="I515" i="1" a="1"/>
  <c r="I515" i="1" s="1"/>
  <c r="I516" i="1" a="1"/>
  <c r="I516" i="1" s="1"/>
  <c r="I517" i="1" a="1"/>
  <c r="I517" i="1" s="1"/>
  <c r="I518" i="1" a="1"/>
  <c r="I518" i="1" s="1"/>
  <c r="I519" i="1" a="1"/>
  <c r="I519" i="1" s="1"/>
  <c r="I520" i="1" a="1"/>
  <c r="I520" i="1" s="1"/>
  <c r="I521" i="1" a="1"/>
  <c r="I521" i="1" s="1"/>
  <c r="I522" i="1" a="1"/>
  <c r="I522" i="1" s="1"/>
  <c r="I523" i="1" a="1"/>
  <c r="I523" i="1" s="1"/>
  <c r="I2361" i="1" a="1"/>
  <c r="I2361" i="1" s="1"/>
  <c r="I524" i="1" a="1"/>
  <c r="I524" i="1" s="1"/>
  <c r="I525" i="1" a="1"/>
  <c r="I525" i="1" s="1"/>
  <c r="I2362" i="1" a="1"/>
  <c r="I2362" i="1" s="1"/>
  <c r="I526" i="1" a="1"/>
  <c r="I526" i="1" s="1"/>
  <c r="I2249" i="1" a="1"/>
  <c r="I2249" i="1" s="1"/>
  <c r="I2363" i="1" a="1"/>
  <c r="I2363" i="1" s="1"/>
  <c r="I2364" i="1" a="1"/>
  <c r="I2364" i="1" s="1"/>
  <c r="I527" i="1" a="1"/>
  <c r="I527" i="1" s="1"/>
  <c r="I528" i="1" a="1"/>
  <c r="I528" i="1" s="1"/>
  <c r="I529" i="1" a="1"/>
  <c r="I529" i="1" s="1"/>
  <c r="I530" i="1" a="1"/>
  <c r="I530" i="1" s="1"/>
  <c r="I531" i="1" a="1"/>
  <c r="I531" i="1" s="1"/>
  <c r="I532" i="1" a="1"/>
  <c r="I532" i="1" s="1"/>
  <c r="I2365" i="1" a="1"/>
  <c r="I2365" i="1" s="1"/>
  <c r="I533" i="1" a="1"/>
  <c r="I533" i="1" s="1"/>
  <c r="I534" i="1" a="1"/>
  <c r="I534" i="1" s="1"/>
  <c r="I535" i="1" a="1"/>
  <c r="I535" i="1" s="1"/>
  <c r="I536" i="1" a="1"/>
  <c r="I536" i="1" s="1"/>
  <c r="I537" i="1" a="1"/>
  <c r="I537" i="1" s="1"/>
  <c r="I2250" i="1" a="1"/>
  <c r="I2250" i="1" s="1"/>
  <c r="I538" i="1" a="1"/>
  <c r="I538" i="1" s="1"/>
  <c r="I2366" i="1" a="1"/>
  <c r="I2366" i="1" s="1"/>
  <c r="I539" i="1" a="1"/>
  <c r="I539" i="1" s="1"/>
  <c r="I540" i="1" a="1"/>
  <c r="I540" i="1" s="1"/>
  <c r="I541" i="1" a="1"/>
  <c r="I541" i="1" s="1"/>
  <c r="I542" i="1" a="1"/>
  <c r="I542" i="1" s="1"/>
  <c r="I543" i="1" a="1"/>
  <c r="I543" i="1" s="1"/>
  <c r="I544" i="1" a="1"/>
  <c r="I544" i="1" s="1"/>
  <c r="I545" i="1" a="1"/>
  <c r="I545" i="1" s="1"/>
  <c r="I546" i="1" a="1"/>
  <c r="I546" i="1" s="1"/>
  <c r="I547" i="1" a="1"/>
  <c r="I547" i="1" s="1"/>
  <c r="I548" i="1" a="1"/>
  <c r="I548" i="1" s="1"/>
  <c r="I549" i="1" a="1"/>
  <c r="I549" i="1" s="1"/>
  <c r="I550" i="1" a="1"/>
  <c r="I550" i="1" s="1"/>
  <c r="I2367" i="1" a="1"/>
  <c r="I2367" i="1" s="1"/>
  <c r="I2368" i="1" a="1"/>
  <c r="I2368" i="1" s="1"/>
  <c r="I551" i="1" a="1"/>
  <c r="I551" i="1" s="1"/>
  <c r="I552" i="1" a="1"/>
  <c r="I552" i="1" s="1"/>
  <c r="I553" i="1" a="1"/>
  <c r="I553" i="1" s="1"/>
  <c r="I554" i="1" a="1"/>
  <c r="I554" i="1" s="1"/>
  <c r="I555" i="1" a="1"/>
  <c r="I555" i="1" s="1"/>
  <c r="I556" i="1" a="1"/>
  <c r="I556" i="1" s="1"/>
  <c r="I557" i="1" a="1"/>
  <c r="I557" i="1" s="1"/>
  <c r="I558" i="1" a="1"/>
  <c r="I558" i="1" s="1"/>
  <c r="I559" i="1" a="1"/>
  <c r="I559" i="1" s="1"/>
  <c r="I560" i="1" a="1"/>
  <c r="I560" i="1" s="1"/>
  <c r="I2369" i="1" a="1"/>
  <c r="I2369" i="1" s="1"/>
  <c r="I561" i="1" a="1"/>
  <c r="I561" i="1" s="1"/>
  <c r="I562" i="1" a="1"/>
  <c r="I562" i="1" s="1"/>
  <c r="I563" i="1" a="1"/>
  <c r="I563" i="1" s="1"/>
  <c r="I564" i="1" a="1"/>
  <c r="I564" i="1" s="1"/>
  <c r="I2251" i="1" a="1"/>
  <c r="I2251" i="1" s="1"/>
  <c r="I565" i="1" a="1"/>
  <c r="I565" i="1" s="1"/>
  <c r="I566" i="1" a="1"/>
  <c r="I566" i="1" s="1"/>
  <c r="I567" i="1" a="1"/>
  <c r="I567" i="1" s="1"/>
  <c r="I568" i="1" a="1"/>
  <c r="I568" i="1" s="1"/>
  <c r="I569" i="1" a="1"/>
  <c r="I569" i="1" s="1"/>
  <c r="I570" i="1" a="1"/>
  <c r="I570" i="1" s="1"/>
  <c r="I571" i="1" a="1"/>
  <c r="I571" i="1" s="1"/>
  <c r="I572" i="1" a="1"/>
  <c r="I572" i="1" s="1"/>
  <c r="I573" i="1" a="1"/>
  <c r="I573" i="1" s="1"/>
  <c r="I574" i="1" a="1"/>
  <c r="I574" i="1" s="1"/>
  <c r="I575" i="1" a="1"/>
  <c r="I575" i="1" s="1"/>
  <c r="I576" i="1" a="1"/>
  <c r="I576" i="1" s="1"/>
  <c r="I577" i="1" a="1"/>
  <c r="I577" i="1" s="1"/>
  <c r="I578" i="1" a="1"/>
  <c r="I578" i="1" s="1"/>
  <c r="I579" i="1" a="1"/>
  <c r="I579" i="1" s="1"/>
  <c r="I580" i="1" a="1"/>
  <c r="I580" i="1" s="1"/>
  <c r="I581" i="1" a="1"/>
  <c r="I581" i="1" s="1"/>
  <c r="I582" i="1" a="1"/>
  <c r="I582" i="1" s="1"/>
  <c r="I583" i="1" a="1"/>
  <c r="I583" i="1" s="1"/>
  <c r="I584" i="1" a="1"/>
  <c r="I584" i="1" s="1"/>
  <c r="I585" i="1" a="1"/>
  <c r="I585" i="1" s="1"/>
  <c r="I586" i="1" a="1"/>
  <c r="I586" i="1" s="1"/>
  <c r="I2370" i="1" a="1"/>
  <c r="I2370" i="1" s="1"/>
  <c r="I587" i="1" a="1"/>
  <c r="I587" i="1" s="1"/>
  <c r="I588" i="1" a="1"/>
  <c r="I588" i="1" s="1"/>
  <c r="I589" i="1" a="1"/>
  <c r="I589" i="1" s="1"/>
  <c r="I590" i="1" a="1"/>
  <c r="I590" i="1" s="1"/>
  <c r="I591" i="1" a="1"/>
  <c r="I591" i="1" s="1"/>
  <c r="I592" i="1" a="1"/>
  <c r="I592" i="1" s="1"/>
  <c r="I593" i="1" a="1"/>
  <c r="I593" i="1" s="1"/>
  <c r="I594" i="1" a="1"/>
  <c r="I594" i="1" s="1"/>
  <c r="I595" i="1" a="1"/>
  <c r="I595" i="1" s="1"/>
  <c r="I596" i="1" a="1"/>
  <c r="I596" i="1" s="1"/>
  <c r="I597" i="1" a="1"/>
  <c r="I597" i="1" s="1"/>
  <c r="I598" i="1" a="1"/>
  <c r="I598" i="1" s="1"/>
  <c r="I599" i="1" a="1"/>
  <c r="I599" i="1" s="1"/>
  <c r="I600" i="1" a="1"/>
  <c r="I600" i="1" s="1"/>
  <c r="I601" i="1" a="1"/>
  <c r="I601" i="1" s="1"/>
  <c r="I602" i="1" a="1"/>
  <c r="I602" i="1" s="1"/>
  <c r="I2371" i="1" a="1"/>
  <c r="I2371" i="1" s="1"/>
  <c r="I2372" i="1" a="1"/>
  <c r="I2372" i="1" s="1"/>
  <c r="I603" i="1" a="1"/>
  <c r="I603" i="1" s="1"/>
  <c r="I604" i="1" a="1"/>
  <c r="I604" i="1" s="1"/>
  <c r="I605" i="1" a="1"/>
  <c r="I605" i="1" s="1"/>
  <c r="I606" i="1" a="1"/>
  <c r="I606" i="1" s="1"/>
  <c r="I2373" i="1" a="1"/>
  <c r="I2373" i="1" s="1"/>
  <c r="I607" i="1" a="1"/>
  <c r="I607" i="1" s="1"/>
  <c r="I2374" i="1" a="1"/>
  <c r="I2374" i="1" s="1"/>
  <c r="I608" i="1" a="1"/>
  <c r="I608" i="1" s="1"/>
  <c r="I609" i="1" a="1"/>
  <c r="I609" i="1" s="1"/>
  <c r="I2375" i="1" a="1"/>
  <c r="I2375" i="1" s="1"/>
  <c r="I610" i="1" a="1"/>
  <c r="I610" i="1" s="1"/>
  <c r="I611" i="1" a="1"/>
  <c r="I611" i="1" s="1"/>
  <c r="I2376" i="1" a="1"/>
  <c r="I2376" i="1" s="1"/>
  <c r="I612" i="1" a="1"/>
  <c r="I612" i="1" s="1"/>
  <c r="I2377" i="1" a="1"/>
  <c r="I2377" i="1" s="1"/>
  <c r="I613" i="1" a="1"/>
  <c r="I613" i="1" s="1"/>
  <c r="I614" i="1" a="1"/>
  <c r="I614" i="1" s="1"/>
  <c r="I615" i="1" a="1"/>
  <c r="I615" i="1" s="1"/>
  <c r="I616" i="1" a="1"/>
  <c r="I616" i="1" s="1"/>
  <c r="I617" i="1" a="1"/>
  <c r="I617" i="1" s="1"/>
  <c r="I618" i="1" a="1"/>
  <c r="I618" i="1" s="1"/>
  <c r="I619" i="1" a="1"/>
  <c r="I619" i="1" s="1"/>
  <c r="I620" i="1" a="1"/>
  <c r="I620" i="1" s="1"/>
  <c r="I621" i="1" a="1"/>
  <c r="I621" i="1" s="1"/>
  <c r="I2252" i="1" a="1"/>
  <c r="I2252" i="1" s="1"/>
  <c r="I622" i="1" a="1"/>
  <c r="I622" i="1" s="1"/>
  <c r="I623" i="1" a="1"/>
  <c r="I623" i="1" s="1"/>
  <c r="I2378" i="1" a="1"/>
  <c r="I2378" i="1" s="1"/>
  <c r="I624" i="1" a="1"/>
  <c r="I624" i="1" s="1"/>
  <c r="I625" i="1" a="1"/>
  <c r="I625" i="1" s="1"/>
  <c r="I626" i="1" a="1"/>
  <c r="I626" i="1" s="1"/>
  <c r="I627" i="1" a="1"/>
  <c r="I627" i="1" s="1"/>
  <c r="I628" i="1" a="1"/>
  <c r="I628" i="1" s="1"/>
  <c r="I629" i="1" a="1"/>
  <c r="I629" i="1" s="1"/>
  <c r="I630" i="1" a="1"/>
  <c r="I630" i="1" s="1"/>
  <c r="I631" i="1" a="1"/>
  <c r="I631" i="1" s="1"/>
  <c r="I632" i="1" a="1"/>
  <c r="I632" i="1" s="1"/>
  <c r="I633" i="1" a="1"/>
  <c r="I633" i="1" s="1"/>
  <c r="I634" i="1" a="1"/>
  <c r="I634" i="1" s="1"/>
  <c r="I635" i="1" a="1"/>
  <c r="I635" i="1" s="1"/>
  <c r="I2379" i="1" a="1"/>
  <c r="I2379" i="1" s="1"/>
  <c r="I636" i="1" a="1"/>
  <c r="I636" i="1" s="1"/>
  <c r="I637" i="1" a="1"/>
  <c r="I637" i="1" s="1"/>
  <c r="I638" i="1" a="1"/>
  <c r="I638" i="1" s="1"/>
  <c r="I639" i="1" a="1"/>
  <c r="I639" i="1" s="1"/>
  <c r="I640" i="1" a="1"/>
  <c r="I640" i="1" s="1"/>
  <c r="I641" i="1" a="1"/>
  <c r="I641" i="1" s="1"/>
  <c r="I2253" i="1" a="1"/>
  <c r="I2253" i="1" s="1"/>
  <c r="I642" i="1" a="1"/>
  <c r="I642" i="1" s="1"/>
  <c r="I643" i="1" a="1"/>
  <c r="I643" i="1" s="1"/>
  <c r="I2380" i="1" a="1"/>
  <c r="I2380" i="1" s="1"/>
  <c r="I644" i="1" a="1"/>
  <c r="I644" i="1" s="1"/>
  <c r="I645" i="1" a="1"/>
  <c r="I645" i="1" s="1"/>
  <c r="I646" i="1" a="1"/>
  <c r="I646" i="1" s="1"/>
  <c r="I2381" i="1" a="1"/>
  <c r="I2381" i="1" s="1"/>
  <c r="I2382" i="1" a="1"/>
  <c r="I2382" i="1" s="1"/>
  <c r="I2383" i="1" a="1"/>
  <c r="I2383" i="1" s="1"/>
  <c r="I2384" i="1" a="1"/>
  <c r="I2384" i="1" s="1"/>
  <c r="I2385" i="1" a="1"/>
  <c r="I2385" i="1" s="1"/>
  <c r="I647" i="1" a="1"/>
  <c r="I647" i="1" s="1"/>
  <c r="I2386" i="1" a="1"/>
  <c r="I2386" i="1" s="1"/>
  <c r="I648" i="1" a="1"/>
  <c r="I648" i="1" s="1"/>
  <c r="I649" i="1" a="1"/>
  <c r="I649" i="1" s="1"/>
  <c r="I650" i="1" a="1"/>
  <c r="I650" i="1" s="1"/>
  <c r="I2387" i="1" a="1"/>
  <c r="I2387" i="1" s="1"/>
  <c r="I651" i="1" a="1"/>
  <c r="I651" i="1" s="1"/>
  <c r="I652" i="1" a="1"/>
  <c r="I652" i="1" s="1"/>
  <c r="I653" i="1" a="1"/>
  <c r="I653" i="1" s="1"/>
  <c r="I654" i="1" a="1"/>
  <c r="I654" i="1" s="1"/>
  <c r="I655" i="1" a="1"/>
  <c r="I655" i="1" s="1"/>
  <c r="I656" i="1" a="1"/>
  <c r="I656" i="1" s="1"/>
  <c r="I657" i="1" a="1"/>
  <c r="I657" i="1" s="1"/>
  <c r="I658" i="1" a="1"/>
  <c r="I658" i="1" s="1"/>
  <c r="I659" i="1" a="1"/>
  <c r="I659" i="1" s="1"/>
  <c r="I660" i="1" a="1"/>
  <c r="I660" i="1" s="1"/>
  <c r="I661" i="1" a="1"/>
  <c r="I661" i="1" s="1"/>
  <c r="I662" i="1" a="1"/>
  <c r="I662" i="1" s="1"/>
  <c r="I663" i="1" a="1"/>
  <c r="I663" i="1" s="1"/>
  <c r="I664" i="1" a="1"/>
  <c r="I664" i="1" s="1"/>
  <c r="I665" i="1" a="1"/>
  <c r="I665" i="1" s="1"/>
  <c r="I666" i="1" a="1"/>
  <c r="I666" i="1" s="1"/>
  <c r="I667" i="1" a="1"/>
  <c r="I667" i="1" s="1"/>
  <c r="I2388" i="1" a="1"/>
  <c r="I2388" i="1" s="1"/>
  <c r="I668" i="1" a="1"/>
  <c r="I668" i="1" s="1"/>
  <c r="I669" i="1" a="1"/>
  <c r="I669" i="1" s="1"/>
  <c r="I670" i="1" a="1"/>
  <c r="I670" i="1" s="1"/>
  <c r="I671" i="1" a="1"/>
  <c r="I671" i="1" s="1"/>
  <c r="I672" i="1" a="1"/>
  <c r="I672" i="1" s="1"/>
  <c r="I2389" i="1" a="1"/>
  <c r="I2389" i="1" s="1"/>
  <c r="I673" i="1" a="1"/>
  <c r="I673" i="1" s="1"/>
  <c r="I674" i="1" a="1"/>
  <c r="I674" i="1" s="1"/>
  <c r="I675" i="1" a="1"/>
  <c r="I675" i="1" s="1"/>
  <c r="I676" i="1" a="1"/>
  <c r="I676" i="1" s="1"/>
  <c r="I677" i="1" a="1"/>
  <c r="I677" i="1" s="1"/>
  <c r="I2390" i="1" a="1"/>
  <c r="I2390" i="1" s="1"/>
  <c r="I678" i="1" a="1"/>
  <c r="I678" i="1" s="1"/>
  <c r="I679" i="1" a="1"/>
  <c r="I679" i="1" s="1"/>
  <c r="I680" i="1" a="1"/>
  <c r="I680" i="1" s="1"/>
  <c r="I2391" i="1" a="1"/>
  <c r="I2391" i="1" s="1"/>
  <c r="I2392" i="1" a="1"/>
  <c r="I2392" i="1" s="1"/>
  <c r="I681" i="1" a="1"/>
  <c r="I681" i="1" s="1"/>
  <c r="I682" i="1" a="1"/>
  <c r="I682" i="1" s="1"/>
  <c r="I2393" i="1" a="1"/>
  <c r="I2393" i="1" s="1"/>
  <c r="I683" i="1" a="1"/>
  <c r="I683" i="1" s="1"/>
  <c r="I684" i="1" a="1"/>
  <c r="I684" i="1" s="1"/>
  <c r="I2394" i="1" a="1"/>
  <c r="I2394" i="1" s="1"/>
  <c r="I685" i="1" a="1"/>
  <c r="I685" i="1" s="1"/>
  <c r="I686" i="1" a="1"/>
  <c r="I686" i="1" s="1"/>
  <c r="I687" i="1" a="1"/>
  <c r="I687" i="1" s="1"/>
  <c r="I688" i="1" a="1"/>
  <c r="I688" i="1" s="1"/>
  <c r="I2395" i="1" a="1"/>
  <c r="I2395" i="1" s="1"/>
  <c r="I2396" i="1" a="1"/>
  <c r="I2396" i="1" s="1"/>
  <c r="I689" i="1" a="1"/>
  <c r="I689" i="1" s="1"/>
  <c r="I690" i="1" a="1"/>
  <c r="I690" i="1" s="1"/>
  <c r="I691" i="1" a="1"/>
  <c r="I691" i="1" s="1"/>
  <c r="I692" i="1" a="1"/>
  <c r="I692" i="1" s="1"/>
  <c r="I693" i="1" a="1"/>
  <c r="I693" i="1" s="1"/>
  <c r="I694" i="1" a="1"/>
  <c r="I694" i="1" s="1"/>
  <c r="I695" i="1" a="1"/>
  <c r="I695" i="1" s="1"/>
  <c r="I696" i="1" a="1"/>
  <c r="I696" i="1" s="1"/>
  <c r="I697" i="1" a="1"/>
  <c r="I697" i="1" s="1"/>
  <c r="I698" i="1" a="1"/>
  <c r="I698" i="1" s="1"/>
  <c r="I699" i="1" a="1"/>
  <c r="I699" i="1" s="1"/>
  <c r="I700" i="1" a="1"/>
  <c r="I700" i="1" s="1"/>
  <c r="I701" i="1" a="1"/>
  <c r="I701" i="1" s="1"/>
  <c r="I702" i="1" a="1"/>
  <c r="I702" i="1" s="1"/>
  <c r="I703" i="1" a="1"/>
  <c r="I703" i="1" s="1"/>
  <c r="I704" i="1" a="1"/>
  <c r="I704" i="1" s="1"/>
  <c r="I705" i="1" a="1"/>
  <c r="I705" i="1" s="1"/>
  <c r="I706" i="1" a="1"/>
  <c r="I706" i="1" s="1"/>
  <c r="I2397" i="1" a="1"/>
  <c r="I2397" i="1" s="1"/>
  <c r="I707" i="1" a="1"/>
  <c r="I707" i="1" s="1"/>
  <c r="I708" i="1" a="1"/>
  <c r="I708" i="1" s="1"/>
  <c r="I709" i="1" a="1"/>
  <c r="I709" i="1" s="1"/>
  <c r="I710" i="1" a="1"/>
  <c r="I710" i="1" s="1"/>
  <c r="I711" i="1" a="1"/>
  <c r="I711" i="1" s="1"/>
  <c r="I712" i="1" a="1"/>
  <c r="I712" i="1" s="1"/>
  <c r="I713" i="1" a="1"/>
  <c r="I713" i="1" s="1"/>
  <c r="I714" i="1" a="1"/>
  <c r="I714" i="1" s="1"/>
  <c r="I2398" i="1" a="1"/>
  <c r="I2398" i="1" s="1"/>
  <c r="I715" i="1" a="1"/>
  <c r="I715" i="1" s="1"/>
  <c r="I716" i="1" a="1"/>
  <c r="I716" i="1" s="1"/>
  <c r="I717" i="1" a="1"/>
  <c r="I717" i="1" s="1"/>
  <c r="I718" i="1" a="1"/>
  <c r="I718" i="1" s="1"/>
  <c r="I719" i="1" a="1"/>
  <c r="I719" i="1" s="1"/>
  <c r="I720" i="1" a="1"/>
  <c r="I720" i="1" s="1"/>
  <c r="I721" i="1" a="1"/>
  <c r="I721" i="1" s="1"/>
  <c r="I2399" i="1" a="1"/>
  <c r="I2399" i="1" s="1"/>
  <c r="I722" i="1" a="1"/>
  <c r="I722" i="1" s="1"/>
  <c r="I723" i="1" a="1"/>
  <c r="I723" i="1" s="1"/>
  <c r="I2400" i="1" a="1"/>
  <c r="I2400" i="1" s="1"/>
  <c r="I724" i="1" a="1"/>
  <c r="I724" i="1" s="1"/>
  <c r="I725" i="1" a="1"/>
  <c r="I725" i="1" s="1"/>
  <c r="I726" i="1" a="1"/>
  <c r="I726" i="1" s="1"/>
  <c r="I2254" i="1" a="1"/>
  <c r="I2254" i="1" s="1"/>
  <c r="I2255" i="1" a="1"/>
  <c r="I2255" i="1" s="1"/>
  <c r="I727" i="1" a="1"/>
  <c r="I727" i="1" s="1"/>
  <c r="I728" i="1" a="1"/>
  <c r="I728" i="1" s="1"/>
  <c r="I729" i="1" a="1"/>
  <c r="I729" i="1" s="1"/>
  <c r="I730" i="1" a="1"/>
  <c r="I730" i="1" s="1"/>
  <c r="I731" i="1" a="1"/>
  <c r="I731" i="1" s="1"/>
  <c r="I732" i="1" a="1"/>
  <c r="I732" i="1" s="1"/>
  <c r="I733" i="1" a="1"/>
  <c r="I733" i="1" s="1"/>
  <c r="I734" i="1" a="1"/>
  <c r="I734" i="1" s="1"/>
  <c r="I735" i="1" a="1"/>
  <c r="I735" i="1" s="1"/>
  <c r="I736" i="1" a="1"/>
  <c r="I736" i="1" s="1"/>
  <c r="I737" i="1" a="1"/>
  <c r="I737" i="1" s="1"/>
  <c r="I2401" i="1" a="1"/>
  <c r="I2401" i="1" s="1"/>
  <c r="I738" i="1" a="1"/>
  <c r="I738" i="1" s="1"/>
  <c r="I739" i="1" a="1"/>
  <c r="I739" i="1" s="1"/>
  <c r="I740" i="1" a="1"/>
  <c r="I740" i="1" s="1"/>
  <c r="I741" i="1" a="1"/>
  <c r="I741" i="1" s="1"/>
  <c r="I742" i="1" a="1"/>
  <c r="I742" i="1" s="1"/>
  <c r="I743" i="1" a="1"/>
  <c r="I743" i="1" s="1"/>
  <c r="I744" i="1" a="1"/>
  <c r="I744" i="1" s="1"/>
  <c r="I745" i="1" a="1"/>
  <c r="I745" i="1" s="1"/>
  <c r="I746" i="1" a="1"/>
  <c r="I746" i="1" s="1"/>
  <c r="I747" i="1" a="1"/>
  <c r="I747" i="1" s="1"/>
  <c r="I748" i="1" a="1"/>
  <c r="I748" i="1" s="1"/>
  <c r="I749" i="1" a="1"/>
  <c r="I749" i="1" s="1"/>
  <c r="I2402" i="1" a="1"/>
  <c r="I2402" i="1" s="1"/>
  <c r="I750" i="1" a="1"/>
  <c r="I750" i="1" s="1"/>
  <c r="I751" i="1" a="1"/>
  <c r="I751" i="1" s="1"/>
  <c r="I752" i="1" a="1"/>
  <c r="I752" i="1" s="1"/>
  <c r="I753" i="1" a="1"/>
  <c r="I753" i="1" s="1"/>
  <c r="I2403" i="1" a="1"/>
  <c r="I2403" i="1" s="1"/>
  <c r="I754" i="1" a="1"/>
  <c r="I754" i="1" s="1"/>
  <c r="I2404" i="1" a="1"/>
  <c r="I2404" i="1" s="1"/>
  <c r="I755" i="1" a="1"/>
  <c r="I755" i="1" s="1"/>
  <c r="I756" i="1" a="1"/>
  <c r="I756" i="1" s="1"/>
  <c r="I757" i="1" a="1"/>
  <c r="I757" i="1" s="1"/>
  <c r="I758" i="1" a="1"/>
  <c r="I758" i="1" s="1"/>
  <c r="I759" i="1" a="1"/>
  <c r="I759" i="1" s="1"/>
  <c r="I760" i="1" a="1"/>
  <c r="I760" i="1" s="1"/>
  <c r="I761" i="1" a="1"/>
  <c r="I761" i="1" s="1"/>
  <c r="I2405" i="1" a="1"/>
  <c r="I2405" i="1" s="1"/>
  <c r="I762" i="1" a="1"/>
  <c r="I762" i="1" s="1"/>
  <c r="I763" i="1" a="1"/>
  <c r="I763" i="1" s="1"/>
  <c r="I764" i="1" a="1"/>
  <c r="I764" i="1" s="1"/>
  <c r="I765" i="1" a="1"/>
  <c r="I765" i="1" s="1"/>
  <c r="I766" i="1" a="1"/>
  <c r="I766" i="1" s="1"/>
  <c r="I767" i="1" a="1"/>
  <c r="I767" i="1" s="1"/>
  <c r="I768" i="1" a="1"/>
  <c r="I768" i="1" s="1"/>
  <c r="I769" i="1" a="1"/>
  <c r="I769" i="1" s="1"/>
  <c r="I2406" i="1" a="1"/>
  <c r="I2406" i="1" s="1"/>
  <c r="I770" i="1" a="1"/>
  <c r="I770" i="1" s="1"/>
  <c r="I2407" i="1" a="1"/>
  <c r="I2407" i="1" s="1"/>
  <c r="I771" i="1" a="1"/>
  <c r="I771" i="1" s="1"/>
  <c r="I772" i="1" a="1"/>
  <c r="I772" i="1" s="1"/>
  <c r="I773" i="1" a="1"/>
  <c r="I773" i="1" s="1"/>
  <c r="I774" i="1" a="1"/>
  <c r="I774" i="1" s="1"/>
  <c r="I775" i="1" a="1"/>
  <c r="I775" i="1" s="1"/>
  <c r="I776" i="1" a="1"/>
  <c r="I776" i="1" s="1"/>
  <c r="I777" i="1" a="1"/>
  <c r="I777" i="1" s="1"/>
  <c r="I2408" i="1" a="1"/>
  <c r="I2408" i="1" s="1"/>
  <c r="I2409" i="1" a="1"/>
  <c r="I2409" i="1" s="1"/>
  <c r="I778" i="1" a="1"/>
  <c r="I778" i="1" s="1"/>
  <c r="I779" i="1" a="1"/>
  <c r="I779" i="1" s="1"/>
  <c r="I780" i="1" a="1"/>
  <c r="I780" i="1" s="1"/>
  <c r="I781" i="1" a="1"/>
  <c r="I781" i="1" s="1"/>
  <c r="I782" i="1" a="1"/>
  <c r="I782" i="1" s="1"/>
  <c r="I783" i="1" a="1"/>
  <c r="I783" i="1" s="1"/>
  <c r="I784" i="1" a="1"/>
  <c r="I784" i="1" s="1"/>
  <c r="I785" i="1" a="1"/>
  <c r="I785" i="1" s="1"/>
  <c r="I786" i="1" a="1"/>
  <c r="I786" i="1" s="1"/>
  <c r="I787" i="1" a="1"/>
  <c r="I787" i="1" s="1"/>
  <c r="I788" i="1" a="1"/>
  <c r="I788" i="1" s="1"/>
  <c r="I789" i="1" a="1"/>
  <c r="I789" i="1" s="1"/>
  <c r="I790" i="1" a="1"/>
  <c r="I790" i="1" s="1"/>
  <c r="I791" i="1" a="1"/>
  <c r="I791" i="1" s="1"/>
  <c r="I792" i="1" a="1"/>
  <c r="I792" i="1" s="1"/>
  <c r="I2410" i="1" a="1"/>
  <c r="I2410" i="1" s="1"/>
  <c r="I2411" i="1" a="1"/>
  <c r="I2411" i="1" s="1"/>
  <c r="I793" i="1" a="1"/>
  <c r="I793" i="1" s="1"/>
  <c r="I794" i="1" a="1"/>
  <c r="I794" i="1" s="1"/>
  <c r="I795" i="1" a="1"/>
  <c r="I795" i="1" s="1"/>
  <c r="I796" i="1" a="1"/>
  <c r="I796" i="1" s="1"/>
  <c r="I797" i="1" a="1"/>
  <c r="I797" i="1" s="1"/>
  <c r="I798" i="1" a="1"/>
  <c r="I798" i="1" s="1"/>
  <c r="I799" i="1" a="1"/>
  <c r="I799" i="1" s="1"/>
  <c r="I800" i="1" a="1"/>
  <c r="I800" i="1" s="1"/>
  <c r="I801" i="1" a="1"/>
  <c r="I801" i="1" s="1"/>
  <c r="I802" i="1" a="1"/>
  <c r="I802" i="1" s="1"/>
  <c r="I803" i="1" a="1"/>
  <c r="I803" i="1" s="1"/>
  <c r="I804" i="1" a="1"/>
  <c r="I804" i="1" s="1"/>
  <c r="I805" i="1" a="1"/>
  <c r="I805" i="1" s="1"/>
  <c r="I806" i="1" a="1"/>
  <c r="I806" i="1" s="1"/>
  <c r="I807" i="1" a="1"/>
  <c r="I807" i="1" s="1"/>
  <c r="I808" i="1" a="1"/>
  <c r="I808" i="1" s="1"/>
  <c r="I809" i="1" a="1"/>
  <c r="I809" i="1" s="1"/>
  <c r="I810" i="1" a="1"/>
  <c r="I810" i="1" s="1"/>
  <c r="I811" i="1" a="1"/>
  <c r="I811" i="1" s="1"/>
  <c r="I812" i="1" a="1"/>
  <c r="I812" i="1" s="1"/>
  <c r="I813" i="1" a="1"/>
  <c r="I813" i="1" s="1"/>
  <c r="I814" i="1" a="1"/>
  <c r="I814" i="1" s="1"/>
  <c r="I815" i="1" a="1"/>
  <c r="I815" i="1" s="1"/>
  <c r="I816" i="1" a="1"/>
  <c r="I816" i="1" s="1"/>
  <c r="I817" i="1" a="1"/>
  <c r="I817" i="1" s="1"/>
  <c r="I2412" i="1" a="1"/>
  <c r="I2412" i="1" s="1"/>
  <c r="I818" i="1" a="1"/>
  <c r="I818" i="1" s="1"/>
  <c r="I819" i="1" a="1"/>
  <c r="I819" i="1" s="1"/>
  <c r="I820" i="1" a="1"/>
  <c r="I820" i="1" s="1"/>
  <c r="I821" i="1" a="1"/>
  <c r="I821" i="1" s="1"/>
  <c r="I822" i="1" a="1"/>
  <c r="I822" i="1" s="1"/>
  <c r="I823" i="1" a="1"/>
  <c r="I823" i="1" s="1"/>
  <c r="I2413" i="1" a="1"/>
  <c r="I2413" i="1" s="1"/>
  <c r="I2414" i="1" a="1"/>
  <c r="I2414" i="1" s="1"/>
  <c r="I824" i="1" a="1"/>
  <c r="I824" i="1" s="1"/>
  <c r="I825" i="1" a="1"/>
  <c r="I825" i="1" s="1"/>
  <c r="I826" i="1" a="1"/>
  <c r="I826" i="1" s="1"/>
  <c r="I827" i="1" a="1"/>
  <c r="I827" i="1" s="1"/>
  <c r="I828" i="1" a="1"/>
  <c r="I828" i="1" s="1"/>
  <c r="I2256" i="1" a="1"/>
  <c r="I2256" i="1" s="1"/>
  <c r="I829" i="1" a="1"/>
  <c r="I829" i="1" s="1"/>
  <c r="I830" i="1" a="1"/>
  <c r="I830" i="1" s="1"/>
  <c r="I2415" i="1" a="1"/>
  <c r="I2415" i="1" s="1"/>
  <c r="I831" i="1" a="1"/>
  <c r="I831" i="1" s="1"/>
  <c r="I832" i="1" a="1"/>
  <c r="I832" i="1" s="1"/>
  <c r="I833" i="1" a="1"/>
  <c r="I833" i="1" s="1"/>
  <c r="I834" i="1" a="1"/>
  <c r="I834" i="1" s="1"/>
  <c r="I835" i="1" a="1"/>
  <c r="I835" i="1" s="1"/>
  <c r="I836" i="1" a="1"/>
  <c r="I836" i="1" s="1"/>
  <c r="I837" i="1" a="1"/>
  <c r="I837" i="1" s="1"/>
  <c r="I838" i="1" a="1"/>
  <c r="I838" i="1" s="1"/>
  <c r="I839" i="1" a="1"/>
  <c r="I839" i="1" s="1"/>
  <c r="I840" i="1" a="1"/>
  <c r="I840" i="1" s="1"/>
  <c r="I841" i="1" a="1"/>
  <c r="I841" i="1" s="1"/>
  <c r="I842" i="1" a="1"/>
  <c r="I842" i="1" s="1"/>
  <c r="I2416" i="1" a="1"/>
  <c r="I2416" i="1" s="1"/>
  <c r="I843" i="1" a="1"/>
  <c r="I843" i="1" s="1"/>
  <c r="I844" i="1" a="1"/>
  <c r="I844" i="1" s="1"/>
  <c r="I845" i="1" a="1"/>
  <c r="I845" i="1" s="1"/>
  <c r="I846" i="1" a="1"/>
  <c r="I846" i="1" s="1"/>
  <c r="I847" i="1" a="1"/>
  <c r="I847" i="1" s="1"/>
  <c r="I848" i="1" a="1"/>
  <c r="I848" i="1" s="1"/>
  <c r="I849" i="1" a="1"/>
  <c r="I849" i="1" s="1"/>
  <c r="I850" i="1" a="1"/>
  <c r="I850" i="1" s="1"/>
  <c r="I851" i="1" a="1"/>
  <c r="I851" i="1" s="1"/>
  <c r="I852" i="1" a="1"/>
  <c r="I852" i="1" s="1"/>
  <c r="I853" i="1" a="1"/>
  <c r="I853" i="1" s="1"/>
  <c r="I854" i="1" a="1"/>
  <c r="I854" i="1" s="1"/>
  <c r="I2417" i="1" a="1"/>
  <c r="I2417" i="1" s="1"/>
  <c r="I855" i="1" a="1"/>
  <c r="I855" i="1" s="1"/>
  <c r="I856" i="1" a="1"/>
  <c r="I856" i="1" s="1"/>
  <c r="I857" i="1" a="1"/>
  <c r="I857" i="1" s="1"/>
  <c r="I858" i="1" a="1"/>
  <c r="I858" i="1" s="1"/>
  <c r="I859" i="1" a="1"/>
  <c r="I859" i="1" s="1"/>
  <c r="I2418" i="1" a="1"/>
  <c r="I2418" i="1" s="1"/>
  <c r="I860" i="1" a="1"/>
  <c r="I860" i="1" s="1"/>
  <c r="I861" i="1" a="1"/>
  <c r="I861" i="1" s="1"/>
  <c r="I862" i="1" a="1"/>
  <c r="I862" i="1" s="1"/>
  <c r="I863" i="1" a="1"/>
  <c r="I863" i="1" s="1"/>
  <c r="I864" i="1" a="1"/>
  <c r="I864" i="1" s="1"/>
  <c r="I865" i="1" a="1"/>
  <c r="I865" i="1" s="1"/>
  <c r="I866" i="1" a="1"/>
  <c r="I866" i="1" s="1"/>
  <c r="I867" i="1" a="1"/>
  <c r="I867" i="1" s="1"/>
  <c r="I2419" i="1" a="1"/>
  <c r="I2419" i="1" s="1"/>
  <c r="I2420" i="1" a="1"/>
  <c r="I2420" i="1" s="1"/>
  <c r="I868" i="1" a="1"/>
  <c r="I868" i="1" s="1"/>
  <c r="I869" i="1" a="1"/>
  <c r="I869" i="1" s="1"/>
  <c r="I870" i="1" a="1"/>
  <c r="I870" i="1" s="1"/>
  <c r="I871" i="1" a="1"/>
  <c r="I871" i="1" s="1"/>
  <c r="I872" i="1" a="1"/>
  <c r="I872" i="1" s="1"/>
  <c r="I873" i="1" a="1"/>
  <c r="I873" i="1" s="1"/>
  <c r="I874" i="1" a="1"/>
  <c r="I874" i="1" s="1"/>
  <c r="I875" i="1" a="1"/>
  <c r="I875" i="1" s="1"/>
  <c r="I876" i="1" a="1"/>
  <c r="I876" i="1" s="1"/>
  <c r="I877" i="1" a="1"/>
  <c r="I877" i="1" s="1"/>
  <c r="I878" i="1" a="1"/>
  <c r="I878" i="1" s="1"/>
  <c r="I879" i="1" a="1"/>
  <c r="I879" i="1" s="1"/>
  <c r="I880" i="1" a="1"/>
  <c r="I880" i="1" s="1"/>
  <c r="I2421" i="1" a="1"/>
  <c r="I2421" i="1" s="1"/>
  <c r="I881" i="1" a="1"/>
  <c r="I881" i="1" s="1"/>
  <c r="I882" i="1" a="1"/>
  <c r="I882" i="1" s="1"/>
  <c r="I2422" i="1" a="1"/>
  <c r="I2422" i="1" s="1"/>
  <c r="I883" i="1" a="1"/>
  <c r="I883" i="1" s="1"/>
  <c r="I884" i="1" a="1"/>
  <c r="I884" i="1" s="1"/>
  <c r="I2423" i="1" a="1"/>
  <c r="I2423" i="1" s="1"/>
  <c r="I885" i="1" a="1"/>
  <c r="I885" i="1" s="1"/>
  <c r="I886" i="1" a="1"/>
  <c r="I886" i="1" s="1"/>
  <c r="I887" i="1" a="1"/>
  <c r="I887" i="1" s="1"/>
  <c r="I888" i="1" a="1"/>
  <c r="I888" i="1" s="1"/>
  <c r="I889" i="1" a="1"/>
  <c r="I889" i="1" s="1"/>
  <c r="I890" i="1" a="1"/>
  <c r="I890" i="1" s="1"/>
  <c r="I891" i="1" a="1"/>
  <c r="I891" i="1" s="1"/>
  <c r="I892" i="1" a="1"/>
  <c r="I892" i="1" s="1"/>
  <c r="I2424" i="1" a="1"/>
  <c r="I2424" i="1" s="1"/>
  <c r="I893" i="1" a="1"/>
  <c r="I893" i="1" s="1"/>
  <c r="I2425" i="1" a="1"/>
  <c r="I2425" i="1" s="1"/>
  <c r="I894" i="1" a="1"/>
  <c r="I894" i="1" s="1"/>
  <c r="I895" i="1" a="1"/>
  <c r="I895" i="1" s="1"/>
  <c r="I2257" i="1" a="1"/>
  <c r="I2257" i="1" s="1"/>
  <c r="I896" i="1" a="1"/>
  <c r="I896" i="1" s="1"/>
  <c r="I897" i="1" a="1"/>
  <c r="I897" i="1" s="1"/>
  <c r="I898" i="1" a="1"/>
  <c r="I898" i="1" s="1"/>
  <c r="I899" i="1" a="1"/>
  <c r="I899" i="1" s="1"/>
  <c r="I900" i="1" a="1"/>
  <c r="I900" i="1" s="1"/>
  <c r="I901" i="1" a="1"/>
  <c r="I901" i="1" s="1"/>
  <c r="I902" i="1" a="1"/>
  <c r="I902" i="1" s="1"/>
  <c r="I903" i="1" a="1"/>
  <c r="I903" i="1" s="1"/>
  <c r="I904" i="1" a="1"/>
  <c r="I904" i="1" s="1"/>
  <c r="I905" i="1" a="1"/>
  <c r="I905" i="1" s="1"/>
  <c r="I906" i="1" a="1"/>
  <c r="I906" i="1" s="1"/>
  <c r="I907" i="1" a="1"/>
  <c r="I907" i="1" s="1"/>
  <c r="I908" i="1" a="1"/>
  <c r="I908" i="1" s="1"/>
  <c r="I909" i="1" a="1"/>
  <c r="I909" i="1" s="1"/>
  <c r="I910" i="1" a="1"/>
  <c r="I910" i="1" s="1"/>
  <c r="I911" i="1" a="1"/>
  <c r="I911" i="1" s="1"/>
  <c r="I912" i="1" a="1"/>
  <c r="I912" i="1" s="1"/>
  <c r="I913" i="1" a="1"/>
  <c r="I913" i="1" s="1"/>
  <c r="I914" i="1" a="1"/>
  <c r="I914" i="1" s="1"/>
  <c r="I915" i="1" a="1"/>
  <c r="I915" i="1" s="1"/>
  <c r="I2426" i="1" a="1"/>
  <c r="I2426" i="1" s="1"/>
  <c r="I916" i="1" a="1"/>
  <c r="I916" i="1" s="1"/>
  <c r="I917" i="1" a="1"/>
  <c r="I917" i="1" s="1"/>
  <c r="I918" i="1" a="1"/>
  <c r="I918" i="1" s="1"/>
  <c r="I919" i="1" a="1"/>
  <c r="I919" i="1" s="1"/>
  <c r="I920" i="1" a="1"/>
  <c r="I920" i="1" s="1"/>
  <c r="I921" i="1" a="1"/>
  <c r="I921" i="1" s="1"/>
  <c r="I922" i="1" a="1"/>
  <c r="I922" i="1" s="1"/>
  <c r="I923" i="1" a="1"/>
  <c r="I923" i="1" s="1"/>
  <c r="I924" i="1" a="1"/>
  <c r="I924" i="1" s="1"/>
  <c r="I2427" i="1" a="1"/>
  <c r="I2427" i="1" s="1"/>
  <c r="I925" i="1" a="1"/>
  <c r="I925" i="1" s="1"/>
  <c r="I926" i="1" a="1"/>
  <c r="I926" i="1" s="1"/>
  <c r="I927" i="1" a="1"/>
  <c r="I927" i="1" s="1"/>
  <c r="I928" i="1" a="1"/>
  <c r="I928" i="1" s="1"/>
  <c r="I929" i="1" a="1"/>
  <c r="I929" i="1" s="1"/>
  <c r="I930" i="1" a="1"/>
  <c r="I930" i="1" s="1"/>
  <c r="I931" i="1" a="1"/>
  <c r="I931" i="1" s="1"/>
  <c r="I932" i="1" a="1"/>
  <c r="I932" i="1" s="1"/>
  <c r="I933" i="1" a="1"/>
  <c r="I933" i="1" s="1"/>
  <c r="I2258" i="1" a="1"/>
  <c r="I2258" i="1" s="1"/>
  <c r="I934" i="1" a="1"/>
  <c r="I934" i="1" s="1"/>
  <c r="I935" i="1" a="1"/>
  <c r="I935" i="1" s="1"/>
  <c r="I936" i="1" a="1"/>
  <c r="I936" i="1" s="1"/>
  <c r="I937" i="1" a="1"/>
  <c r="I937" i="1" s="1"/>
  <c r="I938" i="1" a="1"/>
  <c r="I938" i="1" s="1"/>
  <c r="I939" i="1" a="1"/>
  <c r="I939" i="1" s="1"/>
  <c r="I940" i="1" a="1"/>
  <c r="I940" i="1" s="1"/>
  <c r="I941" i="1" a="1"/>
  <c r="I941" i="1" s="1"/>
  <c r="I942" i="1" a="1"/>
  <c r="I942" i="1" s="1"/>
  <c r="I2259" i="1" a="1"/>
  <c r="I2259" i="1" s="1"/>
  <c r="I943" i="1" a="1"/>
  <c r="I943" i="1" s="1"/>
  <c r="I944" i="1" a="1"/>
  <c r="I944" i="1" s="1"/>
  <c r="I2428" i="1" a="1"/>
  <c r="I2428" i="1" s="1"/>
  <c r="I945" i="1" a="1"/>
  <c r="I945" i="1" s="1"/>
  <c r="I946" i="1" a="1"/>
  <c r="I946" i="1" s="1"/>
  <c r="I2429" i="1" a="1"/>
  <c r="I2429" i="1" s="1"/>
  <c r="I947" i="1" a="1"/>
  <c r="I947" i="1" s="1"/>
  <c r="I948" i="1" a="1"/>
  <c r="I948" i="1" s="1"/>
  <c r="I949" i="1" a="1"/>
  <c r="I949" i="1" s="1"/>
  <c r="I950" i="1" a="1"/>
  <c r="I950" i="1" s="1"/>
  <c r="I951" i="1" a="1"/>
  <c r="I951" i="1" s="1"/>
  <c r="I952" i="1" a="1"/>
  <c r="I952" i="1" s="1"/>
  <c r="I953" i="1" a="1"/>
  <c r="I953" i="1" s="1"/>
  <c r="I954" i="1" a="1"/>
  <c r="I954" i="1" s="1"/>
  <c r="I2430" i="1" a="1"/>
  <c r="I2430" i="1" s="1"/>
  <c r="I955" i="1" a="1"/>
  <c r="I955" i="1" s="1"/>
  <c r="I956" i="1" a="1"/>
  <c r="I956" i="1" s="1"/>
  <c r="I957" i="1" a="1"/>
  <c r="I957" i="1" s="1"/>
  <c r="I958" i="1" a="1"/>
  <c r="I958" i="1" s="1"/>
  <c r="I959" i="1" a="1"/>
  <c r="I959" i="1" s="1"/>
  <c r="I960" i="1" a="1"/>
  <c r="I960" i="1" s="1"/>
  <c r="I961" i="1" a="1"/>
  <c r="I961" i="1" s="1"/>
  <c r="I962" i="1" a="1"/>
  <c r="I962" i="1" s="1"/>
  <c r="I963" i="1" a="1"/>
  <c r="I963" i="1" s="1"/>
  <c r="I964" i="1" a="1"/>
  <c r="I964" i="1" s="1"/>
  <c r="I2431" i="1" a="1"/>
  <c r="I2431" i="1" s="1"/>
  <c r="I965" i="1" a="1"/>
  <c r="I965" i="1" s="1"/>
  <c r="I966" i="1" a="1"/>
  <c r="I966" i="1" s="1"/>
  <c r="I967" i="1" a="1"/>
  <c r="I967" i="1" s="1"/>
  <c r="I968" i="1" a="1"/>
  <c r="I968" i="1" s="1"/>
  <c r="I2432" i="1" a="1"/>
  <c r="I2432" i="1" s="1"/>
  <c r="I969" i="1" a="1"/>
  <c r="I969" i="1" s="1"/>
  <c r="I970" i="1" a="1"/>
  <c r="I970" i="1" s="1"/>
  <c r="I971" i="1" a="1"/>
  <c r="I971" i="1" s="1"/>
  <c r="I972" i="1" a="1"/>
  <c r="I972" i="1" s="1"/>
  <c r="I973" i="1" a="1"/>
  <c r="I973" i="1" s="1"/>
  <c r="I974" i="1" a="1"/>
  <c r="I974" i="1" s="1"/>
  <c r="I975" i="1" a="1"/>
  <c r="I975" i="1" s="1"/>
  <c r="I976" i="1" a="1"/>
  <c r="I976" i="1" s="1"/>
  <c r="I977" i="1" a="1"/>
  <c r="I977" i="1" s="1"/>
  <c r="I978" i="1" a="1"/>
  <c r="I978" i="1" s="1"/>
  <c r="I979" i="1" a="1"/>
  <c r="I979" i="1" s="1"/>
  <c r="I980" i="1" a="1"/>
  <c r="I980" i="1" s="1"/>
  <c r="I981" i="1" a="1"/>
  <c r="I981" i="1" s="1"/>
  <c r="I982" i="1" a="1"/>
  <c r="I982" i="1" s="1"/>
  <c r="I983" i="1" a="1"/>
  <c r="I983" i="1" s="1"/>
  <c r="I984" i="1" a="1"/>
  <c r="I984" i="1" s="1"/>
  <c r="I985" i="1" a="1"/>
  <c r="I985" i="1" s="1"/>
  <c r="I986" i="1" a="1"/>
  <c r="I986" i="1" s="1"/>
  <c r="I987" i="1" a="1"/>
  <c r="I987" i="1" s="1"/>
  <c r="I988" i="1" a="1"/>
  <c r="I988" i="1" s="1"/>
  <c r="I989" i="1" a="1"/>
  <c r="I989" i="1" s="1"/>
  <c r="I990" i="1" a="1"/>
  <c r="I990" i="1" s="1"/>
  <c r="I991" i="1" a="1"/>
  <c r="I991" i="1" s="1"/>
  <c r="I992" i="1" a="1"/>
  <c r="I992" i="1" s="1"/>
  <c r="I2433" i="1" a="1"/>
  <c r="I2433" i="1" s="1"/>
  <c r="I993" i="1" a="1"/>
  <c r="I993" i="1" s="1"/>
  <c r="I994" i="1" a="1"/>
  <c r="I994" i="1" s="1"/>
  <c r="I2434" i="1" a="1"/>
  <c r="I2434" i="1" s="1"/>
  <c r="I995" i="1" a="1"/>
  <c r="I995" i="1" s="1"/>
  <c r="I996" i="1" a="1"/>
  <c r="I996" i="1" s="1"/>
  <c r="I997" i="1" a="1"/>
  <c r="I997" i="1" s="1"/>
  <c r="I998" i="1" a="1"/>
  <c r="I998" i="1" s="1"/>
  <c r="I999" i="1" a="1"/>
  <c r="I999" i="1" s="1"/>
  <c r="I1000" i="1" a="1"/>
  <c r="I1000" i="1" s="1"/>
  <c r="I1001" i="1" a="1"/>
  <c r="I1001" i="1" s="1"/>
  <c r="I1002" i="1" a="1"/>
  <c r="I1002" i="1" s="1"/>
  <c r="I1003" i="1" a="1"/>
  <c r="I1003" i="1" s="1"/>
  <c r="I1004" i="1" a="1"/>
  <c r="I1004" i="1" s="1"/>
  <c r="I1005" i="1" a="1"/>
  <c r="I1005" i="1" s="1"/>
  <c r="I1006" i="1" a="1"/>
  <c r="I1006" i="1" s="1"/>
  <c r="I1007" i="1" a="1"/>
  <c r="I1007" i="1" s="1"/>
  <c r="I1008" i="1" a="1"/>
  <c r="I1008" i="1" s="1"/>
  <c r="I1009" i="1" a="1"/>
  <c r="I1009" i="1" s="1"/>
  <c r="I1010" i="1" a="1"/>
  <c r="I1010" i="1" s="1"/>
  <c r="I1011" i="1" a="1"/>
  <c r="I1011" i="1" s="1"/>
  <c r="I1012" i="1" a="1"/>
  <c r="I1012" i="1" s="1"/>
  <c r="I1013" i="1" a="1"/>
  <c r="I1013" i="1" s="1"/>
  <c r="I1014" i="1" a="1"/>
  <c r="I1014" i="1" s="1"/>
  <c r="I1015" i="1" a="1"/>
  <c r="I1015" i="1" s="1"/>
  <c r="I1016" i="1" a="1"/>
  <c r="I1016" i="1" s="1"/>
  <c r="I1017" i="1" a="1"/>
  <c r="I1017" i="1" s="1"/>
  <c r="I1018" i="1" a="1"/>
  <c r="I1018" i="1" s="1"/>
  <c r="I1019" i="1" a="1"/>
  <c r="I1019" i="1" s="1"/>
  <c r="I1020" i="1" a="1"/>
  <c r="I1020" i="1" s="1"/>
  <c r="I1021" i="1" a="1"/>
  <c r="I1021" i="1" s="1"/>
  <c r="I1022" i="1" a="1"/>
  <c r="I1022" i="1" s="1"/>
  <c r="I1023" i="1" a="1"/>
  <c r="I1023" i="1" s="1"/>
  <c r="I1024" i="1" a="1"/>
  <c r="I1024" i="1" s="1"/>
  <c r="I1025" i="1" a="1"/>
  <c r="I1025" i="1" s="1"/>
  <c r="I1026" i="1" a="1"/>
  <c r="I1026" i="1" s="1"/>
  <c r="I1027" i="1" a="1"/>
  <c r="I1027" i="1" s="1"/>
  <c r="I1028" i="1" a="1"/>
  <c r="I1028" i="1" s="1"/>
  <c r="I2260" i="1" a="1"/>
  <c r="I2260" i="1" s="1"/>
  <c r="I1029" i="1" a="1"/>
  <c r="I1029" i="1" s="1"/>
  <c r="I1030" i="1" a="1"/>
  <c r="I1030" i="1" s="1"/>
  <c r="I1031" i="1" a="1"/>
  <c r="I1031" i="1" s="1"/>
  <c r="I2435" i="1" a="1"/>
  <c r="I2435" i="1" s="1"/>
  <c r="I2261" i="1" a="1"/>
  <c r="I2261" i="1" s="1"/>
  <c r="I2436" i="1" a="1"/>
  <c r="I2436" i="1" s="1"/>
  <c r="I1032" i="1" a="1"/>
  <c r="I1032" i="1" s="1"/>
  <c r="I1033" i="1" a="1"/>
  <c r="I1033" i="1" s="1"/>
  <c r="I1034" i="1" a="1"/>
  <c r="I1034" i="1" s="1"/>
  <c r="I1035" i="1" a="1"/>
  <c r="I1035" i="1" s="1"/>
  <c r="I1036" i="1" a="1"/>
  <c r="I1036" i="1" s="1"/>
  <c r="I2437" i="1" a="1"/>
  <c r="I2437" i="1" s="1"/>
  <c r="I1037" i="1" a="1"/>
  <c r="I1037" i="1" s="1"/>
  <c r="I1038" i="1" a="1"/>
  <c r="I1038" i="1" s="1"/>
  <c r="I1039" i="1" a="1"/>
  <c r="I1039" i="1" s="1"/>
  <c r="I2438" i="1" a="1"/>
  <c r="I2438" i="1" s="1"/>
  <c r="I1040" i="1" a="1"/>
  <c r="I1040" i="1" s="1"/>
  <c r="I1041" i="1" a="1"/>
  <c r="I1041" i="1" s="1"/>
  <c r="I1042" i="1" a="1"/>
  <c r="I1042" i="1" s="1"/>
  <c r="I1043" i="1" a="1"/>
  <c r="I1043" i="1" s="1"/>
  <c r="I1044" i="1" a="1"/>
  <c r="I1044" i="1" s="1"/>
  <c r="I1045" i="1" a="1"/>
  <c r="I1045" i="1" s="1"/>
  <c r="I1046" i="1" a="1"/>
  <c r="I1046" i="1" s="1"/>
  <c r="I1047" i="1" a="1"/>
  <c r="I1047" i="1" s="1"/>
  <c r="I1048" i="1" a="1"/>
  <c r="I1048" i="1" s="1"/>
  <c r="I1049" i="1" a="1"/>
  <c r="I1049" i="1" s="1"/>
  <c r="I1050" i="1" a="1"/>
  <c r="I1050" i="1" s="1"/>
  <c r="I1051" i="1" a="1"/>
  <c r="I1051" i="1" s="1"/>
  <c r="I1052" i="1" a="1"/>
  <c r="I1052" i="1" s="1"/>
  <c r="I1053" i="1" a="1"/>
  <c r="I1053" i="1" s="1"/>
  <c r="I1054" i="1" a="1"/>
  <c r="I1054" i="1" s="1"/>
  <c r="I1055" i="1" a="1"/>
  <c r="I1055" i="1" s="1"/>
  <c r="I1056" i="1" a="1"/>
  <c r="I1056" i="1" s="1"/>
  <c r="I1057" i="1" a="1"/>
  <c r="I1057" i="1" s="1"/>
  <c r="I2439" i="1" a="1"/>
  <c r="I2439" i="1" s="1"/>
  <c r="I1058" i="1" a="1"/>
  <c r="I1058" i="1" s="1"/>
  <c r="I1059" i="1" a="1"/>
  <c r="I1059" i="1" s="1"/>
  <c r="I1060" i="1" a="1"/>
  <c r="I1060" i="1" s="1"/>
  <c r="I1061" i="1" a="1"/>
  <c r="I1061" i="1" s="1"/>
  <c r="I1062" i="1" a="1"/>
  <c r="I1062" i="1" s="1"/>
  <c r="I1063" i="1" a="1"/>
  <c r="I1063" i="1" s="1"/>
  <c r="I1064" i="1" a="1"/>
  <c r="I1064" i="1" s="1"/>
  <c r="I1065" i="1" a="1"/>
  <c r="I1065" i="1" s="1"/>
  <c r="I2440" i="1" a="1"/>
  <c r="I2440" i="1" s="1"/>
  <c r="I1066" i="1" a="1"/>
  <c r="I1066" i="1" s="1"/>
  <c r="I1067" i="1" a="1"/>
  <c r="I1067" i="1" s="1"/>
  <c r="I1068" i="1" a="1"/>
  <c r="I1068" i="1" s="1"/>
  <c r="I1069" i="1" a="1"/>
  <c r="I1069" i="1" s="1"/>
  <c r="I1070" i="1" a="1"/>
  <c r="I1070" i="1" s="1"/>
  <c r="I2441" i="1" a="1"/>
  <c r="I2441" i="1" s="1"/>
  <c r="I1071" i="1" a="1"/>
  <c r="I1071" i="1" s="1"/>
  <c r="I1072" i="1" a="1"/>
  <c r="I1072" i="1" s="1"/>
  <c r="I1073" i="1" a="1"/>
  <c r="I1073" i="1" s="1"/>
  <c r="I1074" i="1" a="1"/>
  <c r="I1074" i="1" s="1"/>
  <c r="I1075" i="1" a="1"/>
  <c r="I1075" i="1" s="1"/>
  <c r="I1076" i="1" a="1"/>
  <c r="I1076" i="1" s="1"/>
  <c r="I1077" i="1" a="1"/>
  <c r="I1077" i="1" s="1"/>
  <c r="I1078" i="1" a="1"/>
  <c r="I1078" i="1" s="1"/>
  <c r="I1079" i="1" a="1"/>
  <c r="I1079" i="1" s="1"/>
  <c r="I2262" i="1" a="1"/>
  <c r="I2262" i="1" s="1"/>
  <c r="I2442" i="1" a="1"/>
  <c r="I2442" i="1" s="1"/>
  <c r="I2443" i="1" a="1"/>
  <c r="I2443" i="1" s="1"/>
  <c r="I2444" i="1" a="1"/>
  <c r="I2444" i="1" s="1"/>
  <c r="I1080" i="1" a="1"/>
  <c r="I1080" i="1" s="1"/>
  <c r="I1081" i="1" a="1"/>
  <c r="I1081" i="1" s="1"/>
  <c r="I1082" i="1" a="1"/>
  <c r="I1082" i="1" s="1"/>
  <c r="I1083" i="1" a="1"/>
  <c r="I1083" i="1" s="1"/>
  <c r="I1084" i="1" a="1"/>
  <c r="I1084" i="1" s="1"/>
  <c r="I1085" i="1" a="1"/>
  <c r="I1085" i="1" s="1"/>
  <c r="I2445" i="1" a="1"/>
  <c r="I2445" i="1" s="1"/>
  <c r="I1086" i="1" a="1"/>
  <c r="I1086" i="1" s="1"/>
  <c r="I1087" i="1" a="1"/>
  <c r="I1087" i="1" s="1"/>
  <c r="I1088" i="1" a="1"/>
  <c r="I1088" i="1" s="1"/>
  <c r="I2446" i="1" a="1"/>
  <c r="I2446" i="1" s="1"/>
  <c r="I1089" i="1" a="1"/>
  <c r="I1089" i="1" s="1"/>
  <c r="I1090" i="1" a="1"/>
  <c r="I1090" i="1" s="1"/>
  <c r="I1091" i="1" a="1"/>
  <c r="I1091" i="1" s="1"/>
  <c r="I1092" i="1" a="1"/>
  <c r="I1092" i="1" s="1"/>
  <c r="I1093" i="1" a="1"/>
  <c r="I1093" i="1" s="1"/>
  <c r="I1094" i="1" a="1"/>
  <c r="I1094" i="1" s="1"/>
  <c r="I1095" i="1" a="1"/>
  <c r="I1095" i="1" s="1"/>
  <c r="I2447" i="1" a="1"/>
  <c r="I2447" i="1" s="1"/>
  <c r="I1096" i="1" a="1"/>
  <c r="I1096" i="1" s="1"/>
  <c r="I2448" i="1" a="1"/>
  <c r="I2448" i="1" s="1"/>
  <c r="I1097" i="1" a="1"/>
  <c r="I1097" i="1" s="1"/>
  <c r="I1098" i="1" a="1"/>
  <c r="I1098" i="1" s="1"/>
  <c r="I2449" i="1" a="1"/>
  <c r="I2449" i="1" s="1"/>
  <c r="I2263" i="1" a="1"/>
  <c r="I2263" i="1" s="1"/>
  <c r="I1099" i="1" a="1"/>
  <c r="I1099" i="1" s="1"/>
  <c r="I1100" i="1" a="1"/>
  <c r="I1100" i="1" s="1"/>
  <c r="I1101" i="1" a="1"/>
  <c r="I1101" i="1" s="1"/>
  <c r="I2450" i="1" a="1"/>
  <c r="I2450" i="1" s="1"/>
  <c r="I1102" i="1" a="1"/>
  <c r="I1102" i="1" s="1"/>
  <c r="I1103" i="1" a="1"/>
  <c r="I1103" i="1" s="1"/>
  <c r="I1104" i="1" a="1"/>
  <c r="I1104" i="1" s="1"/>
  <c r="I2451" i="1" a="1"/>
  <c r="I2451" i="1" s="1"/>
  <c r="I1105" i="1" a="1"/>
  <c r="I1105" i="1" s="1"/>
  <c r="I2452" i="1" a="1"/>
  <c r="I2452" i="1" s="1"/>
  <c r="I1106" i="1" a="1"/>
  <c r="I1106" i="1" s="1"/>
  <c r="I1107" i="1" a="1"/>
  <c r="I1107" i="1" s="1"/>
  <c r="I1108" i="1" a="1"/>
  <c r="I1108" i="1" s="1"/>
  <c r="I1109" i="1" a="1"/>
  <c r="I1109" i="1" s="1"/>
  <c r="I1110" i="1" a="1"/>
  <c r="I1110" i="1" s="1"/>
  <c r="I1111" i="1" a="1"/>
  <c r="I1111" i="1" s="1"/>
  <c r="I1112" i="1" a="1"/>
  <c r="I1112" i="1" s="1"/>
  <c r="I1113" i="1" a="1"/>
  <c r="I1113" i="1" s="1"/>
  <c r="I1114" i="1" a="1"/>
  <c r="I1114" i="1" s="1"/>
  <c r="I1115" i="1" a="1"/>
  <c r="I1115" i="1" s="1"/>
  <c r="I2453" i="1" a="1"/>
  <c r="I2453" i="1" s="1"/>
  <c r="I1116" i="1" a="1"/>
  <c r="I1116" i="1" s="1"/>
  <c r="I1117" i="1" a="1"/>
  <c r="I1117" i="1" s="1"/>
  <c r="I2454" i="1" a="1"/>
  <c r="I2454" i="1" s="1"/>
  <c r="I1118" i="1" a="1"/>
  <c r="I1118" i="1" s="1"/>
  <c r="I1119" i="1" a="1"/>
  <c r="I1119" i="1" s="1"/>
  <c r="I2455" i="1" a="1"/>
  <c r="I2455" i="1" s="1"/>
  <c r="I1120" i="1" a="1"/>
  <c r="I1120" i="1" s="1"/>
  <c r="I1121" i="1" a="1"/>
  <c r="I1121" i="1" s="1"/>
  <c r="I1122" i="1" a="1"/>
  <c r="I1122" i="1" s="1"/>
  <c r="I1123" i="1" a="1"/>
  <c r="I1123" i="1" s="1"/>
  <c r="I1124" i="1" a="1"/>
  <c r="I1124" i="1" s="1"/>
  <c r="I1125" i="1" a="1"/>
  <c r="I1125" i="1" s="1"/>
  <c r="I1126" i="1" a="1"/>
  <c r="I1126" i="1" s="1"/>
  <c r="I1127" i="1" a="1"/>
  <c r="I1127" i="1" s="1"/>
  <c r="I1128" i="1" a="1"/>
  <c r="I1128" i="1" s="1"/>
  <c r="I1129" i="1" a="1"/>
  <c r="I1129" i="1" s="1"/>
  <c r="I1130" i="1" a="1"/>
  <c r="I1130" i="1" s="1"/>
  <c r="I1131" i="1" a="1"/>
  <c r="I1131" i="1" s="1"/>
  <c r="I2456" i="1" a="1"/>
  <c r="I2456" i="1" s="1"/>
  <c r="I2264" i="1" a="1"/>
  <c r="I2264" i="1" s="1"/>
  <c r="I1132" i="1" a="1"/>
  <c r="I1132" i="1" s="1"/>
  <c r="I1133" i="1" a="1"/>
  <c r="I1133" i="1" s="1"/>
  <c r="I1134" i="1" a="1"/>
  <c r="I1134" i="1" s="1"/>
  <c r="I1135" i="1" a="1"/>
  <c r="I1135" i="1" s="1"/>
  <c r="I1136" i="1" a="1"/>
  <c r="I1136" i="1" s="1"/>
  <c r="I1137" i="1" a="1"/>
  <c r="I1137" i="1" s="1"/>
  <c r="I2265" i="1" a="1"/>
  <c r="I2265" i="1" s="1"/>
  <c r="I1138" i="1" a="1"/>
  <c r="I1138" i="1" s="1"/>
  <c r="I1139" i="1" a="1"/>
  <c r="I1139" i="1" s="1"/>
  <c r="I1140" i="1" a="1"/>
  <c r="I1140" i="1" s="1"/>
  <c r="I1141" i="1" a="1"/>
  <c r="I1141" i="1" s="1"/>
  <c r="I1142" i="1" a="1"/>
  <c r="I1142" i="1" s="1"/>
  <c r="I1143" i="1" a="1"/>
  <c r="I1143" i="1" s="1"/>
  <c r="I1144" i="1" a="1"/>
  <c r="I1144" i="1" s="1"/>
  <c r="I1145" i="1" a="1"/>
  <c r="I1145" i="1" s="1"/>
  <c r="I1146" i="1" a="1"/>
  <c r="I1146" i="1" s="1"/>
  <c r="I1147" i="1" a="1"/>
  <c r="I1147" i="1" s="1"/>
  <c r="I1148" i="1" a="1"/>
  <c r="I1148" i="1" s="1"/>
  <c r="I1149" i="1" a="1"/>
  <c r="I1149" i="1" s="1"/>
  <c r="I1150" i="1" a="1"/>
  <c r="I1150" i="1" s="1"/>
  <c r="I1151" i="1" a="1"/>
  <c r="I1151" i="1" s="1"/>
  <c r="I1152" i="1" a="1"/>
  <c r="I1152" i="1" s="1"/>
  <c r="I1153" i="1" a="1"/>
  <c r="I1153" i="1" s="1"/>
  <c r="I1154" i="1" a="1"/>
  <c r="I1154" i="1" s="1"/>
  <c r="I1155" i="1" a="1"/>
  <c r="I1155" i="1" s="1"/>
  <c r="I1156" i="1" a="1"/>
  <c r="I1156" i="1" s="1"/>
  <c r="I2457" i="1" a="1"/>
  <c r="I2457" i="1" s="1"/>
  <c r="I1157" i="1" a="1"/>
  <c r="I1157" i="1" s="1"/>
  <c r="I1158" i="1" a="1"/>
  <c r="I1158" i="1" s="1"/>
  <c r="I1159" i="1" a="1"/>
  <c r="I1159" i="1" s="1"/>
  <c r="I1160" i="1" a="1"/>
  <c r="I1160" i="1" s="1"/>
  <c r="I1161" i="1" a="1"/>
  <c r="I1161" i="1" s="1"/>
  <c r="I1162" i="1" a="1"/>
  <c r="I1162" i="1" s="1"/>
  <c r="I1163" i="1" a="1"/>
  <c r="I1163" i="1" s="1"/>
  <c r="I1164" i="1" a="1"/>
  <c r="I1164" i="1" s="1"/>
  <c r="I1165" i="1" a="1"/>
  <c r="I1165" i="1" s="1"/>
  <c r="I1166" i="1" a="1"/>
  <c r="I1166" i="1" s="1"/>
  <c r="I1167" i="1" a="1"/>
  <c r="I1167" i="1" s="1"/>
  <c r="I1168" i="1" a="1"/>
  <c r="I1168" i="1" s="1"/>
  <c r="I1169" i="1" a="1"/>
  <c r="I1169" i="1" s="1"/>
  <c r="I1170" i="1" a="1"/>
  <c r="I1170" i="1" s="1"/>
  <c r="I1171" i="1" a="1"/>
  <c r="I1171" i="1" s="1"/>
  <c r="I1172" i="1" a="1"/>
  <c r="I1172" i="1" s="1"/>
  <c r="I1173" i="1" a="1"/>
  <c r="I1173" i="1" s="1"/>
  <c r="I1174" i="1" a="1"/>
  <c r="I1174" i="1" s="1"/>
  <c r="I1175" i="1" a="1"/>
  <c r="I1175" i="1" s="1"/>
  <c r="I1176" i="1" a="1"/>
  <c r="I1176" i="1" s="1"/>
  <c r="I1177" i="1" a="1"/>
  <c r="I1177" i="1" s="1"/>
  <c r="I1178" i="1" a="1"/>
  <c r="I1178" i="1" s="1"/>
  <c r="I2458" i="1" a="1"/>
  <c r="I2458" i="1" s="1"/>
  <c r="I1179" i="1" a="1"/>
  <c r="I1179" i="1" s="1"/>
  <c r="I1180" i="1" a="1"/>
  <c r="I1180" i="1" s="1"/>
  <c r="I1181" i="1" a="1"/>
  <c r="I1181" i="1" s="1"/>
  <c r="I1182" i="1" a="1"/>
  <c r="I1182" i="1" s="1"/>
  <c r="I1183" i="1" a="1"/>
  <c r="I1183" i="1" s="1"/>
  <c r="I1184" i="1" a="1"/>
  <c r="I1184" i="1" s="1"/>
  <c r="I1185" i="1" a="1"/>
  <c r="I1185" i="1" s="1"/>
  <c r="I1186" i="1" a="1"/>
  <c r="I1186" i="1" s="1"/>
  <c r="I1187" i="1" a="1"/>
  <c r="I1187" i="1" s="1"/>
  <c r="I1188" i="1" a="1"/>
  <c r="I1188" i="1" s="1"/>
  <c r="I2459" i="1" a="1"/>
  <c r="I2459" i="1" s="1"/>
  <c r="I1189" i="1" a="1"/>
  <c r="I1189" i="1" s="1"/>
  <c r="I1190" i="1" a="1"/>
  <c r="I1190" i="1" s="1"/>
  <c r="I1191" i="1" a="1"/>
  <c r="I1191" i="1" s="1"/>
  <c r="I1192" i="1" a="1"/>
  <c r="I1192" i="1" s="1"/>
  <c r="I2460" i="1" a="1"/>
  <c r="I2460" i="1" s="1"/>
  <c r="I2461" i="1" a="1"/>
  <c r="I2461" i="1" s="1"/>
  <c r="I1193" i="1" a="1"/>
  <c r="I1193" i="1" s="1"/>
  <c r="I1194" i="1" a="1"/>
  <c r="I1194" i="1" s="1"/>
  <c r="I1195" i="1" a="1"/>
  <c r="I1195" i="1" s="1"/>
  <c r="I1196" i="1" a="1"/>
  <c r="I1196" i="1" s="1"/>
  <c r="I1197" i="1" a="1"/>
  <c r="I1197" i="1" s="1"/>
  <c r="I1198" i="1" a="1"/>
  <c r="I1198" i="1" s="1"/>
  <c r="I1199" i="1" a="1"/>
  <c r="I1199" i="1" s="1"/>
  <c r="I2462" i="1" a="1"/>
  <c r="I2462" i="1" s="1"/>
  <c r="I1200" i="1" a="1"/>
  <c r="I1200" i="1" s="1"/>
  <c r="I1201" i="1" a="1"/>
  <c r="I1201" i="1" s="1"/>
  <c r="I1202" i="1" a="1"/>
  <c r="I1202" i="1" s="1"/>
  <c r="I1203" i="1" a="1"/>
  <c r="I1203" i="1" s="1"/>
  <c r="I1204" i="1" a="1"/>
  <c r="I1204" i="1" s="1"/>
  <c r="I1205" i="1" a="1"/>
  <c r="I1205" i="1" s="1"/>
  <c r="I2463" i="1" a="1"/>
  <c r="I2463" i="1" s="1"/>
  <c r="I1206" i="1" a="1"/>
  <c r="I1206" i="1" s="1"/>
  <c r="I1207" i="1" a="1"/>
  <c r="I1207" i="1" s="1"/>
  <c r="I2464" i="1" a="1"/>
  <c r="I2464" i="1" s="1"/>
  <c r="I1208" i="1" a="1"/>
  <c r="I1208" i="1" s="1"/>
  <c r="I2465" i="1" a="1"/>
  <c r="I2465" i="1" s="1"/>
  <c r="I1209" i="1" a="1"/>
  <c r="I1209" i="1" s="1"/>
  <c r="I2266" i="1" a="1"/>
  <c r="I2266" i="1" s="1"/>
  <c r="I1210" i="1" a="1"/>
  <c r="I1210" i="1" s="1"/>
  <c r="I1211" i="1" a="1"/>
  <c r="I1211" i="1" s="1"/>
  <c r="I1212" i="1" a="1"/>
  <c r="I1212" i="1" s="1"/>
  <c r="I1213" i="1" a="1"/>
  <c r="I1213" i="1" s="1"/>
  <c r="I1214" i="1" a="1"/>
  <c r="I1214" i="1" s="1"/>
  <c r="I1215" i="1" a="1"/>
  <c r="I1215" i="1" s="1"/>
  <c r="I1216" i="1" a="1"/>
  <c r="I1216" i="1" s="1"/>
  <c r="I1217" i="1" a="1"/>
  <c r="I1217" i="1" s="1"/>
  <c r="I1218" i="1" a="1"/>
  <c r="I1218" i="1" s="1"/>
  <c r="I1219" i="1" a="1"/>
  <c r="I1219" i="1" s="1"/>
  <c r="I1220" i="1" a="1"/>
  <c r="I1220" i="1" s="1"/>
  <c r="I1221" i="1" a="1"/>
  <c r="I1221" i="1" s="1"/>
  <c r="I1222" i="1" a="1"/>
  <c r="I1222" i="1" s="1"/>
  <c r="I1223" i="1" a="1"/>
  <c r="I1223" i="1" s="1"/>
  <c r="I1224" i="1" a="1"/>
  <c r="I1224" i="1" s="1"/>
  <c r="I1225" i="1" a="1"/>
  <c r="I1225" i="1" s="1"/>
  <c r="I1226" i="1" a="1"/>
  <c r="I1226" i="1" s="1"/>
  <c r="I1227" i="1" a="1"/>
  <c r="I1227" i="1" s="1"/>
  <c r="I1228" i="1" a="1"/>
  <c r="I1228" i="1" s="1"/>
  <c r="I2267" i="1" a="1"/>
  <c r="I2267" i="1" s="1"/>
  <c r="I1229" i="1" a="1"/>
  <c r="I1229" i="1" s="1"/>
  <c r="I1230" i="1" a="1"/>
  <c r="I1230" i="1" s="1"/>
  <c r="I1231" i="1" a="1"/>
  <c r="I1231" i="1" s="1"/>
  <c r="I1232" i="1" a="1"/>
  <c r="I1232" i="1" s="1"/>
  <c r="I1233" i="1" a="1"/>
  <c r="I1233" i="1" s="1"/>
  <c r="I1234" i="1" a="1"/>
  <c r="I1234" i="1" s="1"/>
  <c r="I1235" i="1" a="1"/>
  <c r="I1235" i="1" s="1"/>
  <c r="I1236" i="1" a="1"/>
  <c r="I1236" i="1" s="1"/>
  <c r="I1237" i="1" a="1"/>
  <c r="I1237" i="1" s="1"/>
  <c r="I1238" i="1" a="1"/>
  <c r="I1238" i="1" s="1"/>
  <c r="I1239" i="1" a="1"/>
  <c r="I1239" i="1" s="1"/>
  <c r="I1240" i="1" a="1"/>
  <c r="I1240" i="1" s="1"/>
  <c r="I1241" i="1" a="1"/>
  <c r="I1241" i="1" s="1"/>
  <c r="I1242" i="1" a="1"/>
  <c r="I1242" i="1" s="1"/>
  <c r="I1243" i="1" a="1"/>
  <c r="I1243" i="1" s="1"/>
  <c r="I1244" i="1" a="1"/>
  <c r="I1244" i="1" s="1"/>
  <c r="I1245" i="1" a="1"/>
  <c r="I1245" i="1" s="1"/>
  <c r="I1246" i="1" a="1"/>
  <c r="I1246" i="1" s="1"/>
  <c r="I1247" i="1" a="1"/>
  <c r="I1247" i="1" s="1"/>
  <c r="I1248" i="1" a="1"/>
  <c r="I1248" i="1" s="1"/>
  <c r="I1249" i="1" a="1"/>
  <c r="I1249" i="1" s="1"/>
  <c r="I2466" i="1" a="1"/>
  <c r="I2466" i="1" s="1"/>
  <c r="I1250" i="1" a="1"/>
  <c r="I1250" i="1" s="1"/>
  <c r="I1251" i="1" a="1"/>
  <c r="I1251" i="1" s="1"/>
  <c r="I1252" i="1" a="1"/>
  <c r="I1252" i="1" s="1"/>
  <c r="I2467" i="1" a="1"/>
  <c r="I2467" i="1" s="1"/>
  <c r="I1253" i="1" a="1"/>
  <c r="I1253" i="1" s="1"/>
  <c r="I1254" i="1" a="1"/>
  <c r="I1254" i="1" s="1"/>
  <c r="I1255" i="1" a="1"/>
  <c r="I1255" i="1" s="1"/>
  <c r="I2468" i="1" a="1"/>
  <c r="I2468" i="1" s="1"/>
  <c r="I1256" i="1" a="1"/>
  <c r="I1256" i="1" s="1"/>
  <c r="I1257" i="1" a="1"/>
  <c r="I1257" i="1" s="1"/>
  <c r="I1258" i="1" a="1"/>
  <c r="I1258" i="1" s="1"/>
  <c r="I1259" i="1" a="1"/>
  <c r="I1259" i="1" s="1"/>
  <c r="I2469" i="1" a="1"/>
  <c r="I2469" i="1" s="1"/>
  <c r="I2470" i="1" a="1"/>
  <c r="I2470" i="1" s="1"/>
  <c r="I2471" i="1" a="1"/>
  <c r="I2471" i="1" s="1"/>
  <c r="I2472" i="1" a="1"/>
  <c r="I2472" i="1" s="1"/>
  <c r="I2473" i="1" a="1"/>
  <c r="I2473" i="1" s="1"/>
  <c r="I1260" i="1" a="1"/>
  <c r="I1260" i="1" s="1"/>
  <c r="I2268" i="1" a="1"/>
  <c r="I2268" i="1" s="1"/>
  <c r="I1261" i="1" a="1"/>
  <c r="I1261" i="1" s="1"/>
  <c r="I1262" i="1" a="1"/>
  <c r="I1262" i="1" s="1"/>
  <c r="I1263" i="1" a="1"/>
  <c r="I1263" i="1" s="1"/>
  <c r="I1264" i="1" a="1"/>
  <c r="I1264" i="1" s="1"/>
  <c r="I1265" i="1" a="1"/>
  <c r="I1265" i="1" s="1"/>
  <c r="I1266" i="1" a="1"/>
  <c r="I1266" i="1" s="1"/>
  <c r="I2474" i="1" a="1"/>
  <c r="I2474" i="1" s="1"/>
  <c r="I1267" i="1" a="1"/>
  <c r="I1267" i="1" s="1"/>
  <c r="I1268" i="1" a="1"/>
  <c r="I1268" i="1" s="1"/>
  <c r="I1269" i="1" a="1"/>
  <c r="I1269" i="1" s="1"/>
  <c r="I1270" i="1" a="1"/>
  <c r="I1270" i="1" s="1"/>
  <c r="I1271" i="1" a="1"/>
  <c r="I1271" i="1" s="1"/>
  <c r="I1272" i="1" a="1"/>
  <c r="I1272" i="1" s="1"/>
  <c r="I1273" i="1" a="1"/>
  <c r="I1273" i="1" s="1"/>
  <c r="I1274" i="1" a="1"/>
  <c r="I1274" i="1" s="1"/>
  <c r="I1275" i="1" a="1"/>
  <c r="I1275" i="1" s="1"/>
  <c r="I1276" i="1" a="1"/>
  <c r="I1276" i="1" s="1"/>
  <c r="I1277" i="1" a="1"/>
  <c r="I1277" i="1" s="1"/>
  <c r="I1278" i="1" a="1"/>
  <c r="I1278" i="1" s="1"/>
  <c r="I1279" i="1" a="1"/>
  <c r="I1279" i="1" s="1"/>
  <c r="I1280" i="1" a="1"/>
  <c r="I1280" i="1" s="1"/>
  <c r="I1281" i="1" a="1"/>
  <c r="I1281" i="1" s="1"/>
  <c r="I1282" i="1" a="1"/>
  <c r="I1282" i="1" s="1"/>
  <c r="I1283" i="1" a="1"/>
  <c r="I1283" i="1" s="1"/>
  <c r="I1284" i="1" a="1"/>
  <c r="I1284" i="1" s="1"/>
  <c r="I1285" i="1" a="1"/>
  <c r="I1285" i="1" s="1"/>
  <c r="I1286" i="1" a="1"/>
  <c r="I1286" i="1" s="1"/>
  <c r="I2475" i="1" a="1"/>
  <c r="I2475" i="1" s="1"/>
  <c r="I1287" i="1" a="1"/>
  <c r="I1287" i="1" s="1"/>
  <c r="I1288" i="1" a="1"/>
  <c r="I1288" i="1" s="1"/>
  <c r="I1289" i="1" a="1"/>
  <c r="I1289" i="1" s="1"/>
  <c r="I1290" i="1" a="1"/>
  <c r="I1290" i="1" s="1"/>
  <c r="I1291" i="1" a="1"/>
  <c r="I1291" i="1" s="1"/>
  <c r="I1292" i="1" a="1"/>
  <c r="I1292" i="1" s="1"/>
  <c r="I1293" i="1" a="1"/>
  <c r="I1293" i="1" s="1"/>
  <c r="I1294" i="1" a="1"/>
  <c r="I1294" i="1" s="1"/>
  <c r="I1295" i="1" a="1"/>
  <c r="I1295" i="1" s="1"/>
  <c r="I1296" i="1" a="1"/>
  <c r="I1296" i="1" s="1"/>
  <c r="I1297" i="1" a="1"/>
  <c r="I1297" i="1" s="1"/>
  <c r="I1298" i="1" a="1"/>
  <c r="I1298" i="1" s="1"/>
  <c r="I1299" i="1" a="1"/>
  <c r="I1299" i="1" s="1"/>
  <c r="I1300" i="1" a="1"/>
  <c r="I1300" i="1" s="1"/>
  <c r="I1301" i="1" a="1"/>
  <c r="I1301" i="1" s="1"/>
  <c r="I1302" i="1" a="1"/>
  <c r="I1302" i="1" s="1"/>
  <c r="I1303" i="1" a="1"/>
  <c r="I1303" i="1" s="1"/>
  <c r="I2476" i="1" a="1"/>
  <c r="I2476" i="1" s="1"/>
  <c r="I1304" i="1" a="1"/>
  <c r="I1304" i="1" s="1"/>
  <c r="I1305" i="1" a="1"/>
  <c r="I1305" i="1" s="1"/>
  <c r="I1306" i="1" a="1"/>
  <c r="I1306" i="1" s="1"/>
  <c r="I1307" i="1" a="1"/>
  <c r="I1307" i="1" s="1"/>
  <c r="I1308" i="1" a="1"/>
  <c r="I1308" i="1" s="1"/>
  <c r="I1309" i="1" a="1"/>
  <c r="I1309" i="1" s="1"/>
  <c r="I1310" i="1" a="1"/>
  <c r="I1310" i="1" s="1"/>
  <c r="I1311" i="1" a="1"/>
  <c r="I1311" i="1" s="1"/>
  <c r="I1312" i="1" a="1"/>
  <c r="I1312" i="1" s="1"/>
  <c r="I1313" i="1" a="1"/>
  <c r="I1313" i="1" s="1"/>
  <c r="I1314" i="1" a="1"/>
  <c r="I1314" i="1" s="1"/>
  <c r="I1315" i="1" a="1"/>
  <c r="I1315" i="1" s="1"/>
  <c r="I1316" i="1" a="1"/>
  <c r="I1316" i="1" s="1"/>
  <c r="I1317" i="1" a="1"/>
  <c r="I1317" i="1" s="1"/>
  <c r="I2477" i="1" a="1"/>
  <c r="I2477" i="1" s="1"/>
  <c r="I1318" i="1" a="1"/>
  <c r="I1318" i="1" s="1"/>
  <c r="I1319" i="1" a="1"/>
  <c r="I1319" i="1" s="1"/>
  <c r="I1320" i="1" a="1"/>
  <c r="I1320" i="1" s="1"/>
  <c r="I1321" i="1" a="1"/>
  <c r="I1321" i="1" s="1"/>
  <c r="I1322" i="1" a="1"/>
  <c r="I1322" i="1" s="1"/>
  <c r="I1323" i="1" a="1"/>
  <c r="I1323" i="1" s="1"/>
  <c r="I1324" i="1" a="1"/>
  <c r="I1324" i="1" s="1"/>
  <c r="I1325" i="1" a="1"/>
  <c r="I1325" i="1" s="1"/>
  <c r="I2478" i="1" a="1"/>
  <c r="I2478" i="1" s="1"/>
  <c r="I1326" i="1" a="1"/>
  <c r="I1326" i="1" s="1"/>
  <c r="I1327" i="1" a="1"/>
  <c r="I1327" i="1" s="1"/>
  <c r="I1328" i="1" a="1"/>
  <c r="I1328" i="1" s="1"/>
  <c r="I1329" i="1" a="1"/>
  <c r="I1329" i="1" s="1"/>
  <c r="I1330" i="1" a="1"/>
  <c r="I1330" i="1" s="1"/>
  <c r="I1331" i="1" a="1"/>
  <c r="I1331" i="1" s="1"/>
  <c r="I1332" i="1" a="1"/>
  <c r="I1332" i="1" s="1"/>
  <c r="I1333" i="1" a="1"/>
  <c r="I1333" i="1" s="1"/>
  <c r="I2479" i="1" a="1"/>
  <c r="I2479" i="1" s="1"/>
  <c r="I1334" i="1" a="1"/>
  <c r="I1334" i="1" s="1"/>
  <c r="I1335" i="1" a="1"/>
  <c r="I1335" i="1" s="1"/>
  <c r="I1336" i="1" a="1"/>
  <c r="I1336" i="1" s="1"/>
  <c r="I1337" i="1" a="1"/>
  <c r="I1337" i="1" s="1"/>
  <c r="I1338" i="1" a="1"/>
  <c r="I1338" i="1" s="1"/>
  <c r="I1339" i="1" a="1"/>
  <c r="I1339" i="1" s="1"/>
  <c r="I1340" i="1" a="1"/>
  <c r="I1340" i="1" s="1"/>
  <c r="I2480" i="1" a="1"/>
  <c r="I2480" i="1" s="1"/>
  <c r="I1341" i="1" a="1"/>
  <c r="I1341" i="1" s="1"/>
  <c r="I1342" i="1" a="1"/>
  <c r="I1342" i="1" s="1"/>
  <c r="I1343" i="1" a="1"/>
  <c r="I1343" i="1" s="1"/>
  <c r="I1344" i="1" a="1"/>
  <c r="I1344" i="1" s="1"/>
  <c r="I1345" i="1" a="1"/>
  <c r="I1345" i="1" s="1"/>
  <c r="I2481" i="1" a="1"/>
  <c r="I2481" i="1" s="1"/>
  <c r="I1346" i="1" a="1"/>
  <c r="I1346" i="1" s="1"/>
  <c r="I1347" i="1" a="1"/>
  <c r="I1347" i="1" s="1"/>
  <c r="I2482" i="1" a="1"/>
  <c r="I2482" i="1" s="1"/>
  <c r="I1348" i="1" a="1"/>
  <c r="I1348" i="1" s="1"/>
  <c r="I2483" i="1" a="1"/>
  <c r="I2483" i="1" s="1"/>
  <c r="I1349" i="1" a="1"/>
  <c r="I1349" i="1" s="1"/>
  <c r="I1350" i="1" a="1"/>
  <c r="I1350" i="1" s="1"/>
  <c r="I1351" i="1" a="1"/>
  <c r="I1351" i="1" s="1"/>
  <c r="I1352" i="1" a="1"/>
  <c r="I1352" i="1" s="1"/>
  <c r="I1353" i="1" a="1"/>
  <c r="I1353" i="1" s="1"/>
  <c r="I1354" i="1" a="1"/>
  <c r="I1354" i="1" s="1"/>
  <c r="I2484" i="1" a="1"/>
  <c r="I2484" i="1" s="1"/>
  <c r="I1355" i="1" a="1"/>
  <c r="I1355" i="1" s="1"/>
  <c r="I1356" i="1" a="1"/>
  <c r="I1356" i="1" s="1"/>
  <c r="I1357" i="1" a="1"/>
  <c r="I1357" i="1" s="1"/>
  <c r="I1358" i="1" a="1"/>
  <c r="I1358" i="1" s="1"/>
  <c r="I1359" i="1" a="1"/>
  <c r="I1359" i="1" s="1"/>
  <c r="I1360" i="1" a="1"/>
  <c r="I1360" i="1" s="1"/>
  <c r="I1361" i="1" a="1"/>
  <c r="I1361" i="1" s="1"/>
  <c r="I2485" i="1" a="1"/>
  <c r="I2485" i="1" s="1"/>
  <c r="I2486" i="1" a="1"/>
  <c r="I2486" i="1" s="1"/>
  <c r="I1362" i="1" a="1"/>
  <c r="I1362" i="1" s="1"/>
  <c r="I1363" i="1" a="1"/>
  <c r="I1363" i="1" s="1"/>
  <c r="I1364" i="1" a="1"/>
  <c r="I1364" i="1" s="1"/>
  <c r="I1365" i="1" a="1"/>
  <c r="I1365" i="1" s="1"/>
  <c r="I1366" i="1" a="1"/>
  <c r="I1366" i="1" s="1"/>
  <c r="I1367" i="1" a="1"/>
  <c r="I1367" i="1" s="1"/>
  <c r="I2487" i="1" a="1"/>
  <c r="I2487" i="1" s="1"/>
  <c r="I1368" i="1" a="1"/>
  <c r="I1368" i="1" s="1"/>
  <c r="I1369" i="1" a="1"/>
  <c r="I1369" i="1" s="1"/>
  <c r="I2269" i="1" a="1"/>
  <c r="I2269" i="1" s="1"/>
  <c r="I2488" i="1" a="1"/>
  <c r="I2488" i="1" s="1"/>
  <c r="I1370" i="1" a="1"/>
  <c r="I1370" i="1" s="1"/>
  <c r="I1371" i="1" a="1"/>
  <c r="I1371" i="1" s="1"/>
  <c r="I1372" i="1" a="1"/>
  <c r="I1372" i="1" s="1"/>
  <c r="I2489" i="1" a="1"/>
  <c r="I2489" i="1" s="1"/>
  <c r="I1373" i="1" a="1"/>
  <c r="I1373" i="1" s="1"/>
  <c r="I1374" i="1" a="1"/>
  <c r="I1374" i="1" s="1"/>
  <c r="I2490" i="1" a="1"/>
  <c r="I2490" i="1" s="1"/>
  <c r="I1375" i="1" a="1"/>
  <c r="I1375" i="1" s="1"/>
  <c r="I1376" i="1" a="1"/>
  <c r="I1376" i="1" s="1"/>
  <c r="I1377" i="1" a="1"/>
  <c r="I1377" i="1" s="1"/>
  <c r="I1378" i="1" a="1"/>
  <c r="I1378" i="1" s="1"/>
  <c r="I1379" i="1" a="1"/>
  <c r="I1379" i="1" s="1"/>
  <c r="I1380" i="1" a="1"/>
  <c r="I1380" i="1" s="1"/>
  <c r="I1381" i="1" a="1"/>
  <c r="I1381" i="1" s="1"/>
  <c r="I1382" i="1" a="1"/>
  <c r="I1382" i="1" s="1"/>
  <c r="I2491" i="1" a="1"/>
  <c r="I2491" i="1" s="1"/>
  <c r="I1383" i="1" a="1"/>
  <c r="I1383" i="1" s="1"/>
  <c r="I1384" i="1" a="1"/>
  <c r="I1384" i="1" s="1"/>
  <c r="I1385" i="1" a="1"/>
  <c r="I1385" i="1" s="1"/>
  <c r="I1386" i="1" a="1"/>
  <c r="I1386" i="1" s="1"/>
  <c r="I1387" i="1" a="1"/>
  <c r="I1387" i="1" s="1"/>
  <c r="I1388" i="1" a="1"/>
  <c r="I1388" i="1" s="1"/>
  <c r="I1389" i="1" a="1"/>
  <c r="I1389" i="1" s="1"/>
  <c r="I1390" i="1" a="1"/>
  <c r="I1390" i="1" s="1"/>
  <c r="I1391" i="1" a="1"/>
  <c r="I1391" i="1" s="1"/>
  <c r="I1392" i="1" a="1"/>
  <c r="I1392" i="1" s="1"/>
  <c r="I1393" i="1" a="1"/>
  <c r="I1393" i="1" s="1"/>
  <c r="I1394" i="1" a="1"/>
  <c r="I1394" i="1" s="1"/>
  <c r="I1395" i="1" a="1"/>
  <c r="I1395" i="1" s="1"/>
  <c r="I1396" i="1" a="1"/>
  <c r="I1396" i="1" s="1"/>
  <c r="I1397" i="1" a="1"/>
  <c r="I1397" i="1" s="1"/>
  <c r="I1398" i="1" a="1"/>
  <c r="I1398" i="1" s="1"/>
  <c r="I1399" i="1" a="1"/>
  <c r="I1399" i="1" s="1"/>
  <c r="I1400" i="1" a="1"/>
  <c r="I1400" i="1" s="1"/>
  <c r="I1401" i="1" a="1"/>
  <c r="I1401" i="1" s="1"/>
  <c r="I1402" i="1" a="1"/>
  <c r="I1402" i="1" s="1"/>
  <c r="I1403" i="1" a="1"/>
  <c r="I1403" i="1" s="1"/>
  <c r="I1404" i="1" a="1"/>
  <c r="I1404" i="1" s="1"/>
  <c r="I1405" i="1" a="1"/>
  <c r="I1405" i="1" s="1"/>
  <c r="I2492" i="1" a="1"/>
  <c r="I2492" i="1" s="1"/>
  <c r="I1406" i="1" a="1"/>
  <c r="I1406" i="1" s="1"/>
  <c r="I2270" i="1" a="1"/>
  <c r="I2270" i="1" s="1"/>
  <c r="I2493" i="1" a="1"/>
  <c r="I2493" i="1" s="1"/>
  <c r="I1407" i="1" a="1"/>
  <c r="I1407" i="1" s="1"/>
  <c r="I1408" i="1" a="1"/>
  <c r="I1408" i="1" s="1"/>
  <c r="I1409" i="1" a="1"/>
  <c r="I1409" i="1" s="1"/>
  <c r="I1410" i="1" a="1"/>
  <c r="I1410" i="1" s="1"/>
  <c r="I1411" i="1" a="1"/>
  <c r="I1411" i="1" s="1"/>
  <c r="I2494" i="1" a="1"/>
  <c r="I2494" i="1" s="1"/>
  <c r="I1412" i="1" a="1"/>
  <c r="I1412" i="1" s="1"/>
  <c r="I2495" i="1" a="1"/>
  <c r="I2495" i="1" s="1"/>
  <c r="I1413" i="1" a="1"/>
  <c r="I1413" i="1" s="1"/>
  <c r="I1414" i="1" a="1"/>
  <c r="I1414" i="1" s="1"/>
  <c r="I1415" i="1" a="1"/>
  <c r="I1415" i="1" s="1"/>
  <c r="I1416" i="1" a="1"/>
  <c r="I1416" i="1" s="1"/>
  <c r="I1417" i="1" a="1"/>
  <c r="I1417" i="1" s="1"/>
  <c r="I2496" i="1" a="1"/>
  <c r="I2496" i="1" s="1"/>
  <c r="I1418" i="1" a="1"/>
  <c r="I1418" i="1" s="1"/>
  <c r="I1419" i="1" a="1"/>
  <c r="I1419" i="1" s="1"/>
  <c r="I2271" i="1" a="1"/>
  <c r="I2271" i="1" s="1"/>
  <c r="I1420" i="1" a="1"/>
  <c r="I1420" i="1" s="1"/>
  <c r="I2272" i="1" a="1"/>
  <c r="I2272" i="1" s="1"/>
  <c r="I2497" i="1" a="1"/>
  <c r="I2497" i="1" s="1"/>
  <c r="I1421" i="1" a="1"/>
  <c r="I1421" i="1" s="1"/>
  <c r="I2498" i="1" a="1"/>
  <c r="I2498" i="1" s="1"/>
  <c r="I2273" i="1" a="1"/>
  <c r="I2273" i="1" s="1"/>
  <c r="I1422" i="1" a="1"/>
  <c r="I1422" i="1" s="1"/>
  <c r="I1423" i="1" a="1"/>
  <c r="I1423" i="1" s="1"/>
  <c r="I1424" i="1" a="1"/>
  <c r="I1424" i="1" s="1"/>
  <c r="I1425" i="1" a="1"/>
  <c r="I1425" i="1" s="1"/>
  <c r="I1426" i="1" a="1"/>
  <c r="I1426" i="1" s="1"/>
  <c r="I1427" i="1" a="1"/>
  <c r="I1427" i="1" s="1"/>
  <c r="I1428" i="1" a="1"/>
  <c r="I1428" i="1" s="1"/>
  <c r="I1429" i="1" a="1"/>
  <c r="I1429" i="1" s="1"/>
  <c r="I1430" i="1" a="1"/>
  <c r="I1430" i="1" s="1"/>
  <c r="I1431" i="1" a="1"/>
  <c r="I1431" i="1" s="1"/>
  <c r="I1432" i="1" a="1"/>
  <c r="I1432" i="1" s="1"/>
  <c r="I1433" i="1" a="1"/>
  <c r="I1433" i="1" s="1"/>
  <c r="I1434" i="1" a="1"/>
  <c r="I1434" i="1" s="1"/>
  <c r="I1435" i="1" a="1"/>
  <c r="I1435" i="1" s="1"/>
  <c r="I1436" i="1" a="1"/>
  <c r="I1436" i="1" s="1"/>
  <c r="I2499" i="1" a="1"/>
  <c r="I2499" i="1" s="1"/>
  <c r="I2500" i="1" a="1"/>
  <c r="I2500" i="1" s="1"/>
  <c r="I2501" i="1" a="1"/>
  <c r="I2501" i="1" s="1"/>
  <c r="I1437" i="1" a="1"/>
  <c r="I1437" i="1" s="1"/>
  <c r="I1438" i="1" a="1"/>
  <c r="I1438" i="1" s="1"/>
  <c r="I2502" i="1" a="1"/>
  <c r="I2502" i="1" s="1"/>
  <c r="I1439" i="1" a="1"/>
  <c r="I1439" i="1" s="1"/>
  <c r="I1440" i="1" a="1"/>
  <c r="I1440" i="1" s="1"/>
  <c r="I1441" i="1" a="1"/>
  <c r="I1441" i="1" s="1"/>
  <c r="I1442" i="1" a="1"/>
  <c r="I1442" i="1" s="1"/>
  <c r="I1443" i="1" a="1"/>
  <c r="I1443" i="1" s="1"/>
  <c r="I1444" i="1" a="1"/>
  <c r="I1444" i="1" s="1"/>
  <c r="I1445" i="1" a="1"/>
  <c r="I1445" i="1" s="1"/>
  <c r="I1446" i="1" a="1"/>
  <c r="I1446" i="1" s="1"/>
  <c r="I1447" i="1" a="1"/>
  <c r="I1447" i="1" s="1"/>
  <c r="I1448" i="1" a="1"/>
  <c r="I1448" i="1" s="1"/>
  <c r="I1449" i="1" a="1"/>
  <c r="I1449" i="1" s="1"/>
  <c r="I1450" i="1" a="1"/>
  <c r="I1450" i="1" s="1"/>
  <c r="I1451" i="1" a="1"/>
  <c r="I1451" i="1" s="1"/>
  <c r="I2503" i="1" a="1"/>
  <c r="I2503" i="1" s="1"/>
  <c r="I1452" i="1" a="1"/>
  <c r="I1452" i="1" s="1"/>
  <c r="I2274" i="1" a="1"/>
  <c r="I2274" i="1" s="1"/>
  <c r="I1453" i="1" a="1"/>
  <c r="I1453" i="1" s="1"/>
  <c r="I1454" i="1" a="1"/>
  <c r="I1454" i="1" s="1"/>
  <c r="I1455" i="1" a="1"/>
  <c r="I1455" i="1" s="1"/>
  <c r="I1456" i="1" a="1"/>
  <c r="I1456" i="1" s="1"/>
  <c r="I1457" i="1" a="1"/>
  <c r="I1457" i="1" s="1"/>
  <c r="I1458" i="1" a="1"/>
  <c r="I1458" i="1" s="1"/>
  <c r="I1459" i="1" a="1"/>
  <c r="I1459" i="1" s="1"/>
  <c r="I1460" i="1" a="1"/>
  <c r="I1460" i="1" s="1"/>
  <c r="I2504" i="1" a="1"/>
  <c r="I2504" i="1" s="1"/>
  <c r="I1461" i="1" a="1"/>
  <c r="I1461" i="1" s="1"/>
  <c r="I1462" i="1" a="1"/>
  <c r="I1462" i="1" s="1"/>
  <c r="I1463" i="1" a="1"/>
  <c r="I1463" i="1" s="1"/>
  <c r="I1464" i="1" a="1"/>
  <c r="I1464" i="1" s="1"/>
  <c r="I1465" i="1" a="1"/>
  <c r="I1465" i="1" s="1"/>
  <c r="I1466" i="1" a="1"/>
  <c r="I1466" i="1" s="1"/>
  <c r="I1467" i="1" a="1"/>
  <c r="I1467" i="1" s="1"/>
  <c r="I1468" i="1" a="1"/>
  <c r="I1468" i="1" s="1"/>
  <c r="I1469" i="1" a="1"/>
  <c r="I1469" i="1" s="1"/>
  <c r="I2505" i="1" a="1"/>
  <c r="I2505" i="1" s="1"/>
  <c r="I1470" i="1" a="1"/>
  <c r="I1470" i="1" s="1"/>
  <c r="I2506" i="1" a="1"/>
  <c r="I2506" i="1" s="1"/>
  <c r="I1471" i="1" a="1"/>
  <c r="I1471" i="1" s="1"/>
  <c r="I2507" i="1" a="1"/>
  <c r="I2507" i="1" s="1"/>
  <c r="I1472" i="1" a="1"/>
  <c r="I1472" i="1" s="1"/>
  <c r="I1473" i="1" a="1"/>
  <c r="I1473" i="1" s="1"/>
  <c r="I1474" i="1" a="1"/>
  <c r="I1474" i="1" s="1"/>
  <c r="I2508" i="1" a="1"/>
  <c r="I2508" i="1" s="1"/>
  <c r="I1475" i="1" a="1"/>
  <c r="I1475" i="1" s="1"/>
  <c r="I1476" i="1" a="1"/>
  <c r="I1476" i="1" s="1"/>
  <c r="I1477" i="1" a="1"/>
  <c r="I1477" i="1" s="1"/>
  <c r="I2509" i="1" a="1"/>
  <c r="I2509" i="1" s="1"/>
  <c r="I1478" i="1" a="1"/>
  <c r="I1478" i="1" s="1"/>
  <c r="I1479" i="1" a="1"/>
  <c r="I1479" i="1" s="1"/>
  <c r="I1480" i="1" a="1"/>
  <c r="I1480" i="1" s="1"/>
  <c r="I1481" i="1" a="1"/>
  <c r="I1481" i="1" s="1"/>
  <c r="I1482" i="1" a="1"/>
  <c r="I1482" i="1" s="1"/>
  <c r="I1483" i="1" a="1"/>
  <c r="I1483" i="1" s="1"/>
  <c r="I1484" i="1" a="1"/>
  <c r="I1484" i="1" s="1"/>
  <c r="I1485" i="1" a="1"/>
  <c r="I1485" i="1" s="1"/>
  <c r="I1486" i="1" a="1"/>
  <c r="I1486" i="1" s="1"/>
  <c r="I2510" i="1" a="1"/>
  <c r="I2510" i="1" s="1"/>
  <c r="I1487" i="1" a="1"/>
  <c r="I1487" i="1" s="1"/>
  <c r="I2511" i="1" a="1"/>
  <c r="I2511" i="1" s="1"/>
  <c r="I2512" i="1" a="1"/>
  <c r="I2512" i="1" s="1"/>
  <c r="I1488" i="1" a="1"/>
  <c r="I1488" i="1" s="1"/>
  <c r="I1489" i="1" a="1"/>
  <c r="I1489" i="1" s="1"/>
  <c r="I1490" i="1" a="1"/>
  <c r="I1490" i="1" s="1"/>
  <c r="I1491" i="1" a="1"/>
  <c r="I1491" i="1" s="1"/>
  <c r="I1492" i="1" a="1"/>
  <c r="I1492" i="1" s="1"/>
  <c r="I1493" i="1" a="1"/>
  <c r="I1493" i="1" s="1"/>
  <c r="I1494" i="1" a="1"/>
  <c r="I1494" i="1" s="1"/>
  <c r="I1495" i="1" a="1"/>
  <c r="I1495" i="1" s="1"/>
  <c r="I2275" i="1" a="1"/>
  <c r="I2275" i="1" s="1"/>
  <c r="I1496" i="1" a="1"/>
  <c r="I1496" i="1" s="1"/>
  <c r="I1497" i="1" a="1"/>
  <c r="I1497" i="1" s="1"/>
  <c r="I1498" i="1" a="1"/>
  <c r="I1498" i="1" s="1"/>
  <c r="I1499" i="1" a="1"/>
  <c r="I1499" i="1" s="1"/>
  <c r="I1500" i="1" a="1"/>
  <c r="I1500" i="1" s="1"/>
  <c r="I1501" i="1" a="1"/>
  <c r="I1501" i="1" s="1"/>
  <c r="I1502" i="1" a="1"/>
  <c r="I1502" i="1" s="1"/>
  <c r="I2513" i="1" a="1"/>
  <c r="I2513" i="1" s="1"/>
  <c r="I1503" i="1" a="1"/>
  <c r="I1503" i="1" s="1"/>
  <c r="I1504" i="1" a="1"/>
  <c r="I1504" i="1" s="1"/>
  <c r="I2514" i="1" a="1"/>
  <c r="I2514" i="1" s="1"/>
  <c r="I1505" i="1" a="1"/>
  <c r="I1505" i="1" s="1"/>
  <c r="I1506" i="1" a="1"/>
  <c r="I1506" i="1" s="1"/>
  <c r="I1507" i="1" a="1"/>
  <c r="I1507" i="1" s="1"/>
  <c r="I1508" i="1" a="1"/>
  <c r="I1508" i="1" s="1"/>
  <c r="I1509" i="1" a="1"/>
  <c r="I1509" i="1" s="1"/>
  <c r="I1510" i="1" a="1"/>
  <c r="I1510" i="1" s="1"/>
  <c r="I1511" i="1" a="1"/>
  <c r="I1511" i="1" s="1"/>
  <c r="I1512" i="1" a="1"/>
  <c r="I1512" i="1" s="1"/>
  <c r="I1513" i="1" a="1"/>
  <c r="I1513" i="1" s="1"/>
  <c r="I1514" i="1" a="1"/>
  <c r="I1514" i="1" s="1"/>
  <c r="I1515" i="1" a="1"/>
  <c r="I1515" i="1" s="1"/>
  <c r="I1516" i="1" a="1"/>
  <c r="I1516" i="1" s="1"/>
  <c r="I1517" i="1" a="1"/>
  <c r="I1517" i="1" s="1"/>
  <c r="I1518" i="1" a="1"/>
  <c r="I1518" i="1" s="1"/>
  <c r="I1519" i="1" a="1"/>
  <c r="I1519" i="1" s="1"/>
  <c r="I1520" i="1" a="1"/>
  <c r="I1520" i="1" s="1"/>
  <c r="I1521" i="1" a="1"/>
  <c r="I1521" i="1" s="1"/>
  <c r="I1522" i="1" a="1"/>
  <c r="I1522" i="1" s="1"/>
  <c r="I1523" i="1" a="1"/>
  <c r="I1523" i="1" s="1"/>
  <c r="I1524" i="1" a="1"/>
  <c r="I1524" i="1" s="1"/>
  <c r="I1525" i="1" a="1"/>
  <c r="I1525" i="1" s="1"/>
  <c r="I1526" i="1" a="1"/>
  <c r="I1526" i="1" s="1"/>
  <c r="I1527" i="1" a="1"/>
  <c r="I1527" i="1" s="1"/>
  <c r="I1528" i="1" a="1"/>
  <c r="I1528" i="1" s="1"/>
  <c r="I1529" i="1" a="1"/>
  <c r="I1529" i="1" s="1"/>
  <c r="I1530" i="1" a="1"/>
  <c r="I1530" i="1" s="1"/>
  <c r="I1531" i="1" a="1"/>
  <c r="I1531" i="1" s="1"/>
  <c r="I1532" i="1" a="1"/>
  <c r="I1532" i="1" s="1"/>
  <c r="I1533" i="1" a="1"/>
  <c r="I1533" i="1" s="1"/>
  <c r="I1534" i="1" a="1"/>
  <c r="I1534" i="1" s="1"/>
  <c r="I1535" i="1" a="1"/>
  <c r="I1535" i="1" s="1"/>
  <c r="I1536" i="1" a="1"/>
  <c r="I1536" i="1" s="1"/>
  <c r="I1537" i="1" a="1"/>
  <c r="I1537" i="1" s="1"/>
  <c r="I1538" i="1" a="1"/>
  <c r="I1538" i="1" s="1"/>
  <c r="I1539" i="1" a="1"/>
  <c r="I1539" i="1" s="1"/>
  <c r="I1540" i="1" a="1"/>
  <c r="I1540" i="1" s="1"/>
  <c r="I1541" i="1" a="1"/>
  <c r="I1541" i="1" s="1"/>
  <c r="I2276" i="1" a="1"/>
  <c r="I2276" i="1" s="1"/>
  <c r="I1542" i="1" a="1"/>
  <c r="I1542" i="1" s="1"/>
  <c r="I1543" i="1" a="1"/>
  <c r="I1543" i="1" s="1"/>
  <c r="I2515" i="1" a="1"/>
  <c r="I2515" i="1" s="1"/>
  <c r="I2516" i="1" a="1"/>
  <c r="I2516" i="1" s="1"/>
  <c r="I1544" i="1" a="1"/>
  <c r="I1544" i="1" s="1"/>
  <c r="I1545" i="1" a="1"/>
  <c r="I1545" i="1" s="1"/>
  <c r="I1546" i="1" a="1"/>
  <c r="I1546" i="1" s="1"/>
  <c r="I1547" i="1" a="1"/>
  <c r="I1547" i="1" s="1"/>
  <c r="I1548" i="1" a="1"/>
  <c r="I1548" i="1" s="1"/>
  <c r="I1549" i="1" a="1"/>
  <c r="I1549" i="1" s="1"/>
  <c r="I1550" i="1" a="1"/>
  <c r="I1550" i="1" s="1"/>
  <c r="I1551" i="1" a="1"/>
  <c r="I1551" i="1" s="1"/>
  <c r="I1552" i="1" a="1"/>
  <c r="I1552" i="1" s="1"/>
  <c r="I2517" i="1" a="1"/>
  <c r="I2517" i="1" s="1"/>
  <c r="I2518" i="1" a="1"/>
  <c r="I2518" i="1" s="1"/>
  <c r="I1553" i="1" a="1"/>
  <c r="I1553" i="1" s="1"/>
  <c r="I1554" i="1" a="1"/>
  <c r="I1554" i="1" s="1"/>
  <c r="I1555" i="1" a="1"/>
  <c r="I1555" i="1" s="1"/>
  <c r="I1556" i="1" a="1"/>
  <c r="I1556" i="1" s="1"/>
  <c r="I1557" i="1" a="1"/>
  <c r="I1557" i="1" s="1"/>
  <c r="I2519" i="1" a="1"/>
  <c r="I2519" i="1" s="1"/>
  <c r="I1558" i="1" a="1"/>
  <c r="I1558" i="1" s="1"/>
  <c r="I1559" i="1" a="1"/>
  <c r="I1559" i="1" s="1"/>
  <c r="I1560" i="1" a="1"/>
  <c r="I1560" i="1" s="1"/>
  <c r="I1561" i="1" a="1"/>
  <c r="I1561" i="1" s="1"/>
  <c r="I1562" i="1" a="1"/>
  <c r="I1562" i="1" s="1"/>
  <c r="I1563" i="1" a="1"/>
  <c r="I1563" i="1" s="1"/>
  <c r="I1564" i="1" a="1"/>
  <c r="I1564" i="1" s="1"/>
  <c r="I2277" i="1" a="1"/>
  <c r="I2277" i="1" s="1"/>
  <c r="I1565" i="1" a="1"/>
  <c r="I1565" i="1" s="1"/>
  <c r="I1566" i="1" a="1"/>
  <c r="I1566" i="1" s="1"/>
  <c r="I1567" i="1" a="1"/>
  <c r="I1567" i="1" s="1"/>
  <c r="I2278" i="1" a="1"/>
  <c r="I2278" i="1" s="1"/>
  <c r="I1568" i="1" a="1"/>
  <c r="I1568" i="1" s="1"/>
  <c r="I2520" i="1" a="1"/>
  <c r="I2520" i="1" s="1"/>
  <c r="I1569" i="1" a="1"/>
  <c r="I1569" i="1" s="1"/>
  <c r="I1570" i="1" a="1"/>
  <c r="I1570" i="1" s="1"/>
  <c r="I2279" i="1" a="1"/>
  <c r="I2279" i="1" s="1"/>
  <c r="I1571" i="1" a="1"/>
  <c r="I1571" i="1" s="1"/>
  <c r="I1572" i="1" a="1"/>
  <c r="I1572" i="1" s="1"/>
  <c r="I1573" i="1" a="1"/>
  <c r="I1573" i="1" s="1"/>
  <c r="I1574" i="1" a="1"/>
  <c r="I1574" i="1" s="1"/>
  <c r="I1575" i="1" a="1"/>
  <c r="I1575" i="1" s="1"/>
  <c r="I1576" i="1" a="1"/>
  <c r="I1576" i="1" s="1"/>
  <c r="I1577" i="1" a="1"/>
  <c r="I1577" i="1" s="1"/>
  <c r="I1578" i="1" a="1"/>
  <c r="I1578" i="1" s="1"/>
  <c r="I1579" i="1" a="1"/>
  <c r="I1579" i="1" s="1"/>
  <c r="I2280" i="1" a="1"/>
  <c r="I2280" i="1" s="1"/>
  <c r="I1580" i="1" a="1"/>
  <c r="I1580" i="1" s="1"/>
  <c r="I2521" i="1" a="1"/>
  <c r="I2521" i="1" s="1"/>
  <c r="I1581" i="1" a="1"/>
  <c r="I1581" i="1" s="1"/>
  <c r="I1582" i="1" a="1"/>
  <c r="I1582" i="1" s="1"/>
  <c r="I2522" i="1" a="1"/>
  <c r="I2522" i="1" s="1"/>
  <c r="I1583" i="1" a="1"/>
  <c r="I1583" i="1" s="1"/>
  <c r="I1584" i="1" a="1"/>
  <c r="I1584" i="1" s="1"/>
  <c r="I1585" i="1" a="1"/>
  <c r="I1585" i="1" s="1"/>
  <c r="I2523" i="1" a="1"/>
  <c r="I2523" i="1" s="1"/>
  <c r="I1586" i="1" a="1"/>
  <c r="I1586" i="1" s="1"/>
  <c r="I1587" i="1" a="1"/>
  <c r="I1587" i="1" s="1"/>
  <c r="I1588" i="1" a="1"/>
  <c r="I1588" i="1" s="1"/>
  <c r="I2524" i="1" a="1"/>
  <c r="I2524" i="1" s="1"/>
  <c r="I2525" i="1" a="1"/>
  <c r="I2525" i="1" s="1"/>
  <c r="I1589" i="1" a="1"/>
  <c r="I1589" i="1" s="1"/>
  <c r="I1590" i="1" a="1"/>
  <c r="I1590" i="1" s="1"/>
  <c r="I1591" i="1" a="1"/>
  <c r="I1591" i="1" s="1"/>
  <c r="I1592" i="1" a="1"/>
  <c r="I1592" i="1" s="1"/>
  <c r="I1593" i="1" a="1"/>
  <c r="I1593" i="1" s="1"/>
  <c r="I1594" i="1" a="1"/>
  <c r="I1594" i="1" s="1"/>
  <c r="I1595" i="1" a="1"/>
  <c r="I1595" i="1" s="1"/>
  <c r="I1596" i="1" a="1"/>
  <c r="I1596" i="1" s="1"/>
  <c r="I1597" i="1" a="1"/>
  <c r="I1597" i="1" s="1"/>
  <c r="I1598" i="1" a="1"/>
  <c r="I1598" i="1" s="1"/>
  <c r="I1599" i="1" a="1"/>
  <c r="I1599" i="1" s="1"/>
  <c r="I1600" i="1" a="1"/>
  <c r="I1600" i="1" s="1"/>
  <c r="I1601" i="1" a="1"/>
  <c r="I1601" i="1" s="1"/>
  <c r="I1602" i="1" a="1"/>
  <c r="I1602" i="1" s="1"/>
  <c r="I1603" i="1" a="1"/>
  <c r="I1603" i="1" s="1"/>
  <c r="I1604" i="1" a="1"/>
  <c r="I1604" i="1" s="1"/>
  <c r="I1605" i="1" a="1"/>
  <c r="I1605" i="1" s="1"/>
  <c r="I1606" i="1" a="1"/>
  <c r="I1606" i="1" s="1"/>
  <c r="I1607" i="1" a="1"/>
  <c r="I1607" i="1" s="1"/>
  <c r="I1608" i="1" a="1"/>
  <c r="I1608" i="1" s="1"/>
  <c r="I1609" i="1" a="1"/>
  <c r="I1609" i="1" s="1"/>
  <c r="I2281" i="1" a="1"/>
  <c r="I2281" i="1" s="1"/>
  <c r="I2526" i="1" a="1"/>
  <c r="I2526" i="1" s="1"/>
  <c r="I1610" i="1" a="1"/>
  <c r="I1610" i="1" s="1"/>
  <c r="I1611" i="1" a="1"/>
  <c r="I1611" i="1" s="1"/>
  <c r="I1612" i="1" a="1"/>
  <c r="I1612" i="1" s="1"/>
  <c r="I1613" i="1" a="1"/>
  <c r="I1613" i="1" s="1"/>
  <c r="I1614" i="1" a="1"/>
  <c r="I1614" i="1" s="1"/>
  <c r="I1615" i="1" a="1"/>
  <c r="I1615" i="1" s="1"/>
  <c r="I1616" i="1" a="1"/>
  <c r="I1616" i="1" s="1"/>
  <c r="I1617" i="1" a="1"/>
  <c r="I1617" i="1" s="1"/>
  <c r="I1618" i="1" a="1"/>
  <c r="I1618" i="1" s="1"/>
  <c r="I1619" i="1" a="1"/>
  <c r="I1619" i="1" s="1"/>
  <c r="I2527" i="1" a="1"/>
  <c r="I2527" i="1" s="1"/>
  <c r="I1620" i="1" a="1"/>
  <c r="I1620" i="1" s="1"/>
  <c r="I1621" i="1" a="1"/>
  <c r="I1621" i="1" s="1"/>
  <c r="I1622" i="1" a="1"/>
  <c r="I1622" i="1" s="1"/>
  <c r="I1623" i="1" a="1"/>
  <c r="I1623" i="1" s="1"/>
  <c r="I2528" i="1" a="1"/>
  <c r="I2528" i="1" s="1"/>
  <c r="I1624" i="1" a="1"/>
  <c r="I1624" i="1" s="1"/>
  <c r="I1625" i="1" a="1"/>
  <c r="I1625" i="1" s="1"/>
  <c r="I1626" i="1" a="1"/>
  <c r="I1626" i="1" s="1"/>
  <c r="I1627" i="1" a="1"/>
  <c r="I1627" i="1" s="1"/>
  <c r="I1628" i="1" a="1"/>
  <c r="I1628" i="1" s="1"/>
  <c r="I1629" i="1" a="1"/>
  <c r="I1629" i="1" s="1"/>
  <c r="I1630" i="1" a="1"/>
  <c r="I1630" i="1" s="1"/>
  <c r="I1631" i="1" a="1"/>
  <c r="I1631" i="1" s="1"/>
  <c r="I1632" i="1" a="1"/>
  <c r="I1632" i="1" s="1"/>
  <c r="I1633" i="1" a="1"/>
  <c r="I1633" i="1" s="1"/>
  <c r="I1634" i="1" a="1"/>
  <c r="I1634" i="1" s="1"/>
  <c r="I1635" i="1" a="1"/>
  <c r="I1635" i="1" s="1"/>
  <c r="I1636" i="1" a="1"/>
  <c r="I1636" i="1" s="1"/>
  <c r="I1637" i="1" a="1"/>
  <c r="I1637" i="1" s="1"/>
  <c r="I1638" i="1" a="1"/>
  <c r="I1638" i="1" s="1"/>
  <c r="I2529" i="1" a="1"/>
  <c r="I2529" i="1" s="1"/>
  <c r="I1639" i="1" a="1"/>
  <c r="I1639" i="1" s="1"/>
  <c r="I2530" i="1" a="1"/>
  <c r="I2530" i="1" s="1"/>
  <c r="I1640" i="1" a="1"/>
  <c r="I1640" i="1" s="1"/>
  <c r="I1641" i="1" a="1"/>
  <c r="I1641" i="1" s="1"/>
  <c r="I1642" i="1" a="1"/>
  <c r="I1642" i="1" s="1"/>
  <c r="I1643" i="1" a="1"/>
  <c r="I1643" i="1" s="1"/>
  <c r="I1644" i="1" a="1"/>
  <c r="I1644" i="1" s="1"/>
  <c r="I1645" i="1" a="1"/>
  <c r="I1645" i="1" s="1"/>
  <c r="I2531" i="1" a="1"/>
  <c r="I2531" i="1" s="1"/>
  <c r="I1646" i="1" a="1"/>
  <c r="I1646" i="1" s="1"/>
  <c r="I1647" i="1" a="1"/>
  <c r="I1647" i="1" s="1"/>
  <c r="I1648" i="1" a="1"/>
  <c r="I1648" i="1" s="1"/>
  <c r="I1649" i="1" a="1"/>
  <c r="I1649" i="1" s="1"/>
  <c r="I2532" i="1" a="1"/>
  <c r="I2532" i="1" s="1"/>
  <c r="I1650" i="1" a="1"/>
  <c r="I1650" i="1" s="1"/>
  <c r="I1651" i="1" a="1"/>
  <c r="I1651" i="1" s="1"/>
  <c r="I2533" i="1" a="1"/>
  <c r="I2533" i="1" s="1"/>
  <c r="I1652" i="1" a="1"/>
  <c r="I1652" i="1" s="1"/>
  <c r="I2534" i="1" a="1"/>
  <c r="I2534" i="1" s="1"/>
  <c r="I1653" i="1" a="1"/>
  <c r="I1653" i="1" s="1"/>
  <c r="I1654" i="1" a="1"/>
  <c r="I1654" i="1" s="1"/>
  <c r="I1655" i="1" a="1"/>
  <c r="I1655" i="1" s="1"/>
  <c r="I1656" i="1" a="1"/>
  <c r="I1656" i="1" s="1"/>
  <c r="I1657" i="1" a="1"/>
  <c r="I1657" i="1" s="1"/>
  <c r="I1658" i="1" a="1"/>
  <c r="I1658" i="1" s="1"/>
  <c r="I1659" i="1" a="1"/>
  <c r="I1659" i="1" s="1"/>
  <c r="I1660" i="1" a="1"/>
  <c r="I1660" i="1" s="1"/>
  <c r="I1661" i="1" a="1"/>
  <c r="I1661" i="1" s="1"/>
  <c r="I1662" i="1" a="1"/>
  <c r="I1662" i="1" s="1"/>
  <c r="I1663" i="1" a="1"/>
  <c r="I1663" i="1" s="1"/>
  <c r="I1664" i="1" a="1"/>
  <c r="I1664" i="1" s="1"/>
  <c r="I1665" i="1" a="1"/>
  <c r="I1665" i="1" s="1"/>
  <c r="I2535" i="1" a="1"/>
  <c r="I2535" i="1" s="1"/>
  <c r="I1666" i="1" a="1"/>
  <c r="I1666" i="1" s="1"/>
  <c r="I2536" i="1" a="1"/>
  <c r="I2536" i="1" s="1"/>
  <c r="I1667" i="1" a="1"/>
  <c r="I1667" i="1" s="1"/>
  <c r="I1668" i="1" a="1"/>
  <c r="I1668" i="1" s="1"/>
  <c r="I1669" i="1" a="1"/>
  <c r="I1669" i="1" s="1"/>
  <c r="I1670" i="1" a="1"/>
  <c r="I1670" i="1" s="1"/>
  <c r="I1671" i="1" a="1"/>
  <c r="I1671" i="1" s="1"/>
  <c r="I1672" i="1" a="1"/>
  <c r="I1672" i="1" s="1"/>
  <c r="I1673" i="1" a="1"/>
  <c r="I1673" i="1" s="1"/>
  <c r="I1674" i="1" a="1"/>
  <c r="I1674" i="1" s="1"/>
  <c r="I1675" i="1" a="1"/>
  <c r="I1675" i="1" s="1"/>
  <c r="I2537" i="1" a="1"/>
  <c r="I2537" i="1" s="1"/>
  <c r="I1676" i="1" a="1"/>
  <c r="I1676" i="1" s="1"/>
  <c r="I1677" i="1" a="1"/>
  <c r="I1677" i="1" s="1"/>
  <c r="I1678" i="1" a="1"/>
  <c r="I1678" i="1" s="1"/>
  <c r="I1679" i="1" a="1"/>
  <c r="I1679" i="1" s="1"/>
  <c r="I1680" i="1" a="1"/>
  <c r="I1680" i="1" s="1"/>
  <c r="I1681" i="1" a="1"/>
  <c r="I1681" i="1" s="1"/>
  <c r="I1682" i="1" a="1"/>
  <c r="I1682" i="1" s="1"/>
  <c r="I1683" i="1" a="1"/>
  <c r="I1683" i="1" s="1"/>
  <c r="I1684" i="1" a="1"/>
  <c r="I1684" i="1" s="1"/>
  <c r="I1685" i="1" a="1"/>
  <c r="I1685" i="1" s="1"/>
  <c r="I1686" i="1" a="1"/>
  <c r="I1686" i="1" s="1"/>
  <c r="I1687" i="1" a="1"/>
  <c r="I1687" i="1" s="1"/>
  <c r="I1688" i="1" a="1"/>
  <c r="I1688" i="1" s="1"/>
  <c r="I1689" i="1" a="1"/>
  <c r="I1689" i="1" s="1"/>
  <c r="I1690" i="1" a="1"/>
  <c r="I1690" i="1" s="1"/>
  <c r="I1691" i="1" a="1"/>
  <c r="I1691" i="1" s="1"/>
  <c r="I1692" i="1" a="1"/>
  <c r="I1692" i="1" s="1"/>
  <c r="I1693" i="1" a="1"/>
  <c r="I1693" i="1" s="1"/>
  <c r="I1694" i="1" a="1"/>
  <c r="I1694" i="1" s="1"/>
  <c r="I1695" i="1" a="1"/>
  <c r="I1695" i="1" s="1"/>
  <c r="I1696" i="1" a="1"/>
  <c r="I1696" i="1" s="1"/>
  <c r="I1697" i="1" a="1"/>
  <c r="I1697" i="1" s="1"/>
  <c r="I1698" i="1" a="1"/>
  <c r="I1698" i="1" s="1"/>
  <c r="I1699" i="1" a="1"/>
  <c r="I1699" i="1" s="1"/>
  <c r="I2538" i="1" a="1"/>
  <c r="I2538" i="1" s="1"/>
  <c r="I1700" i="1" a="1"/>
  <c r="I1700" i="1" s="1"/>
  <c r="I1701" i="1" a="1"/>
  <c r="I1701" i="1" s="1"/>
  <c r="I1702" i="1" a="1"/>
  <c r="I1702" i="1" s="1"/>
  <c r="I1703" i="1" a="1"/>
  <c r="I1703" i="1" s="1"/>
  <c r="I1704" i="1" a="1"/>
  <c r="I1704" i="1" s="1"/>
  <c r="I1705" i="1" a="1"/>
  <c r="I1705" i="1" s="1"/>
  <c r="I1706" i="1" a="1"/>
  <c r="I1706" i="1" s="1"/>
  <c r="I1707" i="1" a="1"/>
  <c r="I1707" i="1" s="1"/>
  <c r="I1708" i="1" a="1"/>
  <c r="I1708" i="1" s="1"/>
  <c r="I2539" i="1" a="1"/>
  <c r="I2539" i="1" s="1"/>
  <c r="I1709" i="1" a="1"/>
  <c r="I1709" i="1" s="1"/>
  <c r="I2540" i="1" a="1"/>
  <c r="I2540" i="1" s="1"/>
  <c r="I2282" i="1" a="1"/>
  <c r="I2282" i="1" s="1"/>
  <c r="I1710" i="1" a="1"/>
  <c r="I1710" i="1" s="1"/>
  <c r="I1711" i="1" a="1"/>
  <c r="I1711" i="1" s="1"/>
  <c r="I2541" i="1" a="1"/>
  <c r="I2541" i="1" s="1"/>
  <c r="I2542" i="1" a="1"/>
  <c r="I2542" i="1" s="1"/>
  <c r="I1712" i="1" a="1"/>
  <c r="I1712" i="1" s="1"/>
  <c r="I1713" i="1" a="1"/>
  <c r="I1713" i="1" s="1"/>
  <c r="I1714" i="1" a="1"/>
  <c r="I1714" i="1" s="1"/>
  <c r="I2543" i="1" a="1"/>
  <c r="I2543" i="1" s="1"/>
  <c r="I1715" i="1" a="1"/>
  <c r="I1715" i="1" s="1"/>
  <c r="I1716" i="1" a="1"/>
  <c r="I1716" i="1" s="1"/>
  <c r="I1717" i="1" a="1"/>
  <c r="I1717" i="1" s="1"/>
  <c r="I1718" i="1" a="1"/>
  <c r="I1718" i="1" s="1"/>
  <c r="I1719" i="1" a="1"/>
  <c r="I1719" i="1" s="1"/>
  <c r="I2283" i="1" a="1"/>
  <c r="I2283" i="1" s="1"/>
  <c r="I1720" i="1" a="1"/>
  <c r="I1720" i="1" s="1"/>
  <c r="I1721" i="1" a="1"/>
  <c r="I1721" i="1" s="1"/>
  <c r="I1722" i="1" a="1"/>
  <c r="I1722" i="1" s="1"/>
  <c r="I1723" i="1" a="1"/>
  <c r="I1723" i="1" s="1"/>
  <c r="I2544" i="1" a="1"/>
  <c r="I2544" i="1" s="1"/>
  <c r="I2545" i="1" a="1"/>
  <c r="I2545" i="1" s="1"/>
  <c r="I1724" i="1" a="1"/>
  <c r="I1724" i="1" s="1"/>
  <c r="I2546" i="1" a="1"/>
  <c r="I2546" i="1" s="1"/>
  <c r="I1725" i="1" a="1"/>
  <c r="I1725" i="1" s="1"/>
  <c r="I1726" i="1" a="1"/>
  <c r="I1726" i="1" s="1"/>
  <c r="I1727" i="1" a="1"/>
  <c r="I1727" i="1" s="1"/>
  <c r="I1728" i="1" a="1"/>
  <c r="I1728" i="1" s="1"/>
  <c r="I1729" i="1" a="1"/>
  <c r="I1729" i="1" s="1"/>
  <c r="I1730" i="1" a="1"/>
  <c r="I1730" i="1" s="1"/>
  <c r="I1731" i="1" a="1"/>
  <c r="I1731" i="1" s="1"/>
  <c r="I1732" i="1" a="1"/>
  <c r="I1732" i="1" s="1"/>
  <c r="I1733" i="1" a="1"/>
  <c r="I1733" i="1" s="1"/>
  <c r="I1734" i="1" a="1"/>
  <c r="I1734" i="1" s="1"/>
  <c r="I1735" i="1" a="1"/>
  <c r="I1735" i="1" s="1"/>
  <c r="I1736" i="1" a="1"/>
  <c r="I1736" i="1" s="1"/>
  <c r="I2547" i="1" a="1"/>
  <c r="I2547" i="1" s="1"/>
  <c r="I1737" i="1" a="1"/>
  <c r="I1737" i="1" s="1"/>
  <c r="I1738" i="1" a="1"/>
  <c r="I1738" i="1" s="1"/>
  <c r="I1739" i="1" a="1"/>
  <c r="I1739" i="1" s="1"/>
  <c r="I1740" i="1" a="1"/>
  <c r="I1740" i="1" s="1"/>
  <c r="I1741" i="1" a="1"/>
  <c r="I1741" i="1" s="1"/>
  <c r="I1742" i="1" a="1"/>
  <c r="I1742" i="1" s="1"/>
  <c r="I1743" i="1" a="1"/>
  <c r="I1743" i="1" s="1"/>
  <c r="I1744" i="1" a="1"/>
  <c r="I1744" i="1" s="1"/>
  <c r="I1745" i="1" a="1"/>
  <c r="I1745" i="1" s="1"/>
  <c r="I1746" i="1" a="1"/>
  <c r="I1746" i="1" s="1"/>
  <c r="I1747" i="1" a="1"/>
  <c r="I1747" i="1" s="1"/>
  <c r="I2548" i="1" a="1"/>
  <c r="I2548" i="1" s="1"/>
  <c r="I1748" i="1" a="1"/>
  <c r="I1748" i="1" s="1"/>
  <c r="I1749" i="1" a="1"/>
  <c r="I1749" i="1" s="1"/>
  <c r="I1750" i="1" a="1"/>
  <c r="I1750" i="1" s="1"/>
  <c r="I1751" i="1" a="1"/>
  <c r="I1751" i="1" s="1"/>
  <c r="I1752" i="1" a="1"/>
  <c r="I1752" i="1" s="1"/>
  <c r="I2549" i="1" a="1"/>
  <c r="I2549" i="1" s="1"/>
  <c r="I1753" i="1" a="1"/>
  <c r="I1753" i="1" s="1"/>
  <c r="I1754" i="1" a="1"/>
  <c r="I1754" i="1" s="1"/>
  <c r="I1755" i="1" a="1"/>
  <c r="I1755" i="1" s="1"/>
  <c r="I1756" i="1" a="1"/>
  <c r="I1756" i="1" s="1"/>
  <c r="I1757" i="1" a="1"/>
  <c r="I1757" i="1" s="1"/>
  <c r="I1758" i="1" a="1"/>
  <c r="I1758" i="1" s="1"/>
  <c r="I2550" i="1" a="1"/>
  <c r="I2550" i="1" s="1"/>
  <c r="I1759" i="1" a="1"/>
  <c r="I1759" i="1" s="1"/>
  <c r="I1760" i="1" a="1"/>
  <c r="I1760" i="1" s="1"/>
  <c r="I1761" i="1" a="1"/>
  <c r="I1761" i="1" s="1"/>
  <c r="I1762" i="1" a="1"/>
  <c r="I1762" i="1" s="1"/>
  <c r="I1763" i="1" a="1"/>
  <c r="I1763" i="1" s="1"/>
  <c r="I1764" i="1" a="1"/>
  <c r="I1764" i="1" s="1"/>
  <c r="I1765" i="1" a="1"/>
  <c r="I1765" i="1" s="1"/>
  <c r="I1766" i="1" a="1"/>
  <c r="I1766" i="1" s="1"/>
  <c r="I1767" i="1" a="1"/>
  <c r="I1767" i="1" s="1"/>
  <c r="I1768" i="1" a="1"/>
  <c r="I1768" i="1" s="1"/>
  <c r="I1769" i="1" a="1"/>
  <c r="I1769" i="1" s="1"/>
  <c r="I1770" i="1" a="1"/>
  <c r="I1770" i="1" s="1"/>
  <c r="I1771" i="1" a="1"/>
  <c r="I1771" i="1" s="1"/>
  <c r="I1772" i="1" a="1"/>
  <c r="I1772" i="1" s="1"/>
  <c r="I2284" i="1" a="1"/>
  <c r="I2284" i="1" s="1"/>
  <c r="I1773" i="1" a="1"/>
  <c r="I1773" i="1" s="1"/>
  <c r="I1774" i="1" a="1"/>
  <c r="I1774" i="1" s="1"/>
  <c r="I1775" i="1" a="1"/>
  <c r="I1775" i="1" s="1"/>
  <c r="I1776" i="1" a="1"/>
  <c r="I1776" i="1" s="1"/>
  <c r="I1777" i="1" a="1"/>
  <c r="I1777" i="1" s="1"/>
  <c r="I1778" i="1" a="1"/>
  <c r="I1778" i="1" s="1"/>
  <c r="I1779" i="1" a="1"/>
  <c r="I1779" i="1" s="1"/>
  <c r="I1780" i="1" a="1"/>
  <c r="I1780" i="1" s="1"/>
  <c r="I1781" i="1" a="1"/>
  <c r="I1781" i="1" s="1"/>
  <c r="I1782" i="1" a="1"/>
  <c r="I1782" i="1" s="1"/>
  <c r="I1783" i="1" a="1"/>
  <c r="I1783" i="1" s="1"/>
  <c r="I2551" i="1" a="1"/>
  <c r="I2551" i="1" s="1"/>
  <c r="I2552" i="1" a="1"/>
  <c r="I2552" i="1" s="1"/>
  <c r="I1784" i="1" a="1"/>
  <c r="I1784" i="1" s="1"/>
  <c r="I1785" i="1" a="1"/>
  <c r="I1785" i="1" s="1"/>
  <c r="I1786" i="1" a="1"/>
  <c r="I1786" i="1" s="1"/>
  <c r="I1787" i="1" a="1"/>
  <c r="I1787" i="1" s="1"/>
  <c r="I2553" i="1" a="1"/>
  <c r="I2553" i="1" s="1"/>
  <c r="I1788" i="1" a="1"/>
  <c r="I1788" i="1" s="1"/>
  <c r="I2554" i="1" a="1"/>
  <c r="I2554" i="1" s="1"/>
  <c r="I1789" i="1" a="1"/>
  <c r="I1789" i="1" s="1"/>
  <c r="I1790" i="1" a="1"/>
  <c r="I1790" i="1" s="1"/>
  <c r="I2555" i="1" a="1"/>
  <c r="I2555" i="1" s="1"/>
  <c r="I1791" i="1" a="1"/>
  <c r="I1791" i="1" s="1"/>
  <c r="I1792" i="1" a="1"/>
  <c r="I1792" i="1" s="1"/>
  <c r="I1793" i="1" a="1"/>
  <c r="I1793" i="1" s="1"/>
  <c r="I1794" i="1" a="1"/>
  <c r="I1794" i="1" s="1"/>
  <c r="I1795" i="1" a="1"/>
  <c r="I1795" i="1" s="1"/>
  <c r="I1796" i="1" a="1"/>
  <c r="I1796" i="1" s="1"/>
  <c r="I1797" i="1" a="1"/>
  <c r="I1797" i="1" s="1"/>
  <c r="I1798" i="1" a="1"/>
  <c r="I1798" i="1" s="1"/>
  <c r="I1799" i="1" a="1"/>
  <c r="I1799" i="1" s="1"/>
  <c r="I1800" i="1" a="1"/>
  <c r="I1800" i="1" s="1"/>
  <c r="I1801" i="1" a="1"/>
  <c r="I1801" i="1" s="1"/>
  <c r="I1802" i="1" a="1"/>
  <c r="I1802" i="1" s="1"/>
  <c r="I2556" i="1" a="1"/>
  <c r="I2556" i="1" s="1"/>
  <c r="I1803" i="1" a="1"/>
  <c r="I1803" i="1" s="1"/>
  <c r="I1804" i="1" a="1"/>
  <c r="I1804" i="1" s="1"/>
  <c r="I1805" i="1" a="1"/>
  <c r="I1805" i="1" s="1"/>
  <c r="I1806" i="1" a="1"/>
  <c r="I1806" i="1" s="1"/>
  <c r="I1807" i="1" a="1"/>
  <c r="I1807" i="1" s="1"/>
  <c r="I2557" i="1" a="1"/>
  <c r="I2557" i="1" s="1"/>
  <c r="I1808" i="1" a="1"/>
  <c r="I1808" i="1" s="1"/>
  <c r="I1809" i="1" a="1"/>
  <c r="I1809" i="1" s="1"/>
  <c r="I1810" i="1" a="1"/>
  <c r="I1810" i="1" s="1"/>
  <c r="I1811" i="1" a="1"/>
  <c r="I1811" i="1" s="1"/>
  <c r="I1812" i="1" a="1"/>
  <c r="I1812" i="1" s="1"/>
  <c r="I1813" i="1" a="1"/>
  <c r="I1813" i="1" s="1"/>
  <c r="I1814" i="1" a="1"/>
  <c r="I1814" i="1" s="1"/>
  <c r="I1815" i="1" a="1"/>
  <c r="I1815" i="1" s="1"/>
  <c r="I1816" i="1" a="1"/>
  <c r="I1816" i="1" s="1"/>
  <c r="I1817" i="1" a="1"/>
  <c r="I1817" i="1" s="1"/>
  <c r="I1818" i="1" a="1"/>
  <c r="I1818" i="1" s="1"/>
  <c r="I1819" i="1" a="1"/>
  <c r="I1819" i="1" s="1"/>
  <c r="I1820" i="1" a="1"/>
  <c r="I1820" i="1" s="1"/>
  <c r="I1821" i="1" a="1"/>
  <c r="I1821" i="1" s="1"/>
  <c r="I1822" i="1" a="1"/>
  <c r="I1822" i="1" s="1"/>
  <c r="I1823" i="1" a="1"/>
  <c r="I1823" i="1" s="1"/>
  <c r="I1824" i="1" a="1"/>
  <c r="I1824" i="1" s="1"/>
  <c r="I1825" i="1" a="1"/>
  <c r="I1825" i="1" s="1"/>
  <c r="I1826" i="1" a="1"/>
  <c r="I1826" i="1" s="1"/>
  <c r="I1827" i="1" a="1"/>
  <c r="I1827" i="1" s="1"/>
  <c r="I1828" i="1" a="1"/>
  <c r="I1828" i="1" s="1"/>
  <c r="I1829" i="1" a="1"/>
  <c r="I1829" i="1" s="1"/>
  <c r="I1830" i="1" a="1"/>
  <c r="I1830" i="1" s="1"/>
  <c r="I1831" i="1" a="1"/>
  <c r="I1831" i="1" s="1"/>
  <c r="I1832" i="1" a="1"/>
  <c r="I1832" i="1" s="1"/>
  <c r="I1833" i="1" a="1"/>
  <c r="I1833" i="1" s="1"/>
  <c r="I1834" i="1" a="1"/>
  <c r="I1834" i="1" s="1"/>
  <c r="I1835" i="1" a="1"/>
  <c r="I1835" i="1" s="1"/>
  <c r="I1836" i="1" a="1"/>
  <c r="I1836" i="1" s="1"/>
  <c r="I1837" i="1" a="1"/>
  <c r="I1837" i="1" s="1"/>
  <c r="I1838" i="1" a="1"/>
  <c r="I1838" i="1" s="1"/>
  <c r="I1839" i="1" a="1"/>
  <c r="I1839" i="1" s="1"/>
  <c r="I1840" i="1" a="1"/>
  <c r="I1840" i="1" s="1"/>
  <c r="I1841" i="1" a="1"/>
  <c r="I1841" i="1" s="1"/>
  <c r="I2558" i="1" a="1"/>
  <c r="I2558" i="1" s="1"/>
  <c r="I1842" i="1" a="1"/>
  <c r="I1842" i="1" s="1"/>
  <c r="I1843" i="1" a="1"/>
  <c r="I1843" i="1" s="1"/>
  <c r="I1844" i="1" a="1"/>
  <c r="I1844" i="1" s="1"/>
  <c r="I1845" i="1" a="1"/>
  <c r="I1845" i="1" s="1"/>
  <c r="I1846" i="1" a="1"/>
  <c r="I1846" i="1" s="1"/>
  <c r="I1847" i="1" a="1"/>
  <c r="I1847" i="1" s="1"/>
  <c r="I1848" i="1" a="1"/>
  <c r="I1848" i="1" s="1"/>
  <c r="I2559" i="1" a="1"/>
  <c r="I2559" i="1" s="1"/>
  <c r="I1849" i="1" a="1"/>
  <c r="I1849" i="1" s="1"/>
  <c r="I1850" i="1" a="1"/>
  <c r="I1850" i="1" s="1"/>
  <c r="I1851" i="1" a="1"/>
  <c r="I1851" i="1" s="1"/>
  <c r="I1852" i="1" a="1"/>
  <c r="I1852" i="1" s="1"/>
  <c r="I2560" i="1" a="1"/>
  <c r="I2560" i="1" s="1"/>
  <c r="I1853" i="1" a="1"/>
  <c r="I1853" i="1" s="1"/>
  <c r="I1854" i="1" a="1"/>
  <c r="I1854" i="1" s="1"/>
  <c r="I1855" i="1" a="1"/>
  <c r="I1855" i="1" s="1"/>
  <c r="I1856" i="1" a="1"/>
  <c r="I1856" i="1" s="1"/>
  <c r="I1857" i="1" a="1"/>
  <c r="I1857" i="1" s="1"/>
  <c r="I1858" i="1" a="1"/>
  <c r="I1858" i="1" s="1"/>
  <c r="I1859" i="1" a="1"/>
  <c r="I1859" i="1" s="1"/>
  <c r="I1860" i="1" a="1"/>
  <c r="I1860" i="1" s="1"/>
  <c r="I1861" i="1" a="1"/>
  <c r="I1861" i="1" s="1"/>
  <c r="I1862" i="1" a="1"/>
  <c r="I1862" i="1" s="1"/>
  <c r="I1863" i="1" a="1"/>
  <c r="I1863" i="1" s="1"/>
  <c r="I1864" i="1" a="1"/>
  <c r="I1864" i="1" s="1"/>
  <c r="I1865" i="1" a="1"/>
  <c r="I1865" i="1" s="1"/>
  <c r="I1866" i="1" a="1"/>
  <c r="I1866" i="1" s="1"/>
  <c r="I1867" i="1" a="1"/>
  <c r="I1867" i="1" s="1"/>
  <c r="I1868" i="1" a="1"/>
  <c r="I1868" i="1" s="1"/>
  <c r="I1869" i="1" a="1"/>
  <c r="I1869" i="1" s="1"/>
  <c r="I1870" i="1" a="1"/>
  <c r="I1870" i="1" s="1"/>
  <c r="I1871" i="1" a="1"/>
  <c r="I1871" i="1" s="1"/>
  <c r="I1872" i="1" a="1"/>
  <c r="I1872" i="1" s="1"/>
  <c r="I2561" i="1" a="1"/>
  <c r="I2561" i="1" s="1"/>
  <c r="I2562" i="1" a="1"/>
  <c r="I2562" i="1" s="1"/>
  <c r="I1873" i="1" a="1"/>
  <c r="I1873" i="1" s="1"/>
  <c r="I1874" i="1" a="1"/>
  <c r="I1874" i="1" s="1"/>
  <c r="I1875" i="1" a="1"/>
  <c r="I1875" i="1" s="1"/>
  <c r="I1876" i="1" a="1"/>
  <c r="I1876" i="1" s="1"/>
  <c r="I1877" i="1" a="1"/>
  <c r="I1877" i="1" s="1"/>
  <c r="I1878" i="1" a="1"/>
  <c r="I1878" i="1" s="1"/>
  <c r="I1879" i="1" a="1"/>
  <c r="I1879" i="1" s="1"/>
  <c r="I1880" i="1" a="1"/>
  <c r="I1880" i="1" s="1"/>
  <c r="I2563" i="1" a="1"/>
  <c r="I2563" i="1" s="1"/>
  <c r="I1881" i="1" a="1"/>
  <c r="I1881" i="1" s="1"/>
  <c r="I1882" i="1" a="1"/>
  <c r="I1882" i="1" s="1"/>
  <c r="I1883" i="1" a="1"/>
  <c r="I1883" i="1" s="1"/>
  <c r="I1884" i="1" a="1"/>
  <c r="I1884" i="1" s="1"/>
  <c r="I1885" i="1" a="1"/>
  <c r="I1885" i="1" s="1"/>
  <c r="I1886" i="1" a="1"/>
  <c r="I1886" i="1" s="1"/>
  <c r="I1887" i="1" a="1"/>
  <c r="I1887" i="1" s="1"/>
  <c r="I1888" i="1" a="1"/>
  <c r="I1888" i="1" s="1"/>
  <c r="I1889" i="1" a="1"/>
  <c r="I1889" i="1" s="1"/>
  <c r="I1890" i="1" a="1"/>
  <c r="I1890" i="1" s="1"/>
  <c r="I1891" i="1" a="1"/>
  <c r="I1891" i="1" s="1"/>
  <c r="I1892" i="1" a="1"/>
  <c r="I1892" i="1" s="1"/>
  <c r="I1893" i="1" a="1"/>
  <c r="I1893" i="1" s="1"/>
  <c r="I1894" i="1" a="1"/>
  <c r="I1894" i="1" s="1"/>
  <c r="I1895" i="1" a="1"/>
  <c r="I1895" i="1" s="1"/>
  <c r="I1896" i="1" a="1"/>
  <c r="I1896" i="1" s="1"/>
  <c r="I1897" i="1" a="1"/>
  <c r="I1897" i="1" s="1"/>
  <c r="I1898" i="1" a="1"/>
  <c r="I1898" i="1" s="1"/>
  <c r="I1899" i="1" a="1"/>
  <c r="I1899" i="1" s="1"/>
  <c r="I1900" i="1" a="1"/>
  <c r="I1900" i="1" s="1"/>
  <c r="I1901" i="1" a="1"/>
  <c r="I1901" i="1" s="1"/>
  <c r="I1902" i="1" a="1"/>
  <c r="I1902" i="1" s="1"/>
  <c r="I1903" i="1" a="1"/>
  <c r="I1903" i="1" s="1"/>
  <c r="I1904" i="1" a="1"/>
  <c r="I1904" i="1" s="1"/>
  <c r="I1905" i="1" a="1"/>
  <c r="I1905" i="1" s="1"/>
  <c r="I2564" i="1" a="1"/>
  <c r="I2564" i="1" s="1"/>
  <c r="I1906" i="1" a="1"/>
  <c r="I1906" i="1" s="1"/>
  <c r="I2565" i="1" a="1"/>
  <c r="I2565" i="1" s="1"/>
  <c r="I1907" i="1" a="1"/>
  <c r="I1907" i="1" s="1"/>
  <c r="I2566" i="1" a="1"/>
  <c r="I2566" i="1" s="1"/>
  <c r="I1908" i="1" a="1"/>
  <c r="I1908" i="1" s="1"/>
  <c r="I1909" i="1" a="1"/>
  <c r="I1909" i="1" s="1"/>
  <c r="I1910" i="1" a="1"/>
  <c r="I1910" i="1" s="1"/>
  <c r="I1911" i="1" a="1"/>
  <c r="I1911" i="1" s="1"/>
  <c r="I1912" i="1" a="1"/>
  <c r="I1912" i="1" s="1"/>
  <c r="I1913" i="1" a="1"/>
  <c r="I1913" i="1" s="1"/>
  <c r="I1914" i="1" a="1"/>
  <c r="I1914" i="1" s="1"/>
  <c r="I1915" i="1" a="1"/>
  <c r="I1915" i="1" s="1"/>
  <c r="I1916" i="1" a="1"/>
  <c r="I1916" i="1" s="1"/>
  <c r="I1917" i="1" a="1"/>
  <c r="I1917" i="1" s="1"/>
  <c r="I1918" i="1" a="1"/>
  <c r="I1918" i="1" s="1"/>
  <c r="I1919" i="1" a="1"/>
  <c r="I1919" i="1" s="1"/>
  <c r="I1920" i="1" a="1"/>
  <c r="I1920" i="1" s="1"/>
  <c r="I1921" i="1" a="1"/>
  <c r="I1921" i="1" s="1"/>
  <c r="I1922" i="1" a="1"/>
  <c r="I1922" i="1" s="1"/>
  <c r="I1923" i="1" a="1"/>
  <c r="I1923" i="1" s="1"/>
  <c r="I1924" i="1" a="1"/>
  <c r="I1924" i="1" s="1"/>
  <c r="I1925" i="1" a="1"/>
  <c r="I1925" i="1" s="1"/>
  <c r="I1926" i="1" a="1"/>
  <c r="I1926" i="1" s="1"/>
  <c r="I1927" i="1" a="1"/>
  <c r="I1927" i="1" s="1"/>
  <c r="I1928" i="1" a="1"/>
  <c r="I1928" i="1" s="1"/>
  <c r="I1929" i="1" a="1"/>
  <c r="I1929" i="1" s="1"/>
  <c r="I1930" i="1" a="1"/>
  <c r="I1930" i="1" s="1"/>
  <c r="I2567" i="1" a="1"/>
  <c r="I2567" i="1" s="1"/>
  <c r="I2568" i="1" a="1"/>
  <c r="I2568" i="1" s="1"/>
  <c r="I1931" i="1" a="1"/>
  <c r="I1931" i="1" s="1"/>
  <c r="I2569" i="1" a="1"/>
  <c r="I2569" i="1" s="1"/>
  <c r="I1932" i="1" a="1"/>
  <c r="I1932" i="1" s="1"/>
  <c r="I1933" i="1" a="1"/>
  <c r="I1933" i="1" s="1"/>
  <c r="I1934" i="1" a="1"/>
  <c r="I1934" i="1" s="1"/>
  <c r="I1935" i="1" a="1"/>
  <c r="I1935" i="1" s="1"/>
  <c r="I2570" i="1" a="1"/>
  <c r="I2570" i="1" s="1"/>
  <c r="I1936" i="1" a="1"/>
  <c r="I1936" i="1" s="1"/>
  <c r="I1937" i="1" a="1"/>
  <c r="I1937" i="1" s="1"/>
  <c r="I1938" i="1" a="1"/>
  <c r="I1938" i="1" s="1"/>
  <c r="I1939" i="1" a="1"/>
  <c r="I1939" i="1" s="1"/>
  <c r="I2571" i="1" a="1"/>
  <c r="I2571" i="1" s="1"/>
  <c r="I2572" i="1" a="1"/>
  <c r="I2572" i="1" s="1"/>
  <c r="I1940" i="1" a="1"/>
  <c r="I1940" i="1" s="1"/>
  <c r="I1941" i="1" a="1"/>
  <c r="I1941" i="1" s="1"/>
  <c r="I1942" i="1" a="1"/>
  <c r="I1942" i="1" s="1"/>
  <c r="I1943" i="1" a="1"/>
  <c r="I1943" i="1" s="1"/>
  <c r="I1944" i="1" a="1"/>
  <c r="I1944" i="1" s="1"/>
  <c r="I1945" i="1" a="1"/>
  <c r="I1945" i="1" s="1"/>
  <c r="I1946" i="1" a="1"/>
  <c r="I1946" i="1" s="1"/>
  <c r="I1947" i="1" a="1"/>
  <c r="I1947" i="1" s="1"/>
  <c r="I1948" i="1" a="1"/>
  <c r="I1948" i="1" s="1"/>
  <c r="I1949" i="1" a="1"/>
  <c r="I1949" i="1" s="1"/>
  <c r="I1950" i="1" a="1"/>
  <c r="I1950" i="1" s="1"/>
  <c r="I1951" i="1" a="1"/>
  <c r="I1951" i="1" s="1"/>
  <c r="I2285" i="1" a="1"/>
  <c r="I2285" i="1" s="1"/>
  <c r="I2573" i="1" a="1"/>
  <c r="I2573" i="1" s="1"/>
  <c r="I1952" i="1" a="1"/>
  <c r="I1952" i="1" s="1"/>
  <c r="I1953" i="1" a="1"/>
  <c r="I1953" i="1" s="1"/>
  <c r="I2574" i="1" a="1"/>
  <c r="I2574" i="1" s="1"/>
  <c r="I1954" i="1" a="1"/>
  <c r="I1954" i="1" s="1"/>
  <c r="I1955" i="1" a="1"/>
  <c r="I1955" i="1" s="1"/>
  <c r="I1956" i="1" a="1"/>
  <c r="I1956" i="1" s="1"/>
  <c r="I1957" i="1" a="1"/>
  <c r="I1957" i="1" s="1"/>
  <c r="I1958" i="1" a="1"/>
  <c r="I1958" i="1" s="1"/>
  <c r="I1959" i="1" a="1"/>
  <c r="I1959" i="1" s="1"/>
  <c r="I1960" i="1" a="1"/>
  <c r="I1960" i="1" s="1"/>
  <c r="I1961" i="1" a="1"/>
  <c r="I1961" i="1" s="1"/>
  <c r="I1962" i="1" a="1"/>
  <c r="I1962" i="1" s="1"/>
  <c r="I1963" i="1" a="1"/>
  <c r="I1963" i="1" s="1"/>
  <c r="I1964" i="1" a="1"/>
  <c r="I1964" i="1" s="1"/>
  <c r="I1965" i="1" a="1"/>
  <c r="I1965" i="1" s="1"/>
  <c r="I1966" i="1" a="1"/>
  <c r="I1966" i="1" s="1"/>
  <c r="I1967" i="1" a="1"/>
  <c r="I1967" i="1" s="1"/>
  <c r="I2575" i="1" a="1"/>
  <c r="I2575" i="1" s="1"/>
  <c r="I1968" i="1" a="1"/>
  <c r="I1968" i="1" s="1"/>
  <c r="I1969" i="1" a="1"/>
  <c r="I1969" i="1" s="1"/>
  <c r="I2576" i="1" a="1"/>
  <c r="I2576" i="1" s="1"/>
  <c r="I1970" i="1" a="1"/>
  <c r="I1970" i="1" s="1"/>
  <c r="I1971" i="1" a="1"/>
  <c r="I1971" i="1" s="1"/>
  <c r="I1972" i="1" a="1"/>
  <c r="I1972" i="1" s="1"/>
  <c r="I1973" i="1" a="1"/>
  <c r="I1973" i="1" s="1"/>
  <c r="I1974" i="1" a="1"/>
  <c r="I1974" i="1" s="1"/>
  <c r="I2286" i="1" a="1"/>
  <c r="I2286" i="1" s="1"/>
  <c r="I1975" i="1" a="1"/>
  <c r="I1975" i="1" s="1"/>
  <c r="I2577" i="1" a="1"/>
  <c r="I2577" i="1" s="1"/>
  <c r="I1976" i="1" a="1"/>
  <c r="I1976" i="1" s="1"/>
  <c r="I1977" i="1" a="1"/>
  <c r="I1977" i="1" s="1"/>
  <c r="I1978" i="1" a="1"/>
  <c r="I1978" i="1" s="1"/>
  <c r="I1979" i="1" a="1"/>
  <c r="I1979" i="1" s="1"/>
  <c r="I1980" i="1" a="1"/>
  <c r="I1980" i="1" s="1"/>
  <c r="I2578" i="1" a="1"/>
  <c r="I2578" i="1" s="1"/>
  <c r="I1981" i="1" a="1"/>
  <c r="I1981" i="1" s="1"/>
  <c r="I1982" i="1" a="1"/>
  <c r="I1982" i="1" s="1"/>
  <c r="I1983" i="1" a="1"/>
  <c r="I1983" i="1" s="1"/>
  <c r="I1984" i="1" a="1"/>
  <c r="I1984" i="1" s="1"/>
  <c r="I1985" i="1" a="1"/>
  <c r="I1985" i="1" s="1"/>
  <c r="I1986" i="1" a="1"/>
  <c r="I1986" i="1" s="1"/>
  <c r="I1987" i="1" a="1"/>
  <c r="I1987" i="1" s="1"/>
  <c r="I1988" i="1" a="1"/>
  <c r="I1988" i="1" s="1"/>
  <c r="I1989" i="1" a="1"/>
  <c r="I1989" i="1" s="1"/>
  <c r="I1990" i="1" a="1"/>
  <c r="I1990" i="1" s="1"/>
  <c r="I1991" i="1" a="1"/>
  <c r="I1991" i="1" s="1"/>
  <c r="I1992" i="1" a="1"/>
  <c r="I1992" i="1" s="1"/>
  <c r="I1993" i="1" a="1"/>
  <c r="I1993" i="1" s="1"/>
  <c r="I1994" i="1" a="1"/>
  <c r="I1994" i="1" s="1"/>
  <c r="I1995" i="1" a="1"/>
  <c r="I1995" i="1" s="1"/>
  <c r="I1996" i="1" a="1"/>
  <c r="I1996" i="1" s="1"/>
  <c r="I1997" i="1" a="1"/>
  <c r="I1997" i="1" s="1"/>
  <c r="I1998" i="1" a="1"/>
  <c r="I1998" i="1" s="1"/>
  <c r="I1999" i="1" a="1"/>
  <c r="I1999" i="1" s="1"/>
  <c r="I2000" i="1" a="1"/>
  <c r="I2000" i="1" s="1"/>
  <c r="I2001" i="1" a="1"/>
  <c r="I2001" i="1" s="1"/>
  <c r="I2002" i="1" a="1"/>
  <c r="I2002" i="1" s="1"/>
  <c r="I2003" i="1" a="1"/>
  <c r="I2003" i="1" s="1"/>
  <c r="I2004" i="1" a="1"/>
  <c r="I2004" i="1" s="1"/>
  <c r="I2005" i="1" a="1"/>
  <c r="I2005" i="1" s="1"/>
  <c r="I2006" i="1" a="1"/>
  <c r="I2006" i="1" s="1"/>
  <c r="I2007" i="1" a="1"/>
  <c r="I2007" i="1" s="1"/>
  <c r="I2008" i="1" a="1"/>
  <c r="I2008" i="1" s="1"/>
  <c r="I2009" i="1" a="1"/>
  <c r="I2009" i="1" s="1"/>
  <c r="I2010" i="1" a="1"/>
  <c r="I2010" i="1" s="1"/>
  <c r="I2011" i="1" a="1"/>
  <c r="I2011" i="1" s="1"/>
  <c r="I2012" i="1" a="1"/>
  <c r="I2012" i="1" s="1"/>
  <c r="I2013" i="1" a="1"/>
  <c r="I2013" i="1" s="1"/>
  <c r="I2014" i="1" a="1"/>
  <c r="I2014" i="1" s="1"/>
  <c r="I2015" i="1" a="1"/>
  <c r="I2015" i="1" s="1"/>
  <c r="I2016" i="1" a="1"/>
  <c r="I2016" i="1" s="1"/>
  <c r="I2017" i="1" a="1"/>
  <c r="I2017" i="1" s="1"/>
  <c r="I2018" i="1" a="1"/>
  <c r="I2018" i="1" s="1"/>
  <c r="I2019" i="1" a="1"/>
  <c r="I2019" i="1" s="1"/>
  <c r="I2020" i="1" a="1"/>
  <c r="I2020" i="1" s="1"/>
  <c r="I2021" i="1" a="1"/>
  <c r="I2021" i="1" s="1"/>
  <c r="I2022" i="1" a="1"/>
  <c r="I2022" i="1" s="1"/>
  <c r="I2023" i="1" a="1"/>
  <c r="I2023" i="1" s="1"/>
  <c r="I2024" i="1" a="1"/>
  <c r="I2024" i="1" s="1"/>
  <c r="I2025" i="1" a="1"/>
  <c r="I2025" i="1" s="1"/>
  <c r="I2026" i="1" a="1"/>
  <c r="I2026" i="1" s="1"/>
  <c r="I2579" i="1" a="1"/>
  <c r="I2579" i="1" s="1"/>
  <c r="I2580" i="1" a="1"/>
  <c r="I2580" i="1" s="1"/>
  <c r="I2027" i="1" a="1"/>
  <c r="I2027" i="1" s="1"/>
  <c r="I2028" i="1" a="1"/>
  <c r="I2028" i="1" s="1"/>
  <c r="I2029" i="1" a="1"/>
  <c r="I2029" i="1" s="1"/>
  <c r="I2030" i="1" a="1"/>
  <c r="I2030" i="1" s="1"/>
  <c r="I2031" i="1" a="1"/>
  <c r="I2031" i="1" s="1"/>
  <c r="I2032" i="1" a="1"/>
  <c r="I2032" i="1" s="1"/>
  <c r="I2033" i="1" a="1"/>
  <c r="I2033" i="1" s="1"/>
  <c r="I2034" i="1" a="1"/>
  <c r="I2034" i="1" s="1"/>
  <c r="I2035" i="1" a="1"/>
  <c r="I2035" i="1" s="1"/>
  <c r="I2036" i="1" a="1"/>
  <c r="I2036" i="1" s="1"/>
  <c r="I2581" i="1" a="1"/>
  <c r="I2581" i="1" s="1"/>
  <c r="I2037" i="1" a="1"/>
  <c r="I2037" i="1" s="1"/>
  <c r="I2038" i="1" a="1"/>
  <c r="I2038" i="1" s="1"/>
  <c r="I2039" i="1" a="1"/>
  <c r="I2039" i="1" s="1"/>
  <c r="I2040" i="1" a="1"/>
  <c r="I2040" i="1" s="1"/>
  <c r="I2041" i="1" a="1"/>
  <c r="I2041" i="1" s="1"/>
  <c r="I2042" i="1" a="1"/>
  <c r="I2042" i="1" s="1"/>
  <c r="I2043" i="1" a="1"/>
  <c r="I2043" i="1" s="1"/>
  <c r="I2044" i="1" a="1"/>
  <c r="I2044" i="1" s="1"/>
  <c r="I2582" i="1" a="1"/>
  <c r="I2582" i="1" s="1"/>
  <c r="I2045" i="1" a="1"/>
  <c r="I2045" i="1" s="1"/>
  <c r="I2046" i="1" a="1"/>
  <c r="I2046" i="1" s="1"/>
  <c r="I2047" i="1" a="1"/>
  <c r="I2047" i="1" s="1"/>
  <c r="I2048" i="1" a="1"/>
  <c r="I2048" i="1" s="1"/>
  <c r="I2049" i="1" a="1"/>
  <c r="I2049" i="1" s="1"/>
  <c r="I2050" i="1" a="1"/>
  <c r="I2050" i="1" s="1"/>
  <c r="I2051" i="1" a="1"/>
  <c r="I2051" i="1" s="1"/>
  <c r="I2052" i="1" a="1"/>
  <c r="I2052" i="1" s="1"/>
  <c r="I2053" i="1" a="1"/>
  <c r="I2053" i="1" s="1"/>
  <c r="I2054" i="1" a="1"/>
  <c r="I2054" i="1" s="1"/>
  <c r="I2055" i="1" a="1"/>
  <c r="I2055" i="1" s="1"/>
  <c r="I2056" i="1" a="1"/>
  <c r="I2056" i="1" s="1"/>
  <c r="I2057" i="1" a="1"/>
  <c r="I2057" i="1" s="1"/>
  <c r="I2058" i="1" a="1"/>
  <c r="I2058" i="1" s="1"/>
  <c r="I2059" i="1" a="1"/>
  <c r="I2059" i="1" s="1"/>
  <c r="I2060" i="1" a="1"/>
  <c r="I2060" i="1" s="1"/>
  <c r="I2061" i="1" a="1"/>
  <c r="I2061" i="1" s="1"/>
  <c r="I2062" i="1" a="1"/>
  <c r="I2062" i="1" s="1"/>
  <c r="I2063" i="1" a="1"/>
  <c r="I2063" i="1" s="1"/>
  <c r="I2583" i="1" a="1"/>
  <c r="I2583" i="1" s="1"/>
  <c r="I2064" i="1" a="1"/>
  <c r="I2064" i="1" s="1"/>
  <c r="I2065" i="1" a="1"/>
  <c r="I2065" i="1" s="1"/>
  <c r="I2066" i="1" a="1"/>
  <c r="I2066" i="1" s="1"/>
  <c r="I2067" i="1" a="1"/>
  <c r="I2067" i="1" s="1"/>
  <c r="I2068" i="1" a="1"/>
  <c r="I2068" i="1" s="1"/>
  <c r="I2069" i="1" a="1"/>
  <c r="I2069" i="1" s="1"/>
  <c r="I2070" i="1" a="1"/>
  <c r="I2070" i="1" s="1"/>
  <c r="I2071" i="1" a="1"/>
  <c r="I2071" i="1" s="1"/>
  <c r="I2584" i="1" a="1"/>
  <c r="I2584" i="1" s="1"/>
  <c r="I2072" i="1" a="1"/>
  <c r="I2072" i="1" s="1"/>
  <c r="I2073" i="1" a="1"/>
  <c r="I2073" i="1" s="1"/>
  <c r="I2074" i="1" a="1"/>
  <c r="I2074" i="1" s="1"/>
  <c r="I2075" i="1" a="1"/>
  <c r="I2075" i="1" s="1"/>
  <c r="I2585" i="1" a="1"/>
  <c r="I2585" i="1" s="1"/>
  <c r="I2076" i="1" a="1"/>
  <c r="I2076" i="1" s="1"/>
  <c r="I2077" i="1" a="1"/>
  <c r="I2077" i="1" s="1"/>
  <c r="I2078" i="1" a="1"/>
  <c r="I2078" i="1" s="1"/>
  <c r="I2079" i="1" a="1"/>
  <c r="I2079" i="1" s="1"/>
  <c r="I2080" i="1" a="1"/>
  <c r="I2080" i="1" s="1"/>
  <c r="I2081" i="1" a="1"/>
  <c r="I2081" i="1" s="1"/>
  <c r="I2082" i="1" a="1"/>
  <c r="I2082" i="1" s="1"/>
  <c r="I2083" i="1" a="1"/>
  <c r="I2083" i="1" s="1"/>
  <c r="I2084" i="1" a="1"/>
  <c r="I2084" i="1" s="1"/>
  <c r="I2085" i="1" a="1"/>
  <c r="I2085" i="1" s="1"/>
  <c r="I2086" i="1" a="1"/>
  <c r="I2086" i="1" s="1"/>
  <c r="I2087" i="1" a="1"/>
  <c r="I2087" i="1" s="1"/>
  <c r="I2586" i="1" a="1"/>
  <c r="I2586" i="1" s="1"/>
  <c r="I2088" i="1" a="1"/>
  <c r="I2088" i="1" s="1"/>
  <c r="I2587" i="1" a="1"/>
  <c r="I2587" i="1" s="1"/>
  <c r="I2089" i="1" a="1"/>
  <c r="I2089" i="1" s="1"/>
  <c r="I2090" i="1" a="1"/>
  <c r="I2090" i="1" s="1"/>
  <c r="I2091" i="1" a="1"/>
  <c r="I2091" i="1" s="1"/>
  <c r="I2092" i="1" a="1"/>
  <c r="I2092" i="1" s="1"/>
  <c r="I2093" i="1" a="1"/>
  <c r="I2093" i="1" s="1"/>
  <c r="I2094" i="1" a="1"/>
  <c r="I2094" i="1" s="1"/>
  <c r="I2095" i="1" a="1"/>
  <c r="I2095" i="1" s="1"/>
  <c r="I2096" i="1" a="1"/>
  <c r="I2096" i="1" s="1"/>
  <c r="I2097" i="1" a="1"/>
  <c r="I2097" i="1" s="1"/>
  <c r="I2098" i="1" a="1"/>
  <c r="I2098" i="1" s="1"/>
  <c r="I2099" i="1" a="1"/>
  <c r="I2099" i="1" s="1"/>
  <c r="I2100" i="1" a="1"/>
  <c r="I2100" i="1" s="1"/>
  <c r="I2588" i="1" a="1"/>
  <c r="I2588" i="1" s="1"/>
  <c r="I2589" i="1" a="1"/>
  <c r="I2589" i="1" s="1"/>
  <c r="I2101" i="1" a="1"/>
  <c r="I2101" i="1" s="1"/>
  <c r="I2102" i="1" a="1"/>
  <c r="I2102" i="1" s="1"/>
  <c r="I2103" i="1" a="1"/>
  <c r="I2103" i="1" s="1"/>
  <c r="I2104" i="1" a="1"/>
  <c r="I2104" i="1" s="1"/>
  <c r="I2590" i="1" a="1"/>
  <c r="I2590" i="1" s="1"/>
  <c r="I2105" i="1" a="1"/>
  <c r="I2105" i="1" s="1"/>
  <c r="I2106" i="1" a="1"/>
  <c r="I2106" i="1" s="1"/>
  <c r="I2107" i="1" a="1"/>
  <c r="I2107" i="1" s="1"/>
  <c r="I2108" i="1" a="1"/>
  <c r="I2108" i="1" s="1"/>
  <c r="I2109" i="1" a="1"/>
  <c r="I2109" i="1" s="1"/>
  <c r="I2110" i="1" a="1"/>
  <c r="I2110" i="1" s="1"/>
  <c r="I2111" i="1" a="1"/>
  <c r="I2111" i="1" s="1"/>
  <c r="I2112" i="1" a="1"/>
  <c r="I2112" i="1" s="1"/>
  <c r="I2113" i="1" a="1"/>
  <c r="I2113" i="1" s="1"/>
  <c r="I2114" i="1" a="1"/>
  <c r="I2114" i="1" s="1"/>
  <c r="I2115" i="1" a="1"/>
  <c r="I2115" i="1" s="1"/>
  <c r="I2116" i="1" a="1"/>
  <c r="I2116" i="1" s="1"/>
  <c r="I2117" i="1" a="1"/>
  <c r="I2117" i="1" s="1"/>
  <c r="I2118" i="1" a="1"/>
  <c r="I2118" i="1" s="1"/>
  <c r="I2119" i="1" a="1"/>
  <c r="I2119" i="1" s="1"/>
  <c r="I2120" i="1" a="1"/>
  <c r="I2120" i="1" s="1"/>
  <c r="I2121" i="1" a="1"/>
  <c r="I2121" i="1" s="1"/>
  <c r="I2591" i="1" a="1"/>
  <c r="I2591" i="1" s="1"/>
  <c r="I2122" i="1" a="1"/>
  <c r="I2122" i="1" s="1"/>
  <c r="I2123" i="1" a="1"/>
  <c r="I2123" i="1" s="1"/>
  <c r="I2124" i="1" a="1"/>
  <c r="I2124" i="1" s="1"/>
  <c r="I2125" i="1" a="1"/>
  <c r="I2125" i="1" s="1"/>
  <c r="I2126" i="1" a="1"/>
  <c r="I2126" i="1" s="1"/>
  <c r="I2127" i="1" a="1"/>
  <c r="I2127" i="1" s="1"/>
  <c r="I2128" i="1" a="1"/>
  <c r="I2128" i="1" s="1"/>
  <c r="I2129" i="1" a="1"/>
  <c r="I2129" i="1" s="1"/>
  <c r="I2130" i="1" a="1"/>
  <c r="I2130" i="1" s="1"/>
  <c r="I2131" i="1" a="1"/>
  <c r="I2131" i="1" s="1"/>
  <c r="I2132" i="1" a="1"/>
  <c r="I2132" i="1" s="1"/>
  <c r="I2133" i="1" a="1"/>
  <c r="I2133" i="1" s="1"/>
  <c r="I2592" i="1" a="1"/>
  <c r="I2592" i="1" s="1"/>
  <c r="I2134" i="1" a="1"/>
  <c r="I2134" i="1" s="1"/>
  <c r="I2135" i="1" a="1"/>
  <c r="I2135" i="1" s="1"/>
  <c r="I2136" i="1" a="1"/>
  <c r="I2136" i="1" s="1"/>
  <c r="I2137" i="1" a="1"/>
  <c r="I2137" i="1" s="1"/>
  <c r="I2138" i="1" a="1"/>
  <c r="I2138" i="1" s="1"/>
  <c r="I2139" i="1" a="1"/>
  <c r="I2139" i="1" s="1"/>
  <c r="I2140" i="1" a="1"/>
  <c r="I2140" i="1" s="1"/>
  <c r="I2141" i="1" a="1"/>
  <c r="I2141" i="1" s="1"/>
  <c r="I2142" i="1" a="1"/>
  <c r="I2142" i="1" s="1"/>
  <c r="I2143" i="1" a="1"/>
  <c r="I2143" i="1" s="1"/>
  <c r="I2144" i="1" a="1"/>
  <c r="I2144" i="1" s="1"/>
  <c r="I2145" i="1" a="1"/>
  <c r="I2145" i="1" s="1"/>
  <c r="I2146" i="1" a="1"/>
  <c r="I2146" i="1" s="1"/>
  <c r="I2147" i="1" a="1"/>
  <c r="I2147" i="1" s="1"/>
  <c r="I2148" i="1" a="1"/>
  <c r="I2148" i="1" s="1"/>
  <c r="I2149" i="1" a="1"/>
  <c r="I2149" i="1" s="1"/>
  <c r="I2150" i="1" a="1"/>
  <c r="I2150" i="1" s="1"/>
  <c r="I2151" i="1" a="1"/>
  <c r="I2151" i="1" s="1"/>
  <c r="I2152" i="1" a="1"/>
  <c r="I2152" i="1" s="1"/>
  <c r="I2153" i="1" a="1"/>
  <c r="I2153" i="1" s="1"/>
  <c r="I2593" i="1" a="1"/>
  <c r="I2593" i="1" s="1"/>
  <c r="I2154" i="1" a="1"/>
  <c r="I2154" i="1" s="1"/>
  <c r="I2155" i="1" a="1"/>
  <c r="I2155" i="1" s="1"/>
  <c r="I2156" i="1" a="1"/>
  <c r="I2156" i="1" s="1"/>
  <c r="I2594" i="1" a="1"/>
  <c r="I2594" i="1" s="1"/>
  <c r="I2157" i="1" a="1"/>
  <c r="I2157" i="1" s="1"/>
  <c r="I2158" i="1" a="1"/>
  <c r="I2158" i="1" s="1"/>
  <c r="I2159" i="1" a="1"/>
  <c r="I2159" i="1" s="1"/>
  <c r="I2160" i="1" a="1"/>
  <c r="I2160" i="1" s="1"/>
  <c r="I2161" i="1" a="1"/>
  <c r="I2161" i="1" s="1"/>
  <c r="I2162" i="1" a="1"/>
  <c r="I2162" i="1" s="1"/>
  <c r="I2595" i="1" a="1"/>
  <c r="I2595" i="1" s="1"/>
  <c r="I2596" i="1" a="1"/>
  <c r="I2596" i="1" s="1"/>
  <c r="I2163" i="1" a="1"/>
  <c r="I2163" i="1" s="1"/>
  <c r="I2164" i="1" a="1"/>
  <c r="I2164" i="1" s="1"/>
  <c r="I2165" i="1" a="1"/>
  <c r="I2165" i="1" s="1"/>
  <c r="I2166" i="1" a="1"/>
  <c r="I2166" i="1" s="1"/>
  <c r="I2167" i="1" a="1"/>
  <c r="I2167" i="1" s="1"/>
  <c r="I2168" i="1" a="1"/>
  <c r="I2168" i="1" s="1"/>
  <c r="I2169" i="1" a="1"/>
  <c r="I2169" i="1" s="1"/>
  <c r="I2287" i="1" a="1"/>
  <c r="I2287" i="1" s="1"/>
  <c r="I2597" i="1" a="1"/>
  <c r="I2597" i="1" s="1"/>
  <c r="I2170" i="1" a="1"/>
  <c r="I2170" i="1" s="1"/>
  <c r="I2171" i="1" a="1"/>
  <c r="I2171" i="1" s="1"/>
  <c r="I2172" i="1" a="1"/>
  <c r="I2172" i="1" s="1"/>
  <c r="I2173" i="1" a="1"/>
  <c r="I2173" i="1" s="1"/>
  <c r="I2598" i="1" a="1"/>
  <c r="I2598" i="1" s="1"/>
  <c r="I2288" i="1" a="1"/>
  <c r="I2288" i="1" s="1"/>
  <c r="I2174" i="1" a="1"/>
  <c r="I2174" i="1" s="1"/>
  <c r="I2289" i="1" a="1"/>
  <c r="I2289" i="1" s="1"/>
  <c r="I2175" i="1" a="1"/>
  <c r="I2175" i="1" s="1"/>
  <c r="I2176" i="1" a="1"/>
  <c r="I2176" i="1" s="1"/>
  <c r="I2177" i="1" a="1"/>
  <c r="I2177" i="1" s="1"/>
  <c r="I2178" i="1" a="1"/>
  <c r="I2178" i="1" s="1"/>
  <c r="I2179" i="1" a="1"/>
  <c r="I2179" i="1" s="1"/>
  <c r="I2180" i="1" a="1"/>
  <c r="I2180" i="1" s="1"/>
  <c r="I2599" i="1" a="1"/>
  <c r="I2599" i="1" s="1"/>
  <c r="I2181" i="1" a="1"/>
  <c r="I2181" i="1" s="1"/>
  <c r="I2182" i="1" a="1"/>
  <c r="I2182" i="1" s="1"/>
  <c r="I2183" i="1" a="1"/>
  <c r="I2183" i="1" s="1"/>
  <c r="I2184" i="1" a="1"/>
  <c r="I2184" i="1" s="1"/>
  <c r="I2290" i="1" a="1"/>
  <c r="I2290" i="1" s="1"/>
  <c r="I2185" i="1" a="1"/>
  <c r="I2185" i="1" s="1"/>
  <c r="I2186" i="1" a="1"/>
  <c r="I2186" i="1" s="1"/>
  <c r="I2187" i="1" a="1"/>
  <c r="I2187" i="1" s="1"/>
  <c r="I2188" i="1" a="1"/>
  <c r="I2188" i="1" s="1"/>
  <c r="I2189" i="1" a="1"/>
  <c r="I2189" i="1" s="1"/>
  <c r="I2190" i="1" a="1"/>
  <c r="I2190" i="1" s="1"/>
  <c r="I2191" i="1" a="1"/>
  <c r="I2191" i="1" s="1"/>
  <c r="I2192" i="1" a="1"/>
  <c r="I2192" i="1" s="1"/>
  <c r="I2193" i="1" a="1"/>
  <c r="I2193" i="1" s="1"/>
  <c r="I2194" i="1" a="1"/>
  <c r="I2194" i="1" s="1"/>
  <c r="I2195" i="1" a="1"/>
  <c r="I2195" i="1" s="1"/>
  <c r="I2196" i="1" a="1"/>
  <c r="I2196" i="1" s="1"/>
  <c r="I2197" i="1" a="1"/>
  <c r="I2197" i="1" s="1"/>
  <c r="I2600" i="1" a="1"/>
  <c r="I2600" i="1" s="1"/>
  <c r="I2198" i="1" a="1"/>
  <c r="I2198" i="1" s="1"/>
  <c r="I2199" i="1" a="1"/>
  <c r="I2199" i="1" s="1"/>
  <c r="I2200" i="1" a="1"/>
  <c r="I2200" i="1" s="1"/>
  <c r="I2601" i="1" a="1"/>
  <c r="I2601" i="1" s="1"/>
  <c r="I2201" i="1" a="1"/>
  <c r="I2201" i="1" s="1"/>
  <c r="I2202" i="1" a="1"/>
  <c r="I2202" i="1" s="1"/>
  <c r="I2203" i="1" a="1"/>
  <c r="I2203" i="1" s="1"/>
  <c r="I2204" i="1" a="1"/>
  <c r="I2204" i="1" s="1"/>
  <c r="I2205" i="1" a="1"/>
  <c r="I2205" i="1" s="1"/>
  <c r="I2206" i="1" a="1"/>
  <c r="I2206" i="1" s="1"/>
  <c r="I2207" i="1" a="1"/>
  <c r="I2207" i="1" s="1"/>
  <c r="I2208" i="1" a="1"/>
  <c r="I2208" i="1" s="1"/>
  <c r="I2209" i="1" a="1"/>
  <c r="I2209" i="1" s="1"/>
  <c r="I2210" i="1" a="1"/>
  <c r="I2210" i="1" s="1"/>
  <c r="I2211" i="1" a="1"/>
  <c r="I2211" i="1" s="1"/>
  <c r="I2212" i="1" a="1"/>
  <c r="I2212" i="1" s="1"/>
  <c r="I2213" i="1" a="1"/>
  <c r="I2213" i="1" s="1"/>
  <c r="I2602" i="1" a="1"/>
  <c r="I2602" i="1" s="1"/>
  <c r="I2214" i="1" a="1"/>
  <c r="I2214" i="1" s="1"/>
  <c r="I2215" i="1" a="1"/>
  <c r="I2215" i="1" s="1"/>
  <c r="I2603" i="1" a="1"/>
  <c r="I2603" i="1" s="1"/>
  <c r="I2216" i="1" a="1"/>
  <c r="I2216" i="1" s="1"/>
  <c r="I2217" i="1" a="1"/>
  <c r="I2217" i="1" s="1"/>
  <c r="I2604" i="1" a="1"/>
  <c r="I2604" i="1" s="1"/>
  <c r="I2218" i="1" a="1"/>
  <c r="I2218" i="1" s="1"/>
  <c r="I2219" i="1" a="1"/>
  <c r="I2219" i="1" s="1"/>
  <c r="I2220" i="1" a="1"/>
  <c r="I2220" i="1" s="1"/>
  <c r="I2221" i="1" a="1"/>
  <c r="I2221" i="1" s="1"/>
  <c r="I2605" i="1" a="1"/>
  <c r="I2605" i="1" s="1"/>
  <c r="I2291" i="1" a="1"/>
  <c r="I2291" i="1" s="1"/>
  <c r="I2222" i="1" a="1"/>
  <c r="I2222" i="1" s="1"/>
  <c r="I2606" i="1" a="1"/>
  <c r="I2606" i="1" s="1"/>
  <c r="I2223" i="1" a="1"/>
  <c r="I2223" i="1" s="1"/>
  <c r="I2224" i="1" a="1"/>
  <c r="I2224" i="1" s="1"/>
  <c r="I2607" i="1" a="1"/>
  <c r="I2607" i="1" s="1"/>
  <c r="I2225" i="1" a="1"/>
  <c r="I2225" i="1" s="1"/>
  <c r="I2226" i="1" a="1"/>
  <c r="I2226" i="1" s="1"/>
  <c r="I2227" i="1" a="1"/>
  <c r="I2227" i="1" s="1"/>
  <c r="I2228" i="1" a="1"/>
  <c r="I2228" i="1" s="1"/>
  <c r="I2229" i="1" a="1"/>
  <c r="I2229" i="1" s="1"/>
  <c r="I2230" i="1" a="1"/>
  <c r="I2230" i="1" s="1"/>
  <c r="I2231" i="1" a="1"/>
  <c r="I2231" i="1" s="1"/>
  <c r="I2232" i="1" a="1"/>
  <c r="I2232" i="1" s="1"/>
  <c r="I2233" i="1" a="1"/>
  <c r="I2233" i="1" s="1"/>
  <c r="I2" i="1" a="1"/>
  <c r="I2" i="1" s="1"/>
  <c r="K3" i="1" a="1"/>
  <c r="K3" i="1" s="1"/>
  <c r="K4" i="1" a="1"/>
  <c r="K4" i="1" s="1"/>
  <c r="K5" i="1" a="1"/>
  <c r="K5" i="1" s="1"/>
  <c r="K6" i="1" a="1"/>
  <c r="K6" i="1" s="1"/>
  <c r="K7" i="1" a="1"/>
  <c r="K7" i="1" s="1"/>
  <c r="K8" i="1" a="1"/>
  <c r="K8" i="1" s="1"/>
  <c r="K9" i="1" a="1"/>
  <c r="K9" i="1" s="1"/>
  <c r="K10" i="1" a="1"/>
  <c r="K10" i="1" s="1"/>
  <c r="K11" i="1" a="1"/>
  <c r="K11" i="1" s="1"/>
  <c r="K12" i="1" a="1"/>
  <c r="K12" i="1" s="1"/>
  <c r="K13" i="1" a="1"/>
  <c r="K13" i="1" s="1"/>
  <c r="K14" i="1" a="1"/>
  <c r="K14" i="1" s="1"/>
  <c r="K15" i="1" a="1"/>
  <c r="K15" i="1" s="1"/>
  <c r="K16" i="1" a="1"/>
  <c r="K16" i="1" s="1"/>
  <c r="K2292" i="1" a="1"/>
  <c r="K2292" i="1" s="1"/>
  <c r="K17" i="1" a="1"/>
  <c r="K17" i="1" s="1"/>
  <c r="K18" i="1" a="1"/>
  <c r="K18" i="1" s="1"/>
  <c r="K19" i="1" a="1"/>
  <c r="K19" i="1" s="1"/>
  <c r="K20" i="1" a="1"/>
  <c r="K20" i="1" s="1"/>
  <c r="K21" i="1" a="1"/>
  <c r="K21" i="1" s="1"/>
  <c r="K22" i="1" a="1"/>
  <c r="K22" i="1" s="1"/>
  <c r="K23" i="1" a="1"/>
  <c r="K23" i="1" s="1"/>
  <c r="K24" i="1" a="1"/>
  <c r="K24" i="1" s="1"/>
  <c r="K25" i="1" a="1"/>
  <c r="K25" i="1" s="1"/>
  <c r="K26" i="1" a="1"/>
  <c r="K26" i="1" s="1"/>
  <c r="K27" i="1" a="1"/>
  <c r="K27" i="1" s="1"/>
  <c r="K28" i="1" a="1"/>
  <c r="K28" i="1" s="1"/>
  <c r="K29" i="1" a="1"/>
  <c r="K29" i="1" s="1"/>
  <c r="K30" i="1" a="1"/>
  <c r="K30" i="1" s="1"/>
  <c r="K31" i="1" a="1"/>
  <c r="K31" i="1" s="1"/>
  <c r="K32" i="1" a="1"/>
  <c r="K32" i="1" s="1"/>
  <c r="K33" i="1" a="1"/>
  <c r="K33" i="1" s="1"/>
  <c r="K2293" i="1" a="1"/>
  <c r="K2293" i="1" s="1"/>
  <c r="K34" i="1" a="1"/>
  <c r="K34" i="1" s="1"/>
  <c r="K35" i="1" a="1"/>
  <c r="K35" i="1" s="1"/>
  <c r="K36" i="1" a="1"/>
  <c r="K36" i="1" s="1"/>
  <c r="K37" i="1" a="1"/>
  <c r="K37" i="1" s="1"/>
  <c r="K38" i="1" a="1"/>
  <c r="K38" i="1" s="1"/>
  <c r="K39" i="1" a="1"/>
  <c r="K39" i="1" s="1"/>
  <c r="K40" i="1" a="1"/>
  <c r="K40" i="1" s="1"/>
  <c r="K41" i="1" a="1"/>
  <c r="K41" i="1" s="1"/>
  <c r="K42" i="1" a="1"/>
  <c r="K42" i="1" s="1"/>
  <c r="K43" i="1" a="1"/>
  <c r="K43" i="1" s="1"/>
  <c r="K44" i="1" a="1"/>
  <c r="K44" i="1" s="1"/>
  <c r="K45" i="1" a="1"/>
  <c r="K45" i="1" s="1"/>
  <c r="K46" i="1" a="1"/>
  <c r="K46" i="1" s="1"/>
  <c r="K47" i="1" a="1"/>
  <c r="K47" i="1" s="1"/>
  <c r="K48" i="1" a="1"/>
  <c r="K48" i="1" s="1"/>
  <c r="K2294" i="1" a="1"/>
  <c r="K2294" i="1" s="1"/>
  <c r="K49" i="1" a="1"/>
  <c r="K49" i="1" s="1"/>
  <c r="K50" i="1" a="1"/>
  <c r="K50" i="1" s="1"/>
  <c r="K51" i="1" a="1"/>
  <c r="K51" i="1" s="1"/>
  <c r="K52" i="1" a="1"/>
  <c r="K52" i="1" s="1"/>
  <c r="K2295" i="1" a="1"/>
  <c r="K2295" i="1" s="1"/>
  <c r="K2296" i="1" a="1"/>
  <c r="K2296" i="1" s="1"/>
  <c r="K53" i="1" a="1"/>
  <c r="K53" i="1" s="1"/>
  <c r="K54" i="1" a="1"/>
  <c r="K54" i="1" s="1"/>
  <c r="K55" i="1" a="1"/>
  <c r="K55" i="1" s="1"/>
  <c r="K56" i="1" a="1"/>
  <c r="K56" i="1" s="1"/>
  <c r="K57" i="1" a="1"/>
  <c r="K57" i="1" s="1"/>
  <c r="K2234" i="1" a="1"/>
  <c r="K2234" i="1" s="1"/>
  <c r="K58" i="1" a="1"/>
  <c r="K58" i="1" s="1"/>
  <c r="K59" i="1" a="1"/>
  <c r="K59" i="1" s="1"/>
  <c r="K60" i="1" a="1"/>
  <c r="K60" i="1" s="1"/>
  <c r="K61" i="1" a="1"/>
  <c r="K61" i="1" s="1"/>
  <c r="K62" i="1" a="1"/>
  <c r="K62" i="1" s="1"/>
  <c r="K2235" i="1" a="1"/>
  <c r="K2235" i="1" s="1"/>
  <c r="K63" i="1" a="1"/>
  <c r="K63" i="1" s="1"/>
  <c r="K64" i="1" a="1"/>
  <c r="K64" i="1" s="1"/>
  <c r="K65" i="1" a="1"/>
  <c r="K65" i="1" s="1"/>
  <c r="K66" i="1" a="1"/>
  <c r="K66" i="1" s="1"/>
  <c r="K67" i="1" a="1"/>
  <c r="K67" i="1" s="1"/>
  <c r="K68" i="1" a="1"/>
  <c r="K68" i="1" s="1"/>
  <c r="K69" i="1" a="1"/>
  <c r="K69" i="1" s="1"/>
  <c r="K70" i="1" a="1"/>
  <c r="K70" i="1" s="1"/>
  <c r="K2297" i="1" a="1"/>
  <c r="K2297" i="1" s="1"/>
  <c r="K71" i="1" a="1"/>
  <c r="K71" i="1" s="1"/>
  <c r="K72" i="1" a="1"/>
  <c r="K72" i="1" s="1"/>
  <c r="K73" i="1" a="1"/>
  <c r="K73" i="1" s="1"/>
  <c r="K74" i="1" a="1"/>
  <c r="K74" i="1" s="1"/>
  <c r="K75" i="1" a="1"/>
  <c r="K75" i="1" s="1"/>
  <c r="K76" i="1" a="1"/>
  <c r="K76" i="1" s="1"/>
  <c r="K77" i="1" a="1"/>
  <c r="K77" i="1" s="1"/>
  <c r="K78" i="1" a="1"/>
  <c r="K78" i="1" s="1"/>
  <c r="K79" i="1" a="1"/>
  <c r="K79" i="1" s="1"/>
  <c r="K80" i="1" a="1"/>
  <c r="K80" i="1" s="1"/>
  <c r="K2236" i="1" a="1"/>
  <c r="K2236" i="1" s="1"/>
  <c r="K81" i="1" a="1"/>
  <c r="K81" i="1" s="1"/>
  <c r="K2298" i="1" a="1"/>
  <c r="K2298" i="1" s="1"/>
  <c r="K82" i="1" a="1"/>
  <c r="K82" i="1" s="1"/>
  <c r="K83" i="1" a="1"/>
  <c r="K83" i="1" s="1"/>
  <c r="K84" i="1" a="1"/>
  <c r="K84" i="1" s="1"/>
  <c r="K85" i="1" a="1"/>
  <c r="K85" i="1" s="1"/>
  <c r="K86" i="1" a="1"/>
  <c r="K86" i="1" s="1"/>
  <c r="K87" i="1" a="1"/>
  <c r="K87" i="1" s="1"/>
  <c r="K88" i="1" a="1"/>
  <c r="K88" i="1" s="1"/>
  <c r="K89" i="1" a="1"/>
  <c r="K89" i="1" s="1"/>
  <c r="K90" i="1" a="1"/>
  <c r="K90" i="1" s="1"/>
  <c r="K91" i="1" a="1"/>
  <c r="K91" i="1" s="1"/>
  <c r="K92" i="1" a="1"/>
  <c r="K92" i="1" s="1"/>
  <c r="K93" i="1" a="1"/>
  <c r="K93" i="1" s="1"/>
  <c r="K94" i="1" a="1"/>
  <c r="K94" i="1" s="1"/>
  <c r="K95" i="1" a="1"/>
  <c r="K95" i="1" s="1"/>
  <c r="K96" i="1" a="1"/>
  <c r="K96" i="1" s="1"/>
  <c r="K97" i="1" a="1"/>
  <c r="K97" i="1" s="1"/>
  <c r="K98" i="1" a="1"/>
  <c r="K98" i="1" s="1"/>
  <c r="K99" i="1" a="1"/>
  <c r="K99" i="1" s="1"/>
  <c r="K100" i="1" a="1"/>
  <c r="K100" i="1" s="1"/>
  <c r="K101" i="1" a="1"/>
  <c r="K101" i="1" s="1"/>
  <c r="K102" i="1" a="1"/>
  <c r="K102" i="1" s="1"/>
  <c r="K2299" i="1" a="1"/>
  <c r="K2299" i="1" s="1"/>
  <c r="K2300" i="1" a="1"/>
  <c r="K2300" i="1" s="1"/>
  <c r="K103" i="1" a="1"/>
  <c r="K103" i="1" s="1"/>
  <c r="K104" i="1" a="1"/>
  <c r="K104" i="1" s="1"/>
  <c r="K105" i="1" a="1"/>
  <c r="K105" i="1" s="1"/>
  <c r="K2301" i="1" a="1"/>
  <c r="K2301" i="1" s="1"/>
  <c r="K106" i="1" a="1"/>
  <c r="K106" i="1" s="1"/>
  <c r="K107" i="1" a="1"/>
  <c r="K107" i="1" s="1"/>
  <c r="K108" i="1" a="1"/>
  <c r="K108" i="1" s="1"/>
  <c r="K109" i="1" a="1"/>
  <c r="K109" i="1" s="1"/>
  <c r="K110" i="1" a="1"/>
  <c r="K110" i="1" s="1"/>
  <c r="K2302" i="1" a="1"/>
  <c r="K2302" i="1" s="1"/>
  <c r="K111" i="1" a="1"/>
  <c r="K111" i="1" s="1"/>
  <c r="K112" i="1" a="1"/>
  <c r="K112" i="1" s="1"/>
  <c r="K113" i="1" a="1"/>
  <c r="K113" i="1" s="1"/>
  <c r="K114" i="1" a="1"/>
  <c r="K114" i="1" s="1"/>
  <c r="K115" i="1" a="1"/>
  <c r="K115" i="1" s="1"/>
  <c r="K116" i="1" a="1"/>
  <c r="K116" i="1" s="1"/>
  <c r="K117" i="1" a="1"/>
  <c r="K117" i="1" s="1"/>
  <c r="K118" i="1" a="1"/>
  <c r="K118" i="1" s="1"/>
  <c r="K119" i="1" a="1"/>
  <c r="K119" i="1" s="1"/>
  <c r="K120" i="1" a="1"/>
  <c r="K120" i="1" s="1"/>
  <c r="K121" i="1" a="1"/>
  <c r="K121" i="1" s="1"/>
  <c r="K122" i="1" a="1"/>
  <c r="K122" i="1" s="1"/>
  <c r="K2303" i="1" a="1"/>
  <c r="K2303" i="1" s="1"/>
  <c r="K123" i="1" a="1"/>
  <c r="K123" i="1" s="1"/>
  <c r="K124" i="1" a="1"/>
  <c r="K124" i="1" s="1"/>
  <c r="K125" i="1" a="1"/>
  <c r="K125" i="1" s="1"/>
  <c r="K126" i="1" a="1"/>
  <c r="K126" i="1" s="1"/>
  <c r="K127" i="1" a="1"/>
  <c r="K127" i="1" s="1"/>
  <c r="K128" i="1" a="1"/>
  <c r="K128" i="1" s="1"/>
  <c r="K129" i="1" a="1"/>
  <c r="K129" i="1" s="1"/>
  <c r="K130" i="1" a="1"/>
  <c r="K130" i="1" s="1"/>
  <c r="K131" i="1" a="1"/>
  <c r="K131" i="1" s="1"/>
  <c r="K132" i="1" a="1"/>
  <c r="K132" i="1" s="1"/>
  <c r="K133" i="1" a="1"/>
  <c r="K133" i="1" s="1"/>
  <c r="K134" i="1" a="1"/>
  <c r="K134" i="1" s="1"/>
  <c r="K2304" i="1" a="1"/>
  <c r="K2304" i="1" s="1"/>
  <c r="K135" i="1" a="1"/>
  <c r="K135" i="1" s="1"/>
  <c r="K136" i="1" a="1"/>
  <c r="K136" i="1" s="1"/>
  <c r="K137" i="1" a="1"/>
  <c r="K137" i="1" s="1"/>
  <c r="K138" i="1" a="1"/>
  <c r="K138" i="1" s="1"/>
  <c r="K2305" i="1" a="1"/>
  <c r="K2305" i="1" s="1"/>
  <c r="K139" i="1" a="1"/>
  <c r="K139" i="1" s="1"/>
  <c r="K140" i="1" a="1"/>
  <c r="K140" i="1" s="1"/>
  <c r="K141" i="1" a="1"/>
  <c r="K141" i="1" s="1"/>
  <c r="K142" i="1" a="1"/>
  <c r="K142" i="1" s="1"/>
  <c r="K143" i="1" a="1"/>
  <c r="K143" i="1" s="1"/>
  <c r="K144" i="1" a="1"/>
  <c r="K144" i="1" s="1"/>
  <c r="K145" i="1" a="1"/>
  <c r="K145" i="1" s="1"/>
  <c r="K146" i="1" a="1"/>
  <c r="K146" i="1" s="1"/>
  <c r="K147" i="1" a="1"/>
  <c r="K147" i="1" s="1"/>
  <c r="K148" i="1" a="1"/>
  <c r="K148" i="1" s="1"/>
  <c r="K149" i="1" a="1"/>
  <c r="K149" i="1" s="1"/>
  <c r="K150" i="1" a="1"/>
  <c r="K150" i="1" s="1"/>
  <c r="K151" i="1" a="1"/>
  <c r="K151" i="1" s="1"/>
  <c r="K152" i="1" a="1"/>
  <c r="K152" i="1" s="1"/>
  <c r="K153" i="1" a="1"/>
  <c r="K153" i="1" s="1"/>
  <c r="K154" i="1" a="1"/>
  <c r="K154" i="1" s="1"/>
  <c r="K155" i="1" a="1"/>
  <c r="K155" i="1" s="1"/>
  <c r="K156" i="1" a="1"/>
  <c r="K156" i="1" s="1"/>
  <c r="K157" i="1" a="1"/>
  <c r="K157" i="1" s="1"/>
  <c r="K158" i="1" a="1"/>
  <c r="K158" i="1" s="1"/>
  <c r="K159" i="1" a="1"/>
  <c r="K159" i="1" s="1"/>
  <c r="K160" i="1" a="1"/>
  <c r="K160" i="1" s="1"/>
  <c r="K161" i="1" a="1"/>
  <c r="K161" i="1" s="1"/>
  <c r="K162" i="1" a="1"/>
  <c r="K162" i="1" s="1"/>
  <c r="K163" i="1" a="1"/>
  <c r="K163" i="1" s="1"/>
  <c r="K164" i="1" a="1"/>
  <c r="K164" i="1" s="1"/>
  <c r="K165" i="1" a="1"/>
  <c r="K165" i="1" s="1"/>
  <c r="K166" i="1" a="1"/>
  <c r="K166" i="1" s="1"/>
  <c r="K167" i="1" a="1"/>
  <c r="K167" i="1" s="1"/>
  <c r="K168" i="1" a="1"/>
  <c r="K168" i="1" s="1"/>
  <c r="K169" i="1" a="1"/>
  <c r="K169" i="1" s="1"/>
  <c r="K170" i="1" a="1"/>
  <c r="K170" i="1" s="1"/>
  <c r="K171" i="1" a="1"/>
  <c r="K171" i="1" s="1"/>
  <c r="K172" i="1" a="1"/>
  <c r="K172" i="1" s="1"/>
  <c r="K173" i="1" a="1"/>
  <c r="K173" i="1" s="1"/>
  <c r="K174" i="1" a="1"/>
  <c r="K174" i="1" s="1"/>
  <c r="K175" i="1" a="1"/>
  <c r="K175" i="1" s="1"/>
  <c r="K176" i="1" a="1"/>
  <c r="K176" i="1" s="1"/>
  <c r="K177" i="1" a="1"/>
  <c r="K177" i="1" s="1"/>
  <c r="K178" i="1" a="1"/>
  <c r="K178" i="1" s="1"/>
  <c r="K179" i="1" a="1"/>
  <c r="K179" i="1" s="1"/>
  <c r="K180" i="1" a="1"/>
  <c r="K180" i="1" s="1"/>
  <c r="K2306" i="1" a="1"/>
  <c r="K2306" i="1" s="1"/>
  <c r="K181" i="1" a="1"/>
  <c r="K181" i="1" s="1"/>
  <c r="K182" i="1" a="1"/>
  <c r="K182" i="1" s="1"/>
  <c r="K183" i="1" a="1"/>
  <c r="K183" i="1" s="1"/>
  <c r="K184" i="1" a="1"/>
  <c r="K184" i="1" s="1"/>
  <c r="K185" i="1" a="1"/>
  <c r="K185" i="1" s="1"/>
  <c r="K186" i="1" a="1"/>
  <c r="K186" i="1" s="1"/>
  <c r="K187" i="1" a="1"/>
  <c r="K187" i="1" s="1"/>
  <c r="K188" i="1" a="1"/>
  <c r="K188" i="1" s="1"/>
  <c r="K2237" i="1" a="1"/>
  <c r="K2237" i="1" s="1"/>
  <c r="K189" i="1" a="1"/>
  <c r="K189" i="1" s="1"/>
  <c r="K190" i="1" a="1"/>
  <c r="K190" i="1" s="1"/>
  <c r="K191" i="1" a="1"/>
  <c r="K191" i="1" s="1"/>
  <c r="K192" i="1" a="1"/>
  <c r="K192" i="1" s="1"/>
  <c r="K193" i="1" a="1"/>
  <c r="K193" i="1" s="1"/>
  <c r="K194" i="1" a="1"/>
  <c r="K194" i="1" s="1"/>
  <c r="K195" i="1" a="1"/>
  <c r="K195" i="1" s="1"/>
  <c r="K2307" i="1" a="1"/>
  <c r="K2307" i="1" s="1"/>
  <c r="K196" i="1" a="1"/>
  <c r="K196" i="1" s="1"/>
  <c r="K197" i="1" a="1"/>
  <c r="K197" i="1" s="1"/>
  <c r="K198" i="1" a="1"/>
  <c r="K198" i="1" s="1"/>
  <c r="K2308" i="1" a="1"/>
  <c r="K2308" i="1" s="1"/>
  <c r="K199" i="1" a="1"/>
  <c r="K199" i="1" s="1"/>
  <c r="K2309" i="1" a="1"/>
  <c r="K2309" i="1" s="1"/>
  <c r="K200" i="1" a="1"/>
  <c r="K200" i="1" s="1"/>
  <c r="K201" i="1" a="1"/>
  <c r="K201" i="1" s="1"/>
  <c r="K202" i="1" a="1"/>
  <c r="K202" i="1" s="1"/>
  <c r="K2238" i="1" a="1"/>
  <c r="K2238" i="1" s="1"/>
  <c r="K203" i="1" a="1"/>
  <c r="K203" i="1" s="1"/>
  <c r="K2310" i="1" a="1"/>
  <c r="K2310" i="1" s="1"/>
  <c r="K204" i="1" a="1"/>
  <c r="K204" i="1" s="1"/>
  <c r="K2311" i="1" a="1"/>
  <c r="K2311" i="1" s="1"/>
  <c r="K205" i="1" a="1"/>
  <c r="K205" i="1" s="1"/>
  <c r="K206" i="1" a="1"/>
  <c r="K206" i="1" s="1"/>
  <c r="K207" i="1" a="1"/>
  <c r="K207" i="1" s="1"/>
  <c r="K208" i="1" a="1"/>
  <c r="K208" i="1" s="1"/>
  <c r="K209" i="1" a="1"/>
  <c r="K209" i="1" s="1"/>
  <c r="K210" i="1" a="1"/>
  <c r="K210" i="1" s="1"/>
  <c r="K2312" i="1" a="1"/>
  <c r="K2312" i="1" s="1"/>
  <c r="K211" i="1" a="1"/>
  <c r="K211" i="1" s="1"/>
  <c r="K212" i="1" a="1"/>
  <c r="K212" i="1" s="1"/>
  <c r="K213" i="1" a="1"/>
  <c r="K213" i="1" s="1"/>
  <c r="K214" i="1" a="1"/>
  <c r="K214" i="1" s="1"/>
  <c r="K215" i="1" a="1"/>
  <c r="K215" i="1" s="1"/>
  <c r="K2313" i="1" a="1"/>
  <c r="K2313" i="1" s="1"/>
  <c r="K2314" i="1" a="1"/>
  <c r="K2314" i="1" s="1"/>
  <c r="K216" i="1" a="1"/>
  <c r="K216" i="1" s="1"/>
  <c r="K217" i="1" a="1"/>
  <c r="K217" i="1" s="1"/>
  <c r="K2315" i="1" a="1"/>
  <c r="K2315" i="1" s="1"/>
  <c r="K2239" i="1" a="1"/>
  <c r="K2239" i="1" s="1"/>
  <c r="K218" i="1" a="1"/>
  <c r="K218" i="1" s="1"/>
  <c r="K219" i="1" a="1"/>
  <c r="K219" i="1" s="1"/>
  <c r="K220" i="1" a="1"/>
  <c r="K220" i="1" s="1"/>
  <c r="K221" i="1" a="1"/>
  <c r="K221" i="1" s="1"/>
  <c r="K222" i="1" a="1"/>
  <c r="K222" i="1" s="1"/>
  <c r="K2316" i="1" a="1"/>
  <c r="K2316" i="1" s="1"/>
  <c r="K223" i="1" a="1"/>
  <c r="K223" i="1" s="1"/>
  <c r="K224" i="1" a="1"/>
  <c r="K224" i="1" s="1"/>
  <c r="K225" i="1" a="1"/>
  <c r="K225" i="1" s="1"/>
  <c r="K226" i="1" a="1"/>
  <c r="K226" i="1" s="1"/>
  <c r="K227" i="1" a="1"/>
  <c r="K227" i="1" s="1"/>
  <c r="K228" i="1" a="1"/>
  <c r="K228" i="1" s="1"/>
  <c r="K229" i="1" a="1"/>
  <c r="K229" i="1" s="1"/>
  <c r="K230" i="1" a="1"/>
  <c r="K230" i="1" s="1"/>
  <c r="K231" i="1" a="1"/>
  <c r="K231" i="1" s="1"/>
  <c r="K232" i="1" a="1"/>
  <c r="K232" i="1" s="1"/>
  <c r="K233" i="1" a="1"/>
  <c r="K233" i="1" s="1"/>
  <c r="K2317" i="1" a="1"/>
  <c r="K2317" i="1" s="1"/>
  <c r="K2318" i="1" a="1"/>
  <c r="K2318" i="1" s="1"/>
  <c r="K234" i="1" a="1"/>
  <c r="K234" i="1" s="1"/>
  <c r="K2319" i="1" a="1"/>
  <c r="K2319" i="1" s="1"/>
  <c r="K235" i="1" a="1"/>
  <c r="K235" i="1" s="1"/>
  <c r="K236" i="1" a="1"/>
  <c r="K236" i="1" s="1"/>
  <c r="K237" i="1" a="1"/>
  <c r="K237" i="1" s="1"/>
  <c r="K2320" i="1" a="1"/>
  <c r="K2320" i="1" s="1"/>
  <c r="K238" i="1" a="1"/>
  <c r="K238" i="1" s="1"/>
  <c r="K239" i="1" a="1"/>
  <c r="K239" i="1" s="1"/>
  <c r="K2321" i="1" a="1"/>
  <c r="K2321" i="1" s="1"/>
  <c r="K240" i="1" a="1"/>
  <c r="K240" i="1" s="1"/>
  <c r="K241" i="1" a="1"/>
  <c r="K241" i="1" s="1"/>
  <c r="K242" i="1" a="1"/>
  <c r="K242" i="1" s="1"/>
  <c r="K2322" i="1" a="1"/>
  <c r="K2322" i="1" s="1"/>
  <c r="K243" i="1" a="1"/>
  <c r="K243" i="1" s="1"/>
  <c r="K244" i="1" a="1"/>
  <c r="K244" i="1" s="1"/>
  <c r="K245" i="1" a="1"/>
  <c r="K245" i="1" s="1"/>
  <c r="K2323" i="1" a="1"/>
  <c r="K2323" i="1" s="1"/>
  <c r="K246" i="1" a="1"/>
  <c r="K246" i="1" s="1"/>
  <c r="K247" i="1" a="1"/>
  <c r="K247" i="1" s="1"/>
  <c r="K248" i="1" a="1"/>
  <c r="K248" i="1" s="1"/>
  <c r="K249" i="1" a="1"/>
  <c r="K249" i="1" s="1"/>
  <c r="K250" i="1" a="1"/>
  <c r="K250" i="1" s="1"/>
  <c r="K251" i="1" a="1"/>
  <c r="K251" i="1" s="1"/>
  <c r="K252" i="1" a="1"/>
  <c r="K252" i="1" s="1"/>
  <c r="K253" i="1" a="1"/>
  <c r="K253" i="1" s="1"/>
  <c r="K2324" i="1" a="1"/>
  <c r="K2324" i="1" s="1"/>
  <c r="K254" i="1" a="1"/>
  <c r="K254" i="1" s="1"/>
  <c r="K2240" i="1" a="1"/>
  <c r="K2240" i="1" s="1"/>
  <c r="K255" i="1" a="1"/>
  <c r="K255" i="1" s="1"/>
  <c r="K256" i="1" a="1"/>
  <c r="K256" i="1" s="1"/>
  <c r="K257" i="1" a="1"/>
  <c r="K257" i="1" s="1"/>
  <c r="K258" i="1" a="1"/>
  <c r="K258" i="1" s="1"/>
  <c r="K259" i="1" a="1"/>
  <c r="K259" i="1" s="1"/>
  <c r="K260" i="1" a="1"/>
  <c r="K260" i="1" s="1"/>
  <c r="K261" i="1" a="1"/>
  <c r="K261" i="1" s="1"/>
  <c r="K262" i="1" a="1"/>
  <c r="K262" i="1" s="1"/>
  <c r="K263" i="1" a="1"/>
  <c r="K263" i="1" s="1"/>
  <c r="K264" i="1" a="1"/>
  <c r="K264" i="1" s="1"/>
  <c r="K265" i="1" a="1"/>
  <c r="K265" i="1" s="1"/>
  <c r="K266" i="1" a="1"/>
  <c r="K266" i="1" s="1"/>
  <c r="K2325" i="1" a="1"/>
  <c r="K2325" i="1" s="1"/>
  <c r="K267" i="1" a="1"/>
  <c r="K267" i="1" s="1"/>
  <c r="K2326" i="1" a="1"/>
  <c r="K2326" i="1" s="1"/>
  <c r="K2327" i="1" a="1"/>
  <c r="K2327" i="1" s="1"/>
  <c r="K268" i="1" a="1"/>
  <c r="K268" i="1" s="1"/>
  <c r="K269" i="1" a="1"/>
  <c r="K269" i="1" s="1"/>
  <c r="K270" i="1" a="1"/>
  <c r="K270" i="1" s="1"/>
  <c r="K271" i="1" a="1"/>
  <c r="K271" i="1" s="1"/>
  <c r="K272" i="1" a="1"/>
  <c r="K272" i="1" s="1"/>
  <c r="K273" i="1" a="1"/>
  <c r="K273" i="1" s="1"/>
  <c r="K274" i="1" a="1"/>
  <c r="K274" i="1" s="1"/>
  <c r="K2328" i="1" a="1"/>
  <c r="K2328" i="1" s="1"/>
  <c r="K275" i="1" a="1"/>
  <c r="K275" i="1" s="1"/>
  <c r="K276" i="1" a="1"/>
  <c r="K276" i="1" s="1"/>
  <c r="K277" i="1" a="1"/>
  <c r="K277" i="1" s="1"/>
  <c r="K278" i="1" a="1"/>
  <c r="K278" i="1" s="1"/>
  <c r="K279" i="1" a="1"/>
  <c r="K279" i="1" s="1"/>
  <c r="K2329" i="1" a="1"/>
  <c r="K2329" i="1" s="1"/>
  <c r="K280" i="1" a="1"/>
  <c r="K280" i="1" s="1"/>
  <c r="K281" i="1" a="1"/>
  <c r="K281" i="1" s="1"/>
  <c r="K282" i="1" a="1"/>
  <c r="K282" i="1" s="1"/>
  <c r="K283" i="1" a="1"/>
  <c r="K283" i="1" s="1"/>
  <c r="K284" i="1" a="1"/>
  <c r="K284" i="1" s="1"/>
  <c r="K285" i="1" a="1"/>
  <c r="K285" i="1" s="1"/>
  <c r="K286" i="1" a="1"/>
  <c r="K286" i="1" s="1"/>
  <c r="K2241" i="1" a="1"/>
  <c r="K2241" i="1" s="1"/>
  <c r="K287" i="1" a="1"/>
  <c r="K287" i="1" s="1"/>
  <c r="K288" i="1" a="1"/>
  <c r="K288" i="1" s="1"/>
  <c r="K289" i="1" a="1"/>
  <c r="K289" i="1" s="1"/>
  <c r="K290" i="1" a="1"/>
  <c r="K290" i="1" s="1"/>
  <c r="K291" i="1" a="1"/>
  <c r="K291" i="1" s="1"/>
  <c r="K292" i="1" a="1"/>
  <c r="K292" i="1" s="1"/>
  <c r="K293" i="1" a="1"/>
  <c r="K293" i="1" s="1"/>
  <c r="K2330" i="1" a="1"/>
  <c r="K2330" i="1" s="1"/>
  <c r="K294" i="1" a="1"/>
  <c r="K294" i="1" s="1"/>
  <c r="K295" i="1" a="1"/>
  <c r="K295" i="1" s="1"/>
  <c r="K2331" i="1" a="1"/>
  <c r="K2331" i="1" s="1"/>
  <c r="K2332" i="1" a="1"/>
  <c r="K2332" i="1" s="1"/>
  <c r="K296" i="1" a="1"/>
  <c r="K296" i="1" s="1"/>
  <c r="K2333" i="1" a="1"/>
  <c r="K2333" i="1" s="1"/>
  <c r="K297" i="1" a="1"/>
  <c r="K297" i="1" s="1"/>
  <c r="K298" i="1" a="1"/>
  <c r="K298" i="1" s="1"/>
  <c r="K299" i="1" a="1"/>
  <c r="K299" i="1" s="1"/>
  <c r="K300" i="1" a="1"/>
  <c r="K300" i="1" s="1"/>
  <c r="K2334" i="1" a="1"/>
  <c r="K2334" i="1" s="1"/>
  <c r="K301" i="1" a="1"/>
  <c r="K301" i="1" s="1"/>
  <c r="K302" i="1" a="1"/>
  <c r="K302" i="1" s="1"/>
  <c r="K303" i="1" a="1"/>
  <c r="K303" i="1" s="1"/>
  <c r="K304" i="1" a="1"/>
  <c r="K304" i="1" s="1"/>
  <c r="K305" i="1" a="1"/>
  <c r="K305" i="1" s="1"/>
  <c r="K306" i="1" a="1"/>
  <c r="K306" i="1" s="1"/>
  <c r="K307" i="1" a="1"/>
  <c r="K307" i="1" s="1"/>
  <c r="K2335" i="1" a="1"/>
  <c r="K2335" i="1" s="1"/>
  <c r="K308" i="1" a="1"/>
  <c r="K308" i="1" s="1"/>
  <c r="K309" i="1" a="1"/>
  <c r="K309" i="1" s="1"/>
  <c r="K310" i="1" a="1"/>
  <c r="K310" i="1" s="1"/>
  <c r="K311" i="1" a="1"/>
  <c r="K311" i="1" s="1"/>
  <c r="K312" i="1" a="1"/>
  <c r="K312" i="1" s="1"/>
  <c r="K313" i="1" a="1"/>
  <c r="K313" i="1" s="1"/>
  <c r="K314" i="1" a="1"/>
  <c r="K314" i="1" s="1"/>
  <c r="K315" i="1" a="1"/>
  <c r="K315" i="1" s="1"/>
  <c r="K2336" i="1" a="1"/>
  <c r="K2336" i="1" s="1"/>
  <c r="K316" i="1" a="1"/>
  <c r="K316" i="1" s="1"/>
  <c r="K317" i="1" a="1"/>
  <c r="K317" i="1" s="1"/>
  <c r="K318" i="1" a="1"/>
  <c r="K318" i="1" s="1"/>
  <c r="K319" i="1" a="1"/>
  <c r="K319" i="1" s="1"/>
  <c r="K320" i="1" a="1"/>
  <c r="K320" i="1" s="1"/>
  <c r="K321" i="1" a="1"/>
  <c r="K321" i="1" s="1"/>
  <c r="K322" i="1" a="1"/>
  <c r="K322" i="1" s="1"/>
  <c r="K323" i="1" a="1"/>
  <c r="K323" i="1" s="1"/>
  <c r="K324" i="1" a="1"/>
  <c r="K324" i="1" s="1"/>
  <c r="K325" i="1" a="1"/>
  <c r="K325" i="1" s="1"/>
  <c r="K2337" i="1" a="1"/>
  <c r="K2337" i="1" s="1"/>
  <c r="K326" i="1" a="1"/>
  <c r="K326" i="1" s="1"/>
  <c r="K327" i="1" a="1"/>
  <c r="K327" i="1" s="1"/>
  <c r="K328" i="1" a="1"/>
  <c r="K328" i="1" s="1"/>
  <c r="K329" i="1" a="1"/>
  <c r="K329" i="1" s="1"/>
  <c r="K330" i="1" a="1"/>
  <c r="K330" i="1" s="1"/>
  <c r="K2242" i="1" a="1"/>
  <c r="K2242" i="1" s="1"/>
  <c r="K331" i="1" a="1"/>
  <c r="K331" i="1" s="1"/>
  <c r="K2338" i="1" a="1"/>
  <c r="K2338" i="1" s="1"/>
  <c r="K332" i="1" a="1"/>
  <c r="K332" i="1" s="1"/>
  <c r="K333" i="1" a="1"/>
  <c r="K333" i="1" s="1"/>
  <c r="K2339" i="1" a="1"/>
  <c r="K2339" i="1" s="1"/>
  <c r="K334" i="1" a="1"/>
  <c r="K334" i="1" s="1"/>
  <c r="K335" i="1" a="1"/>
  <c r="K335" i="1" s="1"/>
  <c r="K336" i="1" a="1"/>
  <c r="K336" i="1" s="1"/>
  <c r="K337" i="1" a="1"/>
  <c r="K337" i="1" s="1"/>
  <c r="K338" i="1" a="1"/>
  <c r="K338" i="1" s="1"/>
  <c r="K339" i="1" a="1"/>
  <c r="K339" i="1" s="1"/>
  <c r="K340" i="1" a="1"/>
  <c r="K340" i="1" s="1"/>
  <c r="K341" i="1" a="1"/>
  <c r="K341" i="1" s="1"/>
  <c r="K342" i="1" a="1"/>
  <c r="K342" i="1" s="1"/>
  <c r="K343" i="1" a="1"/>
  <c r="K343" i="1" s="1"/>
  <c r="K344" i="1" a="1"/>
  <c r="K344" i="1" s="1"/>
  <c r="K345" i="1" a="1"/>
  <c r="K345" i="1" s="1"/>
  <c r="K2243" i="1" a="1"/>
  <c r="K2243" i="1" s="1"/>
  <c r="K2340" i="1" a="1"/>
  <c r="K2340" i="1" s="1"/>
  <c r="K346" i="1" a="1"/>
  <c r="K346" i="1" s="1"/>
  <c r="K2341" i="1" a="1"/>
  <c r="K2341" i="1" s="1"/>
  <c r="K347" i="1" a="1"/>
  <c r="K347" i="1" s="1"/>
  <c r="K348" i="1" a="1"/>
  <c r="K348" i="1" s="1"/>
  <c r="K349" i="1" a="1"/>
  <c r="K349" i="1" s="1"/>
  <c r="K350" i="1" a="1"/>
  <c r="K350" i="1" s="1"/>
  <c r="K351" i="1" a="1"/>
  <c r="K351" i="1" s="1"/>
  <c r="K352" i="1" a="1"/>
  <c r="K352" i="1" s="1"/>
  <c r="K2342" i="1" a="1"/>
  <c r="K2342" i="1" s="1"/>
  <c r="K2343" i="1" a="1"/>
  <c r="K2343" i="1" s="1"/>
  <c r="K353" i="1" a="1"/>
  <c r="K353" i="1" s="1"/>
  <c r="K354" i="1" a="1"/>
  <c r="K354" i="1" s="1"/>
  <c r="K355" i="1" a="1"/>
  <c r="K355" i="1" s="1"/>
  <c r="K356" i="1" a="1"/>
  <c r="K356" i="1" s="1"/>
  <c r="K357" i="1" a="1"/>
  <c r="K357" i="1" s="1"/>
  <c r="K358" i="1" a="1"/>
  <c r="K358" i="1" s="1"/>
  <c r="K2244" i="1" a="1"/>
  <c r="K2244" i="1" s="1"/>
  <c r="K359" i="1" a="1"/>
  <c r="K359" i="1" s="1"/>
  <c r="K360" i="1" a="1"/>
  <c r="K360" i="1" s="1"/>
  <c r="K361" i="1" a="1"/>
  <c r="K361" i="1" s="1"/>
  <c r="K362" i="1" a="1"/>
  <c r="K362" i="1" s="1"/>
  <c r="K363" i="1" a="1"/>
  <c r="K363" i="1" s="1"/>
  <c r="K364" i="1" a="1"/>
  <c r="K364" i="1" s="1"/>
  <c r="K365" i="1" a="1"/>
  <c r="K365" i="1" s="1"/>
  <c r="K2245" i="1" a="1"/>
  <c r="K2245" i="1" s="1"/>
  <c r="K366" i="1" a="1"/>
  <c r="K366" i="1" s="1"/>
  <c r="K367" i="1" a="1"/>
  <c r="K367" i="1" s="1"/>
  <c r="K368" i="1" a="1"/>
  <c r="K368" i="1" s="1"/>
  <c r="K2344" i="1" a="1"/>
  <c r="K2344" i="1" s="1"/>
  <c r="K2345" i="1" a="1"/>
  <c r="K2345" i="1" s="1"/>
  <c r="K369" i="1" a="1"/>
  <c r="K369" i="1" s="1"/>
  <c r="K370" i="1" a="1"/>
  <c r="K370" i="1" s="1"/>
  <c r="K371" i="1" a="1"/>
  <c r="K371" i="1" s="1"/>
  <c r="K2346" i="1" a="1"/>
  <c r="K2346" i="1" s="1"/>
  <c r="K372" i="1" a="1"/>
  <c r="K372" i="1" s="1"/>
  <c r="K373" i="1" a="1"/>
  <c r="K373" i="1" s="1"/>
  <c r="K374" i="1" a="1"/>
  <c r="K374" i="1" s="1"/>
  <c r="K375" i="1" a="1"/>
  <c r="K375" i="1" s="1"/>
  <c r="K376" i="1" a="1"/>
  <c r="K376" i="1" s="1"/>
  <c r="K377" i="1" a="1"/>
  <c r="K377" i="1" s="1"/>
  <c r="K378" i="1" a="1"/>
  <c r="K378" i="1" s="1"/>
  <c r="K379" i="1" a="1"/>
  <c r="K379" i="1" s="1"/>
  <c r="K380" i="1" a="1"/>
  <c r="K380" i="1" s="1"/>
  <c r="K381" i="1" a="1"/>
  <c r="K381" i="1" s="1"/>
  <c r="K382" i="1" a="1"/>
  <c r="K382" i="1" s="1"/>
  <c r="K383" i="1" a="1"/>
  <c r="K383" i="1" s="1"/>
  <c r="K384" i="1" a="1"/>
  <c r="K384" i="1" s="1"/>
  <c r="K385" i="1" a="1"/>
  <c r="K385" i="1" s="1"/>
  <c r="K386" i="1" a="1"/>
  <c r="K386" i="1" s="1"/>
  <c r="K387" i="1" a="1"/>
  <c r="K387" i="1" s="1"/>
  <c r="K388" i="1" a="1"/>
  <c r="K388" i="1" s="1"/>
  <c r="K389" i="1" a="1"/>
  <c r="K389" i="1" s="1"/>
  <c r="K390" i="1" a="1"/>
  <c r="K390" i="1" s="1"/>
  <c r="K391" i="1" a="1"/>
  <c r="K391" i="1" s="1"/>
  <c r="K392" i="1" a="1"/>
  <c r="K392" i="1" s="1"/>
  <c r="K393" i="1" a="1"/>
  <c r="K393" i="1" s="1"/>
  <c r="K2347" i="1" a="1"/>
  <c r="K2347" i="1" s="1"/>
  <c r="K394" i="1" a="1"/>
  <c r="K394" i="1" s="1"/>
  <c r="K2348" i="1" a="1"/>
  <c r="K2348" i="1" s="1"/>
  <c r="K395" i="1" a="1"/>
  <c r="K395" i="1" s="1"/>
  <c r="K396" i="1" a="1"/>
  <c r="K396" i="1" s="1"/>
  <c r="K397" i="1" a="1"/>
  <c r="K397" i="1" s="1"/>
  <c r="K398" i="1" a="1"/>
  <c r="K398" i="1" s="1"/>
  <c r="K399" i="1" a="1"/>
  <c r="K399" i="1" s="1"/>
  <c r="K400" i="1" a="1"/>
  <c r="K400" i="1" s="1"/>
  <c r="K401" i="1" a="1"/>
  <c r="K401" i="1" s="1"/>
  <c r="K402" i="1" a="1"/>
  <c r="K402" i="1" s="1"/>
  <c r="K403" i="1" a="1"/>
  <c r="K403" i="1" s="1"/>
  <c r="K404" i="1" a="1"/>
  <c r="K404" i="1" s="1"/>
  <c r="K405" i="1" a="1"/>
  <c r="K405" i="1" s="1"/>
  <c r="K406" i="1" a="1"/>
  <c r="K406" i="1" s="1"/>
  <c r="K407" i="1" a="1"/>
  <c r="K407" i="1" s="1"/>
  <c r="K408" i="1" a="1"/>
  <c r="K408" i="1" s="1"/>
  <c r="K409" i="1" a="1"/>
  <c r="K409" i="1" s="1"/>
  <c r="K410" i="1" a="1"/>
  <c r="K410" i="1" s="1"/>
  <c r="K411" i="1" a="1"/>
  <c r="K411" i="1" s="1"/>
  <c r="K412" i="1" a="1"/>
  <c r="K412" i="1" s="1"/>
  <c r="K413" i="1" a="1"/>
  <c r="K413" i="1" s="1"/>
  <c r="K2349" i="1" a="1"/>
  <c r="K2349" i="1" s="1"/>
  <c r="K414" i="1" a="1"/>
  <c r="K414" i="1" s="1"/>
  <c r="K415" i="1" a="1"/>
  <c r="K415" i="1" s="1"/>
  <c r="K416" i="1" a="1"/>
  <c r="K416" i="1" s="1"/>
  <c r="K417" i="1" a="1"/>
  <c r="K417" i="1" s="1"/>
  <c r="K418" i="1" a="1"/>
  <c r="K418" i="1" s="1"/>
  <c r="K419" i="1" a="1"/>
  <c r="K419" i="1" s="1"/>
  <c r="K420" i="1" a="1"/>
  <c r="K420" i="1" s="1"/>
  <c r="K421" i="1" a="1"/>
  <c r="K421" i="1" s="1"/>
  <c r="K422" i="1" a="1"/>
  <c r="K422" i="1" s="1"/>
  <c r="K423" i="1" a="1"/>
  <c r="K423" i="1" s="1"/>
  <c r="K2350" i="1" a="1"/>
  <c r="K2350" i="1" s="1"/>
  <c r="K424" i="1" a="1"/>
  <c r="K424" i="1" s="1"/>
  <c r="K425" i="1" a="1"/>
  <c r="K425" i="1" s="1"/>
  <c r="K426" i="1" a="1"/>
  <c r="K426" i="1" s="1"/>
  <c r="K427" i="1" a="1"/>
  <c r="K427" i="1" s="1"/>
  <c r="K428" i="1" a="1"/>
  <c r="K428" i="1" s="1"/>
  <c r="K429" i="1" a="1"/>
  <c r="K429" i="1" s="1"/>
  <c r="K430" i="1" a="1"/>
  <c r="K430" i="1" s="1"/>
  <c r="K431" i="1" a="1"/>
  <c r="K431" i="1" s="1"/>
  <c r="K432" i="1" a="1"/>
  <c r="K432" i="1" s="1"/>
  <c r="K433" i="1" a="1"/>
  <c r="K433" i="1" s="1"/>
  <c r="K434" i="1" a="1"/>
  <c r="K434" i="1" s="1"/>
  <c r="K435" i="1" a="1"/>
  <c r="K435" i="1" s="1"/>
  <c r="K436" i="1" a="1"/>
  <c r="K436" i="1" s="1"/>
  <c r="K437" i="1" a="1"/>
  <c r="K437" i="1" s="1"/>
  <c r="K438" i="1" a="1"/>
  <c r="K438" i="1" s="1"/>
  <c r="K439" i="1" a="1"/>
  <c r="K439" i="1" s="1"/>
  <c r="K440" i="1" a="1"/>
  <c r="K440" i="1" s="1"/>
  <c r="K441" i="1" a="1"/>
  <c r="K441" i="1" s="1"/>
  <c r="K442" i="1" a="1"/>
  <c r="K442" i="1" s="1"/>
  <c r="K443" i="1" a="1"/>
  <c r="K443" i="1" s="1"/>
  <c r="K444" i="1" a="1"/>
  <c r="K444" i="1" s="1"/>
  <c r="K2351" i="1" a="1"/>
  <c r="K2351" i="1" s="1"/>
  <c r="K445" i="1" a="1"/>
  <c r="K445" i="1" s="1"/>
  <c r="K446" i="1" a="1"/>
  <c r="K446" i="1" s="1"/>
  <c r="K447" i="1" a="1"/>
  <c r="K447" i="1" s="1"/>
  <c r="K448" i="1" a="1"/>
  <c r="K448" i="1" s="1"/>
  <c r="K449" i="1" a="1"/>
  <c r="K449" i="1" s="1"/>
  <c r="K450" i="1" a="1"/>
  <c r="K450" i="1" s="1"/>
  <c r="K451" i="1" a="1"/>
  <c r="K451" i="1" s="1"/>
  <c r="K452" i="1" a="1"/>
  <c r="K452" i="1" s="1"/>
  <c r="K453" i="1" a="1"/>
  <c r="K453" i="1" s="1"/>
  <c r="K2352" i="1" a="1"/>
  <c r="K2352" i="1" s="1"/>
  <c r="K2246" i="1" a="1"/>
  <c r="K2246" i="1" s="1"/>
  <c r="K2353" i="1" a="1"/>
  <c r="K2353" i="1" s="1"/>
  <c r="K454" i="1" a="1"/>
  <c r="K454" i="1" s="1"/>
  <c r="K455" i="1" a="1"/>
  <c r="K455" i="1" s="1"/>
  <c r="K456" i="1" a="1"/>
  <c r="K456" i="1" s="1"/>
  <c r="K457" i="1" a="1"/>
  <c r="K457" i="1" s="1"/>
  <c r="K458" i="1" a="1"/>
  <c r="K458" i="1" s="1"/>
  <c r="K459" i="1" a="1"/>
  <c r="K459" i="1" s="1"/>
  <c r="K460" i="1" a="1"/>
  <c r="K460" i="1" s="1"/>
  <c r="K461" i="1" a="1"/>
  <c r="K461" i="1" s="1"/>
  <c r="K462" i="1" a="1"/>
  <c r="K462" i="1" s="1"/>
  <c r="K463" i="1" a="1"/>
  <c r="K463" i="1" s="1"/>
  <c r="K464" i="1" a="1"/>
  <c r="K464" i="1" s="1"/>
  <c r="K465" i="1" a="1"/>
  <c r="K465" i="1" s="1"/>
  <c r="K466" i="1" a="1"/>
  <c r="K466" i="1" s="1"/>
  <c r="K467" i="1" a="1"/>
  <c r="K467" i="1" s="1"/>
  <c r="K468" i="1" a="1"/>
  <c r="K468" i="1" s="1"/>
  <c r="K469" i="1" a="1"/>
  <c r="K469" i="1" s="1"/>
  <c r="K470" i="1" a="1"/>
  <c r="K470" i="1" s="1"/>
  <c r="K471" i="1" a="1"/>
  <c r="K471" i="1" s="1"/>
  <c r="K472" i="1" a="1"/>
  <c r="K472" i="1" s="1"/>
  <c r="K473" i="1" a="1"/>
  <c r="K473" i="1" s="1"/>
  <c r="K474" i="1" a="1"/>
  <c r="K474" i="1" s="1"/>
  <c r="K475" i="1" a="1"/>
  <c r="K475" i="1" s="1"/>
  <c r="K476" i="1" a="1"/>
  <c r="K476" i="1" s="1"/>
  <c r="K477" i="1" a="1"/>
  <c r="K477" i="1" s="1"/>
  <c r="K478" i="1" a="1"/>
  <c r="K478" i="1" s="1"/>
  <c r="K2354" i="1" a="1"/>
  <c r="K2354" i="1" s="1"/>
  <c r="K2247" i="1" a="1"/>
  <c r="K2247" i="1" s="1"/>
  <c r="K479" i="1" a="1"/>
  <c r="K479" i="1" s="1"/>
  <c r="K480" i="1" a="1"/>
  <c r="K480" i="1" s="1"/>
  <c r="K481" i="1" a="1"/>
  <c r="K481" i="1" s="1"/>
  <c r="K482" i="1" a="1"/>
  <c r="K482" i="1" s="1"/>
  <c r="K2355" i="1" a="1"/>
  <c r="K2355" i="1" s="1"/>
  <c r="K2356" i="1" a="1"/>
  <c r="K2356" i="1" s="1"/>
  <c r="K483" i="1" a="1"/>
  <c r="K483" i="1" s="1"/>
  <c r="K484" i="1" a="1"/>
  <c r="K484" i="1" s="1"/>
  <c r="K485" i="1" a="1"/>
  <c r="K485" i="1" s="1"/>
  <c r="K486" i="1" a="1"/>
  <c r="K486" i="1" s="1"/>
  <c r="K487" i="1" a="1"/>
  <c r="K487" i="1" s="1"/>
  <c r="K488" i="1" a="1"/>
  <c r="K488" i="1" s="1"/>
  <c r="K489" i="1" a="1"/>
  <c r="K489" i="1" s="1"/>
  <c r="K490" i="1" a="1"/>
  <c r="K490" i="1" s="1"/>
  <c r="K2357" i="1" a="1"/>
  <c r="K2357" i="1" s="1"/>
  <c r="K491" i="1" a="1"/>
  <c r="K491" i="1" s="1"/>
  <c r="K492" i="1" a="1"/>
  <c r="K492" i="1" s="1"/>
  <c r="K2248" i="1" a="1"/>
  <c r="K2248" i="1" s="1"/>
  <c r="K493" i="1" a="1"/>
  <c r="K493" i="1" s="1"/>
  <c r="K494" i="1" a="1"/>
  <c r="K494" i="1" s="1"/>
  <c r="K495" i="1" a="1"/>
  <c r="K495" i="1" s="1"/>
  <c r="K496" i="1" a="1"/>
  <c r="K496" i="1" s="1"/>
  <c r="K497" i="1" a="1"/>
  <c r="K497" i="1" s="1"/>
  <c r="K498" i="1" a="1"/>
  <c r="K498" i="1" s="1"/>
  <c r="K499" i="1" a="1"/>
  <c r="K499" i="1" s="1"/>
  <c r="K500" i="1" a="1"/>
  <c r="K500" i="1" s="1"/>
  <c r="K501" i="1" a="1"/>
  <c r="K501" i="1" s="1"/>
  <c r="K502" i="1" a="1"/>
  <c r="K502" i="1" s="1"/>
  <c r="K503" i="1" a="1"/>
  <c r="K503" i="1" s="1"/>
  <c r="K504" i="1" a="1"/>
  <c r="K504" i="1" s="1"/>
  <c r="K505" i="1" a="1"/>
  <c r="K505" i="1" s="1"/>
  <c r="K506" i="1" a="1"/>
  <c r="K506" i="1" s="1"/>
  <c r="K507" i="1" a="1"/>
  <c r="K507" i="1" s="1"/>
  <c r="K508" i="1" a="1"/>
  <c r="K508" i="1" s="1"/>
  <c r="K509" i="1" a="1"/>
  <c r="K509" i="1" s="1"/>
  <c r="K510" i="1" a="1"/>
  <c r="K510" i="1" s="1"/>
  <c r="K511" i="1" a="1"/>
  <c r="K511" i="1" s="1"/>
  <c r="K2358" i="1" a="1"/>
  <c r="K2358" i="1" s="1"/>
  <c r="K512" i="1" a="1"/>
  <c r="K512" i="1" s="1"/>
  <c r="K2359" i="1" a="1"/>
  <c r="K2359" i="1" s="1"/>
  <c r="K513" i="1" a="1"/>
  <c r="K513" i="1" s="1"/>
  <c r="K514" i="1" a="1"/>
  <c r="K514" i="1" s="1"/>
  <c r="K2360" i="1" a="1"/>
  <c r="K2360" i="1" s="1"/>
  <c r="K515" i="1" a="1"/>
  <c r="K515" i="1" s="1"/>
  <c r="K516" i="1" a="1"/>
  <c r="K516" i="1" s="1"/>
  <c r="K517" i="1" a="1"/>
  <c r="K517" i="1" s="1"/>
  <c r="K518" i="1" a="1"/>
  <c r="K518" i="1" s="1"/>
  <c r="K519" i="1" a="1"/>
  <c r="K519" i="1" s="1"/>
  <c r="K520" i="1" a="1"/>
  <c r="K520" i="1" s="1"/>
  <c r="K521" i="1" a="1"/>
  <c r="K521" i="1" s="1"/>
  <c r="K522" i="1" a="1"/>
  <c r="K522" i="1" s="1"/>
  <c r="K523" i="1" a="1"/>
  <c r="K523" i="1" s="1"/>
  <c r="K2361" i="1" a="1"/>
  <c r="K2361" i="1" s="1"/>
  <c r="K524" i="1" a="1"/>
  <c r="K524" i="1" s="1"/>
  <c r="K525" i="1" a="1"/>
  <c r="K525" i="1" s="1"/>
  <c r="K2362" i="1" a="1"/>
  <c r="K2362" i="1" s="1"/>
  <c r="K526" i="1" a="1"/>
  <c r="K526" i="1" s="1"/>
  <c r="K2249" i="1" a="1"/>
  <c r="K2249" i="1" s="1"/>
  <c r="K2363" i="1" a="1"/>
  <c r="K2363" i="1" s="1"/>
  <c r="K2364" i="1" a="1"/>
  <c r="K2364" i="1" s="1"/>
  <c r="K527" i="1" a="1"/>
  <c r="K527" i="1" s="1"/>
  <c r="K528" i="1" a="1"/>
  <c r="K528" i="1" s="1"/>
  <c r="K529" i="1" a="1"/>
  <c r="K529" i="1" s="1"/>
  <c r="K530" i="1" a="1"/>
  <c r="K530" i="1" s="1"/>
  <c r="K531" i="1" a="1"/>
  <c r="K531" i="1" s="1"/>
  <c r="K532" i="1" a="1"/>
  <c r="K532" i="1" s="1"/>
  <c r="K2365" i="1" a="1"/>
  <c r="K2365" i="1" s="1"/>
  <c r="K533" i="1" a="1"/>
  <c r="K533" i="1" s="1"/>
  <c r="K534" i="1" a="1"/>
  <c r="K534" i="1" s="1"/>
  <c r="K535" i="1" a="1"/>
  <c r="K535" i="1" s="1"/>
  <c r="K536" i="1" a="1"/>
  <c r="K536" i="1" s="1"/>
  <c r="K537" i="1" a="1"/>
  <c r="K537" i="1" s="1"/>
  <c r="K2250" i="1" a="1"/>
  <c r="K2250" i="1" s="1"/>
  <c r="K538" i="1" a="1"/>
  <c r="K538" i="1" s="1"/>
  <c r="K2366" i="1" a="1"/>
  <c r="K2366" i="1" s="1"/>
  <c r="K539" i="1" a="1"/>
  <c r="K539" i="1" s="1"/>
  <c r="K540" i="1" a="1"/>
  <c r="K540" i="1" s="1"/>
  <c r="K541" i="1" a="1"/>
  <c r="K541" i="1" s="1"/>
  <c r="K542" i="1" a="1"/>
  <c r="K542" i="1" s="1"/>
  <c r="K543" i="1" a="1"/>
  <c r="K543" i="1" s="1"/>
  <c r="K544" i="1" a="1"/>
  <c r="K544" i="1" s="1"/>
  <c r="K545" i="1" a="1"/>
  <c r="K545" i="1" s="1"/>
  <c r="K546" i="1" a="1"/>
  <c r="K546" i="1" s="1"/>
  <c r="K547" i="1" a="1"/>
  <c r="K547" i="1" s="1"/>
  <c r="K548" i="1" a="1"/>
  <c r="K548" i="1" s="1"/>
  <c r="K549" i="1" a="1"/>
  <c r="K549" i="1" s="1"/>
  <c r="K550" i="1" a="1"/>
  <c r="K550" i="1" s="1"/>
  <c r="K2367" i="1" a="1"/>
  <c r="K2367" i="1" s="1"/>
  <c r="K2368" i="1" a="1"/>
  <c r="K2368" i="1" s="1"/>
  <c r="K551" i="1" a="1"/>
  <c r="K551" i="1" s="1"/>
  <c r="K552" i="1" a="1"/>
  <c r="K552" i="1" s="1"/>
  <c r="K553" i="1" a="1"/>
  <c r="K553" i="1" s="1"/>
  <c r="K554" i="1" a="1"/>
  <c r="K554" i="1" s="1"/>
  <c r="K555" i="1" a="1"/>
  <c r="K555" i="1" s="1"/>
  <c r="K556" i="1" a="1"/>
  <c r="K556" i="1" s="1"/>
  <c r="K557" i="1" a="1"/>
  <c r="K557" i="1" s="1"/>
  <c r="K558" i="1" a="1"/>
  <c r="K558" i="1" s="1"/>
  <c r="K559" i="1" a="1"/>
  <c r="K559" i="1" s="1"/>
  <c r="K560" i="1" a="1"/>
  <c r="K560" i="1" s="1"/>
  <c r="K2369" i="1" a="1"/>
  <c r="K2369" i="1" s="1"/>
  <c r="K561" i="1" a="1"/>
  <c r="K561" i="1" s="1"/>
  <c r="K562" i="1" a="1"/>
  <c r="K562" i="1" s="1"/>
  <c r="K563" i="1" a="1"/>
  <c r="K563" i="1" s="1"/>
  <c r="K564" i="1" a="1"/>
  <c r="K564" i="1" s="1"/>
  <c r="K2251" i="1" a="1"/>
  <c r="K2251" i="1" s="1"/>
  <c r="K565" i="1" a="1"/>
  <c r="K565" i="1" s="1"/>
  <c r="K566" i="1" a="1"/>
  <c r="K566" i="1" s="1"/>
  <c r="K567" i="1" a="1"/>
  <c r="K567" i="1" s="1"/>
  <c r="K568" i="1" a="1"/>
  <c r="K568" i="1" s="1"/>
  <c r="K569" i="1" a="1"/>
  <c r="K569" i="1" s="1"/>
  <c r="K570" i="1" a="1"/>
  <c r="K570" i="1" s="1"/>
  <c r="K571" i="1" a="1"/>
  <c r="K571" i="1" s="1"/>
  <c r="K572" i="1" a="1"/>
  <c r="K572" i="1" s="1"/>
  <c r="K573" i="1" a="1"/>
  <c r="K573" i="1" s="1"/>
  <c r="K574" i="1" a="1"/>
  <c r="K574" i="1" s="1"/>
  <c r="K575" i="1" a="1"/>
  <c r="K575" i="1" s="1"/>
  <c r="K576" i="1" a="1"/>
  <c r="K576" i="1" s="1"/>
  <c r="K577" i="1" a="1"/>
  <c r="K577" i="1" s="1"/>
  <c r="K578" i="1" a="1"/>
  <c r="K578" i="1" s="1"/>
  <c r="K579" i="1" a="1"/>
  <c r="K579" i="1" s="1"/>
  <c r="K580" i="1" a="1"/>
  <c r="K580" i="1" s="1"/>
  <c r="K581" i="1" a="1"/>
  <c r="K581" i="1" s="1"/>
  <c r="K582" i="1" a="1"/>
  <c r="K582" i="1" s="1"/>
  <c r="K583" i="1" a="1"/>
  <c r="K583" i="1" s="1"/>
  <c r="K584" i="1" a="1"/>
  <c r="K584" i="1" s="1"/>
  <c r="K585" i="1" a="1"/>
  <c r="K585" i="1" s="1"/>
  <c r="K586" i="1" a="1"/>
  <c r="K586" i="1" s="1"/>
  <c r="K2370" i="1" a="1"/>
  <c r="K2370" i="1" s="1"/>
  <c r="K587" i="1" a="1"/>
  <c r="K587" i="1" s="1"/>
  <c r="K588" i="1" a="1"/>
  <c r="K588" i="1" s="1"/>
  <c r="K589" i="1" a="1"/>
  <c r="K589" i="1" s="1"/>
  <c r="K590" i="1" a="1"/>
  <c r="K590" i="1" s="1"/>
  <c r="K591" i="1" a="1"/>
  <c r="K591" i="1" s="1"/>
  <c r="K592" i="1" a="1"/>
  <c r="K592" i="1" s="1"/>
  <c r="K593" i="1" a="1"/>
  <c r="K593" i="1" s="1"/>
  <c r="K594" i="1" a="1"/>
  <c r="K594" i="1" s="1"/>
  <c r="K595" i="1" a="1"/>
  <c r="K595" i="1" s="1"/>
  <c r="K596" i="1" a="1"/>
  <c r="K596" i="1" s="1"/>
  <c r="K597" i="1" a="1"/>
  <c r="K597" i="1" s="1"/>
  <c r="K598" i="1" a="1"/>
  <c r="K598" i="1" s="1"/>
  <c r="K599" i="1" a="1"/>
  <c r="K599" i="1" s="1"/>
  <c r="K600" i="1" a="1"/>
  <c r="K600" i="1" s="1"/>
  <c r="K601" i="1" a="1"/>
  <c r="K601" i="1" s="1"/>
  <c r="K602" i="1" a="1"/>
  <c r="K602" i="1" s="1"/>
  <c r="K2371" i="1" a="1"/>
  <c r="K2371" i="1" s="1"/>
  <c r="K2372" i="1" a="1"/>
  <c r="K2372" i="1" s="1"/>
  <c r="K603" i="1" a="1"/>
  <c r="K603" i="1" s="1"/>
  <c r="K604" i="1" a="1"/>
  <c r="K604" i="1" s="1"/>
  <c r="K605" i="1" a="1"/>
  <c r="K605" i="1" s="1"/>
  <c r="K606" i="1" a="1"/>
  <c r="K606" i="1" s="1"/>
  <c r="K2373" i="1" a="1"/>
  <c r="K2373" i="1" s="1"/>
  <c r="K607" i="1" a="1"/>
  <c r="K607" i="1" s="1"/>
  <c r="K2374" i="1" a="1"/>
  <c r="K2374" i="1" s="1"/>
  <c r="K608" i="1" a="1"/>
  <c r="K608" i="1" s="1"/>
  <c r="K609" i="1" a="1"/>
  <c r="K609" i="1" s="1"/>
  <c r="K2375" i="1" a="1"/>
  <c r="K2375" i="1" s="1"/>
  <c r="K610" i="1" a="1"/>
  <c r="K610" i="1" s="1"/>
  <c r="K611" i="1" a="1"/>
  <c r="K611" i="1" s="1"/>
  <c r="K2376" i="1" a="1"/>
  <c r="K2376" i="1" s="1"/>
  <c r="K612" i="1" a="1"/>
  <c r="K612" i="1" s="1"/>
  <c r="K2377" i="1" a="1"/>
  <c r="K2377" i="1" s="1"/>
  <c r="K613" i="1" a="1"/>
  <c r="K613" i="1" s="1"/>
  <c r="K614" i="1" a="1"/>
  <c r="K614" i="1" s="1"/>
  <c r="K615" i="1" a="1"/>
  <c r="K615" i="1" s="1"/>
  <c r="K616" i="1" a="1"/>
  <c r="K616" i="1" s="1"/>
  <c r="K617" i="1" a="1"/>
  <c r="K617" i="1" s="1"/>
  <c r="K618" i="1" a="1"/>
  <c r="K618" i="1" s="1"/>
  <c r="K619" i="1" a="1"/>
  <c r="K619" i="1" s="1"/>
  <c r="K620" i="1" a="1"/>
  <c r="K620" i="1" s="1"/>
  <c r="K621" i="1" a="1"/>
  <c r="K621" i="1" s="1"/>
  <c r="K2252" i="1" a="1"/>
  <c r="K2252" i="1" s="1"/>
  <c r="K622" i="1" a="1"/>
  <c r="K622" i="1" s="1"/>
  <c r="K623" i="1" a="1"/>
  <c r="K623" i="1" s="1"/>
  <c r="K2378" i="1" a="1"/>
  <c r="K2378" i="1" s="1"/>
  <c r="K624" i="1" a="1"/>
  <c r="K624" i="1" s="1"/>
  <c r="K625" i="1" a="1"/>
  <c r="K625" i="1" s="1"/>
  <c r="K626" i="1" a="1"/>
  <c r="K626" i="1" s="1"/>
  <c r="K627" i="1" a="1"/>
  <c r="K627" i="1" s="1"/>
  <c r="K628" i="1" a="1"/>
  <c r="K628" i="1" s="1"/>
  <c r="K629" i="1" a="1"/>
  <c r="K629" i="1" s="1"/>
  <c r="K630" i="1" a="1"/>
  <c r="K630" i="1" s="1"/>
  <c r="K631" i="1" a="1"/>
  <c r="K631" i="1" s="1"/>
  <c r="K632" i="1" a="1"/>
  <c r="K632" i="1" s="1"/>
  <c r="K633" i="1" a="1"/>
  <c r="K633" i="1" s="1"/>
  <c r="K634" i="1" a="1"/>
  <c r="K634" i="1" s="1"/>
  <c r="K635" i="1" a="1"/>
  <c r="K635" i="1" s="1"/>
  <c r="K2379" i="1" a="1"/>
  <c r="K2379" i="1" s="1"/>
  <c r="K636" i="1" a="1"/>
  <c r="K636" i="1" s="1"/>
  <c r="K637" i="1" a="1"/>
  <c r="K637" i="1" s="1"/>
  <c r="K638" i="1" a="1"/>
  <c r="K638" i="1" s="1"/>
  <c r="K639" i="1" a="1"/>
  <c r="K639" i="1" s="1"/>
  <c r="K640" i="1" a="1"/>
  <c r="K640" i="1" s="1"/>
  <c r="K641" i="1" a="1"/>
  <c r="K641" i="1" s="1"/>
  <c r="K2253" i="1" a="1"/>
  <c r="K2253" i="1" s="1"/>
  <c r="K642" i="1" a="1"/>
  <c r="K642" i="1" s="1"/>
  <c r="K643" i="1" a="1"/>
  <c r="K643" i="1" s="1"/>
  <c r="K2380" i="1" a="1"/>
  <c r="K2380" i="1" s="1"/>
  <c r="K644" i="1" a="1"/>
  <c r="K644" i="1" s="1"/>
  <c r="K645" i="1" a="1"/>
  <c r="K645" i="1" s="1"/>
  <c r="K646" i="1" a="1"/>
  <c r="K646" i="1" s="1"/>
  <c r="K2381" i="1" a="1"/>
  <c r="K2381" i="1" s="1"/>
  <c r="K2382" i="1" a="1"/>
  <c r="K2382" i="1" s="1"/>
  <c r="K2383" i="1" a="1"/>
  <c r="K2383" i="1" s="1"/>
  <c r="K2384" i="1" a="1"/>
  <c r="K2384" i="1" s="1"/>
  <c r="K2385" i="1" a="1"/>
  <c r="K2385" i="1" s="1"/>
  <c r="K647" i="1" a="1"/>
  <c r="K647" i="1" s="1"/>
  <c r="K2386" i="1" a="1"/>
  <c r="K2386" i="1" s="1"/>
  <c r="K648" i="1" a="1"/>
  <c r="K648" i="1" s="1"/>
  <c r="K649" i="1" a="1"/>
  <c r="K649" i="1" s="1"/>
  <c r="K650" i="1" a="1"/>
  <c r="K650" i="1" s="1"/>
  <c r="K2387" i="1" a="1"/>
  <c r="K2387" i="1" s="1"/>
  <c r="K651" i="1" a="1"/>
  <c r="K651" i="1" s="1"/>
  <c r="K652" i="1" a="1"/>
  <c r="K652" i="1" s="1"/>
  <c r="K653" i="1" a="1"/>
  <c r="K653" i="1" s="1"/>
  <c r="K654" i="1" a="1"/>
  <c r="K654" i="1" s="1"/>
  <c r="K655" i="1" a="1"/>
  <c r="K655" i="1" s="1"/>
  <c r="K656" i="1" a="1"/>
  <c r="K656" i="1" s="1"/>
  <c r="K657" i="1" a="1"/>
  <c r="K657" i="1" s="1"/>
  <c r="K658" i="1" a="1"/>
  <c r="K658" i="1" s="1"/>
  <c r="K659" i="1" a="1"/>
  <c r="K659" i="1" s="1"/>
  <c r="K660" i="1" a="1"/>
  <c r="K660" i="1" s="1"/>
  <c r="K661" i="1" a="1"/>
  <c r="K661" i="1" s="1"/>
  <c r="K662" i="1" a="1"/>
  <c r="K662" i="1" s="1"/>
  <c r="K663" i="1" a="1"/>
  <c r="K663" i="1" s="1"/>
  <c r="K664" i="1" a="1"/>
  <c r="K664" i="1" s="1"/>
  <c r="K665" i="1" a="1"/>
  <c r="K665" i="1" s="1"/>
  <c r="K666" i="1" a="1"/>
  <c r="K666" i="1" s="1"/>
  <c r="K667" i="1" a="1"/>
  <c r="K667" i="1" s="1"/>
  <c r="K2388" i="1" a="1"/>
  <c r="K2388" i="1" s="1"/>
  <c r="K668" i="1" a="1"/>
  <c r="K668" i="1" s="1"/>
  <c r="K669" i="1" a="1"/>
  <c r="K669" i="1" s="1"/>
  <c r="K670" i="1" a="1"/>
  <c r="K670" i="1" s="1"/>
  <c r="K671" i="1" a="1"/>
  <c r="K671" i="1" s="1"/>
  <c r="K672" i="1" a="1"/>
  <c r="K672" i="1" s="1"/>
  <c r="K2389" i="1" a="1"/>
  <c r="K2389" i="1" s="1"/>
  <c r="K673" i="1" a="1"/>
  <c r="K673" i="1" s="1"/>
  <c r="K674" i="1" a="1"/>
  <c r="K674" i="1" s="1"/>
  <c r="K675" i="1" a="1"/>
  <c r="K675" i="1" s="1"/>
  <c r="K676" i="1" a="1"/>
  <c r="K676" i="1" s="1"/>
  <c r="K677" i="1" a="1"/>
  <c r="K677" i="1" s="1"/>
  <c r="K2390" i="1" a="1"/>
  <c r="K2390" i="1" s="1"/>
  <c r="K678" i="1" a="1"/>
  <c r="K678" i="1" s="1"/>
  <c r="K679" i="1" a="1"/>
  <c r="K679" i="1" s="1"/>
  <c r="K680" i="1" a="1"/>
  <c r="K680" i="1" s="1"/>
  <c r="K2391" i="1" a="1"/>
  <c r="K2391" i="1" s="1"/>
  <c r="K2392" i="1" a="1"/>
  <c r="K2392" i="1" s="1"/>
  <c r="K681" i="1" a="1"/>
  <c r="K681" i="1" s="1"/>
  <c r="K682" i="1" a="1"/>
  <c r="K682" i="1" s="1"/>
  <c r="K2393" i="1" a="1"/>
  <c r="K2393" i="1" s="1"/>
  <c r="K683" i="1" a="1"/>
  <c r="K683" i="1" s="1"/>
  <c r="K684" i="1" a="1"/>
  <c r="K684" i="1" s="1"/>
  <c r="K2394" i="1" a="1"/>
  <c r="K2394" i="1" s="1"/>
  <c r="K685" i="1" a="1"/>
  <c r="K685" i="1" s="1"/>
  <c r="K686" i="1" a="1"/>
  <c r="K686" i="1" s="1"/>
  <c r="K687" i="1" a="1"/>
  <c r="K687" i="1" s="1"/>
  <c r="K688" i="1" a="1"/>
  <c r="K688" i="1" s="1"/>
  <c r="K2395" i="1" a="1"/>
  <c r="K2395" i="1" s="1"/>
  <c r="K2396" i="1" a="1"/>
  <c r="K2396" i="1" s="1"/>
  <c r="K689" i="1" a="1"/>
  <c r="K689" i="1" s="1"/>
  <c r="K690" i="1" a="1"/>
  <c r="K690" i="1" s="1"/>
  <c r="K691" i="1" a="1"/>
  <c r="K691" i="1" s="1"/>
  <c r="K692" i="1" a="1"/>
  <c r="K692" i="1" s="1"/>
  <c r="K693" i="1" a="1"/>
  <c r="K693" i="1" s="1"/>
  <c r="K694" i="1" a="1"/>
  <c r="K694" i="1" s="1"/>
  <c r="K695" i="1" a="1"/>
  <c r="K695" i="1" s="1"/>
  <c r="K696" i="1" a="1"/>
  <c r="K696" i="1" s="1"/>
  <c r="K697" i="1" a="1"/>
  <c r="K697" i="1" s="1"/>
  <c r="K698" i="1" a="1"/>
  <c r="K698" i="1" s="1"/>
  <c r="K699" i="1" a="1"/>
  <c r="K699" i="1" s="1"/>
  <c r="K700" i="1" a="1"/>
  <c r="K700" i="1" s="1"/>
  <c r="K701" i="1" a="1"/>
  <c r="K701" i="1" s="1"/>
  <c r="K702" i="1" a="1"/>
  <c r="K702" i="1" s="1"/>
  <c r="K703" i="1" a="1"/>
  <c r="K703" i="1" s="1"/>
  <c r="K704" i="1" a="1"/>
  <c r="K704" i="1" s="1"/>
  <c r="K705" i="1" a="1"/>
  <c r="K705" i="1" s="1"/>
  <c r="K706" i="1" a="1"/>
  <c r="K706" i="1" s="1"/>
  <c r="K2397" i="1" a="1"/>
  <c r="K2397" i="1" s="1"/>
  <c r="K707" i="1" a="1"/>
  <c r="K707" i="1" s="1"/>
  <c r="K708" i="1" a="1"/>
  <c r="K708" i="1" s="1"/>
  <c r="K709" i="1" a="1"/>
  <c r="K709" i="1" s="1"/>
  <c r="K710" i="1" a="1"/>
  <c r="K710" i="1" s="1"/>
  <c r="K711" i="1" a="1"/>
  <c r="K711" i="1" s="1"/>
  <c r="K712" i="1" a="1"/>
  <c r="K712" i="1" s="1"/>
  <c r="K713" i="1" a="1"/>
  <c r="K713" i="1" s="1"/>
  <c r="K714" i="1" a="1"/>
  <c r="K714" i="1" s="1"/>
  <c r="K2398" i="1" a="1"/>
  <c r="K2398" i="1" s="1"/>
  <c r="K715" i="1" a="1"/>
  <c r="K715" i="1" s="1"/>
  <c r="K716" i="1" a="1"/>
  <c r="K716" i="1" s="1"/>
  <c r="K717" i="1" a="1"/>
  <c r="K717" i="1" s="1"/>
  <c r="K718" i="1" a="1"/>
  <c r="K718" i="1" s="1"/>
  <c r="K719" i="1" a="1"/>
  <c r="K719" i="1" s="1"/>
  <c r="K720" i="1" a="1"/>
  <c r="K720" i="1" s="1"/>
  <c r="K721" i="1" a="1"/>
  <c r="K721" i="1" s="1"/>
  <c r="K2399" i="1" a="1"/>
  <c r="K2399" i="1" s="1"/>
  <c r="K722" i="1" a="1"/>
  <c r="K722" i="1" s="1"/>
  <c r="K723" i="1" a="1"/>
  <c r="K723" i="1" s="1"/>
  <c r="K2400" i="1" a="1"/>
  <c r="K2400" i="1" s="1"/>
  <c r="K724" i="1" a="1"/>
  <c r="K724" i="1" s="1"/>
  <c r="K725" i="1" a="1"/>
  <c r="K725" i="1" s="1"/>
  <c r="K726" i="1" a="1"/>
  <c r="K726" i="1" s="1"/>
  <c r="K2254" i="1" a="1"/>
  <c r="K2254" i="1" s="1"/>
  <c r="K2255" i="1" a="1"/>
  <c r="K2255" i="1" s="1"/>
  <c r="K727" i="1" a="1"/>
  <c r="K727" i="1" s="1"/>
  <c r="K728" i="1" a="1"/>
  <c r="K728" i="1" s="1"/>
  <c r="K729" i="1" a="1"/>
  <c r="K729" i="1" s="1"/>
  <c r="K730" i="1" a="1"/>
  <c r="K730" i="1" s="1"/>
  <c r="K731" i="1" a="1"/>
  <c r="K731" i="1" s="1"/>
  <c r="K732" i="1" a="1"/>
  <c r="K732" i="1" s="1"/>
  <c r="K733" i="1" a="1"/>
  <c r="K733" i="1" s="1"/>
  <c r="K734" i="1" a="1"/>
  <c r="K734" i="1" s="1"/>
  <c r="K735" i="1" a="1"/>
  <c r="K735" i="1" s="1"/>
  <c r="K736" i="1" a="1"/>
  <c r="K736" i="1" s="1"/>
  <c r="K737" i="1" a="1"/>
  <c r="K737" i="1" s="1"/>
  <c r="K2401" i="1" a="1"/>
  <c r="K2401" i="1" s="1"/>
  <c r="K738" i="1" a="1"/>
  <c r="K738" i="1" s="1"/>
  <c r="K739" i="1" a="1"/>
  <c r="K739" i="1" s="1"/>
  <c r="K740" i="1" a="1"/>
  <c r="K740" i="1" s="1"/>
  <c r="K741" i="1" a="1"/>
  <c r="K741" i="1" s="1"/>
  <c r="K742" i="1" a="1"/>
  <c r="K742" i="1" s="1"/>
  <c r="K743" i="1" a="1"/>
  <c r="K743" i="1" s="1"/>
  <c r="K744" i="1" a="1"/>
  <c r="K744" i="1" s="1"/>
  <c r="K745" i="1" a="1"/>
  <c r="K745" i="1" s="1"/>
  <c r="K746" i="1" a="1"/>
  <c r="K746" i="1" s="1"/>
  <c r="K747" i="1" a="1"/>
  <c r="K747" i="1" s="1"/>
  <c r="K748" i="1" a="1"/>
  <c r="K748" i="1" s="1"/>
  <c r="K749" i="1" a="1"/>
  <c r="K749" i="1" s="1"/>
  <c r="K2402" i="1" a="1"/>
  <c r="K2402" i="1" s="1"/>
  <c r="K750" i="1" a="1"/>
  <c r="K750" i="1" s="1"/>
  <c r="K751" i="1" a="1"/>
  <c r="K751" i="1" s="1"/>
  <c r="K752" i="1" a="1"/>
  <c r="K752" i="1" s="1"/>
  <c r="K753" i="1" a="1"/>
  <c r="K753" i="1" s="1"/>
  <c r="K2403" i="1" a="1"/>
  <c r="K2403" i="1" s="1"/>
  <c r="K754" i="1" a="1"/>
  <c r="K754" i="1" s="1"/>
  <c r="K2404" i="1" a="1"/>
  <c r="K2404" i="1" s="1"/>
  <c r="K755" i="1" a="1"/>
  <c r="K755" i="1" s="1"/>
  <c r="K756" i="1" a="1"/>
  <c r="K756" i="1" s="1"/>
  <c r="K757" i="1" a="1"/>
  <c r="K757" i="1" s="1"/>
  <c r="K758" i="1" a="1"/>
  <c r="K758" i="1" s="1"/>
  <c r="K759" i="1" a="1"/>
  <c r="K759" i="1" s="1"/>
  <c r="K760" i="1" a="1"/>
  <c r="K760" i="1" s="1"/>
  <c r="K761" i="1" a="1"/>
  <c r="K761" i="1" s="1"/>
  <c r="K2405" i="1" a="1"/>
  <c r="K2405" i="1" s="1"/>
  <c r="K762" i="1" a="1"/>
  <c r="K762" i="1" s="1"/>
  <c r="K763" i="1" a="1"/>
  <c r="K763" i="1" s="1"/>
  <c r="K764" i="1" a="1"/>
  <c r="K764" i="1" s="1"/>
  <c r="K765" i="1" a="1"/>
  <c r="K765" i="1" s="1"/>
  <c r="K766" i="1" a="1"/>
  <c r="K766" i="1" s="1"/>
  <c r="K767" i="1" a="1"/>
  <c r="K767" i="1" s="1"/>
  <c r="K768" i="1" a="1"/>
  <c r="K768" i="1" s="1"/>
  <c r="K769" i="1" a="1"/>
  <c r="K769" i="1" s="1"/>
  <c r="K2406" i="1" a="1"/>
  <c r="K2406" i="1" s="1"/>
  <c r="K770" i="1" a="1"/>
  <c r="K770" i="1" s="1"/>
  <c r="K2407" i="1" a="1"/>
  <c r="K2407" i="1" s="1"/>
  <c r="K771" i="1" a="1"/>
  <c r="K771" i="1" s="1"/>
  <c r="K772" i="1" a="1"/>
  <c r="K772" i="1" s="1"/>
  <c r="K773" i="1" a="1"/>
  <c r="K773" i="1" s="1"/>
  <c r="K774" i="1" a="1"/>
  <c r="K774" i="1" s="1"/>
  <c r="K775" i="1" a="1"/>
  <c r="K775" i="1" s="1"/>
  <c r="K776" i="1" a="1"/>
  <c r="K776" i="1" s="1"/>
  <c r="K777" i="1" a="1"/>
  <c r="K777" i="1" s="1"/>
  <c r="K2408" i="1" a="1"/>
  <c r="K2408" i="1" s="1"/>
  <c r="K2409" i="1" a="1"/>
  <c r="K2409" i="1" s="1"/>
  <c r="K778" i="1" a="1"/>
  <c r="K778" i="1" s="1"/>
  <c r="K779" i="1" a="1"/>
  <c r="K779" i="1" s="1"/>
  <c r="K780" i="1" a="1"/>
  <c r="K780" i="1" s="1"/>
  <c r="K781" i="1" a="1"/>
  <c r="K781" i="1" s="1"/>
  <c r="K782" i="1" a="1"/>
  <c r="K782" i="1" s="1"/>
  <c r="K783" i="1" a="1"/>
  <c r="K783" i="1" s="1"/>
  <c r="K784" i="1" a="1"/>
  <c r="K784" i="1" s="1"/>
  <c r="K785" i="1" a="1"/>
  <c r="K785" i="1" s="1"/>
  <c r="K786" i="1" a="1"/>
  <c r="K786" i="1" s="1"/>
  <c r="K787" i="1" a="1"/>
  <c r="K787" i="1" s="1"/>
  <c r="K788" i="1" a="1"/>
  <c r="K788" i="1" s="1"/>
  <c r="K789" i="1" a="1"/>
  <c r="K789" i="1" s="1"/>
  <c r="K790" i="1" a="1"/>
  <c r="K790" i="1" s="1"/>
  <c r="K791" i="1" a="1"/>
  <c r="K791" i="1" s="1"/>
  <c r="K792" i="1" a="1"/>
  <c r="K792" i="1" s="1"/>
  <c r="K2410" i="1" a="1"/>
  <c r="K2410" i="1" s="1"/>
  <c r="K2411" i="1" a="1"/>
  <c r="K2411" i="1" s="1"/>
  <c r="K793" i="1" a="1"/>
  <c r="K793" i="1" s="1"/>
  <c r="K794" i="1" a="1"/>
  <c r="K794" i="1" s="1"/>
  <c r="K795" i="1" a="1"/>
  <c r="K795" i="1" s="1"/>
  <c r="K796" i="1" a="1"/>
  <c r="K796" i="1" s="1"/>
  <c r="K797" i="1" a="1"/>
  <c r="K797" i="1" s="1"/>
  <c r="K798" i="1" a="1"/>
  <c r="K798" i="1" s="1"/>
  <c r="K799" i="1" a="1"/>
  <c r="K799" i="1" s="1"/>
  <c r="K800" i="1" a="1"/>
  <c r="K800" i="1" s="1"/>
  <c r="K801" i="1" a="1"/>
  <c r="K801" i="1" s="1"/>
  <c r="K802" i="1" a="1"/>
  <c r="K802" i="1" s="1"/>
  <c r="K803" i="1" a="1"/>
  <c r="K803" i="1" s="1"/>
  <c r="K804" i="1" a="1"/>
  <c r="K804" i="1" s="1"/>
  <c r="K805" i="1" a="1"/>
  <c r="K805" i="1" s="1"/>
  <c r="K806" i="1" a="1"/>
  <c r="K806" i="1" s="1"/>
  <c r="K807" i="1" a="1"/>
  <c r="K807" i="1" s="1"/>
  <c r="K808" i="1" a="1"/>
  <c r="K808" i="1" s="1"/>
  <c r="K809" i="1" a="1"/>
  <c r="K809" i="1" s="1"/>
  <c r="K810" i="1" a="1"/>
  <c r="K810" i="1" s="1"/>
  <c r="K811" i="1" a="1"/>
  <c r="K811" i="1" s="1"/>
  <c r="K812" i="1" a="1"/>
  <c r="K812" i="1" s="1"/>
  <c r="K813" i="1" a="1"/>
  <c r="K813" i="1" s="1"/>
  <c r="K814" i="1" a="1"/>
  <c r="K814" i="1" s="1"/>
  <c r="K815" i="1" a="1"/>
  <c r="K815" i="1" s="1"/>
  <c r="K816" i="1" a="1"/>
  <c r="K816" i="1" s="1"/>
  <c r="K817" i="1" a="1"/>
  <c r="K817" i="1" s="1"/>
  <c r="K2412" i="1" a="1"/>
  <c r="K2412" i="1" s="1"/>
  <c r="K818" i="1" a="1"/>
  <c r="K818" i="1" s="1"/>
  <c r="K819" i="1" a="1"/>
  <c r="K819" i="1" s="1"/>
  <c r="K820" i="1" a="1"/>
  <c r="K820" i="1" s="1"/>
  <c r="K821" i="1" a="1"/>
  <c r="K821" i="1" s="1"/>
  <c r="K822" i="1" a="1"/>
  <c r="K822" i="1" s="1"/>
  <c r="K823" i="1" a="1"/>
  <c r="K823" i="1" s="1"/>
  <c r="K2413" i="1" a="1"/>
  <c r="K2413" i="1" s="1"/>
  <c r="K2414" i="1" a="1"/>
  <c r="K2414" i="1" s="1"/>
  <c r="K824" i="1" a="1"/>
  <c r="K824" i="1" s="1"/>
  <c r="K825" i="1" a="1"/>
  <c r="K825" i="1" s="1"/>
  <c r="K826" i="1" a="1"/>
  <c r="K826" i="1" s="1"/>
  <c r="K827" i="1" a="1"/>
  <c r="K827" i="1" s="1"/>
  <c r="K828" i="1" a="1"/>
  <c r="K828" i="1" s="1"/>
  <c r="K2256" i="1" a="1"/>
  <c r="K2256" i="1" s="1"/>
  <c r="K829" i="1" a="1"/>
  <c r="K829" i="1" s="1"/>
  <c r="K830" i="1" a="1"/>
  <c r="K830" i="1" s="1"/>
  <c r="K2415" i="1" a="1"/>
  <c r="K2415" i="1" s="1"/>
  <c r="K831" i="1" a="1"/>
  <c r="K831" i="1" s="1"/>
  <c r="K832" i="1" a="1"/>
  <c r="K832" i="1" s="1"/>
  <c r="K833" i="1" a="1"/>
  <c r="K833" i="1" s="1"/>
  <c r="K834" i="1" a="1"/>
  <c r="K834" i="1" s="1"/>
  <c r="K835" i="1" a="1"/>
  <c r="K835" i="1" s="1"/>
  <c r="K836" i="1" a="1"/>
  <c r="K836" i="1" s="1"/>
  <c r="K837" i="1" a="1"/>
  <c r="K837" i="1" s="1"/>
  <c r="K838" i="1" a="1"/>
  <c r="K838" i="1" s="1"/>
  <c r="K839" i="1" a="1"/>
  <c r="K839" i="1" s="1"/>
  <c r="K840" i="1" a="1"/>
  <c r="K840" i="1" s="1"/>
  <c r="K841" i="1" a="1"/>
  <c r="K841" i="1" s="1"/>
  <c r="K842" i="1" a="1"/>
  <c r="K842" i="1" s="1"/>
  <c r="K2416" i="1" a="1"/>
  <c r="K2416" i="1" s="1"/>
  <c r="K843" i="1" a="1"/>
  <c r="K843" i="1" s="1"/>
  <c r="K844" i="1" a="1"/>
  <c r="K844" i="1" s="1"/>
  <c r="K845" i="1" a="1"/>
  <c r="K845" i="1" s="1"/>
  <c r="K846" i="1" a="1"/>
  <c r="K846" i="1" s="1"/>
  <c r="K847" i="1" a="1"/>
  <c r="K847" i="1" s="1"/>
  <c r="K848" i="1" a="1"/>
  <c r="K848" i="1" s="1"/>
  <c r="K849" i="1" a="1"/>
  <c r="K849" i="1" s="1"/>
  <c r="K850" i="1" a="1"/>
  <c r="K850" i="1" s="1"/>
  <c r="K851" i="1" a="1"/>
  <c r="K851" i="1" s="1"/>
  <c r="K852" i="1" a="1"/>
  <c r="K852" i="1" s="1"/>
  <c r="K853" i="1" a="1"/>
  <c r="K853" i="1" s="1"/>
  <c r="K854" i="1" a="1"/>
  <c r="K854" i="1" s="1"/>
  <c r="K2417" i="1" a="1"/>
  <c r="K2417" i="1" s="1"/>
  <c r="K855" i="1" a="1"/>
  <c r="K855" i="1" s="1"/>
  <c r="K856" i="1" a="1"/>
  <c r="K856" i="1" s="1"/>
  <c r="K857" i="1" a="1"/>
  <c r="K857" i="1" s="1"/>
  <c r="K858" i="1" a="1"/>
  <c r="K858" i="1" s="1"/>
  <c r="K859" i="1" a="1"/>
  <c r="K859" i="1" s="1"/>
  <c r="K2418" i="1" a="1"/>
  <c r="K2418" i="1" s="1"/>
  <c r="K860" i="1" a="1"/>
  <c r="K860" i="1" s="1"/>
  <c r="K861" i="1" a="1"/>
  <c r="K861" i="1" s="1"/>
  <c r="K862" i="1" a="1"/>
  <c r="K862" i="1" s="1"/>
  <c r="K863" i="1" a="1"/>
  <c r="K863" i="1" s="1"/>
  <c r="K864" i="1" a="1"/>
  <c r="K864" i="1" s="1"/>
  <c r="K865" i="1" a="1"/>
  <c r="K865" i="1" s="1"/>
  <c r="K866" i="1" a="1"/>
  <c r="K866" i="1" s="1"/>
  <c r="K867" i="1" a="1"/>
  <c r="K867" i="1" s="1"/>
  <c r="K2419" i="1" a="1"/>
  <c r="K2419" i="1" s="1"/>
  <c r="K2420" i="1" a="1"/>
  <c r="K2420" i="1" s="1"/>
  <c r="K868" i="1" a="1"/>
  <c r="K868" i="1" s="1"/>
  <c r="K869" i="1" a="1"/>
  <c r="K869" i="1" s="1"/>
  <c r="K870" i="1" a="1"/>
  <c r="K870" i="1" s="1"/>
  <c r="K871" i="1" a="1"/>
  <c r="K871" i="1" s="1"/>
  <c r="K872" i="1" a="1"/>
  <c r="K872" i="1" s="1"/>
  <c r="K873" i="1" a="1"/>
  <c r="K873" i="1" s="1"/>
  <c r="K874" i="1" a="1"/>
  <c r="K874" i="1" s="1"/>
  <c r="K875" i="1" a="1"/>
  <c r="K875" i="1" s="1"/>
  <c r="K876" i="1" a="1"/>
  <c r="K876" i="1" s="1"/>
  <c r="K877" i="1" a="1"/>
  <c r="K877" i="1" s="1"/>
  <c r="K878" i="1" a="1"/>
  <c r="K878" i="1" s="1"/>
  <c r="K879" i="1" a="1"/>
  <c r="K879" i="1" s="1"/>
  <c r="K880" i="1" a="1"/>
  <c r="K880" i="1" s="1"/>
  <c r="K2421" i="1" a="1"/>
  <c r="K2421" i="1" s="1"/>
  <c r="K881" i="1" a="1"/>
  <c r="K881" i="1" s="1"/>
  <c r="K882" i="1" a="1"/>
  <c r="K882" i="1" s="1"/>
  <c r="K2422" i="1" a="1"/>
  <c r="K2422" i="1" s="1"/>
  <c r="K883" i="1" a="1"/>
  <c r="K883" i="1" s="1"/>
  <c r="K884" i="1" a="1"/>
  <c r="K884" i="1" s="1"/>
  <c r="K2423" i="1" a="1"/>
  <c r="K2423" i="1" s="1"/>
  <c r="K885" i="1" a="1"/>
  <c r="K885" i="1" s="1"/>
  <c r="K886" i="1" a="1"/>
  <c r="K886" i="1" s="1"/>
  <c r="K887" i="1" a="1"/>
  <c r="K887" i="1" s="1"/>
  <c r="K888" i="1" a="1"/>
  <c r="K888" i="1" s="1"/>
  <c r="K889" i="1" a="1"/>
  <c r="K889" i="1" s="1"/>
  <c r="K890" i="1" a="1"/>
  <c r="K890" i="1" s="1"/>
  <c r="K891" i="1" a="1"/>
  <c r="K891" i="1" s="1"/>
  <c r="K892" i="1" a="1"/>
  <c r="K892" i="1" s="1"/>
  <c r="K2424" i="1" a="1"/>
  <c r="K2424" i="1" s="1"/>
  <c r="K893" i="1" a="1"/>
  <c r="K893" i="1" s="1"/>
  <c r="K2425" i="1" a="1"/>
  <c r="K2425" i="1" s="1"/>
  <c r="K894" i="1" a="1"/>
  <c r="K894" i="1" s="1"/>
  <c r="K895" i="1" a="1"/>
  <c r="K895" i="1" s="1"/>
  <c r="K2257" i="1" a="1"/>
  <c r="K2257" i="1" s="1"/>
  <c r="K896" i="1" a="1"/>
  <c r="K896" i="1" s="1"/>
  <c r="K897" i="1" a="1"/>
  <c r="K897" i="1" s="1"/>
  <c r="K898" i="1" a="1"/>
  <c r="K898" i="1" s="1"/>
  <c r="K899" i="1" a="1"/>
  <c r="K899" i="1" s="1"/>
  <c r="K900" i="1" a="1"/>
  <c r="K900" i="1" s="1"/>
  <c r="K901" i="1" a="1"/>
  <c r="K901" i="1" s="1"/>
  <c r="K902" i="1" a="1"/>
  <c r="K902" i="1" s="1"/>
  <c r="K903" i="1" a="1"/>
  <c r="K903" i="1" s="1"/>
  <c r="K904" i="1" a="1"/>
  <c r="K904" i="1" s="1"/>
  <c r="K905" i="1" a="1"/>
  <c r="K905" i="1" s="1"/>
  <c r="K906" i="1" a="1"/>
  <c r="K906" i="1" s="1"/>
  <c r="K907" i="1" a="1"/>
  <c r="K907" i="1" s="1"/>
  <c r="K908" i="1" a="1"/>
  <c r="K908" i="1" s="1"/>
  <c r="K909" i="1" a="1"/>
  <c r="K909" i="1" s="1"/>
  <c r="K910" i="1" a="1"/>
  <c r="K910" i="1" s="1"/>
  <c r="K911" i="1" a="1"/>
  <c r="K911" i="1" s="1"/>
  <c r="K912" i="1" a="1"/>
  <c r="K912" i="1" s="1"/>
  <c r="K913" i="1" a="1"/>
  <c r="K913" i="1" s="1"/>
  <c r="K914" i="1" a="1"/>
  <c r="K914" i="1" s="1"/>
  <c r="K915" i="1" a="1"/>
  <c r="K915" i="1" s="1"/>
  <c r="K2426" i="1" a="1"/>
  <c r="K2426" i="1" s="1"/>
  <c r="K916" i="1" a="1"/>
  <c r="K916" i="1" s="1"/>
  <c r="K917" i="1" a="1"/>
  <c r="K917" i="1" s="1"/>
  <c r="K918" i="1" a="1"/>
  <c r="K918" i="1" s="1"/>
  <c r="K919" i="1" a="1"/>
  <c r="K919" i="1" s="1"/>
  <c r="K920" i="1" a="1"/>
  <c r="K920" i="1" s="1"/>
  <c r="K921" i="1" a="1"/>
  <c r="K921" i="1" s="1"/>
  <c r="K922" i="1" a="1"/>
  <c r="K922" i="1" s="1"/>
  <c r="K923" i="1" a="1"/>
  <c r="K923" i="1" s="1"/>
  <c r="K924" i="1" a="1"/>
  <c r="K924" i="1" s="1"/>
  <c r="K2427" i="1" a="1"/>
  <c r="K2427" i="1" s="1"/>
  <c r="K925" i="1" a="1"/>
  <c r="K925" i="1" s="1"/>
  <c r="K926" i="1" a="1"/>
  <c r="K926" i="1" s="1"/>
  <c r="K927" i="1" a="1"/>
  <c r="K927" i="1" s="1"/>
  <c r="K928" i="1" a="1"/>
  <c r="K928" i="1" s="1"/>
  <c r="K929" i="1" a="1"/>
  <c r="K929" i="1" s="1"/>
  <c r="K930" i="1" a="1"/>
  <c r="K930" i="1" s="1"/>
  <c r="K931" i="1" a="1"/>
  <c r="K931" i="1" s="1"/>
  <c r="K932" i="1" a="1"/>
  <c r="K932" i="1" s="1"/>
  <c r="K933" i="1" a="1"/>
  <c r="K933" i="1" s="1"/>
  <c r="K2258" i="1" a="1"/>
  <c r="K2258" i="1" s="1"/>
  <c r="K934" i="1" a="1"/>
  <c r="K934" i="1" s="1"/>
  <c r="K935" i="1" a="1"/>
  <c r="K935" i="1" s="1"/>
  <c r="K936" i="1" a="1"/>
  <c r="K936" i="1" s="1"/>
  <c r="K937" i="1" a="1"/>
  <c r="K937" i="1" s="1"/>
  <c r="K938" i="1" a="1"/>
  <c r="K938" i="1" s="1"/>
  <c r="K939" i="1" a="1"/>
  <c r="K939" i="1" s="1"/>
  <c r="K940" i="1" a="1"/>
  <c r="K940" i="1" s="1"/>
  <c r="K941" i="1" a="1"/>
  <c r="K941" i="1" s="1"/>
  <c r="K942" i="1" a="1"/>
  <c r="K942" i="1" s="1"/>
  <c r="K2259" i="1" a="1"/>
  <c r="K2259" i="1" s="1"/>
  <c r="K943" i="1" a="1"/>
  <c r="K943" i="1" s="1"/>
  <c r="K944" i="1" a="1"/>
  <c r="K944" i="1" s="1"/>
  <c r="K2428" i="1" a="1"/>
  <c r="K2428" i="1" s="1"/>
  <c r="K945" i="1" a="1"/>
  <c r="K945" i="1" s="1"/>
  <c r="K946" i="1" a="1"/>
  <c r="K946" i="1" s="1"/>
  <c r="K2429" i="1" a="1"/>
  <c r="K2429" i="1" s="1"/>
  <c r="K947" i="1" a="1"/>
  <c r="K947" i="1" s="1"/>
  <c r="K948" i="1" a="1"/>
  <c r="K948" i="1" s="1"/>
  <c r="K949" i="1" a="1"/>
  <c r="K949" i="1" s="1"/>
  <c r="K950" i="1" a="1"/>
  <c r="K950" i="1" s="1"/>
  <c r="K951" i="1" a="1"/>
  <c r="K951" i="1" s="1"/>
  <c r="K952" i="1" a="1"/>
  <c r="K952" i="1" s="1"/>
  <c r="K953" i="1" a="1"/>
  <c r="K953" i="1" s="1"/>
  <c r="K954" i="1" a="1"/>
  <c r="K954" i="1" s="1"/>
  <c r="K2430" i="1" a="1"/>
  <c r="K2430" i="1" s="1"/>
  <c r="K955" i="1" a="1"/>
  <c r="K955" i="1" s="1"/>
  <c r="K956" i="1" a="1"/>
  <c r="K956" i="1" s="1"/>
  <c r="K957" i="1" a="1"/>
  <c r="K957" i="1" s="1"/>
  <c r="K958" i="1" a="1"/>
  <c r="K958" i="1" s="1"/>
  <c r="K959" i="1" a="1"/>
  <c r="K959" i="1" s="1"/>
  <c r="K960" i="1" a="1"/>
  <c r="K960" i="1" s="1"/>
  <c r="K961" i="1" a="1"/>
  <c r="K961" i="1" s="1"/>
  <c r="K962" i="1" a="1"/>
  <c r="K962" i="1" s="1"/>
  <c r="K963" i="1" a="1"/>
  <c r="K963" i="1" s="1"/>
  <c r="K964" i="1" a="1"/>
  <c r="K964" i="1" s="1"/>
  <c r="K2431" i="1" a="1"/>
  <c r="K2431" i="1" s="1"/>
  <c r="K965" i="1" a="1"/>
  <c r="K965" i="1" s="1"/>
  <c r="K966" i="1" a="1"/>
  <c r="K966" i="1" s="1"/>
  <c r="K967" i="1" a="1"/>
  <c r="K967" i="1" s="1"/>
  <c r="K968" i="1" a="1"/>
  <c r="K968" i="1" s="1"/>
  <c r="K2432" i="1" a="1"/>
  <c r="K2432" i="1" s="1"/>
  <c r="K969" i="1" a="1"/>
  <c r="K969" i="1" s="1"/>
  <c r="K970" i="1" a="1"/>
  <c r="K970" i="1" s="1"/>
  <c r="K971" i="1" a="1"/>
  <c r="K971" i="1" s="1"/>
  <c r="K972" i="1" a="1"/>
  <c r="K972" i="1" s="1"/>
  <c r="K973" i="1" a="1"/>
  <c r="K973" i="1" s="1"/>
  <c r="K974" i="1" a="1"/>
  <c r="K974" i="1" s="1"/>
  <c r="K975" i="1" a="1"/>
  <c r="K975" i="1" s="1"/>
  <c r="K976" i="1" a="1"/>
  <c r="K976" i="1" s="1"/>
  <c r="K977" i="1" a="1"/>
  <c r="K977" i="1" s="1"/>
  <c r="K978" i="1" a="1"/>
  <c r="K978" i="1" s="1"/>
  <c r="K979" i="1" a="1"/>
  <c r="K979" i="1" s="1"/>
  <c r="K980" i="1" a="1"/>
  <c r="K980" i="1" s="1"/>
  <c r="K981" i="1" a="1"/>
  <c r="K981" i="1" s="1"/>
  <c r="K982" i="1" a="1"/>
  <c r="K982" i="1" s="1"/>
  <c r="K983" i="1" a="1"/>
  <c r="K983" i="1" s="1"/>
  <c r="K984" i="1" a="1"/>
  <c r="K984" i="1" s="1"/>
  <c r="K985" i="1" a="1"/>
  <c r="K985" i="1" s="1"/>
  <c r="K986" i="1" a="1"/>
  <c r="K986" i="1" s="1"/>
  <c r="K987" i="1" a="1"/>
  <c r="K987" i="1" s="1"/>
  <c r="K988" i="1" a="1"/>
  <c r="K988" i="1" s="1"/>
  <c r="K989" i="1" a="1"/>
  <c r="K989" i="1" s="1"/>
  <c r="K990" i="1" a="1"/>
  <c r="K990" i="1" s="1"/>
  <c r="K991" i="1" a="1"/>
  <c r="K991" i="1" s="1"/>
  <c r="K992" i="1" a="1"/>
  <c r="K992" i="1" s="1"/>
  <c r="K2433" i="1" a="1"/>
  <c r="K2433" i="1" s="1"/>
  <c r="K993" i="1" a="1"/>
  <c r="K993" i="1" s="1"/>
  <c r="K994" i="1" a="1"/>
  <c r="K994" i="1" s="1"/>
  <c r="K2434" i="1" a="1"/>
  <c r="K2434" i="1" s="1"/>
  <c r="K995" i="1" a="1"/>
  <c r="K995" i="1" s="1"/>
  <c r="K996" i="1" a="1"/>
  <c r="K996" i="1" s="1"/>
  <c r="K997" i="1" a="1"/>
  <c r="K997" i="1" s="1"/>
  <c r="K998" i="1" a="1"/>
  <c r="K998" i="1" s="1"/>
  <c r="K999" i="1" a="1"/>
  <c r="K999" i="1" s="1"/>
  <c r="K1000" i="1" a="1"/>
  <c r="K1000" i="1" s="1"/>
  <c r="K1001" i="1" a="1"/>
  <c r="K1001" i="1" s="1"/>
  <c r="K1002" i="1" a="1"/>
  <c r="K1002" i="1" s="1"/>
  <c r="K1003" i="1" a="1"/>
  <c r="K1003" i="1" s="1"/>
  <c r="K1004" i="1" a="1"/>
  <c r="K1004" i="1" s="1"/>
  <c r="K1005" i="1" a="1"/>
  <c r="K1005" i="1" s="1"/>
  <c r="K1006" i="1" a="1"/>
  <c r="K1006" i="1" s="1"/>
  <c r="K1007" i="1" a="1"/>
  <c r="K1007" i="1" s="1"/>
  <c r="K1008" i="1" a="1"/>
  <c r="K1008" i="1" s="1"/>
  <c r="K1009" i="1" a="1"/>
  <c r="K1009" i="1" s="1"/>
  <c r="K1010" i="1" a="1"/>
  <c r="K1010" i="1" s="1"/>
  <c r="K1011" i="1" a="1"/>
  <c r="K1011" i="1" s="1"/>
  <c r="K1012" i="1" a="1"/>
  <c r="K1012" i="1" s="1"/>
  <c r="K1013" i="1" a="1"/>
  <c r="K1013" i="1" s="1"/>
  <c r="K1014" i="1" a="1"/>
  <c r="K1014" i="1" s="1"/>
  <c r="K1015" i="1" a="1"/>
  <c r="K1015" i="1" s="1"/>
  <c r="K1016" i="1" a="1"/>
  <c r="K1016" i="1" s="1"/>
  <c r="K1017" i="1" a="1"/>
  <c r="K1017" i="1" s="1"/>
  <c r="K1018" i="1" a="1"/>
  <c r="K1018" i="1" s="1"/>
  <c r="K1019" i="1" a="1"/>
  <c r="K1019" i="1" s="1"/>
  <c r="K1020" i="1" a="1"/>
  <c r="K1020" i="1" s="1"/>
  <c r="K1021" i="1" a="1"/>
  <c r="K1021" i="1" s="1"/>
  <c r="K1022" i="1" a="1"/>
  <c r="K1022" i="1" s="1"/>
  <c r="K1023" i="1" a="1"/>
  <c r="K1023" i="1" s="1"/>
  <c r="K1024" i="1" a="1"/>
  <c r="K1024" i="1" s="1"/>
  <c r="K1025" i="1" a="1"/>
  <c r="K1025" i="1" s="1"/>
  <c r="K1026" i="1" a="1"/>
  <c r="K1026" i="1" s="1"/>
  <c r="K1027" i="1" a="1"/>
  <c r="K1027" i="1" s="1"/>
  <c r="K1028" i="1" a="1"/>
  <c r="K1028" i="1" s="1"/>
  <c r="K2260" i="1" a="1"/>
  <c r="K2260" i="1" s="1"/>
  <c r="K1029" i="1" a="1"/>
  <c r="K1029" i="1" s="1"/>
  <c r="K1030" i="1" a="1"/>
  <c r="K1030" i="1" s="1"/>
  <c r="K1031" i="1" a="1"/>
  <c r="K1031" i="1" s="1"/>
  <c r="K2435" i="1" a="1"/>
  <c r="K2435" i="1" s="1"/>
  <c r="K2261" i="1" a="1"/>
  <c r="K2261" i="1" s="1"/>
  <c r="K2436" i="1" a="1"/>
  <c r="K2436" i="1" s="1"/>
  <c r="K1032" i="1" a="1"/>
  <c r="K1032" i="1" s="1"/>
  <c r="K1033" i="1" a="1"/>
  <c r="K1033" i="1" s="1"/>
  <c r="K1034" i="1" a="1"/>
  <c r="K1034" i="1" s="1"/>
  <c r="K1035" i="1" a="1"/>
  <c r="K1035" i="1" s="1"/>
  <c r="K1036" i="1" a="1"/>
  <c r="K1036" i="1" s="1"/>
  <c r="K2437" i="1" a="1"/>
  <c r="K2437" i="1" s="1"/>
  <c r="K1037" i="1" a="1"/>
  <c r="K1037" i="1" s="1"/>
  <c r="K1038" i="1" a="1"/>
  <c r="K1038" i="1" s="1"/>
  <c r="K1039" i="1" a="1"/>
  <c r="K1039" i="1" s="1"/>
  <c r="K2438" i="1" a="1"/>
  <c r="K2438" i="1" s="1"/>
  <c r="K1040" i="1" a="1"/>
  <c r="K1040" i="1" s="1"/>
  <c r="K1041" i="1" a="1"/>
  <c r="K1041" i="1" s="1"/>
  <c r="K1042" i="1" a="1"/>
  <c r="K1042" i="1" s="1"/>
  <c r="K1043" i="1" a="1"/>
  <c r="K1043" i="1" s="1"/>
  <c r="K1044" i="1" a="1"/>
  <c r="K1044" i="1" s="1"/>
  <c r="K1045" i="1" a="1"/>
  <c r="K1045" i="1" s="1"/>
  <c r="K1046" i="1" a="1"/>
  <c r="K1046" i="1" s="1"/>
  <c r="K1047" i="1" a="1"/>
  <c r="K1047" i="1" s="1"/>
  <c r="K1048" i="1" a="1"/>
  <c r="K1048" i="1" s="1"/>
  <c r="K1049" i="1" a="1"/>
  <c r="K1049" i="1" s="1"/>
  <c r="K1050" i="1" a="1"/>
  <c r="K1050" i="1" s="1"/>
  <c r="K1051" i="1" a="1"/>
  <c r="K1051" i="1" s="1"/>
  <c r="K1052" i="1" a="1"/>
  <c r="K1052" i="1" s="1"/>
  <c r="K1053" i="1" a="1"/>
  <c r="K1053" i="1" s="1"/>
  <c r="K1054" i="1" a="1"/>
  <c r="K1054" i="1" s="1"/>
  <c r="K1055" i="1" a="1"/>
  <c r="K1055" i="1" s="1"/>
  <c r="K1056" i="1" a="1"/>
  <c r="K1056" i="1" s="1"/>
  <c r="K1057" i="1" a="1"/>
  <c r="K1057" i="1" s="1"/>
  <c r="K2439" i="1" a="1"/>
  <c r="K2439" i="1" s="1"/>
  <c r="K1058" i="1" a="1"/>
  <c r="K1058" i="1" s="1"/>
  <c r="K1059" i="1" a="1"/>
  <c r="K1059" i="1" s="1"/>
  <c r="K1060" i="1" a="1"/>
  <c r="K1060" i="1" s="1"/>
  <c r="K1061" i="1" a="1"/>
  <c r="K1061" i="1" s="1"/>
  <c r="K1062" i="1" a="1"/>
  <c r="K1062" i="1" s="1"/>
  <c r="K1063" i="1" a="1"/>
  <c r="K1063" i="1" s="1"/>
  <c r="K1064" i="1" a="1"/>
  <c r="K1064" i="1" s="1"/>
  <c r="K1065" i="1" a="1"/>
  <c r="K1065" i="1" s="1"/>
  <c r="K2440" i="1" a="1"/>
  <c r="K2440" i="1" s="1"/>
  <c r="K1066" i="1" a="1"/>
  <c r="K1066" i="1" s="1"/>
  <c r="K1067" i="1" a="1"/>
  <c r="K1067" i="1" s="1"/>
  <c r="K1068" i="1" a="1"/>
  <c r="K1068" i="1" s="1"/>
  <c r="K1069" i="1" a="1"/>
  <c r="K1069" i="1" s="1"/>
  <c r="K1070" i="1" a="1"/>
  <c r="K1070" i="1" s="1"/>
  <c r="K2441" i="1" a="1"/>
  <c r="K2441" i="1" s="1"/>
  <c r="K1071" i="1" a="1"/>
  <c r="K1071" i="1" s="1"/>
  <c r="K1072" i="1" a="1"/>
  <c r="K1072" i="1" s="1"/>
  <c r="K1073" i="1" a="1"/>
  <c r="K1073" i="1" s="1"/>
  <c r="K1074" i="1" a="1"/>
  <c r="K1074" i="1" s="1"/>
  <c r="K1075" i="1" a="1"/>
  <c r="K1075" i="1" s="1"/>
  <c r="K1076" i="1" a="1"/>
  <c r="K1076" i="1" s="1"/>
  <c r="K1077" i="1" a="1"/>
  <c r="K1077" i="1" s="1"/>
  <c r="K1078" i="1" a="1"/>
  <c r="K1078" i="1" s="1"/>
  <c r="K1079" i="1" a="1"/>
  <c r="K1079" i="1" s="1"/>
  <c r="K2262" i="1" a="1"/>
  <c r="K2262" i="1" s="1"/>
  <c r="K2442" i="1" a="1"/>
  <c r="K2442" i="1" s="1"/>
  <c r="K2443" i="1" a="1"/>
  <c r="K2443" i="1" s="1"/>
  <c r="K2444" i="1" a="1"/>
  <c r="K2444" i="1" s="1"/>
  <c r="K1080" i="1" a="1"/>
  <c r="K1080" i="1" s="1"/>
  <c r="K1081" i="1" a="1"/>
  <c r="K1081" i="1" s="1"/>
  <c r="K1082" i="1" a="1"/>
  <c r="K1082" i="1" s="1"/>
  <c r="K1083" i="1" a="1"/>
  <c r="K1083" i="1" s="1"/>
  <c r="K1084" i="1" a="1"/>
  <c r="K1084" i="1" s="1"/>
  <c r="K1085" i="1" a="1"/>
  <c r="K1085" i="1" s="1"/>
  <c r="K2445" i="1" a="1"/>
  <c r="K2445" i="1" s="1"/>
  <c r="K1086" i="1" a="1"/>
  <c r="K1086" i="1" s="1"/>
  <c r="K1087" i="1" a="1"/>
  <c r="K1087" i="1" s="1"/>
  <c r="K1088" i="1" a="1"/>
  <c r="K1088" i="1" s="1"/>
  <c r="K2446" i="1" a="1"/>
  <c r="K2446" i="1" s="1"/>
  <c r="K1089" i="1" a="1"/>
  <c r="K1089" i="1" s="1"/>
  <c r="K1090" i="1" a="1"/>
  <c r="K1090" i="1" s="1"/>
  <c r="K1091" i="1" a="1"/>
  <c r="K1091" i="1" s="1"/>
  <c r="K1092" i="1" a="1"/>
  <c r="K1092" i="1" s="1"/>
  <c r="K1093" i="1" a="1"/>
  <c r="K1093" i="1" s="1"/>
  <c r="K1094" i="1" a="1"/>
  <c r="K1094" i="1" s="1"/>
  <c r="K1095" i="1" a="1"/>
  <c r="K1095" i="1" s="1"/>
  <c r="K2447" i="1" a="1"/>
  <c r="K2447" i="1" s="1"/>
  <c r="K1096" i="1" a="1"/>
  <c r="K1096" i="1" s="1"/>
  <c r="K2448" i="1" a="1"/>
  <c r="K2448" i="1" s="1"/>
  <c r="K1097" i="1" a="1"/>
  <c r="K1097" i="1" s="1"/>
  <c r="K1098" i="1" a="1"/>
  <c r="K1098" i="1" s="1"/>
  <c r="K2449" i="1" a="1"/>
  <c r="K2449" i="1" s="1"/>
  <c r="K2263" i="1" a="1"/>
  <c r="K2263" i="1" s="1"/>
  <c r="K1099" i="1" a="1"/>
  <c r="K1099" i="1" s="1"/>
  <c r="K1100" i="1" a="1"/>
  <c r="K1100" i="1" s="1"/>
  <c r="K1101" i="1" a="1"/>
  <c r="K1101" i="1" s="1"/>
  <c r="K2450" i="1" a="1"/>
  <c r="K2450" i="1" s="1"/>
  <c r="K1102" i="1" a="1"/>
  <c r="K1102" i="1" s="1"/>
  <c r="K1103" i="1" a="1"/>
  <c r="K1103" i="1" s="1"/>
  <c r="K1104" i="1" a="1"/>
  <c r="K1104" i="1" s="1"/>
  <c r="K2451" i="1" a="1"/>
  <c r="K2451" i="1" s="1"/>
  <c r="K1105" i="1" a="1"/>
  <c r="K1105" i="1" s="1"/>
  <c r="K2452" i="1" a="1"/>
  <c r="K2452" i="1" s="1"/>
  <c r="K1106" i="1" a="1"/>
  <c r="K1106" i="1" s="1"/>
  <c r="K1107" i="1" a="1"/>
  <c r="K1107" i="1" s="1"/>
  <c r="K1108" i="1" a="1"/>
  <c r="K1108" i="1" s="1"/>
  <c r="K1109" i="1" a="1"/>
  <c r="K1109" i="1" s="1"/>
  <c r="K1110" i="1" a="1"/>
  <c r="K1110" i="1" s="1"/>
  <c r="K1111" i="1" a="1"/>
  <c r="K1111" i="1" s="1"/>
  <c r="K1112" i="1" a="1"/>
  <c r="K1112" i="1" s="1"/>
  <c r="K1113" i="1" a="1"/>
  <c r="K1113" i="1" s="1"/>
  <c r="K1114" i="1" a="1"/>
  <c r="K1114" i="1" s="1"/>
  <c r="K1115" i="1" a="1"/>
  <c r="K1115" i="1" s="1"/>
  <c r="K2453" i="1" a="1"/>
  <c r="K2453" i="1" s="1"/>
  <c r="K1116" i="1" a="1"/>
  <c r="K1116" i="1" s="1"/>
  <c r="K1117" i="1" a="1"/>
  <c r="K1117" i="1" s="1"/>
  <c r="K2454" i="1" a="1"/>
  <c r="K2454" i="1" s="1"/>
  <c r="K1118" i="1" a="1"/>
  <c r="K1118" i="1" s="1"/>
  <c r="K1119" i="1" a="1"/>
  <c r="K1119" i="1" s="1"/>
  <c r="K2455" i="1" a="1"/>
  <c r="K2455" i="1" s="1"/>
  <c r="K1120" i="1" a="1"/>
  <c r="K1120" i="1" s="1"/>
  <c r="K1121" i="1" a="1"/>
  <c r="K1121" i="1" s="1"/>
  <c r="K1122" i="1" a="1"/>
  <c r="K1122" i="1" s="1"/>
  <c r="K1123" i="1" a="1"/>
  <c r="K1123" i="1" s="1"/>
  <c r="K1124" i="1" a="1"/>
  <c r="K1124" i="1" s="1"/>
  <c r="K1125" i="1" a="1"/>
  <c r="K1125" i="1" s="1"/>
  <c r="K1126" i="1" a="1"/>
  <c r="K1126" i="1" s="1"/>
  <c r="K1127" i="1" a="1"/>
  <c r="K1127" i="1" s="1"/>
  <c r="K1128" i="1" a="1"/>
  <c r="K1128" i="1" s="1"/>
  <c r="K1129" i="1" a="1"/>
  <c r="K1129" i="1" s="1"/>
  <c r="K1130" i="1" a="1"/>
  <c r="K1130" i="1" s="1"/>
  <c r="K1131" i="1" a="1"/>
  <c r="K1131" i="1" s="1"/>
  <c r="K2456" i="1" a="1"/>
  <c r="K2456" i="1" s="1"/>
  <c r="K2264" i="1" a="1"/>
  <c r="K2264" i="1" s="1"/>
  <c r="K1132" i="1" a="1"/>
  <c r="K1132" i="1" s="1"/>
  <c r="K1133" i="1" a="1"/>
  <c r="K1133" i="1" s="1"/>
  <c r="K1134" i="1" a="1"/>
  <c r="K1134" i="1" s="1"/>
  <c r="K1135" i="1" a="1"/>
  <c r="K1135" i="1" s="1"/>
  <c r="K1136" i="1" a="1"/>
  <c r="K1136" i="1" s="1"/>
  <c r="K1137" i="1" a="1"/>
  <c r="K1137" i="1" s="1"/>
  <c r="K2265" i="1" a="1"/>
  <c r="K2265" i="1" s="1"/>
  <c r="K1138" i="1" a="1"/>
  <c r="K1138" i="1" s="1"/>
  <c r="K1139" i="1" a="1"/>
  <c r="K1139" i="1" s="1"/>
  <c r="K1140" i="1" a="1"/>
  <c r="K1140" i="1" s="1"/>
  <c r="K1141" i="1" a="1"/>
  <c r="K1141" i="1" s="1"/>
  <c r="K1142" i="1" a="1"/>
  <c r="K1142" i="1" s="1"/>
  <c r="K1143" i="1" a="1"/>
  <c r="K1143" i="1" s="1"/>
  <c r="K1144" i="1" a="1"/>
  <c r="K1144" i="1" s="1"/>
  <c r="K1145" i="1" a="1"/>
  <c r="K1145" i="1" s="1"/>
  <c r="K1146" i="1" a="1"/>
  <c r="K1146" i="1" s="1"/>
  <c r="K1147" i="1" a="1"/>
  <c r="K1147" i="1" s="1"/>
  <c r="K1148" i="1" a="1"/>
  <c r="K1148" i="1" s="1"/>
  <c r="K1149" i="1" a="1"/>
  <c r="K1149" i="1" s="1"/>
  <c r="K1150" i="1" a="1"/>
  <c r="K1150" i="1" s="1"/>
  <c r="K1151" i="1" a="1"/>
  <c r="K1151" i="1" s="1"/>
  <c r="K1152" i="1" a="1"/>
  <c r="K1152" i="1" s="1"/>
  <c r="K1153" i="1" a="1"/>
  <c r="K1153" i="1" s="1"/>
  <c r="K1154" i="1" a="1"/>
  <c r="K1154" i="1" s="1"/>
  <c r="K1155" i="1" a="1"/>
  <c r="K1155" i="1" s="1"/>
  <c r="K1156" i="1" a="1"/>
  <c r="K1156" i="1" s="1"/>
  <c r="K2457" i="1" a="1"/>
  <c r="K2457" i="1" s="1"/>
  <c r="K1157" i="1" a="1"/>
  <c r="K1157" i="1" s="1"/>
  <c r="K1158" i="1" a="1"/>
  <c r="K1158" i="1" s="1"/>
  <c r="K1159" i="1" a="1"/>
  <c r="K1159" i="1" s="1"/>
  <c r="K1160" i="1" a="1"/>
  <c r="K1160" i="1" s="1"/>
  <c r="K1161" i="1" a="1"/>
  <c r="K1161" i="1" s="1"/>
  <c r="K1162" i="1" a="1"/>
  <c r="K1162" i="1" s="1"/>
  <c r="K1163" i="1" a="1"/>
  <c r="K1163" i="1" s="1"/>
  <c r="K1164" i="1" a="1"/>
  <c r="K1164" i="1" s="1"/>
  <c r="K1165" i="1" a="1"/>
  <c r="K1165" i="1" s="1"/>
  <c r="K1166" i="1" a="1"/>
  <c r="K1166" i="1" s="1"/>
  <c r="K1167" i="1" a="1"/>
  <c r="K1167" i="1" s="1"/>
  <c r="K1168" i="1" a="1"/>
  <c r="K1168" i="1" s="1"/>
  <c r="K1169" i="1" a="1"/>
  <c r="K1169" i="1" s="1"/>
  <c r="K1170" i="1" a="1"/>
  <c r="K1170" i="1" s="1"/>
  <c r="K1171" i="1" a="1"/>
  <c r="K1171" i="1" s="1"/>
  <c r="K1172" i="1" a="1"/>
  <c r="K1172" i="1" s="1"/>
  <c r="K1173" i="1" a="1"/>
  <c r="K1173" i="1" s="1"/>
  <c r="K1174" i="1" a="1"/>
  <c r="K1174" i="1" s="1"/>
  <c r="K1175" i="1" a="1"/>
  <c r="K1175" i="1" s="1"/>
  <c r="K1176" i="1" a="1"/>
  <c r="K1176" i="1" s="1"/>
  <c r="K1177" i="1" a="1"/>
  <c r="K1177" i="1" s="1"/>
  <c r="K1178" i="1" a="1"/>
  <c r="K1178" i="1" s="1"/>
  <c r="K2458" i="1" a="1"/>
  <c r="K2458" i="1" s="1"/>
  <c r="K1179" i="1" a="1"/>
  <c r="K1179" i="1" s="1"/>
  <c r="K1180" i="1" a="1"/>
  <c r="K1180" i="1" s="1"/>
  <c r="K1181" i="1" a="1"/>
  <c r="K1181" i="1" s="1"/>
  <c r="K1182" i="1" a="1"/>
  <c r="K1182" i="1" s="1"/>
  <c r="K1183" i="1" a="1"/>
  <c r="K1183" i="1" s="1"/>
  <c r="K1184" i="1" a="1"/>
  <c r="K1184" i="1" s="1"/>
  <c r="K1185" i="1" a="1"/>
  <c r="K1185" i="1" s="1"/>
  <c r="K1186" i="1" a="1"/>
  <c r="K1186" i="1" s="1"/>
  <c r="K1187" i="1" a="1"/>
  <c r="K1187" i="1" s="1"/>
  <c r="K1188" i="1" a="1"/>
  <c r="K1188" i="1" s="1"/>
  <c r="K2459" i="1" a="1"/>
  <c r="K2459" i="1" s="1"/>
  <c r="K1189" i="1" a="1"/>
  <c r="K1189" i="1" s="1"/>
  <c r="K1190" i="1" a="1"/>
  <c r="K1190" i="1" s="1"/>
  <c r="K1191" i="1" a="1"/>
  <c r="K1191" i="1" s="1"/>
  <c r="K1192" i="1" a="1"/>
  <c r="K1192" i="1" s="1"/>
  <c r="K2460" i="1" a="1"/>
  <c r="K2460" i="1" s="1"/>
  <c r="K2461" i="1" a="1"/>
  <c r="K2461" i="1" s="1"/>
  <c r="K1193" i="1" a="1"/>
  <c r="K1193" i="1" s="1"/>
  <c r="K1194" i="1" a="1"/>
  <c r="K1194" i="1" s="1"/>
  <c r="K1195" i="1" a="1"/>
  <c r="K1195" i="1" s="1"/>
  <c r="K1196" i="1" a="1"/>
  <c r="K1196" i="1" s="1"/>
  <c r="K1197" i="1" a="1"/>
  <c r="K1197" i="1" s="1"/>
  <c r="K1198" i="1" a="1"/>
  <c r="K1198" i="1" s="1"/>
  <c r="K1199" i="1" a="1"/>
  <c r="K1199" i="1" s="1"/>
  <c r="K2462" i="1" a="1"/>
  <c r="K2462" i="1" s="1"/>
  <c r="K1200" i="1" a="1"/>
  <c r="K1200" i="1" s="1"/>
  <c r="K1201" i="1" a="1"/>
  <c r="K1201" i="1" s="1"/>
  <c r="K1202" i="1" a="1"/>
  <c r="K1202" i="1" s="1"/>
  <c r="K1203" i="1" a="1"/>
  <c r="K1203" i="1" s="1"/>
  <c r="K1204" i="1" a="1"/>
  <c r="K1204" i="1" s="1"/>
  <c r="K1205" i="1" a="1"/>
  <c r="K1205" i="1" s="1"/>
  <c r="K2463" i="1" a="1"/>
  <c r="K2463" i="1" s="1"/>
  <c r="K1206" i="1" a="1"/>
  <c r="K1206" i="1" s="1"/>
  <c r="K1207" i="1" a="1"/>
  <c r="K1207" i="1" s="1"/>
  <c r="K2464" i="1" a="1"/>
  <c r="K2464" i="1" s="1"/>
  <c r="K1208" i="1" a="1"/>
  <c r="K1208" i="1" s="1"/>
  <c r="K2465" i="1" a="1"/>
  <c r="K2465" i="1" s="1"/>
  <c r="K1209" i="1" a="1"/>
  <c r="K1209" i="1" s="1"/>
  <c r="K2266" i="1" a="1"/>
  <c r="K2266" i="1" s="1"/>
  <c r="K1210" i="1" a="1"/>
  <c r="K1210" i="1" s="1"/>
  <c r="K1211" i="1" a="1"/>
  <c r="K1211" i="1" s="1"/>
  <c r="K1212" i="1" a="1"/>
  <c r="K1212" i="1" s="1"/>
  <c r="K1213" i="1" a="1"/>
  <c r="K1213" i="1" s="1"/>
  <c r="K1214" i="1" a="1"/>
  <c r="K1214" i="1" s="1"/>
  <c r="K1215" i="1" a="1"/>
  <c r="K1215" i="1" s="1"/>
  <c r="K1216" i="1" a="1"/>
  <c r="K1216" i="1" s="1"/>
  <c r="K1217" i="1" a="1"/>
  <c r="K1217" i="1" s="1"/>
  <c r="K1218" i="1" a="1"/>
  <c r="K1218" i="1" s="1"/>
  <c r="K1219" i="1" a="1"/>
  <c r="K1219" i="1" s="1"/>
  <c r="K1220" i="1" a="1"/>
  <c r="K1220" i="1" s="1"/>
  <c r="K1221" i="1" a="1"/>
  <c r="K1221" i="1" s="1"/>
  <c r="K1222" i="1" a="1"/>
  <c r="K1222" i="1" s="1"/>
  <c r="K1223" i="1" a="1"/>
  <c r="K1223" i="1" s="1"/>
  <c r="K1224" i="1" a="1"/>
  <c r="K1224" i="1" s="1"/>
  <c r="K1225" i="1" a="1"/>
  <c r="K1225" i="1" s="1"/>
  <c r="K1226" i="1" a="1"/>
  <c r="K1226" i="1" s="1"/>
  <c r="K1227" i="1" a="1"/>
  <c r="K1227" i="1" s="1"/>
  <c r="K1228" i="1" a="1"/>
  <c r="K1228" i="1" s="1"/>
  <c r="K2267" i="1" a="1"/>
  <c r="K2267" i="1" s="1"/>
  <c r="K1229" i="1" a="1"/>
  <c r="K1229" i="1" s="1"/>
  <c r="K1230" i="1" a="1"/>
  <c r="K1230" i="1" s="1"/>
  <c r="K1231" i="1" a="1"/>
  <c r="K1231" i="1" s="1"/>
  <c r="K1232" i="1" a="1"/>
  <c r="K1232" i="1" s="1"/>
  <c r="K1233" i="1" a="1"/>
  <c r="K1233" i="1" s="1"/>
  <c r="K1234" i="1" a="1"/>
  <c r="K1234" i="1" s="1"/>
  <c r="K1235" i="1" a="1"/>
  <c r="K1235" i="1" s="1"/>
  <c r="K1236" i="1" a="1"/>
  <c r="K1236" i="1" s="1"/>
  <c r="K1237" i="1" a="1"/>
  <c r="K1237" i="1" s="1"/>
  <c r="K1238" i="1" a="1"/>
  <c r="K1238" i="1" s="1"/>
  <c r="K1239" i="1" a="1"/>
  <c r="K1239" i="1" s="1"/>
  <c r="K1240" i="1" a="1"/>
  <c r="K1240" i="1" s="1"/>
  <c r="K1241" i="1" a="1"/>
  <c r="K1241" i="1" s="1"/>
  <c r="K1242" i="1" a="1"/>
  <c r="K1242" i="1" s="1"/>
  <c r="K1243" i="1" a="1"/>
  <c r="K1243" i="1" s="1"/>
  <c r="K1244" i="1" a="1"/>
  <c r="K1244" i="1" s="1"/>
  <c r="K1245" i="1" a="1"/>
  <c r="K1245" i="1" s="1"/>
  <c r="K1246" i="1" a="1"/>
  <c r="K1246" i="1" s="1"/>
  <c r="K1247" i="1" a="1"/>
  <c r="K1247" i="1" s="1"/>
  <c r="K1248" i="1" a="1"/>
  <c r="K1248" i="1" s="1"/>
  <c r="K1249" i="1" a="1"/>
  <c r="K1249" i="1" s="1"/>
  <c r="K2466" i="1" a="1"/>
  <c r="K2466" i="1" s="1"/>
  <c r="K1250" i="1" a="1"/>
  <c r="K1250" i="1" s="1"/>
  <c r="K1251" i="1" a="1"/>
  <c r="K1251" i="1" s="1"/>
  <c r="K1252" i="1" a="1"/>
  <c r="K1252" i="1" s="1"/>
  <c r="K2467" i="1" a="1"/>
  <c r="K2467" i="1" s="1"/>
  <c r="K1253" i="1" a="1"/>
  <c r="K1253" i="1" s="1"/>
  <c r="K1254" i="1" a="1"/>
  <c r="K1254" i="1" s="1"/>
  <c r="K1255" i="1" a="1"/>
  <c r="K1255" i="1" s="1"/>
  <c r="K2468" i="1" a="1"/>
  <c r="K2468" i="1" s="1"/>
  <c r="K1256" i="1" a="1"/>
  <c r="K1256" i="1" s="1"/>
  <c r="K1257" i="1" a="1"/>
  <c r="K1257" i="1" s="1"/>
  <c r="K1258" i="1" a="1"/>
  <c r="K1258" i="1" s="1"/>
  <c r="K1259" i="1" a="1"/>
  <c r="K1259" i="1" s="1"/>
  <c r="K2469" i="1" a="1"/>
  <c r="K2469" i="1" s="1"/>
  <c r="K2470" i="1" a="1"/>
  <c r="K2470" i="1" s="1"/>
  <c r="K2471" i="1" a="1"/>
  <c r="K2471" i="1" s="1"/>
  <c r="K2472" i="1" a="1"/>
  <c r="K2472" i="1" s="1"/>
  <c r="K2473" i="1" a="1"/>
  <c r="K2473" i="1" s="1"/>
  <c r="K1260" i="1" a="1"/>
  <c r="K1260" i="1" s="1"/>
  <c r="K2268" i="1" a="1"/>
  <c r="K2268" i="1" s="1"/>
  <c r="K1261" i="1" a="1"/>
  <c r="K1261" i="1" s="1"/>
  <c r="K1262" i="1" a="1"/>
  <c r="K1262" i="1" s="1"/>
  <c r="K1263" i="1" a="1"/>
  <c r="K1263" i="1" s="1"/>
  <c r="K1264" i="1" a="1"/>
  <c r="K1264" i="1" s="1"/>
  <c r="K1265" i="1" a="1"/>
  <c r="K1265" i="1" s="1"/>
  <c r="K1266" i="1" a="1"/>
  <c r="K1266" i="1" s="1"/>
  <c r="K2474" i="1" a="1"/>
  <c r="K2474" i="1" s="1"/>
  <c r="K1267" i="1" a="1"/>
  <c r="K1267" i="1" s="1"/>
  <c r="K1268" i="1" a="1"/>
  <c r="K1268" i="1" s="1"/>
  <c r="K1269" i="1" a="1"/>
  <c r="K1269" i="1" s="1"/>
  <c r="K1270" i="1" a="1"/>
  <c r="K1270" i="1" s="1"/>
  <c r="K1271" i="1" a="1"/>
  <c r="K1271" i="1" s="1"/>
  <c r="K1272" i="1" a="1"/>
  <c r="K1272" i="1" s="1"/>
  <c r="K1273" i="1" a="1"/>
  <c r="K1273" i="1" s="1"/>
  <c r="K1274" i="1" a="1"/>
  <c r="K1274" i="1" s="1"/>
  <c r="K1275" i="1" a="1"/>
  <c r="K1275" i="1" s="1"/>
  <c r="K1276" i="1" a="1"/>
  <c r="K1276" i="1" s="1"/>
  <c r="K1277" i="1" a="1"/>
  <c r="K1277" i="1" s="1"/>
  <c r="K1278" i="1" a="1"/>
  <c r="K1278" i="1" s="1"/>
  <c r="K1279" i="1" a="1"/>
  <c r="K1279" i="1" s="1"/>
  <c r="K1280" i="1" a="1"/>
  <c r="K1280" i="1" s="1"/>
  <c r="K1281" i="1" a="1"/>
  <c r="K1281" i="1" s="1"/>
  <c r="K1282" i="1" a="1"/>
  <c r="K1282" i="1" s="1"/>
  <c r="K1283" i="1" a="1"/>
  <c r="K1283" i="1" s="1"/>
  <c r="K1284" i="1" a="1"/>
  <c r="K1284" i="1" s="1"/>
  <c r="K1285" i="1" a="1"/>
  <c r="K1285" i="1" s="1"/>
  <c r="K1286" i="1" a="1"/>
  <c r="K1286" i="1" s="1"/>
  <c r="K2475" i="1" a="1"/>
  <c r="K2475" i="1" s="1"/>
  <c r="K1287" i="1" a="1"/>
  <c r="K1287" i="1" s="1"/>
  <c r="K1288" i="1" a="1"/>
  <c r="K1288" i="1" s="1"/>
  <c r="K1289" i="1" a="1"/>
  <c r="K1289" i="1" s="1"/>
  <c r="K1290" i="1" a="1"/>
  <c r="K1290" i="1" s="1"/>
  <c r="K1291" i="1" a="1"/>
  <c r="K1291" i="1" s="1"/>
  <c r="K1292" i="1" a="1"/>
  <c r="K1292" i="1" s="1"/>
  <c r="K1293" i="1" a="1"/>
  <c r="K1293" i="1" s="1"/>
  <c r="K1294" i="1" a="1"/>
  <c r="K1294" i="1" s="1"/>
  <c r="K1295" i="1" a="1"/>
  <c r="K1295" i="1" s="1"/>
  <c r="K1296" i="1" a="1"/>
  <c r="K1296" i="1" s="1"/>
  <c r="K1297" i="1" a="1"/>
  <c r="K1297" i="1" s="1"/>
  <c r="K1298" i="1" a="1"/>
  <c r="K1298" i="1" s="1"/>
  <c r="K1299" i="1" a="1"/>
  <c r="K1299" i="1" s="1"/>
  <c r="K1300" i="1" a="1"/>
  <c r="K1300" i="1" s="1"/>
  <c r="K1301" i="1" a="1"/>
  <c r="K1301" i="1" s="1"/>
  <c r="K1302" i="1" a="1"/>
  <c r="K1302" i="1" s="1"/>
  <c r="K1303" i="1" a="1"/>
  <c r="K1303" i="1" s="1"/>
  <c r="K2476" i="1" a="1"/>
  <c r="K2476" i="1" s="1"/>
  <c r="K1304" i="1" a="1"/>
  <c r="K1304" i="1" s="1"/>
  <c r="K1305" i="1" a="1"/>
  <c r="K1305" i="1" s="1"/>
  <c r="K1306" i="1" a="1"/>
  <c r="K1306" i="1" s="1"/>
  <c r="K1307" i="1" a="1"/>
  <c r="K1307" i="1" s="1"/>
  <c r="K1308" i="1" a="1"/>
  <c r="K1308" i="1" s="1"/>
  <c r="K1309" i="1" a="1"/>
  <c r="K1309" i="1" s="1"/>
  <c r="K1310" i="1" a="1"/>
  <c r="K1310" i="1" s="1"/>
  <c r="K1311" i="1" a="1"/>
  <c r="K1311" i="1" s="1"/>
  <c r="K1312" i="1" a="1"/>
  <c r="K1312" i="1" s="1"/>
  <c r="K1313" i="1" a="1"/>
  <c r="K1313" i="1" s="1"/>
  <c r="K1314" i="1" a="1"/>
  <c r="K1314" i="1" s="1"/>
  <c r="K1315" i="1" a="1"/>
  <c r="K1315" i="1" s="1"/>
  <c r="K1316" i="1" a="1"/>
  <c r="K1316" i="1" s="1"/>
  <c r="K1317" i="1" a="1"/>
  <c r="K1317" i="1" s="1"/>
  <c r="K2477" i="1" a="1"/>
  <c r="K2477" i="1" s="1"/>
  <c r="K1318" i="1" a="1"/>
  <c r="K1318" i="1" s="1"/>
  <c r="K1319" i="1" a="1"/>
  <c r="K1319" i="1" s="1"/>
  <c r="K1320" i="1" a="1"/>
  <c r="K1320" i="1" s="1"/>
  <c r="K1321" i="1" a="1"/>
  <c r="K1321" i="1" s="1"/>
  <c r="K1322" i="1" a="1"/>
  <c r="K1322" i="1" s="1"/>
  <c r="K1323" i="1" a="1"/>
  <c r="K1323" i="1" s="1"/>
  <c r="K1324" i="1" a="1"/>
  <c r="K1324" i="1" s="1"/>
  <c r="K1325" i="1" a="1"/>
  <c r="K1325" i="1" s="1"/>
  <c r="K2478" i="1" a="1"/>
  <c r="K2478" i="1" s="1"/>
  <c r="K1326" i="1" a="1"/>
  <c r="K1326" i="1" s="1"/>
  <c r="K1327" i="1" a="1"/>
  <c r="K1327" i="1" s="1"/>
  <c r="K1328" i="1" a="1"/>
  <c r="K1328" i="1" s="1"/>
  <c r="K1329" i="1" a="1"/>
  <c r="K1329" i="1" s="1"/>
  <c r="K1330" i="1" a="1"/>
  <c r="K1330" i="1" s="1"/>
  <c r="K1331" i="1" a="1"/>
  <c r="K1331" i="1" s="1"/>
  <c r="K1332" i="1" a="1"/>
  <c r="K1332" i="1" s="1"/>
  <c r="K1333" i="1" a="1"/>
  <c r="K1333" i="1" s="1"/>
  <c r="K2479" i="1" a="1"/>
  <c r="K2479" i="1" s="1"/>
  <c r="K1334" i="1" a="1"/>
  <c r="K1334" i="1" s="1"/>
  <c r="K1335" i="1" a="1"/>
  <c r="K1335" i="1" s="1"/>
  <c r="K1336" i="1" a="1"/>
  <c r="K1336" i="1" s="1"/>
  <c r="K1337" i="1" a="1"/>
  <c r="K1337" i="1" s="1"/>
  <c r="K1338" i="1" a="1"/>
  <c r="K1338" i="1" s="1"/>
  <c r="K1339" i="1" a="1"/>
  <c r="K1339" i="1" s="1"/>
  <c r="K1340" i="1" a="1"/>
  <c r="K1340" i="1" s="1"/>
  <c r="K2480" i="1" a="1"/>
  <c r="K2480" i="1" s="1"/>
  <c r="K1341" i="1" a="1"/>
  <c r="K1341" i="1" s="1"/>
  <c r="K1342" i="1" a="1"/>
  <c r="K1342" i="1" s="1"/>
  <c r="K1343" i="1" a="1"/>
  <c r="K1343" i="1" s="1"/>
  <c r="K1344" i="1" a="1"/>
  <c r="K1344" i="1" s="1"/>
  <c r="K1345" i="1" a="1"/>
  <c r="K1345" i="1" s="1"/>
  <c r="K2481" i="1" a="1"/>
  <c r="K2481" i="1" s="1"/>
  <c r="K1346" i="1" a="1"/>
  <c r="K1346" i="1" s="1"/>
  <c r="K1347" i="1" a="1"/>
  <c r="K1347" i="1" s="1"/>
  <c r="K2482" i="1" a="1"/>
  <c r="K2482" i="1" s="1"/>
  <c r="K1348" i="1" a="1"/>
  <c r="K1348" i="1" s="1"/>
  <c r="K2483" i="1" a="1"/>
  <c r="K2483" i="1" s="1"/>
  <c r="K1349" i="1" a="1"/>
  <c r="K1349" i="1" s="1"/>
  <c r="K1350" i="1" a="1"/>
  <c r="K1350" i="1" s="1"/>
  <c r="K1351" i="1" a="1"/>
  <c r="K1351" i="1" s="1"/>
  <c r="K1352" i="1" a="1"/>
  <c r="K1352" i="1" s="1"/>
  <c r="K1353" i="1" a="1"/>
  <c r="K1353" i="1" s="1"/>
  <c r="K1354" i="1" a="1"/>
  <c r="K1354" i="1" s="1"/>
  <c r="K2484" i="1" a="1"/>
  <c r="K2484" i="1" s="1"/>
  <c r="K1355" i="1" a="1"/>
  <c r="K1355" i="1" s="1"/>
  <c r="K1356" i="1" a="1"/>
  <c r="K1356" i="1" s="1"/>
  <c r="K1357" i="1" a="1"/>
  <c r="K1357" i="1" s="1"/>
  <c r="K1358" i="1" a="1"/>
  <c r="K1358" i="1" s="1"/>
  <c r="K1359" i="1" a="1"/>
  <c r="K1359" i="1" s="1"/>
  <c r="K1360" i="1" a="1"/>
  <c r="K1360" i="1" s="1"/>
  <c r="K1361" i="1" a="1"/>
  <c r="K1361" i="1" s="1"/>
  <c r="K2485" i="1" a="1"/>
  <c r="K2485" i="1" s="1"/>
  <c r="K2486" i="1" a="1"/>
  <c r="K2486" i="1" s="1"/>
  <c r="K1362" i="1" a="1"/>
  <c r="K1362" i="1" s="1"/>
  <c r="K1363" i="1" a="1"/>
  <c r="K1363" i="1" s="1"/>
  <c r="K1364" i="1" a="1"/>
  <c r="K1364" i="1" s="1"/>
  <c r="K1365" i="1" a="1"/>
  <c r="K1365" i="1" s="1"/>
  <c r="K1366" i="1" a="1"/>
  <c r="K1366" i="1" s="1"/>
  <c r="K1367" i="1" a="1"/>
  <c r="K1367" i="1" s="1"/>
  <c r="K2487" i="1" a="1"/>
  <c r="K2487" i="1" s="1"/>
  <c r="K1368" i="1" a="1"/>
  <c r="K1368" i="1" s="1"/>
  <c r="K1369" i="1" a="1"/>
  <c r="K1369" i="1" s="1"/>
  <c r="K2269" i="1" a="1"/>
  <c r="K2269" i="1" s="1"/>
  <c r="K2488" i="1" a="1"/>
  <c r="K2488" i="1" s="1"/>
  <c r="K1370" i="1" a="1"/>
  <c r="K1370" i="1" s="1"/>
  <c r="K1371" i="1" a="1"/>
  <c r="K1371" i="1" s="1"/>
  <c r="K1372" i="1" a="1"/>
  <c r="K1372" i="1" s="1"/>
  <c r="K2489" i="1" a="1"/>
  <c r="K2489" i="1" s="1"/>
  <c r="K1373" i="1" a="1"/>
  <c r="K1373" i="1" s="1"/>
  <c r="K1374" i="1" a="1"/>
  <c r="K1374" i="1" s="1"/>
  <c r="K2490" i="1" a="1"/>
  <c r="K2490" i="1" s="1"/>
  <c r="K1375" i="1" a="1"/>
  <c r="K1375" i="1" s="1"/>
  <c r="K1376" i="1" a="1"/>
  <c r="K1376" i="1" s="1"/>
  <c r="K1377" i="1" a="1"/>
  <c r="K1377" i="1" s="1"/>
  <c r="K1378" i="1" a="1"/>
  <c r="K1378" i="1" s="1"/>
  <c r="K1379" i="1" a="1"/>
  <c r="K1379" i="1" s="1"/>
  <c r="K1380" i="1" a="1"/>
  <c r="K1380" i="1" s="1"/>
  <c r="K1381" i="1" a="1"/>
  <c r="K1381" i="1" s="1"/>
  <c r="K1382" i="1" a="1"/>
  <c r="K1382" i="1" s="1"/>
  <c r="K2491" i="1" a="1"/>
  <c r="K2491" i="1" s="1"/>
  <c r="K1383" i="1" a="1"/>
  <c r="K1383" i="1" s="1"/>
  <c r="K1384" i="1" a="1"/>
  <c r="K1384" i="1" s="1"/>
  <c r="K1385" i="1" a="1"/>
  <c r="K1385" i="1" s="1"/>
  <c r="K1386" i="1" a="1"/>
  <c r="K1386" i="1" s="1"/>
  <c r="K1387" i="1" a="1"/>
  <c r="K1387" i="1" s="1"/>
  <c r="K1388" i="1" a="1"/>
  <c r="K1388" i="1" s="1"/>
  <c r="K1389" i="1" a="1"/>
  <c r="K1389" i="1" s="1"/>
  <c r="K1390" i="1" a="1"/>
  <c r="K1390" i="1" s="1"/>
  <c r="K1391" i="1" a="1"/>
  <c r="K1391" i="1" s="1"/>
  <c r="K1392" i="1" a="1"/>
  <c r="K1392" i="1" s="1"/>
  <c r="K1393" i="1" a="1"/>
  <c r="K1393" i="1" s="1"/>
  <c r="K1394" i="1" a="1"/>
  <c r="K1394" i="1" s="1"/>
  <c r="K1395" i="1" a="1"/>
  <c r="K1395" i="1" s="1"/>
  <c r="K1396" i="1" a="1"/>
  <c r="K1396" i="1" s="1"/>
  <c r="K1397" i="1" a="1"/>
  <c r="K1397" i="1" s="1"/>
  <c r="K1398" i="1" a="1"/>
  <c r="K1398" i="1" s="1"/>
  <c r="K1399" i="1" a="1"/>
  <c r="K1399" i="1" s="1"/>
  <c r="K1400" i="1" a="1"/>
  <c r="K1400" i="1" s="1"/>
  <c r="K1401" i="1" a="1"/>
  <c r="K1401" i="1" s="1"/>
  <c r="K1402" i="1" a="1"/>
  <c r="K1402" i="1" s="1"/>
  <c r="K1403" i="1" a="1"/>
  <c r="K1403" i="1" s="1"/>
  <c r="K1404" i="1" a="1"/>
  <c r="K1404" i="1" s="1"/>
  <c r="K1405" i="1" a="1"/>
  <c r="K1405" i="1" s="1"/>
  <c r="K2492" i="1" a="1"/>
  <c r="K2492" i="1" s="1"/>
  <c r="K1406" i="1" a="1"/>
  <c r="K1406" i="1" s="1"/>
  <c r="K2270" i="1" a="1"/>
  <c r="K2270" i="1" s="1"/>
  <c r="K2493" i="1" a="1"/>
  <c r="K2493" i="1" s="1"/>
  <c r="K1407" i="1" a="1"/>
  <c r="K1407" i="1" s="1"/>
  <c r="K1408" i="1" a="1"/>
  <c r="K1408" i="1" s="1"/>
  <c r="K1409" i="1" a="1"/>
  <c r="K1409" i="1" s="1"/>
  <c r="K1410" i="1" a="1"/>
  <c r="K1410" i="1" s="1"/>
  <c r="K1411" i="1" a="1"/>
  <c r="K1411" i="1" s="1"/>
  <c r="K2494" i="1" a="1"/>
  <c r="K2494" i="1" s="1"/>
  <c r="K1412" i="1" a="1"/>
  <c r="K1412" i="1" s="1"/>
  <c r="K2495" i="1" a="1"/>
  <c r="K2495" i="1" s="1"/>
  <c r="K1413" i="1" a="1"/>
  <c r="K1413" i="1" s="1"/>
  <c r="K1414" i="1" a="1"/>
  <c r="K1414" i="1" s="1"/>
  <c r="K1415" i="1" a="1"/>
  <c r="K1415" i="1" s="1"/>
  <c r="K1416" i="1" a="1"/>
  <c r="K1416" i="1" s="1"/>
  <c r="K1417" i="1" a="1"/>
  <c r="K1417" i="1" s="1"/>
  <c r="K2496" i="1" a="1"/>
  <c r="K2496" i="1" s="1"/>
  <c r="K1418" i="1" a="1"/>
  <c r="K1418" i="1" s="1"/>
  <c r="K1419" i="1" a="1"/>
  <c r="K1419" i="1" s="1"/>
  <c r="K2271" i="1" a="1"/>
  <c r="K2271" i="1" s="1"/>
  <c r="K1420" i="1" a="1"/>
  <c r="K1420" i="1" s="1"/>
  <c r="K2272" i="1" a="1"/>
  <c r="K2272" i="1" s="1"/>
  <c r="K2497" i="1" a="1"/>
  <c r="K2497" i="1" s="1"/>
  <c r="K1421" i="1" a="1"/>
  <c r="K1421" i="1" s="1"/>
  <c r="K2498" i="1" a="1"/>
  <c r="K2498" i="1" s="1"/>
  <c r="K2273" i="1" a="1"/>
  <c r="K2273" i="1" s="1"/>
  <c r="K1422" i="1" a="1"/>
  <c r="K1422" i="1" s="1"/>
  <c r="K1423" i="1" a="1"/>
  <c r="K1423" i="1" s="1"/>
  <c r="K1424" i="1" a="1"/>
  <c r="K1424" i="1" s="1"/>
  <c r="K1425" i="1" a="1"/>
  <c r="K1425" i="1" s="1"/>
  <c r="K1426" i="1" a="1"/>
  <c r="K1426" i="1" s="1"/>
  <c r="K1427" i="1" a="1"/>
  <c r="K1427" i="1" s="1"/>
  <c r="K1428" i="1" a="1"/>
  <c r="K1428" i="1" s="1"/>
  <c r="K1429" i="1" a="1"/>
  <c r="K1429" i="1" s="1"/>
  <c r="K1430" i="1" a="1"/>
  <c r="K1430" i="1" s="1"/>
  <c r="K1431" i="1" a="1"/>
  <c r="K1431" i="1" s="1"/>
  <c r="K1432" i="1" a="1"/>
  <c r="K1432" i="1" s="1"/>
  <c r="K1433" i="1" a="1"/>
  <c r="K1433" i="1" s="1"/>
  <c r="K1434" i="1" a="1"/>
  <c r="K1434" i="1" s="1"/>
  <c r="K1435" i="1" a="1"/>
  <c r="K1435" i="1" s="1"/>
  <c r="K1436" i="1" a="1"/>
  <c r="K1436" i="1" s="1"/>
  <c r="K2499" i="1" a="1"/>
  <c r="K2499" i="1" s="1"/>
  <c r="K2500" i="1" a="1"/>
  <c r="K2500" i="1" s="1"/>
  <c r="K2501" i="1" a="1"/>
  <c r="K2501" i="1" s="1"/>
  <c r="K1437" i="1" a="1"/>
  <c r="K1437" i="1" s="1"/>
  <c r="K1438" i="1" a="1"/>
  <c r="K1438" i="1" s="1"/>
  <c r="K2502" i="1" a="1"/>
  <c r="K2502" i="1" s="1"/>
  <c r="K1439" i="1" a="1"/>
  <c r="K1439" i="1" s="1"/>
  <c r="K1440" i="1" a="1"/>
  <c r="K1440" i="1" s="1"/>
  <c r="K1441" i="1" a="1"/>
  <c r="K1441" i="1" s="1"/>
  <c r="K1442" i="1" a="1"/>
  <c r="K1442" i="1" s="1"/>
  <c r="K1443" i="1" a="1"/>
  <c r="K1443" i="1" s="1"/>
  <c r="K1444" i="1" a="1"/>
  <c r="K1444" i="1" s="1"/>
  <c r="K1445" i="1" a="1"/>
  <c r="K1445" i="1" s="1"/>
  <c r="K1446" i="1" a="1"/>
  <c r="K1446" i="1" s="1"/>
  <c r="K1447" i="1" a="1"/>
  <c r="K1447" i="1" s="1"/>
  <c r="K1448" i="1" a="1"/>
  <c r="K1448" i="1" s="1"/>
  <c r="K1449" i="1" a="1"/>
  <c r="K1449" i="1" s="1"/>
  <c r="K1450" i="1" a="1"/>
  <c r="K1450" i="1" s="1"/>
  <c r="K1451" i="1" a="1"/>
  <c r="K1451" i="1" s="1"/>
  <c r="K2503" i="1" a="1"/>
  <c r="K2503" i="1" s="1"/>
  <c r="K1452" i="1" a="1"/>
  <c r="K1452" i="1" s="1"/>
  <c r="K2274" i="1" a="1"/>
  <c r="K2274" i="1" s="1"/>
  <c r="K1453" i="1" a="1"/>
  <c r="K1453" i="1" s="1"/>
  <c r="K1454" i="1" a="1"/>
  <c r="K1454" i="1" s="1"/>
  <c r="K1455" i="1" a="1"/>
  <c r="K1455" i="1" s="1"/>
  <c r="K1456" i="1" a="1"/>
  <c r="K1456" i="1" s="1"/>
  <c r="K1457" i="1" a="1"/>
  <c r="K1457" i="1" s="1"/>
  <c r="K1458" i="1" a="1"/>
  <c r="K1458" i="1" s="1"/>
  <c r="K1459" i="1" a="1"/>
  <c r="K1459" i="1" s="1"/>
  <c r="K1460" i="1" a="1"/>
  <c r="K1460" i="1" s="1"/>
  <c r="K2504" i="1" a="1"/>
  <c r="K2504" i="1" s="1"/>
  <c r="K1461" i="1" a="1"/>
  <c r="K1461" i="1" s="1"/>
  <c r="K1462" i="1" a="1"/>
  <c r="K1462" i="1" s="1"/>
  <c r="K1463" i="1" a="1"/>
  <c r="K1463" i="1" s="1"/>
  <c r="K1464" i="1" a="1"/>
  <c r="K1464" i="1" s="1"/>
  <c r="K1465" i="1" a="1"/>
  <c r="K1465" i="1" s="1"/>
  <c r="K1466" i="1" a="1"/>
  <c r="K1466" i="1" s="1"/>
  <c r="K1467" i="1" a="1"/>
  <c r="K1467" i="1" s="1"/>
  <c r="K1468" i="1" a="1"/>
  <c r="K1468" i="1" s="1"/>
  <c r="K1469" i="1" a="1"/>
  <c r="K1469" i="1" s="1"/>
  <c r="K2505" i="1" a="1"/>
  <c r="K2505" i="1" s="1"/>
  <c r="K1470" i="1" a="1"/>
  <c r="K1470" i="1" s="1"/>
  <c r="K2506" i="1" a="1"/>
  <c r="K2506" i="1" s="1"/>
  <c r="K1471" i="1" a="1"/>
  <c r="K1471" i="1" s="1"/>
  <c r="K2507" i="1" a="1"/>
  <c r="K2507" i="1" s="1"/>
  <c r="K1472" i="1" a="1"/>
  <c r="K1472" i="1" s="1"/>
  <c r="K1473" i="1" a="1"/>
  <c r="K1473" i="1" s="1"/>
  <c r="K1474" i="1" a="1"/>
  <c r="K1474" i="1" s="1"/>
  <c r="K2508" i="1" a="1"/>
  <c r="K2508" i="1" s="1"/>
  <c r="K1475" i="1" a="1"/>
  <c r="K1475" i="1" s="1"/>
  <c r="K1476" i="1" a="1"/>
  <c r="K1476" i="1" s="1"/>
  <c r="K1477" i="1" a="1"/>
  <c r="K1477" i="1" s="1"/>
  <c r="K2509" i="1" a="1"/>
  <c r="K2509" i="1" s="1"/>
  <c r="K1478" i="1" a="1"/>
  <c r="K1478" i="1" s="1"/>
  <c r="K1479" i="1" a="1"/>
  <c r="K1479" i="1" s="1"/>
  <c r="K1480" i="1" a="1"/>
  <c r="K1480" i="1" s="1"/>
  <c r="K1481" i="1" a="1"/>
  <c r="K1481" i="1" s="1"/>
  <c r="K1482" i="1" a="1"/>
  <c r="K1482" i="1" s="1"/>
  <c r="K1483" i="1" a="1"/>
  <c r="K1483" i="1" s="1"/>
  <c r="K1484" i="1" a="1"/>
  <c r="K1484" i="1" s="1"/>
  <c r="K1485" i="1" a="1"/>
  <c r="K1485" i="1" s="1"/>
  <c r="K1486" i="1" a="1"/>
  <c r="K1486" i="1" s="1"/>
  <c r="K2510" i="1" a="1"/>
  <c r="K2510" i="1" s="1"/>
  <c r="K1487" i="1" a="1"/>
  <c r="K1487" i="1" s="1"/>
  <c r="K2511" i="1" a="1"/>
  <c r="K2511" i="1" s="1"/>
  <c r="K2512" i="1" a="1"/>
  <c r="K2512" i="1" s="1"/>
  <c r="K1488" i="1" a="1"/>
  <c r="K1488" i="1" s="1"/>
  <c r="K1489" i="1" a="1"/>
  <c r="K1489" i="1" s="1"/>
  <c r="K1490" i="1" a="1"/>
  <c r="K1490" i="1" s="1"/>
  <c r="K1491" i="1" a="1"/>
  <c r="K1491" i="1" s="1"/>
  <c r="K1492" i="1" a="1"/>
  <c r="K1492" i="1" s="1"/>
  <c r="K1493" i="1" a="1"/>
  <c r="K1493" i="1" s="1"/>
  <c r="K1494" i="1" a="1"/>
  <c r="K1494" i="1" s="1"/>
  <c r="K1495" i="1" a="1"/>
  <c r="K1495" i="1" s="1"/>
  <c r="K2275" i="1" a="1"/>
  <c r="K2275" i="1" s="1"/>
  <c r="K1496" i="1" a="1"/>
  <c r="K1496" i="1" s="1"/>
  <c r="K1497" i="1" a="1"/>
  <c r="K1497" i="1" s="1"/>
  <c r="K1498" i="1" a="1"/>
  <c r="K1498" i="1" s="1"/>
  <c r="K1499" i="1" a="1"/>
  <c r="K1499" i="1" s="1"/>
  <c r="K1500" i="1" a="1"/>
  <c r="K1500" i="1" s="1"/>
  <c r="K1501" i="1" a="1"/>
  <c r="K1501" i="1" s="1"/>
  <c r="K1502" i="1" a="1"/>
  <c r="K1502" i="1" s="1"/>
  <c r="K2513" i="1" a="1"/>
  <c r="K2513" i="1" s="1"/>
  <c r="K1503" i="1" a="1"/>
  <c r="K1503" i="1" s="1"/>
  <c r="K1504" i="1" a="1"/>
  <c r="K1504" i="1" s="1"/>
  <c r="K2514" i="1" a="1"/>
  <c r="K2514" i="1" s="1"/>
  <c r="K1505" i="1" a="1"/>
  <c r="K1505" i="1" s="1"/>
  <c r="K1506" i="1" a="1"/>
  <c r="K1506" i="1" s="1"/>
  <c r="K1507" i="1" a="1"/>
  <c r="K1507" i="1" s="1"/>
  <c r="K1508" i="1" a="1"/>
  <c r="K1508" i="1" s="1"/>
  <c r="K1509" i="1" a="1"/>
  <c r="K1509" i="1" s="1"/>
  <c r="K1510" i="1" a="1"/>
  <c r="K1510" i="1" s="1"/>
  <c r="K1511" i="1" a="1"/>
  <c r="K1511" i="1" s="1"/>
  <c r="K1512" i="1" a="1"/>
  <c r="K1512" i="1" s="1"/>
  <c r="K1513" i="1" a="1"/>
  <c r="K1513" i="1" s="1"/>
  <c r="K1514" i="1" a="1"/>
  <c r="K1514" i="1" s="1"/>
  <c r="K1515" i="1" a="1"/>
  <c r="K1515" i="1" s="1"/>
  <c r="K1516" i="1" a="1"/>
  <c r="K1516" i="1" s="1"/>
  <c r="K1517" i="1" a="1"/>
  <c r="K1517" i="1" s="1"/>
  <c r="K1518" i="1" a="1"/>
  <c r="K1518" i="1" s="1"/>
  <c r="K1519" i="1" a="1"/>
  <c r="K1519" i="1" s="1"/>
  <c r="K1520" i="1" a="1"/>
  <c r="K1520" i="1" s="1"/>
  <c r="K1521" i="1" a="1"/>
  <c r="K1521" i="1" s="1"/>
  <c r="K1522" i="1" a="1"/>
  <c r="K1522" i="1" s="1"/>
  <c r="K1523" i="1" a="1"/>
  <c r="K1523" i="1" s="1"/>
  <c r="K1524" i="1" a="1"/>
  <c r="K1524" i="1" s="1"/>
  <c r="K1525" i="1" a="1"/>
  <c r="K1525" i="1" s="1"/>
  <c r="K1526" i="1" a="1"/>
  <c r="K1526" i="1" s="1"/>
  <c r="K1527" i="1" a="1"/>
  <c r="K1527" i="1" s="1"/>
  <c r="K1528" i="1" a="1"/>
  <c r="K1528" i="1" s="1"/>
  <c r="K1529" i="1" a="1"/>
  <c r="K1529" i="1" s="1"/>
  <c r="K1530" i="1" a="1"/>
  <c r="K1530" i="1" s="1"/>
  <c r="K1531" i="1" a="1"/>
  <c r="K1531" i="1" s="1"/>
  <c r="K1532" i="1" a="1"/>
  <c r="K1532" i="1" s="1"/>
  <c r="K1533" i="1" a="1"/>
  <c r="K1533" i="1" s="1"/>
  <c r="K1534" i="1" a="1"/>
  <c r="K1534" i="1" s="1"/>
  <c r="K1535" i="1" a="1"/>
  <c r="K1535" i="1" s="1"/>
  <c r="K1536" i="1" a="1"/>
  <c r="K1536" i="1" s="1"/>
  <c r="K1537" i="1" a="1"/>
  <c r="K1537" i="1" s="1"/>
  <c r="K1538" i="1" a="1"/>
  <c r="K1538" i="1" s="1"/>
  <c r="K1539" i="1" a="1"/>
  <c r="K1539" i="1" s="1"/>
  <c r="K1540" i="1" a="1"/>
  <c r="K1540" i="1" s="1"/>
  <c r="K1541" i="1" a="1"/>
  <c r="K1541" i="1" s="1"/>
  <c r="K2276" i="1" a="1"/>
  <c r="K2276" i="1" s="1"/>
  <c r="K1542" i="1" a="1"/>
  <c r="K1542" i="1" s="1"/>
  <c r="K1543" i="1" a="1"/>
  <c r="K1543" i="1" s="1"/>
  <c r="K2515" i="1" a="1"/>
  <c r="K2515" i="1" s="1"/>
  <c r="K2516" i="1" a="1"/>
  <c r="K2516" i="1" s="1"/>
  <c r="K1544" i="1" a="1"/>
  <c r="K1544" i="1" s="1"/>
  <c r="K1545" i="1" a="1"/>
  <c r="K1545" i="1" s="1"/>
  <c r="K1546" i="1" a="1"/>
  <c r="K1546" i="1" s="1"/>
  <c r="K1547" i="1" a="1"/>
  <c r="K1547" i="1" s="1"/>
  <c r="K1548" i="1" a="1"/>
  <c r="K1548" i="1" s="1"/>
  <c r="K1549" i="1" a="1"/>
  <c r="K1549" i="1" s="1"/>
  <c r="K1550" i="1" a="1"/>
  <c r="K1550" i="1" s="1"/>
  <c r="K1551" i="1" a="1"/>
  <c r="K1551" i="1" s="1"/>
  <c r="K1552" i="1" a="1"/>
  <c r="K1552" i="1" s="1"/>
  <c r="K2517" i="1" a="1"/>
  <c r="K2517" i="1" s="1"/>
  <c r="K2518" i="1" a="1"/>
  <c r="K2518" i="1" s="1"/>
  <c r="K1553" i="1" a="1"/>
  <c r="K1553" i="1" s="1"/>
  <c r="K1554" i="1" a="1"/>
  <c r="K1554" i="1" s="1"/>
  <c r="K1555" i="1" a="1"/>
  <c r="K1555" i="1" s="1"/>
  <c r="K1556" i="1" a="1"/>
  <c r="K1556" i="1" s="1"/>
  <c r="K1557" i="1" a="1"/>
  <c r="K1557" i="1" s="1"/>
  <c r="K2519" i="1" a="1"/>
  <c r="K2519" i="1" s="1"/>
  <c r="K1558" i="1" a="1"/>
  <c r="K1558" i="1" s="1"/>
  <c r="K1559" i="1" a="1"/>
  <c r="K1559" i="1" s="1"/>
  <c r="K1560" i="1" a="1"/>
  <c r="K1560" i="1" s="1"/>
  <c r="K1561" i="1" a="1"/>
  <c r="K1561" i="1" s="1"/>
  <c r="K1562" i="1" a="1"/>
  <c r="K1562" i="1" s="1"/>
  <c r="K1563" i="1" a="1"/>
  <c r="K1563" i="1" s="1"/>
  <c r="K1564" i="1" a="1"/>
  <c r="K1564" i="1" s="1"/>
  <c r="K2277" i="1" a="1"/>
  <c r="K2277" i="1" s="1"/>
  <c r="K1565" i="1" a="1"/>
  <c r="K1565" i="1" s="1"/>
  <c r="K1566" i="1" a="1"/>
  <c r="K1566" i="1" s="1"/>
  <c r="K1567" i="1" a="1"/>
  <c r="K1567" i="1" s="1"/>
  <c r="K2278" i="1" a="1"/>
  <c r="K2278" i="1" s="1"/>
  <c r="K1568" i="1" a="1"/>
  <c r="K1568" i="1" s="1"/>
  <c r="K2520" i="1" a="1"/>
  <c r="K2520" i="1" s="1"/>
  <c r="K1569" i="1" a="1"/>
  <c r="K1569" i="1" s="1"/>
  <c r="K1570" i="1" a="1"/>
  <c r="K1570" i="1" s="1"/>
  <c r="K2279" i="1" a="1"/>
  <c r="K2279" i="1" s="1"/>
  <c r="K1571" i="1" a="1"/>
  <c r="K1571" i="1" s="1"/>
  <c r="K1572" i="1" a="1"/>
  <c r="K1572" i="1" s="1"/>
  <c r="K1573" i="1" a="1"/>
  <c r="K1573" i="1" s="1"/>
  <c r="K1574" i="1" a="1"/>
  <c r="K1574" i="1" s="1"/>
  <c r="K1575" i="1" a="1"/>
  <c r="K1575" i="1" s="1"/>
  <c r="K1576" i="1" a="1"/>
  <c r="K1576" i="1" s="1"/>
  <c r="K1577" i="1" a="1"/>
  <c r="K1577" i="1" s="1"/>
  <c r="K1578" i="1" a="1"/>
  <c r="K1578" i="1" s="1"/>
  <c r="K1579" i="1" a="1"/>
  <c r="K1579" i="1" s="1"/>
  <c r="K2280" i="1" a="1"/>
  <c r="K2280" i="1" s="1"/>
  <c r="K1580" i="1" a="1"/>
  <c r="K1580" i="1" s="1"/>
  <c r="K2521" i="1" a="1"/>
  <c r="K2521" i="1" s="1"/>
  <c r="K1581" i="1" a="1"/>
  <c r="K1581" i="1" s="1"/>
  <c r="K1582" i="1" a="1"/>
  <c r="K1582" i="1" s="1"/>
  <c r="K2522" i="1" a="1"/>
  <c r="K2522" i="1" s="1"/>
  <c r="K1583" i="1" a="1"/>
  <c r="K1583" i="1" s="1"/>
  <c r="K1584" i="1" a="1"/>
  <c r="K1584" i="1" s="1"/>
  <c r="K1585" i="1" a="1"/>
  <c r="K1585" i="1" s="1"/>
  <c r="K2523" i="1" a="1"/>
  <c r="K2523" i="1" s="1"/>
  <c r="K1586" i="1" a="1"/>
  <c r="K1586" i="1" s="1"/>
  <c r="K1587" i="1" a="1"/>
  <c r="K1587" i="1" s="1"/>
  <c r="K1588" i="1" a="1"/>
  <c r="K1588" i="1" s="1"/>
  <c r="K2524" i="1" a="1"/>
  <c r="K2524" i="1" s="1"/>
  <c r="K2525" i="1" a="1"/>
  <c r="K2525" i="1" s="1"/>
  <c r="K1589" i="1" a="1"/>
  <c r="K1589" i="1" s="1"/>
  <c r="K1590" i="1" a="1"/>
  <c r="K1590" i="1" s="1"/>
  <c r="K1591" i="1" a="1"/>
  <c r="K1591" i="1" s="1"/>
  <c r="K1592" i="1" a="1"/>
  <c r="K1592" i="1" s="1"/>
  <c r="K1593" i="1" a="1"/>
  <c r="K1593" i="1" s="1"/>
  <c r="K1594" i="1" a="1"/>
  <c r="K1594" i="1" s="1"/>
  <c r="K1595" i="1" a="1"/>
  <c r="K1595" i="1" s="1"/>
  <c r="K1596" i="1" a="1"/>
  <c r="K1596" i="1" s="1"/>
  <c r="K1597" i="1" a="1"/>
  <c r="K1597" i="1" s="1"/>
  <c r="K1598" i="1" a="1"/>
  <c r="K1598" i="1" s="1"/>
  <c r="K1599" i="1" a="1"/>
  <c r="K1599" i="1" s="1"/>
  <c r="K1600" i="1" a="1"/>
  <c r="K1600" i="1" s="1"/>
  <c r="K1601" i="1" a="1"/>
  <c r="K1601" i="1" s="1"/>
  <c r="K1602" i="1" a="1"/>
  <c r="K1602" i="1" s="1"/>
  <c r="K1603" i="1" a="1"/>
  <c r="K1603" i="1" s="1"/>
  <c r="K1604" i="1" a="1"/>
  <c r="K1604" i="1" s="1"/>
  <c r="K1605" i="1" a="1"/>
  <c r="K1605" i="1" s="1"/>
  <c r="K1606" i="1" a="1"/>
  <c r="K1606" i="1" s="1"/>
  <c r="K1607" i="1" a="1"/>
  <c r="K1607" i="1" s="1"/>
  <c r="K1608" i="1" a="1"/>
  <c r="K1608" i="1" s="1"/>
  <c r="K1609" i="1" a="1"/>
  <c r="K1609" i="1" s="1"/>
  <c r="K2281" i="1" a="1"/>
  <c r="K2281" i="1" s="1"/>
  <c r="K2526" i="1" a="1"/>
  <c r="K2526" i="1" s="1"/>
  <c r="K1610" i="1" a="1"/>
  <c r="K1610" i="1" s="1"/>
  <c r="K1611" i="1" a="1"/>
  <c r="K1611" i="1" s="1"/>
  <c r="K1612" i="1" a="1"/>
  <c r="K1612" i="1" s="1"/>
  <c r="K1613" i="1" a="1"/>
  <c r="K1613" i="1" s="1"/>
  <c r="K1614" i="1" a="1"/>
  <c r="K1614" i="1" s="1"/>
  <c r="K1615" i="1" a="1"/>
  <c r="K1615" i="1" s="1"/>
  <c r="K1616" i="1" a="1"/>
  <c r="K1616" i="1" s="1"/>
  <c r="K1617" i="1" a="1"/>
  <c r="K1617" i="1" s="1"/>
  <c r="K1618" i="1" a="1"/>
  <c r="K1618" i="1" s="1"/>
  <c r="K1619" i="1" a="1"/>
  <c r="K1619" i="1" s="1"/>
  <c r="K2527" i="1" a="1"/>
  <c r="K2527" i="1" s="1"/>
  <c r="K1620" i="1" a="1"/>
  <c r="K1620" i="1" s="1"/>
  <c r="K1621" i="1" a="1"/>
  <c r="K1621" i="1" s="1"/>
  <c r="K1622" i="1" a="1"/>
  <c r="K1622" i="1" s="1"/>
  <c r="K1623" i="1" a="1"/>
  <c r="K1623" i="1" s="1"/>
  <c r="K2528" i="1" a="1"/>
  <c r="K2528" i="1" s="1"/>
  <c r="K1624" i="1" a="1"/>
  <c r="K1624" i="1" s="1"/>
  <c r="K1625" i="1" a="1"/>
  <c r="K1625" i="1" s="1"/>
  <c r="K1626" i="1" a="1"/>
  <c r="K1626" i="1" s="1"/>
  <c r="K1627" i="1" a="1"/>
  <c r="K1627" i="1" s="1"/>
  <c r="K1628" i="1" a="1"/>
  <c r="K1628" i="1" s="1"/>
  <c r="K1629" i="1" a="1"/>
  <c r="K1629" i="1" s="1"/>
  <c r="K1630" i="1" a="1"/>
  <c r="K1630" i="1" s="1"/>
  <c r="K1631" i="1" a="1"/>
  <c r="K1631" i="1" s="1"/>
  <c r="K1632" i="1" a="1"/>
  <c r="K1632" i="1" s="1"/>
  <c r="K1633" i="1" a="1"/>
  <c r="K1633" i="1" s="1"/>
  <c r="K1634" i="1" a="1"/>
  <c r="K1634" i="1" s="1"/>
  <c r="K1635" i="1" a="1"/>
  <c r="K1635" i="1" s="1"/>
  <c r="K1636" i="1" a="1"/>
  <c r="K1636" i="1" s="1"/>
  <c r="K1637" i="1" a="1"/>
  <c r="K1637" i="1" s="1"/>
  <c r="K1638" i="1" a="1"/>
  <c r="K1638" i="1" s="1"/>
  <c r="K2529" i="1" a="1"/>
  <c r="K2529" i="1" s="1"/>
  <c r="K1639" i="1" a="1"/>
  <c r="K1639" i="1" s="1"/>
  <c r="K2530" i="1" a="1"/>
  <c r="K2530" i="1" s="1"/>
  <c r="K1640" i="1" a="1"/>
  <c r="K1640" i="1" s="1"/>
  <c r="K1641" i="1" a="1"/>
  <c r="K1641" i="1" s="1"/>
  <c r="K1642" i="1" a="1"/>
  <c r="K1642" i="1" s="1"/>
  <c r="K1643" i="1" a="1"/>
  <c r="K1643" i="1" s="1"/>
  <c r="K1644" i="1" a="1"/>
  <c r="K1644" i="1" s="1"/>
  <c r="K1645" i="1" a="1"/>
  <c r="K1645" i="1" s="1"/>
  <c r="K2531" i="1" a="1"/>
  <c r="K2531" i="1" s="1"/>
  <c r="K1646" i="1" a="1"/>
  <c r="K1646" i="1" s="1"/>
  <c r="K1647" i="1" a="1"/>
  <c r="K1647" i="1" s="1"/>
  <c r="K1648" i="1" a="1"/>
  <c r="K1648" i="1" s="1"/>
  <c r="K1649" i="1" a="1"/>
  <c r="K1649" i="1" s="1"/>
  <c r="K2532" i="1" a="1"/>
  <c r="K2532" i="1" s="1"/>
  <c r="K1650" i="1" a="1"/>
  <c r="K1650" i="1" s="1"/>
  <c r="K1651" i="1" a="1"/>
  <c r="K1651" i="1" s="1"/>
  <c r="K2533" i="1" a="1"/>
  <c r="K2533" i="1" s="1"/>
  <c r="K1652" i="1" a="1"/>
  <c r="K1652" i="1" s="1"/>
  <c r="K2534" i="1" a="1"/>
  <c r="K2534" i="1" s="1"/>
  <c r="K1653" i="1" a="1"/>
  <c r="K1653" i="1" s="1"/>
  <c r="K1654" i="1" a="1"/>
  <c r="K1654" i="1" s="1"/>
  <c r="K1655" i="1" a="1"/>
  <c r="K1655" i="1" s="1"/>
  <c r="K1656" i="1" a="1"/>
  <c r="K1656" i="1" s="1"/>
  <c r="K1657" i="1" a="1"/>
  <c r="K1657" i="1" s="1"/>
  <c r="K1658" i="1" a="1"/>
  <c r="K1658" i="1" s="1"/>
  <c r="K1659" i="1" a="1"/>
  <c r="K1659" i="1" s="1"/>
  <c r="K1660" i="1" a="1"/>
  <c r="K1660" i="1" s="1"/>
  <c r="K1661" i="1" a="1"/>
  <c r="K1661" i="1" s="1"/>
  <c r="K1662" i="1" a="1"/>
  <c r="K1662" i="1" s="1"/>
  <c r="K1663" i="1" a="1"/>
  <c r="K1663" i="1" s="1"/>
  <c r="K1664" i="1" a="1"/>
  <c r="K1664" i="1" s="1"/>
  <c r="K1665" i="1" a="1"/>
  <c r="K1665" i="1" s="1"/>
  <c r="K2535" i="1" a="1"/>
  <c r="K2535" i="1" s="1"/>
  <c r="K1666" i="1" a="1"/>
  <c r="K1666" i="1" s="1"/>
  <c r="K2536" i="1" a="1"/>
  <c r="K2536" i="1" s="1"/>
  <c r="K1667" i="1" a="1"/>
  <c r="K1667" i="1" s="1"/>
  <c r="K1668" i="1" a="1"/>
  <c r="K1668" i="1" s="1"/>
  <c r="K1669" i="1" a="1"/>
  <c r="K1669" i="1" s="1"/>
  <c r="K1670" i="1" a="1"/>
  <c r="K1670" i="1" s="1"/>
  <c r="K1671" i="1" a="1"/>
  <c r="K1671" i="1" s="1"/>
  <c r="K1672" i="1" a="1"/>
  <c r="K1672" i="1" s="1"/>
  <c r="K1673" i="1" a="1"/>
  <c r="K1673" i="1" s="1"/>
  <c r="K1674" i="1" a="1"/>
  <c r="K1674" i="1" s="1"/>
  <c r="K1675" i="1" a="1"/>
  <c r="K1675" i="1" s="1"/>
  <c r="K2537" i="1" a="1"/>
  <c r="K2537" i="1" s="1"/>
  <c r="K1676" i="1" a="1"/>
  <c r="K1676" i="1" s="1"/>
  <c r="K1677" i="1" a="1"/>
  <c r="K1677" i="1" s="1"/>
  <c r="K1678" i="1" a="1"/>
  <c r="K1678" i="1" s="1"/>
  <c r="K1679" i="1" a="1"/>
  <c r="K1679" i="1" s="1"/>
  <c r="K1680" i="1" a="1"/>
  <c r="K1680" i="1" s="1"/>
  <c r="K1681" i="1" a="1"/>
  <c r="K1681" i="1" s="1"/>
  <c r="K1682" i="1" a="1"/>
  <c r="K1682" i="1" s="1"/>
  <c r="K1683" i="1" a="1"/>
  <c r="K1683" i="1" s="1"/>
  <c r="K1684" i="1" a="1"/>
  <c r="K1684" i="1" s="1"/>
  <c r="K1685" i="1" a="1"/>
  <c r="K1685" i="1" s="1"/>
  <c r="K1686" i="1" a="1"/>
  <c r="K1686" i="1" s="1"/>
  <c r="K1687" i="1" a="1"/>
  <c r="K1687" i="1" s="1"/>
  <c r="K1688" i="1" a="1"/>
  <c r="K1688" i="1" s="1"/>
  <c r="K1689" i="1" a="1"/>
  <c r="K1689" i="1" s="1"/>
  <c r="K1690" i="1" a="1"/>
  <c r="K1690" i="1" s="1"/>
  <c r="K1691" i="1" a="1"/>
  <c r="K1691" i="1" s="1"/>
  <c r="K1692" i="1" a="1"/>
  <c r="K1692" i="1" s="1"/>
  <c r="K1693" i="1" a="1"/>
  <c r="K1693" i="1" s="1"/>
  <c r="K1694" i="1" a="1"/>
  <c r="K1694" i="1" s="1"/>
  <c r="K1695" i="1" a="1"/>
  <c r="K1695" i="1" s="1"/>
  <c r="K1696" i="1" a="1"/>
  <c r="K1696" i="1" s="1"/>
  <c r="K1697" i="1" a="1"/>
  <c r="K1697" i="1" s="1"/>
  <c r="K1698" i="1" a="1"/>
  <c r="K1698" i="1" s="1"/>
  <c r="K1699" i="1" a="1"/>
  <c r="K1699" i="1" s="1"/>
  <c r="K2538" i="1" a="1"/>
  <c r="K2538" i="1" s="1"/>
  <c r="K1700" i="1" a="1"/>
  <c r="K1700" i="1" s="1"/>
  <c r="K1701" i="1" a="1"/>
  <c r="K1701" i="1" s="1"/>
  <c r="K1702" i="1" a="1"/>
  <c r="K1702" i="1" s="1"/>
  <c r="K1703" i="1" a="1"/>
  <c r="K1703" i="1" s="1"/>
  <c r="K1704" i="1" a="1"/>
  <c r="K1704" i="1" s="1"/>
  <c r="K1705" i="1" a="1"/>
  <c r="K1705" i="1" s="1"/>
  <c r="K1706" i="1" a="1"/>
  <c r="K1706" i="1" s="1"/>
  <c r="K1707" i="1" a="1"/>
  <c r="K1707" i="1" s="1"/>
  <c r="K1708" i="1" a="1"/>
  <c r="K1708" i="1" s="1"/>
  <c r="K2539" i="1" a="1"/>
  <c r="K2539" i="1" s="1"/>
  <c r="K1709" i="1" a="1"/>
  <c r="K1709" i="1" s="1"/>
  <c r="K2540" i="1" a="1"/>
  <c r="K2540" i="1" s="1"/>
  <c r="K2282" i="1" a="1"/>
  <c r="K2282" i="1" s="1"/>
  <c r="K1710" i="1" a="1"/>
  <c r="K1710" i="1" s="1"/>
  <c r="K1711" i="1" a="1"/>
  <c r="K1711" i="1" s="1"/>
  <c r="K2541" i="1" a="1"/>
  <c r="K2541" i="1" s="1"/>
  <c r="K2542" i="1" a="1"/>
  <c r="K2542" i="1" s="1"/>
  <c r="K1712" i="1" a="1"/>
  <c r="K1712" i="1" s="1"/>
  <c r="K1713" i="1" a="1"/>
  <c r="K1713" i="1" s="1"/>
  <c r="K1714" i="1" a="1"/>
  <c r="K1714" i="1" s="1"/>
  <c r="K2543" i="1" a="1"/>
  <c r="K2543" i="1" s="1"/>
  <c r="K1715" i="1" a="1"/>
  <c r="K1715" i="1" s="1"/>
  <c r="K1716" i="1" a="1"/>
  <c r="K1716" i="1" s="1"/>
  <c r="K1717" i="1" a="1"/>
  <c r="K1717" i="1" s="1"/>
  <c r="K1718" i="1" a="1"/>
  <c r="K1718" i="1" s="1"/>
  <c r="K1719" i="1" a="1"/>
  <c r="K1719" i="1" s="1"/>
  <c r="K2283" i="1" a="1"/>
  <c r="K2283" i="1" s="1"/>
  <c r="K1720" i="1" a="1"/>
  <c r="K1720" i="1" s="1"/>
  <c r="K1721" i="1" a="1"/>
  <c r="K1721" i="1" s="1"/>
  <c r="K1722" i="1" a="1"/>
  <c r="K1722" i="1" s="1"/>
  <c r="K1723" i="1" a="1"/>
  <c r="K1723" i="1" s="1"/>
  <c r="K2544" i="1" a="1"/>
  <c r="K2544" i="1" s="1"/>
  <c r="K2545" i="1" a="1"/>
  <c r="K2545" i="1" s="1"/>
  <c r="K1724" i="1" a="1"/>
  <c r="K1724" i="1" s="1"/>
  <c r="K2546" i="1" a="1"/>
  <c r="K2546" i="1" s="1"/>
  <c r="K1725" i="1" a="1"/>
  <c r="K1725" i="1" s="1"/>
  <c r="K1726" i="1" a="1"/>
  <c r="K1726" i="1" s="1"/>
  <c r="K1727" i="1" a="1"/>
  <c r="K1727" i="1" s="1"/>
  <c r="K1728" i="1" a="1"/>
  <c r="K1728" i="1" s="1"/>
  <c r="K1729" i="1" a="1"/>
  <c r="K1729" i="1" s="1"/>
  <c r="K1730" i="1" a="1"/>
  <c r="K1730" i="1" s="1"/>
  <c r="K1731" i="1" a="1"/>
  <c r="K1731" i="1" s="1"/>
  <c r="K1732" i="1" a="1"/>
  <c r="K1732" i="1" s="1"/>
  <c r="K1733" i="1" a="1"/>
  <c r="K1733" i="1" s="1"/>
  <c r="K1734" i="1" a="1"/>
  <c r="K1734" i="1" s="1"/>
  <c r="K1735" i="1" a="1"/>
  <c r="K1735" i="1" s="1"/>
  <c r="K1736" i="1" a="1"/>
  <c r="K1736" i="1" s="1"/>
  <c r="K2547" i="1" a="1"/>
  <c r="K2547" i="1" s="1"/>
  <c r="K1737" i="1" a="1"/>
  <c r="K1737" i="1" s="1"/>
  <c r="K1738" i="1" a="1"/>
  <c r="K1738" i="1" s="1"/>
  <c r="K1739" i="1" a="1"/>
  <c r="K1739" i="1" s="1"/>
  <c r="K1740" i="1" a="1"/>
  <c r="K1740" i="1" s="1"/>
  <c r="K1741" i="1" a="1"/>
  <c r="K1741" i="1" s="1"/>
  <c r="K1742" i="1" a="1"/>
  <c r="K1742" i="1" s="1"/>
  <c r="K1743" i="1" a="1"/>
  <c r="K1743" i="1" s="1"/>
  <c r="K1744" i="1" a="1"/>
  <c r="K1744" i="1" s="1"/>
  <c r="K1745" i="1" a="1"/>
  <c r="K1745" i="1" s="1"/>
  <c r="K1746" i="1" a="1"/>
  <c r="K1746" i="1" s="1"/>
  <c r="K1747" i="1" a="1"/>
  <c r="K1747" i="1" s="1"/>
  <c r="K2548" i="1" a="1"/>
  <c r="K2548" i="1" s="1"/>
  <c r="K1748" i="1" a="1"/>
  <c r="K1748" i="1" s="1"/>
  <c r="K1749" i="1" a="1"/>
  <c r="K1749" i="1" s="1"/>
  <c r="K1750" i="1" a="1"/>
  <c r="K1750" i="1" s="1"/>
  <c r="K1751" i="1" a="1"/>
  <c r="K1751" i="1" s="1"/>
  <c r="K1752" i="1" a="1"/>
  <c r="K1752" i="1" s="1"/>
  <c r="K2549" i="1" a="1"/>
  <c r="K2549" i="1" s="1"/>
  <c r="K1753" i="1" a="1"/>
  <c r="K1753" i="1" s="1"/>
  <c r="K1754" i="1" a="1"/>
  <c r="K1754" i="1" s="1"/>
  <c r="K1755" i="1" a="1"/>
  <c r="K1755" i="1" s="1"/>
  <c r="K1756" i="1" a="1"/>
  <c r="K1756" i="1" s="1"/>
  <c r="K1757" i="1" a="1"/>
  <c r="K1757" i="1" s="1"/>
  <c r="K1758" i="1" a="1"/>
  <c r="K1758" i="1" s="1"/>
  <c r="K2550" i="1" a="1"/>
  <c r="K2550" i="1" s="1"/>
  <c r="K1759" i="1" a="1"/>
  <c r="K1759" i="1" s="1"/>
  <c r="K1760" i="1" a="1"/>
  <c r="K1760" i="1" s="1"/>
  <c r="K1761" i="1" a="1"/>
  <c r="K1761" i="1" s="1"/>
  <c r="K1762" i="1" a="1"/>
  <c r="K1762" i="1" s="1"/>
  <c r="K1763" i="1" a="1"/>
  <c r="K1763" i="1" s="1"/>
  <c r="K1764" i="1" a="1"/>
  <c r="K1764" i="1" s="1"/>
  <c r="K1765" i="1" a="1"/>
  <c r="K1765" i="1" s="1"/>
  <c r="K1766" i="1" a="1"/>
  <c r="K1766" i="1" s="1"/>
  <c r="K1767" i="1" a="1"/>
  <c r="K1767" i="1" s="1"/>
  <c r="K1768" i="1" a="1"/>
  <c r="K1768" i="1" s="1"/>
  <c r="K1769" i="1" a="1"/>
  <c r="K1769" i="1" s="1"/>
  <c r="K1770" i="1" a="1"/>
  <c r="K1770" i="1" s="1"/>
  <c r="K1771" i="1" a="1"/>
  <c r="K1771" i="1" s="1"/>
  <c r="K1772" i="1" a="1"/>
  <c r="K1772" i="1" s="1"/>
  <c r="K2284" i="1" a="1"/>
  <c r="K2284" i="1" s="1"/>
  <c r="K1773" i="1" a="1"/>
  <c r="K1773" i="1" s="1"/>
  <c r="K1774" i="1" a="1"/>
  <c r="K1774" i="1" s="1"/>
  <c r="K1775" i="1" a="1"/>
  <c r="K1775" i="1" s="1"/>
  <c r="K1776" i="1" a="1"/>
  <c r="K1776" i="1" s="1"/>
  <c r="K1777" i="1" a="1"/>
  <c r="K1777" i="1" s="1"/>
  <c r="K1778" i="1" a="1"/>
  <c r="K1778" i="1" s="1"/>
  <c r="K1779" i="1" a="1"/>
  <c r="K1779" i="1" s="1"/>
  <c r="K1780" i="1" a="1"/>
  <c r="K1780" i="1" s="1"/>
  <c r="K1781" i="1" a="1"/>
  <c r="K1781" i="1" s="1"/>
  <c r="K1782" i="1" a="1"/>
  <c r="K1782" i="1" s="1"/>
  <c r="K1783" i="1" a="1"/>
  <c r="K1783" i="1" s="1"/>
  <c r="K2551" i="1" a="1"/>
  <c r="K2551" i="1" s="1"/>
  <c r="K2552" i="1" a="1"/>
  <c r="K2552" i="1" s="1"/>
  <c r="K1784" i="1" a="1"/>
  <c r="K1784" i="1" s="1"/>
  <c r="K1785" i="1" a="1"/>
  <c r="K1785" i="1" s="1"/>
  <c r="K1786" i="1" a="1"/>
  <c r="K1786" i="1" s="1"/>
  <c r="K1787" i="1" a="1"/>
  <c r="K1787" i="1" s="1"/>
  <c r="K2553" i="1" a="1"/>
  <c r="K2553" i="1" s="1"/>
  <c r="K1788" i="1" a="1"/>
  <c r="K1788" i="1" s="1"/>
  <c r="K2554" i="1" a="1"/>
  <c r="K2554" i="1" s="1"/>
  <c r="K1789" i="1" a="1"/>
  <c r="K1789" i="1" s="1"/>
  <c r="K1790" i="1" a="1"/>
  <c r="K1790" i="1" s="1"/>
  <c r="K2555" i="1" a="1"/>
  <c r="K2555" i="1" s="1"/>
  <c r="K1791" i="1" a="1"/>
  <c r="K1791" i="1" s="1"/>
  <c r="K1792" i="1" a="1"/>
  <c r="K1792" i="1" s="1"/>
  <c r="K1793" i="1" a="1"/>
  <c r="K1793" i="1" s="1"/>
  <c r="K1794" i="1" a="1"/>
  <c r="K1794" i="1" s="1"/>
  <c r="K1795" i="1" a="1"/>
  <c r="K1795" i="1" s="1"/>
  <c r="K1796" i="1" a="1"/>
  <c r="K1796" i="1" s="1"/>
  <c r="K1797" i="1" a="1"/>
  <c r="K1797" i="1" s="1"/>
  <c r="K1798" i="1" a="1"/>
  <c r="K1798" i="1" s="1"/>
  <c r="K1799" i="1" a="1"/>
  <c r="K1799" i="1" s="1"/>
  <c r="K1800" i="1" a="1"/>
  <c r="K1800" i="1" s="1"/>
  <c r="K1801" i="1" a="1"/>
  <c r="K1801" i="1" s="1"/>
  <c r="K1802" i="1" a="1"/>
  <c r="K1802" i="1" s="1"/>
  <c r="K2556" i="1" a="1"/>
  <c r="K2556" i="1" s="1"/>
  <c r="K1803" i="1" a="1"/>
  <c r="K1803" i="1" s="1"/>
  <c r="K1804" i="1" a="1"/>
  <c r="K1804" i="1" s="1"/>
  <c r="K1805" i="1" a="1"/>
  <c r="K1805" i="1" s="1"/>
  <c r="K1806" i="1" a="1"/>
  <c r="K1806" i="1" s="1"/>
  <c r="K1807" i="1" a="1"/>
  <c r="K1807" i="1" s="1"/>
  <c r="K2557" i="1" a="1"/>
  <c r="K2557" i="1" s="1"/>
  <c r="K1808" i="1" a="1"/>
  <c r="K1808" i="1" s="1"/>
  <c r="K1809" i="1" a="1"/>
  <c r="K1809" i="1" s="1"/>
  <c r="K1810" i="1" a="1"/>
  <c r="K1810" i="1" s="1"/>
  <c r="K1811" i="1" a="1"/>
  <c r="K1811" i="1" s="1"/>
  <c r="K1812" i="1" a="1"/>
  <c r="K1812" i="1" s="1"/>
  <c r="K1813" i="1" a="1"/>
  <c r="K1813" i="1" s="1"/>
  <c r="K1814" i="1" a="1"/>
  <c r="K1814" i="1" s="1"/>
  <c r="K1815" i="1" a="1"/>
  <c r="K1815" i="1" s="1"/>
  <c r="K1816" i="1" a="1"/>
  <c r="K1816" i="1" s="1"/>
  <c r="K1817" i="1" a="1"/>
  <c r="K1817" i="1" s="1"/>
  <c r="K1818" i="1" a="1"/>
  <c r="K1818" i="1" s="1"/>
  <c r="K1819" i="1" a="1"/>
  <c r="K1819" i="1" s="1"/>
  <c r="K1820" i="1" a="1"/>
  <c r="K1820" i="1" s="1"/>
  <c r="K1821" i="1" a="1"/>
  <c r="K1821" i="1" s="1"/>
  <c r="K1822" i="1" a="1"/>
  <c r="K1822" i="1" s="1"/>
  <c r="K1823" i="1" a="1"/>
  <c r="K1823" i="1" s="1"/>
  <c r="K1824" i="1" a="1"/>
  <c r="K1824" i="1" s="1"/>
  <c r="K1825" i="1" a="1"/>
  <c r="K1825" i="1" s="1"/>
  <c r="K1826" i="1" a="1"/>
  <c r="K1826" i="1" s="1"/>
  <c r="K1827" i="1" a="1"/>
  <c r="K1827" i="1" s="1"/>
  <c r="K1828" i="1" a="1"/>
  <c r="K1828" i="1" s="1"/>
  <c r="K1829" i="1" a="1"/>
  <c r="K1829" i="1" s="1"/>
  <c r="K1830" i="1" a="1"/>
  <c r="K1830" i="1" s="1"/>
  <c r="K1831" i="1" a="1"/>
  <c r="K1831" i="1" s="1"/>
  <c r="K1832" i="1" a="1"/>
  <c r="K1832" i="1" s="1"/>
  <c r="K1833" i="1" a="1"/>
  <c r="K1833" i="1" s="1"/>
  <c r="K1834" i="1" a="1"/>
  <c r="K1834" i="1" s="1"/>
  <c r="K1835" i="1" a="1"/>
  <c r="K1835" i="1" s="1"/>
  <c r="K1836" i="1" a="1"/>
  <c r="K1836" i="1" s="1"/>
  <c r="K1837" i="1" a="1"/>
  <c r="K1837" i="1" s="1"/>
  <c r="K1838" i="1" a="1"/>
  <c r="K1838" i="1" s="1"/>
  <c r="K1839" i="1" a="1"/>
  <c r="K1839" i="1" s="1"/>
  <c r="K1840" i="1" a="1"/>
  <c r="K1840" i="1" s="1"/>
  <c r="K1841" i="1" a="1"/>
  <c r="K1841" i="1" s="1"/>
  <c r="K2558" i="1" a="1"/>
  <c r="K2558" i="1" s="1"/>
  <c r="K1842" i="1" a="1"/>
  <c r="K1842" i="1" s="1"/>
  <c r="K1843" i="1" a="1"/>
  <c r="K1843" i="1" s="1"/>
  <c r="K1844" i="1" a="1"/>
  <c r="K1844" i="1" s="1"/>
  <c r="K1845" i="1" a="1"/>
  <c r="K1845" i="1" s="1"/>
  <c r="K1846" i="1" a="1"/>
  <c r="K1846" i="1" s="1"/>
  <c r="K1847" i="1" a="1"/>
  <c r="K1847" i="1" s="1"/>
  <c r="K1848" i="1" a="1"/>
  <c r="K1848" i="1" s="1"/>
  <c r="K2559" i="1" a="1"/>
  <c r="K2559" i="1" s="1"/>
  <c r="K1849" i="1" a="1"/>
  <c r="K1849" i="1" s="1"/>
  <c r="K1850" i="1" a="1"/>
  <c r="K1850" i="1" s="1"/>
  <c r="K1851" i="1" a="1"/>
  <c r="K1851" i="1" s="1"/>
  <c r="K1852" i="1" a="1"/>
  <c r="K1852" i="1" s="1"/>
  <c r="K2560" i="1" a="1"/>
  <c r="K2560" i="1" s="1"/>
  <c r="K1853" i="1" a="1"/>
  <c r="K1853" i="1" s="1"/>
  <c r="K1854" i="1" a="1"/>
  <c r="K1854" i="1" s="1"/>
  <c r="K1855" i="1" a="1"/>
  <c r="K1855" i="1" s="1"/>
  <c r="K1856" i="1" a="1"/>
  <c r="K1856" i="1" s="1"/>
  <c r="K1857" i="1" a="1"/>
  <c r="K1857" i="1" s="1"/>
  <c r="K1858" i="1" a="1"/>
  <c r="K1858" i="1" s="1"/>
  <c r="K1859" i="1" a="1"/>
  <c r="K1859" i="1" s="1"/>
  <c r="K1860" i="1" a="1"/>
  <c r="K1860" i="1" s="1"/>
  <c r="K1861" i="1" a="1"/>
  <c r="K1861" i="1" s="1"/>
  <c r="K1862" i="1" a="1"/>
  <c r="K1862" i="1" s="1"/>
  <c r="K1863" i="1" a="1"/>
  <c r="K1863" i="1" s="1"/>
  <c r="K1864" i="1" a="1"/>
  <c r="K1864" i="1" s="1"/>
  <c r="K1865" i="1" a="1"/>
  <c r="K1865" i="1" s="1"/>
  <c r="K1866" i="1" a="1"/>
  <c r="K1866" i="1" s="1"/>
  <c r="K1867" i="1" a="1"/>
  <c r="K1867" i="1" s="1"/>
  <c r="K1868" i="1" a="1"/>
  <c r="K1868" i="1" s="1"/>
  <c r="K1869" i="1" a="1"/>
  <c r="K1869" i="1" s="1"/>
  <c r="K1870" i="1" a="1"/>
  <c r="K1870" i="1" s="1"/>
  <c r="K1871" i="1" a="1"/>
  <c r="K1871" i="1" s="1"/>
  <c r="K1872" i="1" a="1"/>
  <c r="K1872" i="1" s="1"/>
  <c r="K2561" i="1" a="1"/>
  <c r="K2561" i="1" s="1"/>
  <c r="K2562" i="1" a="1"/>
  <c r="K2562" i="1" s="1"/>
  <c r="K1873" i="1" a="1"/>
  <c r="K1873" i="1" s="1"/>
  <c r="K1874" i="1" a="1"/>
  <c r="K1874" i="1" s="1"/>
  <c r="K1875" i="1" a="1"/>
  <c r="K1875" i="1" s="1"/>
  <c r="K1876" i="1" a="1"/>
  <c r="K1876" i="1" s="1"/>
  <c r="K1877" i="1" a="1"/>
  <c r="K1877" i="1" s="1"/>
  <c r="K1878" i="1" a="1"/>
  <c r="K1878" i="1" s="1"/>
  <c r="K1879" i="1" a="1"/>
  <c r="K1879" i="1" s="1"/>
  <c r="K1880" i="1" a="1"/>
  <c r="K1880" i="1" s="1"/>
  <c r="K2563" i="1" a="1"/>
  <c r="K2563" i="1" s="1"/>
  <c r="K1881" i="1" a="1"/>
  <c r="K1881" i="1" s="1"/>
  <c r="K1882" i="1" a="1"/>
  <c r="K1882" i="1" s="1"/>
  <c r="K1883" i="1" a="1"/>
  <c r="K1883" i="1" s="1"/>
  <c r="K1884" i="1" a="1"/>
  <c r="K1884" i="1" s="1"/>
  <c r="K1885" i="1" a="1"/>
  <c r="K1885" i="1" s="1"/>
  <c r="K1886" i="1" a="1"/>
  <c r="K1886" i="1" s="1"/>
  <c r="K1887" i="1" a="1"/>
  <c r="K1887" i="1" s="1"/>
  <c r="K1888" i="1" a="1"/>
  <c r="K1888" i="1" s="1"/>
  <c r="K1889" i="1" a="1"/>
  <c r="K1889" i="1" s="1"/>
  <c r="K1890" i="1" a="1"/>
  <c r="K1890" i="1" s="1"/>
  <c r="K1891" i="1" a="1"/>
  <c r="K1891" i="1" s="1"/>
  <c r="K1892" i="1" a="1"/>
  <c r="K1892" i="1" s="1"/>
  <c r="K1893" i="1" a="1"/>
  <c r="K1893" i="1" s="1"/>
  <c r="K1894" i="1" a="1"/>
  <c r="K1894" i="1" s="1"/>
  <c r="K1895" i="1" a="1"/>
  <c r="K1895" i="1" s="1"/>
  <c r="K1896" i="1" a="1"/>
  <c r="K1896" i="1" s="1"/>
  <c r="K1897" i="1" a="1"/>
  <c r="K1897" i="1" s="1"/>
  <c r="K1898" i="1" a="1"/>
  <c r="K1898" i="1" s="1"/>
  <c r="K1899" i="1" a="1"/>
  <c r="K1899" i="1" s="1"/>
  <c r="K1900" i="1" a="1"/>
  <c r="K1900" i="1" s="1"/>
  <c r="K1901" i="1" a="1"/>
  <c r="K1901" i="1" s="1"/>
  <c r="K1902" i="1" a="1"/>
  <c r="K1902" i="1" s="1"/>
  <c r="K1903" i="1" a="1"/>
  <c r="K1903" i="1" s="1"/>
  <c r="K1904" i="1" a="1"/>
  <c r="K1904" i="1" s="1"/>
  <c r="K1905" i="1" a="1"/>
  <c r="K1905" i="1" s="1"/>
  <c r="K2564" i="1" a="1"/>
  <c r="K2564" i="1" s="1"/>
  <c r="K1906" i="1" a="1"/>
  <c r="K1906" i="1" s="1"/>
  <c r="K2565" i="1" a="1"/>
  <c r="K2565" i="1" s="1"/>
  <c r="K1907" i="1" a="1"/>
  <c r="K1907" i="1" s="1"/>
  <c r="K2566" i="1" a="1"/>
  <c r="K2566" i="1" s="1"/>
  <c r="K1908" i="1" a="1"/>
  <c r="K1908" i="1" s="1"/>
  <c r="K1909" i="1" a="1"/>
  <c r="K1909" i="1" s="1"/>
  <c r="K1910" i="1" a="1"/>
  <c r="K1910" i="1" s="1"/>
  <c r="K1911" i="1" a="1"/>
  <c r="K1911" i="1" s="1"/>
  <c r="K1912" i="1" a="1"/>
  <c r="K1912" i="1" s="1"/>
  <c r="K1913" i="1" a="1"/>
  <c r="K1913" i="1" s="1"/>
  <c r="K1914" i="1" a="1"/>
  <c r="K1914" i="1" s="1"/>
  <c r="K1915" i="1" a="1"/>
  <c r="K1915" i="1" s="1"/>
  <c r="K1916" i="1" a="1"/>
  <c r="K1916" i="1" s="1"/>
  <c r="K1917" i="1" a="1"/>
  <c r="K1917" i="1" s="1"/>
  <c r="K1918" i="1" a="1"/>
  <c r="K1918" i="1" s="1"/>
  <c r="K1919" i="1" a="1"/>
  <c r="K1919" i="1" s="1"/>
  <c r="K1920" i="1" a="1"/>
  <c r="K1920" i="1" s="1"/>
  <c r="K1921" i="1" a="1"/>
  <c r="K1921" i="1" s="1"/>
  <c r="K1922" i="1" a="1"/>
  <c r="K1922" i="1" s="1"/>
  <c r="K1923" i="1" a="1"/>
  <c r="K1923" i="1" s="1"/>
  <c r="K1924" i="1" a="1"/>
  <c r="K1924" i="1" s="1"/>
  <c r="K1925" i="1" a="1"/>
  <c r="K1925" i="1" s="1"/>
  <c r="K1926" i="1" a="1"/>
  <c r="K1926" i="1" s="1"/>
  <c r="K1927" i="1" a="1"/>
  <c r="K1927" i="1" s="1"/>
  <c r="K1928" i="1" a="1"/>
  <c r="K1928" i="1" s="1"/>
  <c r="K1929" i="1" a="1"/>
  <c r="K1929" i="1" s="1"/>
  <c r="K1930" i="1" a="1"/>
  <c r="K1930" i="1" s="1"/>
  <c r="K2567" i="1" a="1"/>
  <c r="K2567" i="1" s="1"/>
  <c r="K2568" i="1" a="1"/>
  <c r="K2568" i="1" s="1"/>
  <c r="K1931" i="1" a="1"/>
  <c r="K1931" i="1" s="1"/>
  <c r="K2569" i="1" a="1"/>
  <c r="K2569" i="1" s="1"/>
  <c r="K1932" i="1" a="1"/>
  <c r="K1932" i="1" s="1"/>
  <c r="K1933" i="1" a="1"/>
  <c r="K1933" i="1" s="1"/>
  <c r="K1934" i="1" a="1"/>
  <c r="K1934" i="1" s="1"/>
  <c r="K1935" i="1" a="1"/>
  <c r="K1935" i="1" s="1"/>
  <c r="K2570" i="1" a="1"/>
  <c r="K2570" i="1" s="1"/>
  <c r="K1936" i="1" a="1"/>
  <c r="K1936" i="1" s="1"/>
  <c r="K1937" i="1" a="1"/>
  <c r="K1937" i="1" s="1"/>
  <c r="K1938" i="1" a="1"/>
  <c r="K1938" i="1" s="1"/>
  <c r="K1939" i="1" a="1"/>
  <c r="K1939" i="1" s="1"/>
  <c r="K2571" i="1" a="1"/>
  <c r="K2571" i="1" s="1"/>
  <c r="K2572" i="1" a="1"/>
  <c r="K2572" i="1" s="1"/>
  <c r="K1940" i="1" a="1"/>
  <c r="K1940" i="1" s="1"/>
  <c r="K1941" i="1" a="1"/>
  <c r="K1941" i="1" s="1"/>
  <c r="K1942" i="1" a="1"/>
  <c r="K1942" i="1" s="1"/>
  <c r="K1943" i="1" a="1"/>
  <c r="K1943" i="1" s="1"/>
  <c r="K1944" i="1" a="1"/>
  <c r="K1944" i="1" s="1"/>
  <c r="K1945" i="1" a="1"/>
  <c r="K1945" i="1" s="1"/>
  <c r="K1946" i="1" a="1"/>
  <c r="K1946" i="1" s="1"/>
  <c r="K1947" i="1" a="1"/>
  <c r="K1947" i="1" s="1"/>
  <c r="K1948" i="1" a="1"/>
  <c r="K1948" i="1" s="1"/>
  <c r="K1949" i="1" a="1"/>
  <c r="K1949" i="1" s="1"/>
  <c r="K1950" i="1" a="1"/>
  <c r="K1950" i="1" s="1"/>
  <c r="K1951" i="1" a="1"/>
  <c r="K1951" i="1" s="1"/>
  <c r="K2285" i="1" a="1"/>
  <c r="K2285" i="1" s="1"/>
  <c r="K2573" i="1" a="1"/>
  <c r="K2573" i="1" s="1"/>
  <c r="K1952" i="1" a="1"/>
  <c r="K1952" i="1" s="1"/>
  <c r="K1953" i="1" a="1"/>
  <c r="K1953" i="1" s="1"/>
  <c r="K2574" i="1" a="1"/>
  <c r="K2574" i="1" s="1"/>
  <c r="K1954" i="1" a="1"/>
  <c r="K1954" i="1" s="1"/>
  <c r="K1955" i="1" a="1"/>
  <c r="K1955" i="1" s="1"/>
  <c r="K1956" i="1" a="1"/>
  <c r="K1956" i="1" s="1"/>
  <c r="K1957" i="1" a="1"/>
  <c r="K1957" i="1" s="1"/>
  <c r="K1958" i="1" a="1"/>
  <c r="K1958" i="1" s="1"/>
  <c r="K1959" i="1" a="1"/>
  <c r="K1959" i="1" s="1"/>
  <c r="K1960" i="1" a="1"/>
  <c r="K1960" i="1" s="1"/>
  <c r="K1961" i="1" a="1"/>
  <c r="K1961" i="1" s="1"/>
  <c r="K1962" i="1" a="1"/>
  <c r="K1962" i="1" s="1"/>
  <c r="K1963" i="1" a="1"/>
  <c r="K1963" i="1" s="1"/>
  <c r="K1964" i="1" a="1"/>
  <c r="K1964" i="1" s="1"/>
  <c r="K1965" i="1" a="1"/>
  <c r="K1965" i="1" s="1"/>
  <c r="K1966" i="1" a="1"/>
  <c r="K1966" i="1" s="1"/>
  <c r="K1967" i="1" a="1"/>
  <c r="K1967" i="1" s="1"/>
  <c r="K2575" i="1" a="1"/>
  <c r="K2575" i="1" s="1"/>
  <c r="K1968" i="1" a="1"/>
  <c r="K1968" i="1" s="1"/>
  <c r="K1969" i="1" a="1"/>
  <c r="K1969" i="1" s="1"/>
  <c r="K2576" i="1" a="1"/>
  <c r="K2576" i="1" s="1"/>
  <c r="K1970" i="1" a="1"/>
  <c r="K1970" i="1" s="1"/>
  <c r="K1971" i="1" a="1"/>
  <c r="K1971" i="1" s="1"/>
  <c r="K1972" i="1" a="1"/>
  <c r="K1972" i="1" s="1"/>
  <c r="K1973" i="1" a="1"/>
  <c r="K1973" i="1" s="1"/>
  <c r="K1974" i="1" a="1"/>
  <c r="K1974" i="1" s="1"/>
  <c r="K2286" i="1" a="1"/>
  <c r="K2286" i="1" s="1"/>
  <c r="K1975" i="1" a="1"/>
  <c r="K1975" i="1" s="1"/>
  <c r="K2577" i="1" a="1"/>
  <c r="K2577" i="1" s="1"/>
  <c r="K1976" i="1" a="1"/>
  <c r="K1976" i="1" s="1"/>
  <c r="K1977" i="1" a="1"/>
  <c r="K1977" i="1" s="1"/>
  <c r="K1978" i="1" a="1"/>
  <c r="K1978" i="1" s="1"/>
  <c r="K1979" i="1" a="1"/>
  <c r="K1979" i="1" s="1"/>
  <c r="K1980" i="1" a="1"/>
  <c r="K1980" i="1" s="1"/>
  <c r="K2578" i="1" a="1"/>
  <c r="K2578" i="1" s="1"/>
  <c r="K1981" i="1" a="1"/>
  <c r="K1981" i="1" s="1"/>
  <c r="K1982" i="1" a="1"/>
  <c r="K1982" i="1" s="1"/>
  <c r="K1983" i="1" a="1"/>
  <c r="K1983" i="1" s="1"/>
  <c r="K1984" i="1" a="1"/>
  <c r="K1984" i="1" s="1"/>
  <c r="K1985" i="1" a="1"/>
  <c r="K1985" i="1" s="1"/>
  <c r="K1986" i="1" a="1"/>
  <c r="K1986" i="1" s="1"/>
  <c r="K1987" i="1" a="1"/>
  <c r="K1987" i="1" s="1"/>
  <c r="K1988" i="1" a="1"/>
  <c r="K1988" i="1" s="1"/>
  <c r="K1989" i="1" a="1"/>
  <c r="K1989" i="1" s="1"/>
  <c r="K1990" i="1" a="1"/>
  <c r="K1990" i="1" s="1"/>
  <c r="K1991" i="1" a="1"/>
  <c r="K1991" i="1" s="1"/>
  <c r="K1992" i="1" a="1"/>
  <c r="K1992" i="1" s="1"/>
  <c r="K1993" i="1" a="1"/>
  <c r="K1993" i="1" s="1"/>
  <c r="K1994" i="1" a="1"/>
  <c r="K1994" i="1" s="1"/>
  <c r="K1995" i="1" a="1"/>
  <c r="K1995" i="1" s="1"/>
  <c r="K1996" i="1" a="1"/>
  <c r="K1996" i="1" s="1"/>
  <c r="K1997" i="1" a="1"/>
  <c r="K1997" i="1" s="1"/>
  <c r="K1998" i="1" a="1"/>
  <c r="K1998" i="1" s="1"/>
  <c r="K1999" i="1" a="1"/>
  <c r="K1999" i="1" s="1"/>
  <c r="K2000" i="1" a="1"/>
  <c r="K2000" i="1" s="1"/>
  <c r="K2001" i="1" a="1"/>
  <c r="K2001" i="1" s="1"/>
  <c r="K2002" i="1" a="1"/>
  <c r="K2002" i="1" s="1"/>
  <c r="K2003" i="1" a="1"/>
  <c r="K2003" i="1" s="1"/>
  <c r="K2004" i="1" a="1"/>
  <c r="K2004" i="1" s="1"/>
  <c r="K2005" i="1" a="1"/>
  <c r="K2005" i="1" s="1"/>
  <c r="K2006" i="1" a="1"/>
  <c r="K2006" i="1" s="1"/>
  <c r="K2007" i="1" a="1"/>
  <c r="K2007" i="1" s="1"/>
  <c r="K2008" i="1" a="1"/>
  <c r="K2008" i="1" s="1"/>
  <c r="K2009" i="1" a="1"/>
  <c r="K2009" i="1" s="1"/>
  <c r="K2010" i="1" a="1"/>
  <c r="K2010" i="1" s="1"/>
  <c r="K2011" i="1" a="1"/>
  <c r="K2011" i="1" s="1"/>
  <c r="K2012" i="1" a="1"/>
  <c r="K2012" i="1" s="1"/>
  <c r="K2013" i="1" a="1"/>
  <c r="K2013" i="1" s="1"/>
  <c r="K2014" i="1" a="1"/>
  <c r="K2014" i="1" s="1"/>
  <c r="K2015" i="1" a="1"/>
  <c r="K2015" i="1" s="1"/>
  <c r="K2016" i="1" a="1"/>
  <c r="K2016" i="1" s="1"/>
  <c r="K2017" i="1" a="1"/>
  <c r="K2017" i="1" s="1"/>
  <c r="K2018" i="1" a="1"/>
  <c r="K2018" i="1" s="1"/>
  <c r="K2019" i="1" a="1"/>
  <c r="K2019" i="1" s="1"/>
  <c r="K2020" i="1" a="1"/>
  <c r="K2020" i="1" s="1"/>
  <c r="K2021" i="1" a="1"/>
  <c r="K2021" i="1" s="1"/>
  <c r="K2022" i="1" a="1"/>
  <c r="K2022" i="1" s="1"/>
  <c r="K2023" i="1" a="1"/>
  <c r="K2023" i="1" s="1"/>
  <c r="K2024" i="1" a="1"/>
  <c r="K2024" i="1" s="1"/>
  <c r="K2025" i="1" a="1"/>
  <c r="K2025" i="1" s="1"/>
  <c r="K2026" i="1" a="1"/>
  <c r="K2026" i="1" s="1"/>
  <c r="K2579" i="1" a="1"/>
  <c r="K2579" i="1" s="1"/>
  <c r="K2580" i="1" a="1"/>
  <c r="K2580" i="1" s="1"/>
  <c r="K2027" i="1" a="1"/>
  <c r="K2027" i="1" s="1"/>
  <c r="K2028" i="1" a="1"/>
  <c r="K2028" i="1" s="1"/>
  <c r="K2029" i="1" a="1"/>
  <c r="K2029" i="1" s="1"/>
  <c r="K2030" i="1" a="1"/>
  <c r="K2030" i="1" s="1"/>
  <c r="K2031" i="1" a="1"/>
  <c r="K2031" i="1" s="1"/>
  <c r="K2032" i="1" a="1"/>
  <c r="K2032" i="1" s="1"/>
  <c r="K2033" i="1" a="1"/>
  <c r="K2033" i="1" s="1"/>
  <c r="K2034" i="1" a="1"/>
  <c r="K2034" i="1" s="1"/>
  <c r="K2035" i="1" a="1"/>
  <c r="K2035" i="1" s="1"/>
  <c r="K2036" i="1" a="1"/>
  <c r="K2036" i="1" s="1"/>
  <c r="K2581" i="1" a="1"/>
  <c r="K2581" i="1" s="1"/>
  <c r="K2037" i="1" a="1"/>
  <c r="K2037" i="1" s="1"/>
  <c r="K2038" i="1" a="1"/>
  <c r="K2038" i="1" s="1"/>
  <c r="K2039" i="1" a="1"/>
  <c r="K2039" i="1" s="1"/>
  <c r="K2040" i="1" a="1"/>
  <c r="K2040" i="1" s="1"/>
  <c r="K2041" i="1" a="1"/>
  <c r="K2041" i="1" s="1"/>
  <c r="K2042" i="1" a="1"/>
  <c r="K2042" i="1" s="1"/>
  <c r="K2043" i="1" a="1"/>
  <c r="K2043" i="1" s="1"/>
  <c r="K2044" i="1" a="1"/>
  <c r="K2044" i="1" s="1"/>
  <c r="K2582" i="1" a="1"/>
  <c r="K2582" i="1" s="1"/>
  <c r="K2045" i="1" a="1"/>
  <c r="K2045" i="1" s="1"/>
  <c r="K2046" i="1" a="1"/>
  <c r="K2046" i="1" s="1"/>
  <c r="K2047" i="1" a="1"/>
  <c r="K2047" i="1" s="1"/>
  <c r="K2048" i="1" a="1"/>
  <c r="K2048" i="1" s="1"/>
  <c r="K2049" i="1" a="1"/>
  <c r="K2049" i="1" s="1"/>
  <c r="K2050" i="1" a="1"/>
  <c r="K2050" i="1" s="1"/>
  <c r="K2051" i="1" a="1"/>
  <c r="K2051" i="1" s="1"/>
  <c r="K2052" i="1" a="1"/>
  <c r="K2052" i="1" s="1"/>
  <c r="K2053" i="1" a="1"/>
  <c r="K2053" i="1" s="1"/>
  <c r="K2054" i="1" a="1"/>
  <c r="K2054" i="1" s="1"/>
  <c r="K2055" i="1" a="1"/>
  <c r="K2055" i="1" s="1"/>
  <c r="K2056" i="1" a="1"/>
  <c r="K2056" i="1" s="1"/>
  <c r="K2057" i="1" a="1"/>
  <c r="K2057" i="1" s="1"/>
  <c r="K2058" i="1" a="1"/>
  <c r="K2058" i="1" s="1"/>
  <c r="K2059" i="1" a="1"/>
  <c r="K2059" i="1" s="1"/>
  <c r="K2060" i="1" a="1"/>
  <c r="K2060" i="1" s="1"/>
  <c r="K2061" i="1" a="1"/>
  <c r="K2061" i="1" s="1"/>
  <c r="K2062" i="1" a="1"/>
  <c r="K2062" i="1" s="1"/>
  <c r="K2063" i="1" a="1"/>
  <c r="K2063" i="1" s="1"/>
  <c r="K2583" i="1" a="1"/>
  <c r="K2583" i="1" s="1"/>
  <c r="K2064" i="1" a="1"/>
  <c r="K2064" i="1" s="1"/>
  <c r="K2065" i="1" a="1"/>
  <c r="K2065" i="1" s="1"/>
  <c r="K2066" i="1" a="1"/>
  <c r="K2066" i="1" s="1"/>
  <c r="K2067" i="1" a="1"/>
  <c r="K2067" i="1" s="1"/>
  <c r="K2068" i="1" a="1"/>
  <c r="K2068" i="1" s="1"/>
  <c r="K2069" i="1" a="1"/>
  <c r="K2069" i="1" s="1"/>
  <c r="K2070" i="1" a="1"/>
  <c r="K2070" i="1" s="1"/>
  <c r="K2071" i="1" a="1"/>
  <c r="K2071" i="1" s="1"/>
  <c r="K2584" i="1" a="1"/>
  <c r="K2584" i="1" s="1"/>
  <c r="K2072" i="1" a="1"/>
  <c r="K2072" i="1" s="1"/>
  <c r="K2073" i="1" a="1"/>
  <c r="K2073" i="1" s="1"/>
  <c r="K2074" i="1" a="1"/>
  <c r="K2074" i="1" s="1"/>
  <c r="K2075" i="1" a="1"/>
  <c r="K2075" i="1" s="1"/>
  <c r="K2585" i="1" a="1"/>
  <c r="K2585" i="1" s="1"/>
  <c r="K2076" i="1" a="1"/>
  <c r="K2076" i="1" s="1"/>
  <c r="K2077" i="1" a="1"/>
  <c r="K2077" i="1" s="1"/>
  <c r="K2078" i="1" a="1"/>
  <c r="K2078" i="1" s="1"/>
  <c r="K2079" i="1" a="1"/>
  <c r="K2079" i="1" s="1"/>
  <c r="K2080" i="1" a="1"/>
  <c r="K2080" i="1" s="1"/>
  <c r="K2081" i="1" a="1"/>
  <c r="K2081" i="1" s="1"/>
  <c r="K2082" i="1" a="1"/>
  <c r="K2082" i="1" s="1"/>
  <c r="K2083" i="1" a="1"/>
  <c r="K2083" i="1" s="1"/>
  <c r="K2084" i="1" a="1"/>
  <c r="K2084" i="1" s="1"/>
  <c r="K2085" i="1" a="1"/>
  <c r="K2085" i="1" s="1"/>
  <c r="K2086" i="1" a="1"/>
  <c r="K2086" i="1" s="1"/>
  <c r="K2087" i="1" a="1"/>
  <c r="K2087" i="1" s="1"/>
  <c r="K2586" i="1" a="1"/>
  <c r="K2586" i="1" s="1"/>
  <c r="K2088" i="1" a="1"/>
  <c r="K2088" i="1" s="1"/>
  <c r="K2587" i="1" a="1"/>
  <c r="K2587" i="1" s="1"/>
  <c r="K2089" i="1" a="1"/>
  <c r="K2089" i="1" s="1"/>
  <c r="K2090" i="1" a="1"/>
  <c r="K2090" i="1" s="1"/>
  <c r="K2091" i="1" a="1"/>
  <c r="K2091" i="1" s="1"/>
  <c r="K2092" i="1" a="1"/>
  <c r="K2092" i="1" s="1"/>
  <c r="K2093" i="1" a="1"/>
  <c r="K2093" i="1" s="1"/>
  <c r="K2094" i="1" a="1"/>
  <c r="K2094" i="1" s="1"/>
  <c r="K2095" i="1" a="1"/>
  <c r="K2095" i="1" s="1"/>
  <c r="K2096" i="1" a="1"/>
  <c r="K2096" i="1" s="1"/>
  <c r="K2097" i="1" a="1"/>
  <c r="K2097" i="1" s="1"/>
  <c r="K2098" i="1" a="1"/>
  <c r="K2098" i="1" s="1"/>
  <c r="K2099" i="1" a="1"/>
  <c r="K2099" i="1" s="1"/>
  <c r="K2100" i="1" a="1"/>
  <c r="K2100" i="1" s="1"/>
  <c r="K2588" i="1" a="1"/>
  <c r="K2588" i="1" s="1"/>
  <c r="K2589" i="1" a="1"/>
  <c r="K2589" i="1" s="1"/>
  <c r="K2101" i="1" a="1"/>
  <c r="K2101" i="1" s="1"/>
  <c r="K2102" i="1" a="1"/>
  <c r="K2102" i="1" s="1"/>
  <c r="K2103" i="1" a="1"/>
  <c r="K2103" i="1" s="1"/>
  <c r="K2104" i="1" a="1"/>
  <c r="K2104" i="1" s="1"/>
  <c r="K2590" i="1" a="1"/>
  <c r="K2590" i="1" s="1"/>
  <c r="K2105" i="1" a="1"/>
  <c r="K2105" i="1" s="1"/>
  <c r="K2106" i="1" a="1"/>
  <c r="K2106" i="1" s="1"/>
  <c r="K2107" i="1" a="1"/>
  <c r="K2107" i="1" s="1"/>
  <c r="K2108" i="1" a="1"/>
  <c r="K2108" i="1" s="1"/>
  <c r="K2109" i="1" a="1"/>
  <c r="K2109" i="1" s="1"/>
  <c r="K2110" i="1" a="1"/>
  <c r="K2110" i="1" s="1"/>
  <c r="K2111" i="1" a="1"/>
  <c r="K2111" i="1" s="1"/>
  <c r="K2112" i="1" a="1"/>
  <c r="K2112" i="1" s="1"/>
  <c r="K2113" i="1" a="1"/>
  <c r="K2113" i="1" s="1"/>
  <c r="K2114" i="1" a="1"/>
  <c r="K2114" i="1" s="1"/>
  <c r="K2115" i="1" a="1"/>
  <c r="K2115" i="1" s="1"/>
  <c r="K2116" i="1" a="1"/>
  <c r="K2116" i="1" s="1"/>
  <c r="K2117" i="1" a="1"/>
  <c r="K2117" i="1" s="1"/>
  <c r="K2118" i="1" a="1"/>
  <c r="K2118" i="1" s="1"/>
  <c r="K2119" i="1" a="1"/>
  <c r="K2119" i="1" s="1"/>
  <c r="K2120" i="1" a="1"/>
  <c r="K2120" i="1" s="1"/>
  <c r="K2121" i="1" a="1"/>
  <c r="K2121" i="1" s="1"/>
  <c r="K2591" i="1" a="1"/>
  <c r="K2591" i="1" s="1"/>
  <c r="K2122" i="1" a="1"/>
  <c r="K2122" i="1" s="1"/>
  <c r="K2123" i="1" a="1"/>
  <c r="K2123" i="1" s="1"/>
  <c r="K2124" i="1" a="1"/>
  <c r="K2124" i="1" s="1"/>
  <c r="K2125" i="1" a="1"/>
  <c r="K2125" i="1" s="1"/>
  <c r="K2126" i="1" a="1"/>
  <c r="K2126" i="1" s="1"/>
  <c r="K2127" i="1" a="1"/>
  <c r="K2127" i="1" s="1"/>
  <c r="K2128" i="1" a="1"/>
  <c r="K2128" i="1" s="1"/>
  <c r="K2129" i="1" a="1"/>
  <c r="K2129" i="1" s="1"/>
  <c r="K2130" i="1" a="1"/>
  <c r="K2130" i="1" s="1"/>
  <c r="K2131" i="1" a="1"/>
  <c r="K2131" i="1" s="1"/>
  <c r="K2132" i="1" a="1"/>
  <c r="K2132" i="1" s="1"/>
  <c r="K2133" i="1" a="1"/>
  <c r="K2133" i="1" s="1"/>
  <c r="K2592" i="1" a="1"/>
  <c r="K2592" i="1" s="1"/>
  <c r="K2134" i="1" a="1"/>
  <c r="K2134" i="1" s="1"/>
  <c r="K2135" i="1" a="1"/>
  <c r="K2135" i="1" s="1"/>
  <c r="K2136" i="1" a="1"/>
  <c r="K2136" i="1" s="1"/>
  <c r="K2137" i="1" a="1"/>
  <c r="K2137" i="1" s="1"/>
  <c r="K2138" i="1" a="1"/>
  <c r="K2138" i="1" s="1"/>
  <c r="K2139" i="1" a="1"/>
  <c r="K2139" i="1" s="1"/>
  <c r="K2140" i="1" a="1"/>
  <c r="K2140" i="1" s="1"/>
  <c r="K2141" i="1" a="1"/>
  <c r="K2141" i="1" s="1"/>
  <c r="K2142" i="1" a="1"/>
  <c r="K2142" i="1" s="1"/>
  <c r="K2143" i="1" a="1"/>
  <c r="K2143" i="1" s="1"/>
  <c r="K2144" i="1" a="1"/>
  <c r="K2144" i="1" s="1"/>
  <c r="K2145" i="1" a="1"/>
  <c r="K2145" i="1" s="1"/>
  <c r="K2146" i="1" a="1"/>
  <c r="K2146" i="1" s="1"/>
  <c r="K2147" i="1" a="1"/>
  <c r="K2147" i="1" s="1"/>
  <c r="K2148" i="1" a="1"/>
  <c r="K2148" i="1" s="1"/>
  <c r="K2149" i="1" a="1"/>
  <c r="K2149" i="1" s="1"/>
  <c r="K2150" i="1" a="1"/>
  <c r="K2150" i="1" s="1"/>
  <c r="K2151" i="1" a="1"/>
  <c r="K2151" i="1" s="1"/>
  <c r="K2152" i="1" a="1"/>
  <c r="K2152" i="1" s="1"/>
  <c r="K2153" i="1" a="1"/>
  <c r="K2153" i="1" s="1"/>
  <c r="K2593" i="1" a="1"/>
  <c r="K2593" i="1" s="1"/>
  <c r="K2154" i="1" a="1"/>
  <c r="K2154" i="1" s="1"/>
  <c r="K2155" i="1" a="1"/>
  <c r="K2155" i="1" s="1"/>
  <c r="K2156" i="1" a="1"/>
  <c r="K2156" i="1" s="1"/>
  <c r="K2594" i="1" a="1"/>
  <c r="K2594" i="1" s="1"/>
  <c r="K2157" i="1" a="1"/>
  <c r="K2157" i="1" s="1"/>
  <c r="K2158" i="1" a="1"/>
  <c r="K2158" i="1" s="1"/>
  <c r="K2159" i="1" a="1"/>
  <c r="K2159" i="1" s="1"/>
  <c r="K2160" i="1" a="1"/>
  <c r="K2160" i="1" s="1"/>
  <c r="K2161" i="1" a="1"/>
  <c r="K2161" i="1" s="1"/>
  <c r="K2162" i="1" a="1"/>
  <c r="K2162" i="1" s="1"/>
  <c r="K2595" i="1" a="1"/>
  <c r="K2595" i="1" s="1"/>
  <c r="K2596" i="1" a="1"/>
  <c r="K2596" i="1" s="1"/>
  <c r="K2163" i="1" a="1"/>
  <c r="K2163" i="1" s="1"/>
  <c r="K2164" i="1" a="1"/>
  <c r="K2164" i="1" s="1"/>
  <c r="K2165" i="1" a="1"/>
  <c r="K2165" i="1" s="1"/>
  <c r="K2166" i="1" a="1"/>
  <c r="K2166" i="1" s="1"/>
  <c r="K2167" i="1" a="1"/>
  <c r="K2167" i="1" s="1"/>
  <c r="K2168" i="1" a="1"/>
  <c r="K2168" i="1" s="1"/>
  <c r="K2169" i="1" a="1"/>
  <c r="K2169" i="1" s="1"/>
  <c r="K2287" i="1" a="1"/>
  <c r="K2287" i="1" s="1"/>
  <c r="K2597" i="1" a="1"/>
  <c r="K2597" i="1" s="1"/>
  <c r="K2170" i="1" a="1"/>
  <c r="K2170" i="1" s="1"/>
  <c r="K2171" i="1" a="1"/>
  <c r="K2171" i="1" s="1"/>
  <c r="K2172" i="1" a="1"/>
  <c r="K2172" i="1" s="1"/>
  <c r="K2173" i="1" a="1"/>
  <c r="K2173" i="1" s="1"/>
  <c r="K2598" i="1" a="1"/>
  <c r="K2598" i="1" s="1"/>
  <c r="K2288" i="1" a="1"/>
  <c r="K2288" i="1" s="1"/>
  <c r="K2174" i="1" a="1"/>
  <c r="K2174" i="1" s="1"/>
  <c r="K2289" i="1" a="1"/>
  <c r="K2289" i="1" s="1"/>
  <c r="K2175" i="1" a="1"/>
  <c r="K2175" i="1" s="1"/>
  <c r="K2176" i="1" a="1"/>
  <c r="K2176" i="1" s="1"/>
  <c r="K2177" i="1" a="1"/>
  <c r="K2177" i="1" s="1"/>
  <c r="K2178" i="1" a="1"/>
  <c r="K2178" i="1" s="1"/>
  <c r="K2179" i="1" a="1"/>
  <c r="K2179" i="1" s="1"/>
  <c r="K2180" i="1" a="1"/>
  <c r="K2180" i="1" s="1"/>
  <c r="K2599" i="1" a="1"/>
  <c r="K2599" i="1" s="1"/>
  <c r="K2181" i="1" a="1"/>
  <c r="K2181" i="1" s="1"/>
  <c r="K2182" i="1" a="1"/>
  <c r="K2182" i="1" s="1"/>
  <c r="K2183" i="1" a="1"/>
  <c r="K2183" i="1" s="1"/>
  <c r="K2184" i="1" a="1"/>
  <c r="K2184" i="1" s="1"/>
  <c r="K2290" i="1" a="1"/>
  <c r="K2290" i="1" s="1"/>
  <c r="K2185" i="1" a="1"/>
  <c r="K2185" i="1" s="1"/>
  <c r="K2186" i="1" a="1"/>
  <c r="K2186" i="1" s="1"/>
  <c r="K2187" i="1" a="1"/>
  <c r="K2187" i="1" s="1"/>
  <c r="K2188" i="1" a="1"/>
  <c r="K2188" i="1" s="1"/>
  <c r="K2189" i="1" a="1"/>
  <c r="K2189" i="1" s="1"/>
  <c r="K2190" i="1" a="1"/>
  <c r="K2190" i="1" s="1"/>
  <c r="K2191" i="1" a="1"/>
  <c r="K2191" i="1" s="1"/>
  <c r="K2192" i="1" a="1"/>
  <c r="K2192" i="1" s="1"/>
  <c r="K2193" i="1" a="1"/>
  <c r="K2193" i="1" s="1"/>
  <c r="K2194" i="1" a="1"/>
  <c r="K2194" i="1" s="1"/>
  <c r="K2195" i="1" a="1"/>
  <c r="K2195" i="1" s="1"/>
  <c r="K2196" i="1" a="1"/>
  <c r="K2196" i="1" s="1"/>
  <c r="K2197" i="1" a="1"/>
  <c r="K2197" i="1" s="1"/>
  <c r="K2600" i="1" a="1"/>
  <c r="K2600" i="1" s="1"/>
  <c r="K2198" i="1" a="1"/>
  <c r="K2198" i="1" s="1"/>
  <c r="K2199" i="1" a="1"/>
  <c r="K2199" i="1" s="1"/>
  <c r="K2200" i="1" a="1"/>
  <c r="K2200" i="1" s="1"/>
  <c r="K2601" i="1" a="1"/>
  <c r="K2601" i="1" s="1"/>
  <c r="K2201" i="1" a="1"/>
  <c r="K2201" i="1" s="1"/>
  <c r="K2202" i="1" a="1"/>
  <c r="K2202" i="1" s="1"/>
  <c r="K2203" i="1" a="1"/>
  <c r="K2203" i="1" s="1"/>
  <c r="K2204" i="1" a="1"/>
  <c r="K2204" i="1" s="1"/>
  <c r="K2205" i="1" a="1"/>
  <c r="K2205" i="1" s="1"/>
  <c r="K2206" i="1" a="1"/>
  <c r="K2206" i="1" s="1"/>
  <c r="K2207" i="1" a="1"/>
  <c r="K2207" i="1" s="1"/>
  <c r="K2208" i="1" a="1"/>
  <c r="K2208" i="1" s="1"/>
  <c r="K2209" i="1" a="1"/>
  <c r="K2209" i="1" s="1"/>
  <c r="K2210" i="1" a="1"/>
  <c r="K2210" i="1" s="1"/>
  <c r="K2211" i="1" a="1"/>
  <c r="K2211" i="1" s="1"/>
  <c r="K2212" i="1" a="1"/>
  <c r="K2212" i="1" s="1"/>
  <c r="K2213" i="1" a="1"/>
  <c r="K2213" i="1" s="1"/>
  <c r="K2602" i="1" a="1"/>
  <c r="K2602" i="1" s="1"/>
  <c r="K2214" i="1" a="1"/>
  <c r="K2214" i="1" s="1"/>
  <c r="K2215" i="1" a="1"/>
  <c r="K2215" i="1" s="1"/>
  <c r="K2603" i="1" a="1"/>
  <c r="K2603" i="1" s="1"/>
  <c r="K2216" i="1" a="1"/>
  <c r="K2216" i="1" s="1"/>
  <c r="K2217" i="1" a="1"/>
  <c r="K2217" i="1" s="1"/>
  <c r="K2604" i="1" a="1"/>
  <c r="K2604" i="1" s="1"/>
  <c r="K2218" i="1" a="1"/>
  <c r="K2218" i="1" s="1"/>
  <c r="K2219" i="1" a="1"/>
  <c r="K2219" i="1" s="1"/>
  <c r="K2220" i="1" a="1"/>
  <c r="K2220" i="1" s="1"/>
  <c r="K2221" i="1" a="1"/>
  <c r="K2221" i="1" s="1"/>
  <c r="K2605" i="1" a="1"/>
  <c r="K2605" i="1" s="1"/>
  <c r="K2291" i="1" a="1"/>
  <c r="K2291" i="1" s="1"/>
  <c r="K2222" i="1" a="1"/>
  <c r="K2222" i="1" s="1"/>
  <c r="K2606" i="1" a="1"/>
  <c r="K2606" i="1" s="1"/>
  <c r="K2223" i="1" a="1"/>
  <c r="K2223" i="1" s="1"/>
  <c r="K2224" i="1" a="1"/>
  <c r="K2224" i="1" s="1"/>
  <c r="K2607" i="1" a="1"/>
  <c r="K2607" i="1" s="1"/>
  <c r="K2225" i="1" a="1"/>
  <c r="K2225" i="1" s="1"/>
  <c r="K2226" i="1" a="1"/>
  <c r="K2226" i="1" s="1"/>
  <c r="K2227" i="1" a="1"/>
  <c r="K2227" i="1" s="1"/>
  <c r="K2228" i="1" a="1"/>
  <c r="K2228" i="1" s="1"/>
  <c r="K2229" i="1" a="1"/>
  <c r="K2229" i="1" s="1"/>
  <c r="K2230" i="1" a="1"/>
  <c r="K2230" i="1" s="1"/>
  <c r="K2231" i="1" a="1"/>
  <c r="K2231" i="1" s="1"/>
  <c r="K2232" i="1" a="1"/>
  <c r="K2232" i="1" s="1"/>
  <c r="K2233" i="1" a="1"/>
  <c r="K2233" i="1" s="1"/>
  <c r="K2" i="1" a="1"/>
  <c r="K2" i="1"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<sst xmlns="http://schemas.openxmlformats.org/spreadsheetml/2006/main" count="8004" uniqueCount="2751">
  <si>
    <t>Albania</t>
  </si>
  <si>
    <t>Algeria</t>
  </si>
  <si>
    <t>Andorra</t>
  </si>
  <si>
    <t>Argentina</t>
  </si>
  <si>
    <t>Armenia</t>
  </si>
  <si>
    <t>Australia</t>
  </si>
  <si>
    <t>Austria</t>
  </si>
  <si>
    <t>Azerbaijan</t>
  </si>
  <si>
    <t>Belarus</t>
  </si>
  <si>
    <t>Belgium</t>
  </si>
  <si>
    <t>Bermuda</t>
  </si>
  <si>
    <t>Bosnia and Herzegovina</t>
  </si>
  <si>
    <t>Brazil</t>
  </si>
  <si>
    <t>Bulgaria</t>
  </si>
  <si>
    <t>Canada</t>
  </si>
  <si>
    <t>Cayman Islands</t>
  </si>
  <si>
    <t>Chile</t>
  </si>
  <si>
    <t>China</t>
  </si>
  <si>
    <t>Colombia</t>
  </si>
  <si>
    <t>Croatia</t>
  </si>
  <si>
    <t>Cyprus</t>
  </si>
  <si>
    <t>Czech Republic</t>
  </si>
  <si>
    <t>Denmark</t>
  </si>
  <si>
    <t>Estonia</t>
  </si>
  <si>
    <t>Ethiopia</t>
  </si>
  <si>
    <t>Finland</t>
  </si>
  <si>
    <t>France</t>
  </si>
  <si>
    <t>Georgia</t>
  </si>
  <si>
    <t>Germany</t>
  </si>
  <si>
    <t>Ghana</t>
  </si>
  <si>
    <t>Great Britain</t>
  </si>
  <si>
    <t>Greece</t>
  </si>
  <si>
    <t>Hong Kong</t>
  </si>
  <si>
    <t>Hungary</t>
  </si>
  <si>
    <t>Iceland</t>
  </si>
  <si>
    <t>India</t>
  </si>
  <si>
    <t>Iran</t>
  </si>
  <si>
    <t>Ireland</t>
  </si>
  <si>
    <t>Israel</t>
  </si>
  <si>
    <t>Italy</t>
  </si>
  <si>
    <t>Jamaica</t>
  </si>
  <si>
    <t>Japan</t>
  </si>
  <si>
    <t>Kazakhstan</t>
  </si>
  <si>
    <t>North Korea</t>
  </si>
  <si>
    <t>South Korea</t>
  </si>
  <si>
    <t>Kyrgyzstan</t>
  </si>
  <si>
    <t>Latvia</t>
  </si>
  <si>
    <t>Lebanon</t>
  </si>
  <si>
    <t>Liechtenstein</t>
  </si>
  <si>
    <t>Lithuania</t>
  </si>
  <si>
    <t>Macedonia</t>
  </si>
  <si>
    <t>Mexico</t>
  </si>
  <si>
    <t>Moldova</t>
  </si>
  <si>
    <t>Monaco</t>
  </si>
  <si>
    <t>Mongolia</t>
  </si>
  <si>
    <t>Montenegro</t>
  </si>
  <si>
    <t>Morocco</t>
  </si>
  <si>
    <t>Nepal</t>
  </si>
  <si>
    <t>Netherlands</t>
  </si>
  <si>
    <t>New Zealand</t>
  </si>
  <si>
    <t>Norway</t>
  </si>
  <si>
    <t>Pakistan</t>
  </si>
  <si>
    <t>Peru</t>
  </si>
  <si>
    <t>Poland</t>
  </si>
  <si>
    <t>Portugal</t>
  </si>
  <si>
    <t>Romania</t>
  </si>
  <si>
    <t>Russia</t>
  </si>
  <si>
    <t>San Marino</t>
  </si>
  <si>
    <t>Senegal</t>
  </si>
  <si>
    <t>Serbia</t>
  </si>
  <si>
    <t>Slovakia</t>
  </si>
  <si>
    <t>Slovenia</t>
  </si>
  <si>
    <t>South Africa</t>
  </si>
  <si>
    <t>Spain</t>
  </si>
  <si>
    <t>Sweden</t>
  </si>
  <si>
    <t>Switzerland</t>
  </si>
  <si>
    <t>Chinese Taipei</t>
  </si>
  <si>
    <t>Tajikistan</t>
  </si>
  <si>
    <t>Turkey</t>
  </si>
  <si>
    <t>Ukraine</t>
  </si>
  <si>
    <t>United States</t>
  </si>
  <si>
    <t>Uzbekistan</t>
  </si>
  <si>
    <t>Sport</t>
  </si>
  <si>
    <t>Nationality</t>
  </si>
  <si>
    <t>Age</t>
  </si>
  <si>
    <t>Alpine Skiing</t>
  </si>
  <si>
    <t>Figure Skating</t>
  </si>
  <si>
    <t>Freestyle Skiing</t>
  </si>
  <si>
    <t>Biathlon</t>
  </si>
  <si>
    <t>Speed Skating</t>
  </si>
  <si>
    <t>Bobsleigh</t>
  </si>
  <si>
    <t>Ice Hockey</t>
  </si>
  <si>
    <t>Ski Jumping</t>
  </si>
  <si>
    <t>Snowboard</t>
  </si>
  <si>
    <t>Cross-Country Skiing</t>
  </si>
  <si>
    <t>Luge</t>
  </si>
  <si>
    <t>Curling</t>
  </si>
  <si>
    <t>Nordic Combined</t>
  </si>
  <si>
    <t>Short Track</t>
  </si>
  <si>
    <t>Cross-Country Skiing,Biathlon</t>
  </si>
  <si>
    <t>Skeleton</t>
  </si>
  <si>
    <t>Kenya</t>
  </si>
  <si>
    <t>Speed Skating,Short Track</t>
  </si>
  <si>
    <t>Weight(kg)</t>
  </si>
  <si>
    <t>Height(cm)</t>
  </si>
  <si>
    <t>Sr. No.</t>
  </si>
  <si>
    <t>Abbas Muhammad</t>
  </si>
  <si>
    <t>Abbott Jeremy</t>
  </si>
  <si>
    <t>Ablaev Enver</t>
  </si>
  <si>
    <t>Abramashvili Iason</t>
  </si>
  <si>
    <t>Abramenko Evgeny</t>
  </si>
  <si>
    <t>Abramenko Oleksandr</t>
  </si>
  <si>
    <t>Abramova Yekaterina</t>
  </si>
  <si>
    <t>Abramovitch Dmitry</t>
  </si>
  <si>
    <t>Achi Ghassan</t>
  </si>
  <si>
    <t>Acton Brigitte</t>
  </si>
  <si>
    <t>Adjei Richard</t>
  </si>
  <si>
    <t>Aebli Christian</t>
  </si>
  <si>
    <t>Afinogenov Maxim</t>
  </si>
  <si>
    <t>Agosta Meghan</t>
  </si>
  <si>
    <t>Agosto Benjamin</t>
  </si>
  <si>
    <t>Ahn Jee-Min</t>
  </si>
  <si>
    <t>Ahonen Janne</t>
  </si>
  <si>
    <t>Ainsworth Sarah</t>
  </si>
  <si>
    <t>Albertsen Johnny</t>
  </si>
  <si>
    <t>Albrecht Kilian</t>
  </si>
  <si>
    <t>Alcott Chemmy</t>
  </si>
  <si>
    <t>Alexander Nicholas</t>
  </si>
  <si>
    <t>Alfredsson Daniel</t>
  </si>
  <si>
    <t>Almoukov Alexei</t>
  </si>
  <si>
    <t>Ambuhl Andres</t>
  </si>
  <si>
    <t>Ammann Simon</t>
  </si>
  <si>
    <t>Amodio Florent</t>
  </si>
  <si>
    <t>Ananina Ekaterina</t>
  </si>
  <si>
    <t>Andersen Jonas</t>
  </si>
  <si>
    <t>Anderson Jasey Jay</t>
  </si>
  <si>
    <t>Andersson Emilia</t>
  </si>
  <si>
    <t>Andersson Gunilla</t>
  </si>
  <si>
    <t>Andersson Lina</t>
  </si>
  <si>
    <t>Ando Miki</t>
  </si>
  <si>
    <t>Andrei Ionut</t>
  </si>
  <si>
    <t>Anesi Matteo</t>
  </si>
  <si>
    <t>Anev Krasimir</t>
  </si>
  <si>
    <t>Angerer Karl</t>
  </si>
  <si>
    <t>Angerer Tobias</t>
  </si>
  <si>
    <t>Angermuller Monique</t>
  </si>
  <si>
    <t>Anghel Andrei</t>
  </si>
  <si>
    <t>Angiboust Tony</t>
  </si>
  <si>
    <t>Ankipans Girts</t>
  </si>
  <si>
    <t>Anschutz Thoms Daniela</t>
  </si>
  <si>
    <t>Anthamatten Sophie</t>
  </si>
  <si>
    <t>Anthonioz Deborah</t>
  </si>
  <si>
    <t>Antila Timo</t>
  </si>
  <si>
    <t>Antonenko Oleg</t>
  </si>
  <si>
    <t>Antonova Elena</t>
  </si>
  <si>
    <t>Antsybor Maryna</t>
  </si>
  <si>
    <t>Aono Ryo</t>
  </si>
  <si>
    <t>Apps Gillian</t>
  </si>
  <si>
    <t>Arapbayeva Zhibek</t>
  </si>
  <si>
    <t>Arhipovs Mihails</t>
  </si>
  <si>
    <t>Arritola Morgan</t>
  </si>
  <si>
    <t>Asada Mao</t>
  </si>
  <si>
    <t>Asazu Konomi</t>
  </si>
  <si>
    <t>Asikainen Lauri</t>
  </si>
  <si>
    <t>Asserholt Jenni</t>
  </si>
  <si>
    <t>Aubert Sandrine</t>
  </si>
  <si>
    <t>Austbo Fredrik</t>
  </si>
  <si>
    <t>Aydova Yekaterina</t>
  </si>
  <si>
    <t>Azevedo Emily</t>
  </si>
  <si>
    <t>Azzimani Samir</t>
  </si>
  <si>
    <t>Babenko Dmitry</t>
  </si>
  <si>
    <t>Babiakova Petra</t>
  </si>
  <si>
    <t>Babikov Ivan</t>
  </si>
  <si>
    <t>Babonyova Natalie</t>
  </si>
  <si>
    <t>Babusiak Jaroslav</t>
  </si>
  <si>
    <t>Bacchini Paolo</t>
  </si>
  <si>
    <t>Bachleda-Curus Katarzyna</t>
  </si>
  <si>
    <t>Bachmann Tina</t>
  </si>
  <si>
    <t>Backes David</t>
  </si>
  <si>
    <t>Backstrom Nicklas</t>
  </si>
  <si>
    <t>Backstrom Niklas</t>
  </si>
  <si>
    <t>Baeck Axel</t>
  </si>
  <si>
    <t>Bahrke Shannon</t>
  </si>
  <si>
    <t>Bailey Lowell</t>
  </si>
  <si>
    <t>Bailly Sandrine</t>
  </si>
  <si>
    <t>Bajcicak Martin</t>
  </si>
  <si>
    <t>Bakes David</t>
  </si>
  <si>
    <t>Bakos Michael</t>
  </si>
  <si>
    <t>Balan Serghei</t>
  </si>
  <si>
    <t>Bank Ondrej</t>
  </si>
  <si>
    <t>Barahona Noelle</t>
  </si>
  <si>
    <t>Baranka Ivan</t>
  </si>
  <si>
    <t>Bardal Anders</t>
  </si>
  <si>
    <t>Barioz Taina</t>
  </si>
  <si>
    <t>Barmashov Dmitriy</t>
  </si>
  <si>
    <t>Barnes Lanny</t>
  </si>
  <si>
    <t>Barrett Jeremy</t>
  </si>
  <si>
    <t>Barron Peter-James</t>
  </si>
  <si>
    <t>Bartecko Lubos</t>
  </si>
  <si>
    <t>Bartel Cori</t>
  </si>
  <si>
    <t>Barthelemy Laure</t>
  </si>
  <si>
    <t>Barthet Anne-Sophie</t>
  </si>
  <si>
    <t>Bartulis Oskars</t>
  </si>
  <si>
    <t>Barucha Andreas</t>
  </si>
  <si>
    <t>Bassani Antivari Gaia</t>
  </si>
  <si>
    <t>Bastiansen Anders</t>
  </si>
  <si>
    <t>Bastille Guillaume</t>
  </si>
  <si>
    <t>Batchelor Jeff</t>
  </si>
  <si>
    <t>Bates Evan</t>
  </si>
  <si>
    <t>Batory Ivan</t>
  </si>
  <si>
    <t>Bauer Armin</t>
  </si>
  <si>
    <t>Bauer Klemen</t>
  </si>
  <si>
    <t>Bauer Lukas</t>
  </si>
  <si>
    <t>Bauer Veronika</t>
  </si>
  <si>
    <t>Baumann Alex</t>
  </si>
  <si>
    <t>Baumann Romed</t>
  </si>
  <si>
    <t>Baumgartner Nick</t>
  </si>
  <si>
    <t>Baver Allison</t>
  </si>
  <si>
    <t>Bazarova Vera</t>
  </si>
  <si>
    <t>Bean Nicolas</t>
  </si>
  <si>
    <t>Beatrix Jean Guillaume</t>
  </si>
  <si>
    <t>Becaert Sylvie</t>
  </si>
  <si>
    <t>Beck Martina</t>
  </si>
  <si>
    <t>Beck Timothy</t>
  </si>
  <si>
    <t>Becker Robert</t>
  </si>
  <si>
    <t>Beckert Patrick</t>
  </si>
  <si>
    <t>Beckert Stephanie</t>
  </si>
  <si>
    <t>Bedford Ryan</t>
  </si>
  <si>
    <t>Bednarik Nina</t>
  </si>
  <si>
    <t>Begg-Smith Dale</t>
  </si>
  <si>
    <t>Beier Christina</t>
  </si>
  <si>
    <t>Beier William</t>
  </si>
  <si>
    <t>Bekzhanov Aidar</t>
  </si>
  <si>
    <t>Belbin Tanith</t>
  </si>
  <si>
    <t>Bellamy Kacey</t>
  </si>
  <si>
    <t>Belyakova Olga</t>
  </si>
  <si>
    <t>Bene Marton</t>
  </si>
  <si>
    <t>Benna Anthony</t>
  </si>
  <si>
    <t>Benshoof Tony</t>
  </si>
  <si>
    <t>Benton John</t>
  </si>
  <si>
    <t>Benz Laura</t>
  </si>
  <si>
    <t>Benz Sara</t>
  </si>
  <si>
    <t>Berecz Anna</t>
  </si>
  <si>
    <t>Berger Lars</t>
  </si>
  <si>
    <t>Berger Sergio</t>
  </si>
  <si>
    <t>Berger Tora</t>
  </si>
  <si>
    <t>Bergeron Patrice</t>
  </si>
  <si>
    <t>Bergin Claire</t>
  </si>
  <si>
    <t>Berginz Juergen</t>
  </si>
  <si>
    <t>Bergman Carl Johan</t>
  </si>
  <si>
    <t>Bergstroem Kajsa</t>
  </si>
  <si>
    <t>Berkeley Charles</t>
  </si>
  <si>
    <t>Berlot Gasper</t>
  </si>
  <si>
    <t>Bermbach Gregor</t>
  </si>
  <si>
    <t>Bernard Cheryl</t>
  </si>
  <si>
    <t>Bernotas Eric</t>
  </si>
  <si>
    <t>Berntsen Hedda</t>
  </si>
  <si>
    <t>Bertazzo Simone</t>
  </si>
  <si>
    <t>Berthod Marc</t>
  </si>
  <si>
    <t>Bertrand Olivia</t>
  </si>
  <si>
    <t>Berzins Armands</t>
  </si>
  <si>
    <t>Bezina Goran</t>
  </si>
  <si>
    <t>Biega Maciej</t>
  </si>
  <si>
    <t>Bieler Christoph</t>
  </si>
  <si>
    <t>Biggs Patrick</t>
  </si>
  <si>
    <t>Bilanenko Olexander</t>
  </si>
  <si>
    <t>Bilodeau Alexandre</t>
  </si>
  <si>
    <t>Birnbacher Andreas</t>
  </si>
  <si>
    <t>Bissett David</t>
  </si>
  <si>
    <t>Biveson Daniel</t>
  </si>
  <si>
    <t>Bjerke Desiree</t>
  </si>
  <si>
    <t>Bjoergen Marit</t>
  </si>
  <si>
    <t>Bjoergvinsson Bjoergvin</t>
  </si>
  <si>
    <t>Bjoerndalen Ole Einar</t>
  </si>
  <si>
    <t>Bjoernlund Jesper</t>
  </si>
  <si>
    <t>Blardone Massimiliano</t>
  </si>
  <si>
    <t>Blatak Miroslav</t>
  </si>
  <si>
    <t>Bleiler Gretchen</t>
  </si>
  <si>
    <t>Blindenbacher Severin</t>
  </si>
  <si>
    <t>Blokhuijsen Jan</t>
  </si>
  <si>
    <t>Bobak Paulina</t>
  </si>
  <si>
    <t>Bobrova Ekaterina</t>
  </si>
  <si>
    <t>Boccacini Corinna</t>
  </si>
  <si>
    <t>Bockli Claudio</t>
  </si>
  <si>
    <t>Bodmer Pascal</t>
  </si>
  <si>
    <t>Boe Tarjei</t>
  </si>
  <si>
    <t>Boehler Stefanie</t>
  </si>
  <si>
    <t>Boer Margot</t>
  </si>
  <si>
    <t>Boeuf Alexis</t>
  </si>
  <si>
    <t>Bogaliy-Titovets Anna</t>
  </si>
  <si>
    <t>Bogdanov Martin</t>
  </si>
  <si>
    <t>Bohmann Martin</t>
  </si>
  <si>
    <t>Boit Philip</t>
  </si>
  <si>
    <t>Boivin Francois</t>
  </si>
  <si>
    <t>Bokko Havard</t>
  </si>
  <si>
    <t>Bokko Hege</t>
  </si>
  <si>
    <t>Boldykov Andrey</t>
  </si>
  <si>
    <t>Boldykova Svetlana</t>
  </si>
  <si>
    <t>Bonheur Yannick</t>
  </si>
  <si>
    <t>Bonhomme Tessa</t>
  </si>
  <si>
    <t>Bonsaksen Alexander</t>
  </si>
  <si>
    <t>Borodulin Artem</t>
  </si>
  <si>
    <t>Borodulina Tatiana</t>
  </si>
  <si>
    <t>Borssen Therese</t>
  </si>
  <si>
    <t>Bos Jan</t>
  </si>
  <si>
    <t>Boshchuk Volodymyr</t>
  </si>
  <si>
    <t>Botterill Jennifer</t>
  </si>
  <si>
    <t>Bottomley Esther</t>
  </si>
  <si>
    <t>Boulygina Anna</t>
  </si>
  <si>
    <t>Bourgeois Celia</t>
  </si>
  <si>
    <t>Bourzat Fabian</t>
  </si>
  <si>
    <t>Bouvier Stephanie</t>
  </si>
  <si>
    <t>Boyd-Clowes Mackenzie</t>
  </si>
  <si>
    <t>Boyle Dan</t>
  </si>
  <si>
    <t>Bozzetto Mathieu</t>
  </si>
  <si>
    <t>Bradford Rebekah</t>
  </si>
  <si>
    <t>Braichenko Nikolay</t>
  </si>
  <si>
    <t>Branch Craig</t>
  </si>
  <si>
    <t>Brandenburg Will</t>
  </si>
  <si>
    <t>Brankovic-Likozar Tadeja</t>
  </si>
  <si>
    <t>Braud Francois</t>
  </si>
  <si>
    <t>Brauer Jono</t>
  </si>
  <si>
    <t>Bray Juliane</t>
  </si>
  <si>
    <t>Brem Eva-Maria</t>
  </si>
  <si>
    <t>Bremova Barbora</t>
  </si>
  <si>
    <t>Brendengen Jensen Julie</t>
  </si>
  <si>
    <t>Bretz Gregory</t>
  </si>
  <si>
    <t>Brezina Michal</t>
  </si>
  <si>
    <t>Briand Pascal</t>
  </si>
  <si>
    <t>Brice Anete</t>
  </si>
  <si>
    <t>Bricis Ilmars</t>
  </si>
  <si>
    <t>Bright Torah</t>
  </si>
  <si>
    <t>Brignone Federica</t>
  </si>
  <si>
    <t>Brocard Elisa</t>
  </si>
  <si>
    <t>Brodeur Martin</t>
  </si>
  <si>
    <t>Brodka Zbigniew</t>
  </si>
  <si>
    <t>Broks Raivis</t>
  </si>
  <si>
    <t>Bromley Kristan</t>
  </si>
  <si>
    <t>Brooks Holly</t>
  </si>
  <si>
    <t>Brown Dustin</t>
  </si>
  <si>
    <t>Brown Kendall</t>
  </si>
  <si>
    <t>Brown Lascelles</t>
  </si>
  <si>
    <t>Brown Mitchell</t>
  </si>
  <si>
    <t>Brown Shelly-Ann</t>
  </si>
  <si>
    <t>Broznic Nina</t>
  </si>
  <si>
    <t>Brunet Marie Laure</t>
  </si>
  <si>
    <t>Brun-Lie Celine</t>
  </si>
  <si>
    <t>Brutto Raffaella</t>
  </si>
  <si>
    <t>Brydon Emily</t>
  </si>
  <si>
    <t>Bryzgalov Ilya</t>
  </si>
  <si>
    <t>Buaas Kjersti</t>
  </si>
  <si>
    <t>Bucher Silvana</t>
  </si>
  <si>
    <t>Buckland Nicholas</t>
  </si>
  <si>
    <t>Bucsis Anastasia</t>
  </si>
  <si>
    <t>Budaj Peter</t>
  </si>
  <si>
    <t>Budajova Jana</t>
  </si>
  <si>
    <t>Buechel Marco</t>
  </si>
  <si>
    <t>Bullo Nicole</t>
  </si>
  <si>
    <t>Buric Andrej</t>
  </si>
  <si>
    <t>Burille Arnaud</t>
  </si>
  <si>
    <t>Burina Tatiana</t>
  </si>
  <si>
    <t>Burke Tim</t>
  </si>
  <si>
    <t>Bussler Patrick</t>
  </si>
  <si>
    <t>Butenschon Sven</t>
  </si>
  <si>
    <t>Byers Euan</t>
  </si>
  <si>
    <t>Byggmark Jens</t>
  </si>
  <si>
    <t>Bzura Paula</t>
  </si>
  <si>
    <t>Caduff Fabio</t>
  </si>
  <si>
    <t>Cafe Tim</t>
  </si>
  <si>
    <t>Cahow Caitlin</t>
  </si>
  <si>
    <t>Cai Xuetong</t>
  </si>
  <si>
    <t>Cajanek Petr</t>
  </si>
  <si>
    <t>Calder Katherine</t>
  </si>
  <si>
    <t>Caldwell Ashley</t>
  </si>
  <si>
    <t>Callahan Ryan</t>
  </si>
  <si>
    <t>Calve Caroline</t>
  </si>
  <si>
    <t>Camenscic Alexandra</t>
  </si>
  <si>
    <t>Camerota Brett</t>
  </si>
  <si>
    <t>Campbell-Pegg Hannah</t>
  </si>
  <si>
    <t>Cappellini Anna</t>
  </si>
  <si>
    <t>Carcelen Roberto</t>
  </si>
  <si>
    <t>Cardelli Marino</t>
  </si>
  <si>
    <t>Carraz Collin Julie</t>
  </si>
  <si>
    <t>Castellet Queralt</t>
  </si>
  <si>
    <t>Celarova Nikoleta</t>
  </si>
  <si>
    <t>Celski J.R.</t>
  </si>
  <si>
    <t>Cervenka Roman</t>
  </si>
  <si>
    <t>Cetinkaya Kelime</t>
  </si>
  <si>
    <t>Chamoun Jacky</t>
  </si>
  <si>
    <t>Chan Patrick</t>
  </si>
  <si>
    <t>Chapotot Claire</t>
  </si>
  <si>
    <t>Chara Zdeno</t>
  </si>
  <si>
    <t>Chataignier Maxime</t>
  </si>
  <si>
    <t>Chebotko Nikolay</t>
  </si>
  <si>
    <t>Checchi Valerio</t>
  </si>
  <si>
    <t>Chedal Emmanuel</t>
  </si>
  <si>
    <t>Cheng Shuang</t>
  </si>
  <si>
    <t>Cherepanov Sergey</t>
  </si>
  <si>
    <t>Cherkasova Marina</t>
  </si>
  <si>
    <t>Chervyhkov Alexsandr</t>
  </si>
  <si>
    <t>Chesson Lisa</t>
  </si>
  <si>
    <t>Chetroiu Cosmin</t>
  </si>
  <si>
    <t>Chipeur Vaughn</t>
  </si>
  <si>
    <t>Chiras Mihaela</t>
  </si>
  <si>
    <t>Chmelar Fanny</t>
  </si>
  <si>
    <t>Chmura Slawomir</t>
  </si>
  <si>
    <t>Cho Ha-Ri</t>
  </si>
  <si>
    <t>Cho In Ho</t>
  </si>
  <si>
    <t>Cho Simon</t>
  </si>
  <si>
    <t>Choi Heung-Chul</t>
  </si>
  <si>
    <t>Choi Jung-Won</t>
  </si>
  <si>
    <t>Choi Yong-Jik</t>
  </si>
  <si>
    <t>Cholewinski Lauren</t>
  </si>
  <si>
    <t>Christiansen Henrik</t>
  </si>
  <si>
    <t>Christie Elise</t>
  </si>
  <si>
    <t>Christie Jeff</t>
  </si>
  <si>
    <t>Chruscinski Mateusz</t>
  </si>
  <si>
    <t>Chu Julie</t>
  </si>
  <si>
    <t>Chudinov Sergei</t>
  </si>
  <si>
    <t>Chuikova Ekaterina</t>
  </si>
  <si>
    <t>Chundak Annamari</t>
  </si>
  <si>
    <t>Churavy Pavel</t>
  </si>
  <si>
    <t>Chythlook-Sifsof Callan</t>
  </si>
  <si>
    <t>Cibak Martin</t>
  </si>
  <si>
    <t>Cikl Martin</t>
  </si>
  <si>
    <t>Cipulis Martins</t>
  </si>
  <si>
    <t>Clara Roland</t>
  </si>
  <si>
    <t>Clarey Johan</t>
  </si>
  <si>
    <t>Clark Kelly</t>
  </si>
  <si>
    <t>Clark Ribeiro Isabel</t>
  </si>
  <si>
    <t>Clegg Robin</t>
  </si>
  <si>
    <t>Clukey Julia</t>
  </si>
  <si>
    <t>Cochran Jimmy</t>
  </si>
  <si>
    <t>Cockerline Ian</t>
  </si>
  <si>
    <t>Cola Mattia</t>
  </si>
  <si>
    <t>Colas Guilbaut</t>
  </si>
  <si>
    <t>Coletti Alexandra</t>
  </si>
  <si>
    <t>Colloredo Sebastian</t>
  </si>
  <si>
    <t>Cologna Dario</t>
  </si>
  <si>
    <t>Compton Caitlin</t>
  </si>
  <si>
    <t>Condon Allyn</t>
  </si>
  <si>
    <t>Confortola Wyatt Antonella</t>
  </si>
  <si>
    <t>Confortola Yuri</t>
  </si>
  <si>
    <t>Connal Graeme</t>
  </si>
  <si>
    <t>Conrad Sarah</t>
  </si>
  <si>
    <t>Contesti Samuel</t>
  </si>
  <si>
    <t>Contin Alexis</t>
  </si>
  <si>
    <t>Cook Emily</t>
  </si>
  <si>
    <t>Cook Stacey</t>
  </si>
  <si>
    <t>Cooke Gillian</t>
  </si>
  <si>
    <t>Coomes Penny</t>
  </si>
  <si>
    <t>Cooper Jacqui</t>
  </si>
  <si>
    <t>Cooper Ramone</t>
  </si>
  <si>
    <t>Costazza Chiara</t>
  </si>
  <si>
    <t>Cousineau Julien</t>
  </si>
  <si>
    <t>Cox Britteny</t>
  </si>
  <si>
    <t>Craciun Florin Cezar</t>
  </si>
  <si>
    <t>Crawford Chandra</t>
  </si>
  <si>
    <t>Crawford Holly</t>
  </si>
  <si>
    <t>Crawford Rosanna</t>
  </si>
  <si>
    <t>Crema Katya</t>
  </si>
  <si>
    <t>Crepel Mathieu</t>
  </si>
  <si>
    <t>Cretu Valentin</t>
  </si>
  <si>
    <t>Crone Vanessa</t>
  </si>
  <si>
    <t>Crosby Sidney</t>
  </si>
  <si>
    <t>Cuche Didier</t>
  </si>
  <si>
    <t>Cui Shanshan</t>
  </si>
  <si>
    <t>Cuinet Aurore</t>
  </si>
  <si>
    <t>Culikova Janka</t>
  </si>
  <si>
    <t>Cunningham Nick</t>
  </si>
  <si>
    <t>Cupkova Nicol</t>
  </si>
  <si>
    <t>Curione Laura</t>
  </si>
  <si>
    <t>Cyl Agnieszka</t>
  </si>
  <si>
    <t>Czerwonka Natalia</t>
  </si>
  <si>
    <t>Daly John</t>
  </si>
  <si>
    <t>Dambis Intars</t>
  </si>
  <si>
    <t>Damjan Jernej</t>
  </si>
  <si>
    <t>Damjanovski Darko</t>
  </si>
  <si>
    <t>Danilevic Ivo</t>
  </si>
  <si>
    <t>Danou Maria</t>
  </si>
  <si>
    <t>Darazs Peter</t>
  </si>
  <si>
    <t>Darazs Rozsa</t>
  </si>
  <si>
    <t>Darragon Roddy</t>
  </si>
  <si>
    <t>Darwitz Natalie</t>
  </si>
  <si>
    <t>Darzins Lauris</t>
  </si>
  <si>
    <t>Dasdemir Tugba</t>
  </si>
  <si>
    <t>Dashinski Dmitri</t>
  </si>
  <si>
    <t>Datsyuk Pavel</t>
  </si>
  <si>
    <t>Daugavins Kaspars</t>
  </si>
  <si>
    <t>Dautherives Claire</t>
  </si>
  <si>
    <t>David Ophelie</t>
  </si>
  <si>
    <t>Davis Meryl</t>
  </si>
  <si>
    <t>Davis Shani</t>
  </si>
  <si>
    <t>Davison Bryce</t>
  </si>
  <si>
    <t>De Faucompret Camille</t>
  </si>
  <si>
    <t>De Jong Bob</t>
  </si>
  <si>
    <t>De La Cuesta Paul</t>
  </si>
  <si>
    <t>De Le Rue Paul-Henri</t>
  </si>
  <si>
    <t>De Le Rue Xavier</t>
  </si>
  <si>
    <t>De Lorenzi Christian</t>
  </si>
  <si>
    <t>De Tessieres Gauthier</t>
  </si>
  <si>
    <t>De Vries Elma</t>
  </si>
  <si>
    <t>Deane Anthony</t>
  </si>
  <si>
    <t>Defago Didier</t>
  </si>
  <si>
    <t>Defrasne Vincent</t>
  </si>
  <si>
    <t>Dejima Shigeyuki</t>
  </si>
  <si>
    <t>Delbosco Christopher</t>
  </si>
  <si>
    <t>Delgado Rocio</t>
  </si>
  <si>
    <t>Della Monica Nicole</t>
  </si>
  <si>
    <t>Dellasega Roberto</t>
  </si>
  <si>
    <t>Delobel Isabelle</t>
  </si>
  <si>
    <t>Demagin Sergei</t>
  </si>
  <si>
    <t>Demitra Pavol</t>
  </si>
  <si>
    <t>Demong Bill</t>
  </si>
  <si>
    <t>Demtschenko Albert</t>
  </si>
  <si>
    <t>Deneen Patrick</t>
  </si>
  <si>
    <t>Denisov Vladimir</t>
  </si>
  <si>
    <t>Denney Caydee</t>
  </si>
  <si>
    <t>Denzler Cynthia</t>
  </si>
  <si>
    <t>Depeters Matthew</t>
  </si>
  <si>
    <t>Derkach Vyacheslav</t>
  </si>
  <si>
    <t>Derrick Kimberly</t>
  </si>
  <si>
    <t>Deruns Thomas</t>
  </si>
  <si>
    <t>Deryzemlya Andriy</t>
  </si>
  <si>
    <t>Descombes Sevoie Vincent</t>
  </si>
  <si>
    <t>Desmares Nathalie</t>
  </si>
  <si>
    <t>Detkov Stanislav</t>
  </si>
  <si>
    <t>Dettling Andrea</t>
  </si>
  <si>
    <t>Deulina Yulia</t>
  </si>
  <si>
    <t>Deville Cristian</t>
  </si>
  <si>
    <t>Devjatiarov Mickail Jun.</t>
  </si>
  <si>
    <t>Di Centa Giorgio</t>
  </si>
  <si>
    <t>Diaz Rafael</t>
  </si>
  <si>
    <t>Didenko Nadiya</t>
  </si>
  <si>
    <t>Dimitriadis Vassilis</t>
  </si>
  <si>
    <t>Dixon Robbie</t>
  </si>
  <si>
    <t>Dobbin Shane</t>
  </si>
  <si>
    <t>Doeme Zsofia</t>
  </si>
  <si>
    <t>Doi Natsuko</t>
  </si>
  <si>
    <t>Doi Shingo</t>
  </si>
  <si>
    <t>Doigawa Shinji</t>
  </si>
  <si>
    <t>Dokl Peter</t>
  </si>
  <si>
    <t>Dolezalova Zuzana</t>
  </si>
  <si>
    <t>Dolgodvorov Denis</t>
  </si>
  <si>
    <t>Dolidovich Sergei</t>
  </si>
  <si>
    <t>Domanski Przemyslaw</t>
  </si>
  <si>
    <t>Domeij Sofia</t>
  </si>
  <si>
    <t>Domenichelli Hnat</t>
  </si>
  <si>
    <t>Domnina Oksana</t>
  </si>
  <si>
    <t>Domracheva Darya</t>
  </si>
  <si>
    <t>Dorin Marie</t>
  </si>
  <si>
    <t>Doronina Elena</t>
  </si>
  <si>
    <t>Dorsaz Antoine</t>
  </si>
  <si>
    <t>Dostal Roman</t>
  </si>
  <si>
    <t>Doughty Drew</t>
  </si>
  <si>
    <t>Douglas Anthony</t>
  </si>
  <si>
    <t>Douglas Michael</t>
  </si>
  <si>
    <t>Dovalciuc Ioan Danut</t>
  </si>
  <si>
    <t>Dragsic Mitja</t>
  </si>
  <si>
    <t>Drake Edward</t>
  </si>
  <si>
    <t>Dreiskens Daumants</t>
  </si>
  <si>
    <t>Drev Ana</t>
  </si>
  <si>
    <t>Drocco Nicola</t>
  </si>
  <si>
    <t>Drury Chris</t>
  </si>
  <si>
    <t>Druszkiewicz Sebastian</t>
  </si>
  <si>
    <t>Drygin Andrey</t>
  </si>
  <si>
    <t>Dubarezava Nastassia</t>
  </si>
  <si>
    <t>Dube Jessica</t>
  </si>
  <si>
    <t>Ducroz Jan Henri</t>
  </si>
  <si>
    <t>Ducroz Richard</t>
  </si>
  <si>
    <t>Dudek Alyson</t>
  </si>
  <si>
    <t>Duerr Katharina</t>
  </si>
  <si>
    <t>Duerr Thomas</t>
  </si>
  <si>
    <t>Dufour Sylvain</t>
  </si>
  <si>
    <t>Dufour Thomas</t>
  </si>
  <si>
    <t>Dufour-Lapointe Chloe</t>
  </si>
  <si>
    <t>Duggan Meghan</t>
  </si>
  <si>
    <t>Duke Hailey</t>
  </si>
  <si>
    <t>Dukurs Martins</t>
  </si>
  <si>
    <t>Dukurs Tomass</t>
  </si>
  <si>
    <t>Dumbris Kaspars</t>
  </si>
  <si>
    <t>Duncan David</t>
  </si>
  <si>
    <t>Dupont Denise</t>
  </si>
  <si>
    <t>Dupont Madeleine</t>
  </si>
  <si>
    <t>Duvillard Robin</t>
  </si>
  <si>
    <t>Dvorak Miroslav</t>
  </si>
  <si>
    <t>Dyubanok Inna</t>
  </si>
  <si>
    <t>Dzurnakova Anna</t>
  </si>
  <si>
    <t>Eberhard Tobias</t>
  </si>
  <si>
    <t>Edelmann Tino</t>
  </si>
  <si>
    <t>Eder Simon</t>
  </si>
  <si>
    <t>Edin Niklas</t>
  </si>
  <si>
    <t>Edney Samuel</t>
  </si>
  <si>
    <t>Egger Juerg</t>
  </si>
  <si>
    <t>Eggler Markus</t>
  </si>
  <si>
    <t>Egorov Philipp</t>
  </si>
  <si>
    <t>Ehrhoff Christian</t>
  </si>
  <si>
    <t>Eigenmann Christoph</t>
  </si>
  <si>
    <t>Eikeland Liv Kjersti</t>
  </si>
  <si>
    <t>Einaste Kein</t>
  </si>
  <si>
    <t>Eley Jon</t>
  </si>
  <si>
    <t>Elias Patrik</t>
  </si>
  <si>
    <t>Eliasson Emma</t>
  </si>
  <si>
    <t>Eliasson Tommy</t>
  </si>
  <si>
    <t>Elistratov Semion</t>
  </si>
  <si>
    <t>Endo Sho</t>
  </si>
  <si>
    <t>Endras Dennis</t>
  </si>
  <si>
    <t>Engstrom Molly</t>
  </si>
  <si>
    <t>Enright Adam</t>
  </si>
  <si>
    <t>Enstrom Tina</t>
  </si>
  <si>
    <t>Enstrom Tobias</t>
  </si>
  <si>
    <t>Erat Martin</t>
  </si>
  <si>
    <t>Erbanova Karolina</t>
  </si>
  <si>
    <t>Eriksson Joel</t>
  </si>
  <si>
    <t>Eriksson Loui</t>
  </si>
  <si>
    <t>Eriksson Oskar</t>
  </si>
  <si>
    <t>Erlacher Meinhard</t>
  </si>
  <si>
    <t>Erzen Anja</t>
  </si>
  <si>
    <t>Esteve Rigail Kevin</t>
  </si>
  <si>
    <t>Evensen Johan Remen</t>
  </si>
  <si>
    <t>Evora Amanda</t>
  </si>
  <si>
    <t>Evteeva Nina</t>
  </si>
  <si>
    <t>Ezekh Nkeiruka</t>
  </si>
  <si>
    <t>Fabjan Vesna</t>
  </si>
  <si>
    <t>Fabris Enrico</t>
  </si>
  <si>
    <t>Fafalis Lefteris</t>
  </si>
  <si>
    <t>Fagan Robert</t>
  </si>
  <si>
    <t>Faiella Federica</t>
  </si>
  <si>
    <t>Fak Jakov</t>
  </si>
  <si>
    <t>Falk Hanna</t>
  </si>
  <si>
    <t>Falla Maiken Caspersen</t>
  </si>
  <si>
    <t>Fanchini Elena</t>
  </si>
  <si>
    <t>Faric Sasa</t>
  </si>
  <si>
    <t>Fatkulina Olga</t>
  </si>
  <si>
    <t>Fauconnet Thibaut</t>
  </si>
  <si>
    <t>Fayed Guillermo</t>
  </si>
  <si>
    <t>Fedorov Sergey</t>
  </si>
  <si>
    <t>Fedorov Stepan</t>
  </si>
  <si>
    <t>Fedorova Olga</t>
  </si>
  <si>
    <t>Fedotova Lyudmila</t>
  </si>
  <si>
    <t>Felisaz Jonathan</t>
  </si>
  <si>
    <t>Felski Sven</t>
  </si>
  <si>
    <t>Fenninger Anna</t>
  </si>
  <si>
    <t>Ferencz Reka</t>
  </si>
  <si>
    <t>Ferguson Dylan</t>
  </si>
  <si>
    <t>Ferk Marusa</t>
  </si>
  <si>
    <t>Ferk Matea</t>
  </si>
  <si>
    <t>Fernandez Javier</t>
  </si>
  <si>
    <t>Ferry Bjorn</t>
  </si>
  <si>
    <t>Feshchuk Rostyslav</t>
  </si>
  <si>
    <t>Fessel Nicole</t>
  </si>
  <si>
    <t>Fiala Martin</t>
  </si>
  <si>
    <t>Fiandino Roberta</t>
  </si>
  <si>
    <t>Ficenec Jakub</t>
  </si>
  <si>
    <t>Filbrich Jens</t>
  </si>
  <si>
    <t>Filimonova Lyubov</t>
  </si>
  <si>
    <t>Fill Peter</t>
  </si>
  <si>
    <t>Filppula Valtteri</t>
  </si>
  <si>
    <t>Fimbauere Liene</t>
  </si>
  <si>
    <t>Fischbacher Andrea</t>
  </si>
  <si>
    <t>Fischer Remo</t>
  </si>
  <si>
    <t>Fischnaller Roland</t>
  </si>
  <si>
    <t>Fjellvang-Soelling Sophie</t>
  </si>
  <si>
    <t>Flander Rok</t>
  </si>
  <si>
    <t>Flatland Ann Kristin Aafedt</t>
  </si>
  <si>
    <t>Flatt Rachael</t>
  </si>
  <si>
    <t>Fleischmann Tomas</t>
  </si>
  <si>
    <t>Fleiss Nika</t>
  </si>
  <si>
    <t>Fletcher Taylor</t>
  </si>
  <si>
    <t>Fleury Marc-Andre</t>
  </si>
  <si>
    <t>Flisar Filip</t>
  </si>
  <si>
    <t>Florschuetz Andre</t>
  </si>
  <si>
    <t>Florschuetz Thomas</t>
  </si>
  <si>
    <t>Fogt Christopher</t>
  </si>
  <si>
    <t>Follis Arianna</t>
  </si>
  <si>
    <t>Fomina Margarita</t>
  </si>
  <si>
    <t>Font Jordi</t>
  </si>
  <si>
    <t>Fontana Arianna</t>
  </si>
  <si>
    <t>Ford Tommy</t>
  </si>
  <si>
    <t>Forsberg Kristian</t>
  </si>
  <si>
    <t>Forsberg Peter</t>
  </si>
  <si>
    <t>Forslund Michael</t>
  </si>
  <si>
    <t>Fourcade Martin</t>
  </si>
  <si>
    <t>Fourcade Simon</t>
  </si>
  <si>
    <t>Francon Mellie</t>
  </si>
  <si>
    <t>Frasnelli Loris</t>
  </si>
  <si>
    <t>Frautschi Angela</t>
  </si>
  <si>
    <t>Frederiksen Johnny</t>
  </si>
  <si>
    <t>Fredricks Tucker</t>
  </si>
  <si>
    <t>Freeman Kris</t>
  </si>
  <si>
    <t>Frei Sandra</t>
  </si>
  <si>
    <t>Frei Thomas</t>
  </si>
  <si>
    <t>Frenette Peter</t>
  </si>
  <si>
    <t>Frenzel Eric</t>
  </si>
  <si>
    <t>Friberg Daniel</t>
  </si>
  <si>
    <t>Friesinger-Postma Anna</t>
  </si>
  <si>
    <t>Frisch Jeffrey</t>
  </si>
  <si>
    <t>Fu Chunyan</t>
  </si>
  <si>
    <t>Fuchs Mario</t>
  </si>
  <si>
    <t>Fujimori Yuka</t>
  </si>
  <si>
    <t>Fujimoto Takahiro</t>
  </si>
  <si>
    <t>Fukuda Nobuko</t>
  </si>
  <si>
    <t>Fukushima Noriko</t>
  </si>
  <si>
    <t>Gaborik Marian</t>
  </si>
  <si>
    <t>Gagnon Marie-Michele</t>
  </si>
  <si>
    <t>Gaiazova Daria</t>
  </si>
  <si>
    <t>Gaillard Jean Marc</t>
  </si>
  <si>
    <t>Galkina Ekaterina</t>
  </si>
  <si>
    <t>Galmarini Nevin</t>
  </si>
  <si>
    <t>Galvins Guntis</t>
  </si>
  <si>
    <t>Galysheva Yulia</t>
  </si>
  <si>
    <t>Gantnerova Jana</t>
  </si>
  <si>
    <t>Gao Fujin</t>
  </si>
  <si>
    <t>Gao Xuefeng</t>
  </si>
  <si>
    <t>Gapova Nikola</t>
  </si>
  <si>
    <t>Gardner Elizabeth</t>
  </si>
  <si>
    <t>Garibovic Amar</t>
  </si>
  <si>
    <t>Gashennikova Irina</t>
  </si>
  <si>
    <t>Gasienica Daniel Agnieszka</t>
  </si>
  <si>
    <t>Gasparin Selina</t>
  </si>
  <si>
    <t>Gasparini Sandra</t>
  </si>
  <si>
    <t>Gastaldi Nicol</t>
  </si>
  <si>
    <t>Gattuso Sebastien</t>
  </si>
  <si>
    <t>Gavaggio Enak</t>
  </si>
  <si>
    <t>Gavrilova Iya</t>
  </si>
  <si>
    <t>Gayme Maui</t>
  </si>
  <si>
    <t>Gedevanishvili Elene</t>
  </si>
  <si>
    <t>Gehring Lana</t>
  </si>
  <si>
    <t>Geiger Christina</t>
  </si>
  <si>
    <t>Geisenberger Natalie</t>
  </si>
  <si>
    <t>Gelashvili Jaba</t>
  </si>
  <si>
    <t>Genuin Magda</t>
  </si>
  <si>
    <t>Georges Chloe</t>
  </si>
  <si>
    <t>Georgiev Stefan</t>
  </si>
  <si>
    <t>Georgieva-Nikolova Marina</t>
  </si>
  <si>
    <t>Gerekova Jana</t>
  </si>
  <si>
    <t>Gerritsen Annette</t>
  </si>
  <si>
    <t>Getzlaf Ryan</t>
  </si>
  <si>
    <t>Gillarduzzi Jessica</t>
  </si>
  <si>
    <t>Gillings Zoe</t>
  </si>
  <si>
    <t>Gimazetdinova Anastasia</t>
  </si>
  <si>
    <t>Gingras Maxime</t>
  </si>
  <si>
    <t>Gini Marc</t>
  </si>
  <si>
    <t>Giordani Gian Luca</t>
  </si>
  <si>
    <t>Girod Thomas</t>
  </si>
  <si>
    <t>Giroux Mathieu</t>
  </si>
  <si>
    <t>Gisin Dominique</t>
  </si>
  <si>
    <t>Gius Nicole</t>
  </si>
  <si>
    <t>Gjerdalen Tord Asle</t>
  </si>
  <si>
    <t>Glazere Liga</t>
  </si>
  <si>
    <t>Gleason Tim</t>
  </si>
  <si>
    <t>Glebov Ilja</t>
  </si>
  <si>
    <t>Glebova Elena</t>
  </si>
  <si>
    <t>Goc Marcel</t>
  </si>
  <si>
    <t>Goergl Elisabeth</t>
  </si>
  <si>
    <t>Goldsack Drew</t>
  </si>
  <si>
    <t>Gonchar Sergey</t>
  </si>
  <si>
    <t>Gonzalez Ruben</t>
  </si>
  <si>
    <t>Goodman Anna</t>
  </si>
  <si>
    <t>Gorgone Michelle</t>
  </si>
  <si>
    <t>Gorza Ales</t>
  </si>
  <si>
    <t>Gossner Miriam</t>
  </si>
  <si>
    <t>Gottwald Felix</t>
  </si>
  <si>
    <t>Gough Alex</t>
  </si>
  <si>
    <t>Gough Amy</t>
  </si>
  <si>
    <t>Grabner Siegfried</t>
  </si>
  <si>
    <t>Grabovsky Mikhail</t>
  </si>
  <si>
    <t>Grage Cathrine</t>
  </si>
  <si>
    <t>Grahn Sara</t>
  </si>
  <si>
    <t>Grand Cedric</t>
  </si>
  <si>
    <t>Grebeshkov Denis</t>
  </si>
  <si>
    <t>Green Brendan</t>
  </si>
  <si>
    <t>Gregg Jamie</t>
  </si>
  <si>
    <t>Gregg Jessica</t>
  </si>
  <si>
    <t>Gregorin Teja</t>
  </si>
  <si>
    <t>Greig Michelle</t>
  </si>
  <si>
    <t>Greilinger Thomas</t>
  </si>
  <si>
    <t>Greiner Janine</t>
  </si>
  <si>
    <t>Greis Michael</t>
  </si>
  <si>
    <t>Greiss Thomas</t>
  </si>
  <si>
    <t>Grey George</t>
  </si>
  <si>
    <t>Griffin Benjamin</t>
  </si>
  <si>
    <t>Grigoreva Kseniya</t>
  </si>
  <si>
    <t>Grigorova Antonia</t>
  </si>
  <si>
    <t>Grimmette Mark</t>
  </si>
  <si>
    <t>Grishin Alexei</t>
  </si>
  <si>
    <t>Groenewold Renate</t>
  </si>
  <si>
    <t>Groenvold Audun</t>
  </si>
  <si>
    <t>Groothuis Stefan</t>
  </si>
  <si>
    <t>Grotnes Pal</t>
  </si>
  <si>
    <t>Groves Kristina</t>
  </si>
  <si>
    <t>Gruber Bernhard</t>
  </si>
  <si>
    <t>Gruber Bettina</t>
  </si>
  <si>
    <t>Gruber Patrick</t>
  </si>
  <si>
    <t>Gruenenfelder Tobias</t>
  </si>
  <si>
    <t>Gruener Lukas</t>
  </si>
  <si>
    <t>Grugger Hans</t>
  </si>
  <si>
    <t>Grygorenko Kateryna</t>
  </si>
  <si>
    <t>Guay Erik</t>
  </si>
  <si>
    <t>Gudmundsdottir Iris</t>
  </si>
  <si>
    <t>Gudramovics Oskars</t>
  </si>
  <si>
    <t>Guenther Doris</t>
  </si>
  <si>
    <t>Guggenberger Matthias</t>
  </si>
  <si>
    <t>Guggisberg Peter</t>
  </si>
  <si>
    <t>Gulini Faye</t>
  </si>
  <si>
    <t>Guo Xinxin</t>
  </si>
  <si>
    <t>Gureshidze Levan</t>
  </si>
  <si>
    <t>Gustavsson Jonas</t>
  </si>
  <si>
    <t>Gutensohn Katharina</t>
  </si>
  <si>
    <t>Gutierrez Javier</t>
  </si>
  <si>
    <t>Gutierrez Mireia</t>
  </si>
  <si>
    <t>Gwizdon Magdalena</t>
  </si>
  <si>
    <t>Gyorgy Monika</t>
  </si>
  <si>
    <t>Gysel Pieter</t>
  </si>
  <si>
    <t>Ha Hong-Sun</t>
  </si>
  <si>
    <t>Haag Anna</t>
  </si>
  <si>
    <t>Hackl Christian</t>
  </si>
  <si>
    <t>Haechler Christian</t>
  </si>
  <si>
    <t>Hafliger Melanie</t>
  </si>
  <si>
    <t>Hafner Sabina</t>
  </si>
  <si>
    <t>Hafsas Ronny</t>
  </si>
  <si>
    <t>Haga Ryohei</t>
  </si>
  <si>
    <t>Hagman Niklas</t>
  </si>
  <si>
    <t>Hajek Antonin</t>
  </si>
  <si>
    <t>Hajkova Kamila</t>
  </si>
  <si>
    <t>Hakkinen Jay</t>
  </si>
  <si>
    <t>Halak Jaroslav</t>
  </si>
  <si>
    <t>Halder Veronika</t>
  </si>
  <si>
    <t>Haldi Roland</t>
  </si>
  <si>
    <t>Halilovic Michi</t>
  </si>
  <si>
    <t>Halinarova Martina</t>
  </si>
  <si>
    <t>Hallenbarter Simon</t>
  </si>
  <si>
    <t>Haller Christian</t>
  </si>
  <si>
    <t>Haller Katja</t>
  </si>
  <si>
    <t>Haller Ursina</t>
  </si>
  <si>
    <t>Hamelin Charles</t>
  </si>
  <si>
    <t>Hamelin Francois</t>
  </si>
  <si>
    <t>Hamilton James</t>
  </si>
  <si>
    <t>Hamilton Simeon</t>
  </si>
  <si>
    <t>Hamlin Erin</t>
  </si>
  <si>
    <t>Han Danni</t>
  </si>
  <si>
    <t>Han Jialiang</t>
  </si>
  <si>
    <t>Han Xiaopeng</t>
  </si>
  <si>
    <t>Han Yueshuang</t>
  </si>
  <si>
    <t>Handschin Roman</t>
  </si>
  <si>
    <t>Handzus Michal</t>
  </si>
  <si>
    <t>Hanevold Halvard</t>
  </si>
  <si>
    <t>Hanni Sirli</t>
  </si>
  <si>
    <t>Hansdotter Frida</t>
  </si>
  <si>
    <t>Hansen Ane</t>
  </si>
  <si>
    <t>Hansen Brian</t>
  </si>
  <si>
    <t>Hansen Mads</t>
  </si>
  <si>
    <t>Happonen Janne</t>
  </si>
  <si>
    <t>Harada Madoka</t>
  </si>
  <si>
    <t>Hargin Mattias</t>
  </si>
  <si>
    <t>Harnis Jan</t>
  </si>
  <si>
    <t>Harrisson Maya</t>
  </si>
  <si>
    <t>Harvey Alex</t>
  </si>
  <si>
    <t>Harvey Duncan</t>
  </si>
  <si>
    <t>Haselrieder Oswald</t>
  </si>
  <si>
    <t>Hattestad Ola Vigen</t>
  </si>
  <si>
    <t>Haug Linn</t>
  </si>
  <si>
    <t>Haugen Leif Kristian</t>
  </si>
  <si>
    <t>Haugli Maren</t>
  </si>
  <si>
    <t>Haugli Sverre</t>
  </si>
  <si>
    <t>Haukkala Juha</t>
  </si>
  <si>
    <t>Hausch Maylin</t>
  </si>
  <si>
    <t>Hauser Jan</t>
  </si>
  <si>
    <t>Hauswald Simone</t>
  </si>
  <si>
    <t>Hautamaeki Matti</t>
  </si>
  <si>
    <t>Havikhagen Joachim</t>
  </si>
  <si>
    <t>Havlat Martin</t>
  </si>
  <si>
    <t>Hay Cody</t>
  </si>
  <si>
    <t>Hay Lachlan</t>
  </si>
  <si>
    <t>Hayduk Yuriy</t>
  </si>
  <si>
    <t>Hayer Stanley</t>
  </si>
  <si>
    <t>Hayler Damon</t>
  </si>
  <si>
    <t>Heatley Dany</t>
  </si>
  <si>
    <t>Hebert Benjamin</t>
  </si>
  <si>
    <t>Hecht Jochen</t>
  </si>
  <si>
    <t>Hecken Sarah</t>
  </si>
  <si>
    <t>Hedrick Chad</t>
  </si>
  <si>
    <t>Heel Werner</t>
  </si>
  <si>
    <t>Heer Ronny</t>
  </si>
  <si>
    <t>Hefford Jayna</t>
  </si>
  <si>
    <t>Hefti Beat</t>
  </si>
  <si>
    <t>Heidum Bernadett</t>
  </si>
  <si>
    <t>Heikkinen Matti</t>
  </si>
  <si>
    <t>Heil Jennifer</t>
  </si>
  <si>
    <t>Heiss Stella</t>
  </si>
  <si>
    <t>Hejda Jan</t>
  </si>
  <si>
    <t>Helie Louis-Pierre</t>
  </si>
  <si>
    <t>Helin Anne</t>
  </si>
  <si>
    <t>Hellner Marcus</t>
  </si>
  <si>
    <t>Henkel Andrea</t>
  </si>
  <si>
    <t>Herberg Daniel</t>
  </si>
  <si>
    <t>Herbst Reinfried</t>
  </si>
  <si>
    <t>Herichova Maria</t>
  </si>
  <si>
    <t>Hernandez Regino</t>
  </si>
  <si>
    <t>Herrmann Paul</t>
  </si>
  <si>
    <t>Hesse Judith</t>
  </si>
  <si>
    <t>Hettich Georg</t>
  </si>
  <si>
    <t>Heung Tyson</t>
  </si>
  <si>
    <t>Hickey Stephanie</t>
  </si>
  <si>
    <t>Hight Elena</t>
  </si>
  <si>
    <t>Hiirikoski Jenni</t>
  </si>
  <si>
    <t>Hilde Tom</t>
  </si>
  <si>
    <t>Hiller Jonas</t>
  </si>
  <si>
    <t>Hino Manami</t>
  </si>
  <si>
    <t>Hirako Hiroki</t>
  </si>
  <si>
    <t>Hirscher Marcel</t>
  </si>
  <si>
    <t>Hjelmeset Odd-Bjoern</t>
  </si>
  <si>
    <t>Hlava Lukas</t>
  </si>
  <si>
    <t>Hoar Melissa</t>
  </si>
  <si>
    <t>Hoehener Stefan</t>
  </si>
  <si>
    <t>Hoehne Holger</t>
  </si>
  <si>
    <t>Hoeie Gjefsen Marte</t>
  </si>
  <si>
    <t>Hoelzl Kathrin</t>
  </si>
  <si>
    <t>Hoey Aoife</t>
  </si>
  <si>
    <t>Hofer Beni</t>
  </si>
  <si>
    <t>Hofer David</t>
  </si>
  <si>
    <t>Hofer Lukas</t>
  </si>
  <si>
    <t>Hoffmann Ambrosi</t>
  </si>
  <si>
    <t>Hoffmann Nora</t>
  </si>
  <si>
    <t>Hogberg Elisabeth</t>
  </si>
  <si>
    <t>Hogiu Petrica</t>
  </si>
  <si>
    <t>Holcomb Steven</t>
  </si>
  <si>
    <t>Holland Nate</t>
  </si>
  <si>
    <t>Hollenstein Michael</t>
  </si>
  <si>
    <t>Hollingsworth Mellisa</t>
  </si>
  <si>
    <t>Holmlov Elin</t>
  </si>
  <si>
    <t>Holmlund Anna</t>
  </si>
  <si>
    <t>Holmstrom Tomas</t>
  </si>
  <si>
    <t>Holos Jonas</t>
  </si>
  <si>
    <t>Holst Erika</t>
  </si>
  <si>
    <t>Holtet Marius</t>
  </si>
  <si>
    <t>Holvik Tore-V.</t>
  </si>
  <si>
    <t>Holzer Korbinian</t>
  </si>
  <si>
    <t>Hoppe Rene</t>
  </si>
  <si>
    <t>Hornqvist Patric</t>
  </si>
  <si>
    <t>Horoshilov Alexandr</t>
  </si>
  <si>
    <t>Hospelt Kai</t>
  </si>
  <si>
    <t>Hossa Marcel</t>
  </si>
  <si>
    <t>Hossa Marian</t>
  </si>
  <si>
    <t>Hovi Venla</t>
  </si>
  <si>
    <t>Hozumi Masako</t>
  </si>
  <si>
    <t>Huang Haijing</t>
  </si>
  <si>
    <t>Huang Xintong</t>
  </si>
  <si>
    <t>Huber Anja</t>
  </si>
  <si>
    <t>Hudec Jan</t>
  </si>
  <si>
    <t>Huefner Tatjana</t>
  </si>
  <si>
    <t>Hug Tim</t>
  </si>
  <si>
    <t>Hughes Clara</t>
  </si>
  <si>
    <t>Hughes Fiona-Elizabeth</t>
  </si>
  <si>
    <t>Hula Stefan</t>
  </si>
  <si>
    <t>Humphries Kaillie</t>
  </si>
  <si>
    <t>Huo Cui</t>
  </si>
  <si>
    <t>Hurajt Pavol</t>
  </si>
  <si>
    <t>Hurschler Seppi</t>
  </si>
  <si>
    <t>Huskova Hanna</t>
  </si>
  <si>
    <t>Huszar Erika</t>
  </si>
  <si>
    <t>Huttary Karin</t>
  </si>
  <si>
    <t>Hyman Jakub</t>
  </si>
  <si>
    <t>Hyman Ondrej</t>
  </si>
  <si>
    <t>Icoski Gjorgji</t>
  </si>
  <si>
    <t>Ifrim Paul</t>
  </si>
  <si>
    <t>Iginla Jarome</t>
  </si>
  <si>
    <t>Ignjatovic Nevena</t>
  </si>
  <si>
    <t>Ihle Nico</t>
  </si>
  <si>
    <t>Iliev Peter</t>
  </si>
  <si>
    <t>Iliev Vladimir</t>
  </si>
  <si>
    <t>Iljans Eric</t>
  </si>
  <si>
    <t>Iljans Magdalena</t>
  </si>
  <si>
    <t>Ilyukhina Ekaterina</t>
  </si>
  <si>
    <t>Imboden Urs</t>
  </si>
  <si>
    <t>Immonen Jarkko</t>
  </si>
  <si>
    <t>Imrie Megan</t>
  </si>
  <si>
    <t>Ingemarsdotter Ida</t>
  </si>
  <si>
    <t>Innerhofer Christof</t>
  </si>
  <si>
    <t>Ioriatti Ermanno</t>
  </si>
  <si>
    <t>Ipatov Dimitry</t>
  </si>
  <si>
    <t>Ireland Mike</t>
  </si>
  <si>
    <t>Irwin Haley</t>
  </si>
  <si>
    <t>Isa Hidenori</t>
  </si>
  <si>
    <t>Isaacson Jeff</t>
  </si>
  <si>
    <t>Iselin Marc</t>
  </si>
  <si>
    <t>Ishida Masako</t>
  </si>
  <si>
    <t>Ishizaki Kotomi</t>
  </si>
  <si>
    <t>Ishizawa Shiho</t>
  </si>
  <si>
    <t>Isoz Andreas</t>
  </si>
  <si>
    <t>Istrate Nicolae</t>
  </si>
  <si>
    <t>Ito Ayuko</t>
  </si>
  <si>
    <t>Ito Daiki</t>
  </si>
  <si>
    <t>Ito Miki</t>
  </si>
  <si>
    <t>Ivanou Aliaksei</t>
  </si>
  <si>
    <t>Ivanova Tatiana</t>
  </si>
  <si>
    <t>Iveson Tom</t>
  </si>
  <si>
    <t>Jackson John James</t>
  </si>
  <si>
    <t>Jackson Lee-Steve</t>
  </si>
  <si>
    <t>Jacobellis Lindsey</t>
  </si>
  <si>
    <t>Jacobsen Anders</t>
  </si>
  <si>
    <t>Jacobsen Astrid Uhrenholdt</t>
  </si>
  <si>
    <t>Jacquemod Ingrid</t>
  </si>
  <si>
    <t>Jaerbyn Patrik</t>
  </si>
  <si>
    <t>Jagnesak Milan</t>
  </si>
  <si>
    <t>Jagr Jaromir</t>
  </si>
  <si>
    <t>Jakimchuk Vita</t>
  </si>
  <si>
    <t>Jakobsen Tommy</t>
  </si>
  <si>
    <t>Jaks Martin</t>
  </si>
  <si>
    <t>James Scott</t>
  </si>
  <si>
    <t>James Vanessa</t>
  </si>
  <si>
    <t>Janda Jakub</t>
  </si>
  <si>
    <t>Janeckova Ivana</t>
  </si>
  <si>
    <t>Janka Carlo</t>
  </si>
  <si>
    <t>Jansma Sybren</t>
  </si>
  <si>
    <t>Jansrud Kjetil</t>
  </si>
  <si>
    <t>Janyk Britt</t>
  </si>
  <si>
    <t>Janyk Michael</t>
  </si>
  <si>
    <t>Japaridze Otar</t>
  </si>
  <si>
    <t>Jardi Andrea</t>
  </si>
  <si>
    <t>Jaskowiec Sylwia</t>
  </si>
  <si>
    <t>Jatskaja Oxana</t>
  </si>
  <si>
    <t>Jauhojaervi Sami</t>
  </si>
  <si>
    <t>Jaworski Jakub</t>
  </si>
  <si>
    <t>Jay Vincent</t>
  </si>
  <si>
    <t>Jayner Travis</t>
  </si>
  <si>
    <t>Jazbec Janez</t>
  </si>
  <si>
    <t>Jean Olivier</t>
  </si>
  <si>
    <t>Jeannin Sandy</t>
  </si>
  <si>
    <t>Jekova Alexandra</t>
  </si>
  <si>
    <t>Jelusic Ana</t>
  </si>
  <si>
    <t>Jensen Angelina</t>
  </si>
  <si>
    <t>Jensen Bo</t>
  </si>
  <si>
    <t>Jensen Camilla</t>
  </si>
  <si>
    <t>Jerman Andrej</t>
  </si>
  <si>
    <t>Jewell Tyler</t>
  </si>
  <si>
    <t>Jewett Gordon</t>
  </si>
  <si>
    <t>Jezersek Barbara</t>
  </si>
  <si>
    <t>Jia Dandan</t>
  </si>
  <si>
    <t>Jia Zongyang</t>
  </si>
  <si>
    <t>Jiang Na</t>
  </si>
  <si>
    <t>Jin Fengling</t>
  </si>
  <si>
    <t>Jin Peiyu</t>
  </si>
  <si>
    <t>Jira Lubos</t>
  </si>
  <si>
    <t>Jitloff Tim</t>
  </si>
  <si>
    <t>Jodko Maciej</t>
  </si>
  <si>
    <t>Joensson Emil</t>
  </si>
  <si>
    <t>Joerg Selina</t>
  </si>
  <si>
    <t>Johansson Magnus</t>
  </si>
  <si>
    <t>Johansson Norgren Britta</t>
  </si>
  <si>
    <t>Johaug Therese</t>
  </si>
  <si>
    <t>Johnson Anders</t>
  </si>
  <si>
    <t>Johnson Erik</t>
  </si>
  <si>
    <t>Johnson Haley</t>
  </si>
  <si>
    <t>Johnson Jack</t>
  </si>
  <si>
    <t>Johnsrud Sundby Martin</t>
  </si>
  <si>
    <t>Johnston Rebecca</t>
  </si>
  <si>
    <t>Jokinen Olli</t>
  </si>
  <si>
    <t>Jones Perianne</t>
  </si>
  <si>
    <t>Jonnier Emmanuel</t>
  </si>
  <si>
    <t>Jonsson Helena</t>
  </si>
  <si>
    <t>Jonsson Magnus</t>
  </si>
  <si>
    <t>Joraanstad Nicole</t>
  </si>
  <si>
    <t>Jordansson Isabelle</t>
  </si>
  <si>
    <t>Josserand Marion</t>
  </si>
  <si>
    <t>Joubert Brian</t>
  </si>
  <si>
    <t>Joye Dan</t>
  </si>
  <si>
    <t>Juarez Sofie</t>
  </si>
  <si>
    <t>Jung Dong-Hyun</t>
  </si>
  <si>
    <t>Jurcina Milan</t>
  </si>
  <si>
    <t>Jurcova Petra</t>
  </si>
  <si>
    <t>Jurkiewicz Anna</t>
  </si>
  <si>
    <t>Juskane Zanna</t>
  </si>
  <si>
    <t>Juzhakov Vladislav</t>
  </si>
  <si>
    <t>K. P. Keshavan Shiva</t>
  </si>
  <si>
    <t>Kaberle Tomas</t>
  </si>
  <si>
    <t>Kaldvee Martten</t>
  </si>
  <si>
    <t>Kalhor Marjan</t>
  </si>
  <si>
    <t>Kalinchik Liudmila</t>
  </si>
  <si>
    <t>Kalinin Dmitry</t>
  </si>
  <si>
    <t>Kalinova Lubomira</t>
  </si>
  <si>
    <t>Kalla Charlotte</t>
  </si>
  <si>
    <t>Kalnins Peteris</t>
  </si>
  <si>
    <t>Kalyuzhny Aleksei</t>
  </si>
  <si>
    <t>Kamer Nadja</t>
  </si>
  <si>
    <t>Kamphuis Esme</t>
  </si>
  <si>
    <t>Kane Patrick</t>
  </si>
  <si>
    <t>Kang Kwang-Bae</t>
  </si>
  <si>
    <t>Kapanen Niko</t>
  </si>
  <si>
    <t>Kapp Andreas</t>
  </si>
  <si>
    <t>Kapustina Alexandra</t>
  </si>
  <si>
    <t>Kapustova Jana</t>
  </si>
  <si>
    <t>Karademir Tugba</t>
  </si>
  <si>
    <t>Karafiatova Iveta</t>
  </si>
  <si>
    <t>Karbon Denise</t>
  </si>
  <si>
    <t>Karelin Pavel</t>
  </si>
  <si>
    <t>Karev Andrei</t>
  </si>
  <si>
    <t>Karisik Tanja</t>
  </si>
  <si>
    <t>Karl Benjamin</t>
  </si>
  <si>
    <t>Karlsen Truls Ove</t>
  </si>
  <si>
    <t>Karneyenka Leanid</t>
  </si>
  <si>
    <t>Karp Algo</t>
  </si>
  <si>
    <t>Karpenko Nikolay</t>
  </si>
  <si>
    <t>Karstens Anke</t>
  </si>
  <si>
    <t>Karsums Martins</t>
  </si>
  <si>
    <t>Karvinen Michelle</t>
  </si>
  <si>
    <t>Kasai Noriaki</t>
  </si>
  <si>
    <t>Kashiwabara Michiko</t>
  </si>
  <si>
    <t>Kasper Nolan</t>
  </si>
  <si>
    <t>Kato Joji</t>
  </si>
  <si>
    <t>Kato Taihei</t>
  </si>
  <si>
    <t>Kattilakoski Teemu</t>
  </si>
  <si>
    <t>Kaunismaki Juha</t>
  </si>
  <si>
    <t>Kavaguti Yuko</t>
  </si>
  <si>
    <t>Kaykan Svetlana</t>
  </si>
  <si>
    <t>Kazar Matej</t>
  </si>
  <si>
    <t>Kearney Hannah</t>
  </si>
  <si>
    <t>Keith Duncan</t>
  </si>
  <si>
    <t>Keituri Kalle</t>
  </si>
  <si>
    <t>Kelemen Zoltan</t>
  </si>
  <si>
    <t>Kellar Becky</t>
  </si>
  <si>
    <t>Keller Markus</t>
  </si>
  <si>
    <t>Kelly Michelle</t>
  </si>
  <si>
    <t>Kemp Stacey</t>
  </si>
  <si>
    <t>Kempf Andreas</t>
  </si>
  <si>
    <t>Kenanov Miroslav</t>
  </si>
  <si>
    <t>Keneshev Dias</t>
  </si>
  <si>
    <t>Kennedy Marc</t>
  </si>
  <si>
    <t>Keppler Stephan</t>
  </si>
  <si>
    <t>Kerr Errol</t>
  </si>
  <si>
    <t>Kerr John</t>
  </si>
  <si>
    <t>Kerr Sinead</t>
  </si>
  <si>
    <t>Kershaw Devon</t>
  </si>
  <si>
    <t>Kerstholt Niels</t>
  </si>
  <si>
    <t>Kesler Ryan</t>
  </si>
  <si>
    <t>Kessel Phil</t>
  </si>
  <si>
    <t>Keszler Andrea</t>
  </si>
  <si>
    <t>Khachatryan Kristine</t>
  </si>
  <si>
    <t>Khazova Irina</t>
  </si>
  <si>
    <t>Khelifi Mehdhi-Selim</t>
  </si>
  <si>
    <t>Khokhlova Jana</t>
  </si>
  <si>
    <t>Khomich Alena</t>
  </si>
  <si>
    <t>Khoreva Natalia</t>
  </si>
  <si>
    <t>Khrustaleva Elena</t>
  </si>
  <si>
    <t>Khurelbataar Khash-Erdene</t>
  </si>
  <si>
    <t>Khvostenko Oksana</t>
  </si>
  <si>
    <t>Kilner Ben</t>
  </si>
  <si>
    <t>Kilsgaard Markus</t>
  </si>
  <si>
    <t>Kim Donghyun</t>
  </si>
  <si>
    <t>Kim Ho-Jun</t>
  </si>
  <si>
    <t>Kim Hyun-Ki</t>
  </si>
  <si>
    <t>Kim Jung-Su</t>
  </si>
  <si>
    <t>Kim Min-Jung</t>
  </si>
  <si>
    <t>Kim Seoung-Il</t>
  </si>
  <si>
    <t>Kim Sun Joo</t>
  </si>
  <si>
    <t>Kim Woo-Sung</t>
  </si>
  <si>
    <t>Kim You-Lim</t>
  </si>
  <si>
    <t>Kim Yu-Na</t>
  </si>
  <si>
    <t>Kindl Wolfgang</t>
  </si>
  <si>
    <t>King David</t>
  </si>
  <si>
    <t>Kingsbury Gina</t>
  </si>
  <si>
    <t>Kiprusoff Miikka</t>
  </si>
  <si>
    <t>Kiramo Arttu</t>
  </si>
  <si>
    <t>Kircheisen Bjoern</t>
  </si>
  <si>
    <t>Kirchgasser Michaela</t>
  </si>
  <si>
    <t>Kiriasis Sandra</t>
  </si>
  <si>
    <t>Kirkova Maria</t>
  </si>
  <si>
    <t>Kiroska Rosana</t>
  </si>
  <si>
    <t>Kis Andriy</t>
  </si>
  <si>
    <t>Kivlenieks Inars</t>
  </si>
  <si>
    <t>Kjaell Viktor</t>
  </si>
  <si>
    <t>Kjoelstad Johan</t>
  </si>
  <si>
    <t>Klassen Cindy</t>
  </si>
  <si>
    <t>Klavzar Bostjan</t>
  </si>
  <si>
    <t>Klein Aika</t>
  </si>
  <si>
    <t>Kleivdal Roger-S</t>
  </si>
  <si>
    <t>Klenovska Nina</t>
  </si>
  <si>
    <t>Klepic Maja</t>
  </si>
  <si>
    <t>Kletcherov Michail</t>
  </si>
  <si>
    <t>Kling Kajsa</t>
  </si>
  <si>
    <t>Klinge Manuel</t>
  </si>
  <si>
    <t>Klingler Michael</t>
  </si>
  <si>
    <t>Klug Chris</t>
  </si>
  <si>
    <t>Knegt Sjinkie</t>
  </si>
  <si>
    <t>Kneib Viktor</t>
  </si>
  <si>
    <t>Kneller Scott</t>
  </si>
  <si>
    <t>Knight Hilary</t>
  </si>
  <si>
    <t>Knoch Viktor</t>
  </si>
  <si>
    <t>Ko Hyon-Suk</t>
  </si>
  <si>
    <t>Kobayashi Norihito</t>
  </si>
  <si>
    <t>Kobayashi Ryuichi</t>
  </si>
  <si>
    <t>Kober Amelie</t>
  </si>
  <si>
    <t>Kobian Jan</t>
  </si>
  <si>
    <t>Kobus Miroslaw</t>
  </si>
  <si>
    <t>Koch Martin</t>
  </si>
  <si>
    <t>Kocher Martina</t>
  </si>
  <si>
    <t>Kocher Zina</t>
  </si>
  <si>
    <t>Kocon Yannick</t>
  </si>
  <si>
    <t>Kodaira Nao</t>
  </si>
  <si>
    <t>Kofler Andreas</t>
  </si>
  <si>
    <t>Kohn Mike</t>
  </si>
  <si>
    <t>Koiv Kauri</t>
  </si>
  <si>
    <t>Koivu Mikko</t>
  </si>
  <si>
    <t>Koivu Saku</t>
  </si>
  <si>
    <t>Koivuranta Anssi</t>
  </si>
  <si>
    <t>Kokk Kaspar</t>
  </si>
  <si>
    <t>Koklaca Agnese</t>
  </si>
  <si>
    <t>Kokslien Mikko</t>
  </si>
  <si>
    <t>Kokubo Kazuhiro</t>
  </si>
  <si>
    <t>Kolb Hanna</t>
  </si>
  <si>
    <t>Koller Patrick</t>
  </si>
  <si>
    <t>Kolomina Elena</t>
  </si>
  <si>
    <t>Kolosov Sergei</t>
  </si>
  <si>
    <t>Koltsov Konstantin</t>
  </si>
  <si>
    <t>Komuro Nozomi</t>
  </si>
  <si>
    <t>Kong Yingchao</t>
  </si>
  <si>
    <t>Konopova Martina</t>
  </si>
  <si>
    <t>Koons Benjamin</t>
  </si>
  <si>
    <t>Koos Torin</t>
  </si>
  <si>
    <t>Kopecky Tomas</t>
  </si>
  <si>
    <t>Korneev Konstantin</t>
  </si>
  <si>
    <t>Kornilov Denis</t>
  </si>
  <si>
    <t>Korolev Alexey</t>
  </si>
  <si>
    <t>Korosteleva Natalia</t>
  </si>
  <si>
    <t>Korotkov Egor</t>
  </si>
  <si>
    <t>Korpi Janne</t>
  </si>
  <si>
    <t>Korpi Kiira</t>
  </si>
  <si>
    <t>Koshevoy Yevgeniy</t>
  </si>
  <si>
    <t>Koshi Kazuhiro</t>
  </si>
  <si>
    <t>Kosic Bojan</t>
  </si>
  <si>
    <t>Kosir Zan</t>
  </si>
  <si>
    <t>Koskela Pekka</t>
  </si>
  <si>
    <t>Koski Markku</t>
  </si>
  <si>
    <t>Kostelic Ivica</t>
  </si>
  <si>
    <t>Kostenko Ekaterina</t>
  </si>
  <si>
    <t>Kostitsyn Andrei</t>
  </si>
  <si>
    <t>Kostitsyn Sergei</t>
  </si>
  <si>
    <t>Kostiuchenok Viktor</t>
  </si>
  <si>
    <t>Kostner Carolina</t>
  </si>
  <si>
    <t>Kotnik Glorija</t>
  </si>
  <si>
    <t>Koudelka Roman</t>
  </si>
  <si>
    <t>Koukal Martin</t>
  </si>
  <si>
    <t>Koval Vitali</t>
  </si>
  <si>
    <t>Kovalchuk Ilya</t>
  </si>
  <si>
    <t>Kovalevski Anton</t>
  </si>
  <si>
    <t>Kowalczyk Justyna</t>
  </si>
  <si>
    <t>Koyander Ellie</t>
  </si>
  <si>
    <t>Kozisek Dusan</t>
  </si>
  <si>
    <t>Kozlov Victor</t>
  </si>
  <si>
    <t>Kozlovsky Ondrej</t>
  </si>
  <si>
    <t>Kozuka Takahiko</t>
  </si>
  <si>
    <t>Kraas Oliver</t>
  </si>
  <si>
    <t>Krajacic Slaven</t>
  </si>
  <si>
    <t>Kramer Sven</t>
  </si>
  <si>
    <t>Kranjec Robert</t>
  </si>
  <si>
    <t>Kraupp Sebastian</t>
  </si>
  <si>
    <t>Kraus Tomas</t>
  </si>
  <si>
    <t>Kravchuk Stanislav</t>
  </si>
  <si>
    <t>Krech Roman</t>
  </si>
  <si>
    <t>Kreczmer Maciej</t>
  </si>
  <si>
    <t>Kreiner David</t>
  </si>
  <si>
    <t>Kreiner Marion</t>
  </si>
  <si>
    <t>Krejci David</t>
  </si>
  <si>
    <t>Krezelok Janusz</t>
  </si>
  <si>
    <t>Krings Doresia</t>
  </si>
  <si>
    <t>Kripps Justin</t>
  </si>
  <si>
    <t>Kristiansen Gro</t>
  </si>
  <si>
    <t>Kristo Katalin</t>
  </si>
  <si>
    <t>Kristoffersen Marthe</t>
  </si>
  <si>
    <t>Kriukov Nikita</t>
  </si>
  <si>
    <t>Krizaj Andrej</t>
  </si>
  <si>
    <t>Krizova Klara</t>
  </si>
  <si>
    <t>Kroell Klaus</t>
  </si>
  <si>
    <t>Kronwall Niklas</t>
  </si>
  <si>
    <t>Kruglov Nikolay</t>
  </si>
  <si>
    <t>Krumina Gerda</t>
  </si>
  <si>
    <t>Kryzl Krystof</t>
  </si>
  <si>
    <t>Kuba Filip</t>
  </si>
  <si>
    <t>Kubina Pavel</t>
  </si>
  <si>
    <t>Kuck Jonathan</t>
  </si>
  <si>
    <t>Kudo Kohei</t>
  </si>
  <si>
    <t>Kudrashova Olga</t>
  </si>
  <si>
    <t>Kueng Carmen</t>
  </si>
  <si>
    <t>Kuettel Andreas</t>
  </si>
  <si>
    <t>Kuhn Stefan</t>
  </si>
  <si>
    <t>Kuhn Xavier</t>
  </si>
  <si>
    <t>Kuipers Simon</t>
  </si>
  <si>
    <t>Kuisma Mira</t>
  </si>
  <si>
    <t>Kuitunen Virpi</t>
  </si>
  <si>
    <t>Kukkonen Lasse</t>
  </si>
  <si>
    <t>Kulakov Aleksandr</t>
  </si>
  <si>
    <t>Kumaritashvili Nodar</t>
  </si>
  <si>
    <t>Kummel Peeter</t>
  </si>
  <si>
    <t>Kupczyk Dawid</t>
  </si>
  <si>
    <t>Kurowski Maciej</t>
  </si>
  <si>
    <t>Kushnir Anton</t>
  </si>
  <si>
    <t>Kuske Kevin</t>
  </si>
  <si>
    <t>Kuzin Denis</t>
  </si>
  <si>
    <t>Kuzmenka Lizaveta</t>
  </si>
  <si>
    <t>Kuzmich Michail</t>
  </si>
  <si>
    <t>Kuzmina Anastazia</t>
  </si>
  <si>
    <t>Kuzzy Garrott</t>
  </si>
  <si>
    <t>Kvakova Monika</t>
  </si>
  <si>
    <t>Kvicala Matej</t>
  </si>
  <si>
    <t>Kvinlog Genlid Gro</t>
  </si>
  <si>
    <t>Kwak Adam</t>
  </si>
  <si>
    <t>Kwak Min-Jung</t>
  </si>
  <si>
    <t>Kwak Yoon-Gy</t>
  </si>
  <si>
    <t>Laaksonen Emma</t>
  </si>
  <si>
    <t>Laboeck Isabella</t>
  </si>
  <si>
    <t>Labonte Charline</t>
  </si>
  <si>
    <t>Lachkovics Martin</t>
  </si>
  <si>
    <t>Lacroix Sebastien</t>
  </si>
  <si>
    <t>Ladwig Mark</t>
  </si>
  <si>
    <t>Lafuente Sonia</t>
  </si>
  <si>
    <t>Lago Scott</t>
  </si>
  <si>
    <t>Lahdenperae Anton</t>
  </si>
  <si>
    <t>Laheurte Maxime</t>
  </si>
  <si>
    <t>Lahteenmaki Krista</t>
  </si>
  <si>
    <t>Laird Anne</t>
  </si>
  <si>
    <t>Lajtos Szandra</t>
  </si>
  <si>
    <t>Lalenkov Yevgeny</t>
  </si>
  <si>
    <t>Lallukka Juha</t>
  </si>
  <si>
    <t>Lamb Maria</t>
  </si>
  <si>
    <t>Lambert Michael</t>
  </si>
  <si>
    <t>Lambert Thomas</t>
  </si>
  <si>
    <t>Lambiel Stephane</t>
  </si>
  <si>
    <t>Lamoureux Jocelyne</t>
  </si>
  <si>
    <t>Lamoureux Justin</t>
  </si>
  <si>
    <t>Lamoureux Monique</t>
  </si>
  <si>
    <t>Lamparter Thomas</t>
  </si>
  <si>
    <t>Lamy Chappuis Jason</t>
  </si>
  <si>
    <t>Landertinger Dominik</t>
  </si>
  <si>
    <t>Lang Andreas</t>
  </si>
  <si>
    <t>Lange Andre</t>
  </si>
  <si>
    <t>Langenbrunner Jamie</t>
  </si>
  <si>
    <t>Langenhan Andi</t>
  </si>
  <si>
    <t>Langlois Anabelle</t>
  </si>
  <si>
    <t>Langton Steven</t>
  </si>
  <si>
    <t>Lannes Carlos</t>
  </si>
  <si>
    <t>Lanotte Luca</t>
  </si>
  <si>
    <t>Larionov Yuri</t>
  </si>
  <si>
    <t>Larsen Mikael Flygind</t>
  </si>
  <si>
    <t>Larsson Markus</t>
  </si>
  <si>
    <t>Larsson Mats</t>
  </si>
  <si>
    <t>Lassila Kalle</t>
  </si>
  <si>
    <t>Lassila Lydia</t>
  </si>
  <si>
    <t>Laukkanen Mari</t>
  </si>
  <si>
    <t>Laumann Ylven Martin</t>
  </si>
  <si>
    <t>Laurent Philippot Karine</t>
  </si>
  <si>
    <t>Lauscher Regan</t>
  </si>
  <si>
    <t>Lavins Rodrigo</t>
  </si>
  <si>
    <t>Lawler Erika</t>
  </si>
  <si>
    <t>Lazarovych Oleksandr</t>
  </si>
  <si>
    <t>Lazzaroni David</t>
  </si>
  <si>
    <t>Le Bihan Chris</t>
  </si>
  <si>
    <t>Le Moine Anna</t>
  </si>
  <si>
    <t>Lebedev Aleksandr</t>
  </si>
  <si>
    <t>Lebedeva Anna</t>
  </si>
  <si>
    <t>Lebedeva Ekaterina</t>
  </si>
  <si>
    <t>Lebedeva Marina</t>
  </si>
  <si>
    <t>Leccardi Valerio</t>
  </si>
  <si>
    <t>Lee Bo-Ra</t>
  </si>
  <si>
    <t>Lee Chae-Won</t>
  </si>
  <si>
    <t>Lee Cheltzie</t>
  </si>
  <si>
    <t>Lee Eun-Byul</t>
  </si>
  <si>
    <t>Lee Ho-Suk</t>
  </si>
  <si>
    <t>Lee In-Bok</t>
  </si>
  <si>
    <t>Lee Jinhee</t>
  </si>
  <si>
    <t>Lee Jongwoo</t>
  </si>
  <si>
    <t>Lee Jun Gil</t>
  </si>
  <si>
    <t>Lee Jung-Su</t>
  </si>
  <si>
    <t>Lee Ju-Youn</t>
  </si>
  <si>
    <t>Lee Kang-Seok</t>
  </si>
  <si>
    <t>Lee Ki-Ho</t>
  </si>
  <si>
    <t>Lee Kyou-Hyuk</t>
  </si>
  <si>
    <t>Lee Sang-Hwa</t>
  </si>
  <si>
    <t>Lee Seung-Hoon</t>
  </si>
  <si>
    <t>Lee Yong</t>
  </si>
  <si>
    <t>Legkov Alexander</t>
  </si>
  <si>
    <t>Leguellec Jean Philippe</t>
  </si>
  <si>
    <t>Lehmann Kathrin</t>
  </si>
  <si>
    <t>Lehmann Robert</t>
  </si>
  <si>
    <t>Lehtinen Jere</t>
  </si>
  <si>
    <t>Lehtla Kadri</t>
  </si>
  <si>
    <t>Lehtonen Lari</t>
  </si>
  <si>
    <t>Leimgruber Darcia</t>
  </si>
  <si>
    <t>Leinonen Sanni</t>
  </si>
  <si>
    <t>Leitner Patric</t>
  </si>
  <si>
    <t>Leonova Alena</t>
  </si>
  <si>
    <t>Lepisto Laura</t>
  </si>
  <si>
    <t>Lepisto Sami</t>
  </si>
  <si>
    <t>Lessing Roland</t>
  </si>
  <si>
    <t>Leu Evelyne</t>
  </si>
  <si>
    <t>Levchenkova Natalia</t>
  </si>
  <si>
    <t>Lewen Lars</t>
  </si>
  <si>
    <t>Leybyuk Roman</t>
  </si>
  <si>
    <t>Li Hongchen</t>
  </si>
  <si>
    <t>Li Hongxue</t>
  </si>
  <si>
    <t>Li Lei</t>
  </si>
  <si>
    <t>Li Nina</t>
  </si>
  <si>
    <t>Li Xin</t>
  </si>
  <si>
    <t>Liang Wenhao</t>
  </si>
  <si>
    <t>Libietis Kristaps</t>
  </si>
  <si>
    <t>Lidstrom Nicklas</t>
  </si>
  <si>
    <t>Liduma Madara</t>
  </si>
  <si>
    <t>Ligety Ted</t>
  </si>
  <si>
    <t>Ligocka Paulina</t>
  </si>
  <si>
    <t>Ligocki Mateusz</t>
  </si>
  <si>
    <t>Ligocki Michal</t>
  </si>
  <si>
    <t>Likhachova Galina</t>
  </si>
  <si>
    <t>Limbacher Andrea</t>
  </si>
  <si>
    <t>Lincoln-Smith Emma</t>
  </si>
  <si>
    <t>Lind Bjoern</t>
  </si>
  <si>
    <t>Lindahl Cathrine</t>
  </si>
  <si>
    <t>Lindberg Fredrik</t>
  </si>
  <si>
    <t>Lindell-Vikarby Jessica</t>
  </si>
  <si>
    <t>Lindemann Stefan</t>
  </si>
  <si>
    <t>Lindsay Sarah</t>
  </si>
  <si>
    <t>Lindsey Jana</t>
  </si>
  <si>
    <t>Lindstedt Rosa</t>
  </si>
  <si>
    <t>Lindstrom Fredrik</t>
  </si>
  <si>
    <t>Linger Andreas</t>
  </si>
  <si>
    <t>Linger Wolfgang</t>
  </si>
  <si>
    <t>Listner Ronny</t>
  </si>
  <si>
    <t>Liu Fangyi</t>
  </si>
  <si>
    <t>Liu Jiayu</t>
  </si>
  <si>
    <t>Liu Jinli</t>
  </si>
  <si>
    <t>Liu Rui</t>
  </si>
  <si>
    <t>Liu Xianwei</t>
  </si>
  <si>
    <t>Liu Xianying</t>
  </si>
  <si>
    <t>Liu Yan</t>
  </si>
  <si>
    <t>Liu Yin</t>
  </si>
  <si>
    <t>Liu Yuan-Yuan</t>
  </si>
  <si>
    <t>Liu Zhixin</t>
  </si>
  <si>
    <t>Liu Zhongqing</t>
  </si>
  <si>
    <t>Liv Stefan</t>
  </si>
  <si>
    <t>Livers Toni</t>
  </si>
  <si>
    <t>Livinskaya Yulia</t>
  </si>
  <si>
    <t>Lizana Valentina</t>
  </si>
  <si>
    <t>Lizeroux Julien</t>
  </si>
  <si>
    <t>Loacker Juergen</t>
  </si>
  <si>
    <t>Lobkov Dmitry</t>
  </si>
  <si>
    <t>Lobysheva Yekaterina</t>
  </si>
  <si>
    <t>Loch Felix</t>
  </si>
  <si>
    <t>Loch-Wilkinson Astrid</t>
  </si>
  <si>
    <t>Lockhart Jackie</t>
  </si>
  <si>
    <t>Lodwick Todd</t>
  </si>
  <si>
    <t>Loeseth Mona</t>
  </si>
  <si>
    <t>Loevold Thomas</t>
  </si>
  <si>
    <t>Logsch Romy</t>
  </si>
  <si>
    <t>Loitzl Wolfgang</t>
  </si>
  <si>
    <t>Lolovic Jelena</t>
  </si>
  <si>
    <t>Longa Marianna</t>
  </si>
  <si>
    <t>Longhi Jhonatan</t>
  </si>
  <si>
    <t>Longo Arthur</t>
  </si>
  <si>
    <t>Loo Alexa</t>
  </si>
  <si>
    <t>Lopuchovsky Marcel</t>
  </si>
  <si>
    <t>Lou Yue</t>
  </si>
  <si>
    <t>Ludan Lilia</t>
  </si>
  <si>
    <t>Lueders Pierre</t>
  </si>
  <si>
    <t>Luedi Sanna</t>
  </si>
  <si>
    <t>Lumsden Jesse</t>
  </si>
  <si>
    <t>Lund Eva</t>
  </si>
  <si>
    <t>Lund Lars Erik</t>
  </si>
  <si>
    <t>Lund Zach</t>
  </si>
  <si>
    <t>Lundqvist Henrik</t>
  </si>
  <si>
    <t>Lundup Tashi</t>
  </si>
  <si>
    <t>Luongo Roberto</t>
  </si>
  <si>
    <t>Luusua Tapio</t>
  </si>
  <si>
    <t>Lydman Toni</t>
  </si>
  <si>
    <t>Lysacek Evan</t>
  </si>
  <si>
    <t>Lysenstoen Andre</t>
  </si>
  <si>
    <t>Ma Chih-Hung</t>
  </si>
  <si>
    <t>Ma Rui</t>
  </si>
  <si>
    <t>Ma Yunfeng</t>
  </si>
  <si>
    <t>Mabboux Alexandre</t>
  </si>
  <si>
    <t>Macdonald Ewan</t>
  </si>
  <si>
    <t>Mace Benjamin</t>
  </si>
  <si>
    <t>Machnutin Vladimir</t>
  </si>
  <si>
    <t>Maciuszek Paulina</t>
  </si>
  <si>
    <t>Macleod Carla</t>
  </si>
  <si>
    <t>Macovei Bogdan</t>
  </si>
  <si>
    <t>Mader Regina</t>
  </si>
  <si>
    <t>Mae Jaak</t>
  </si>
  <si>
    <t>Maegert- Kohli Fraenzi</t>
  </si>
  <si>
    <t>Maffei Cecilia</t>
  </si>
  <si>
    <t>Magal Jiri</t>
  </si>
  <si>
    <t>Mair David</t>
  </si>
  <si>
    <t>Maitakov Sergei</t>
  </si>
  <si>
    <t>Majdic Petra</t>
  </si>
  <si>
    <t>Makarainen Kaisa</t>
  </si>
  <si>
    <t>Makarova Ksenia</t>
  </si>
  <si>
    <t>Makowsky Lucas</t>
  </si>
  <si>
    <t>Makritski Aleksandr</t>
  </si>
  <si>
    <t>Malahova-Shishkina Svetlana</t>
  </si>
  <si>
    <t>Malak Michal</t>
  </si>
  <si>
    <t>Malcheva Teodora</t>
  </si>
  <si>
    <t>Mali Andreja</t>
  </si>
  <si>
    <t>Malin Markus</t>
  </si>
  <si>
    <t>Maliszewska Patrycja</t>
  </si>
  <si>
    <t>Maliutin Maksim</t>
  </si>
  <si>
    <t>Malkin Evgeny</t>
  </si>
  <si>
    <t>Malone Jordan</t>
  </si>
  <si>
    <t>Malone Ryan</t>
  </si>
  <si>
    <t>Maltais Dominique</t>
  </si>
  <si>
    <t>Maltais Valerie</t>
  </si>
  <si>
    <t>Malusa Simone</t>
  </si>
  <si>
    <t>Malysheva Yekaterina</t>
  </si>
  <si>
    <t>Malysz Adam</t>
  </si>
  <si>
    <t>Man Dandan</t>
  </si>
  <si>
    <t>Mancuso Julia</t>
  </si>
  <si>
    <t>Mandru Jorge</t>
  </si>
  <si>
    <t>Manhard Julia</t>
  </si>
  <si>
    <t>Manificat Maurice</t>
  </si>
  <si>
    <t>Mann Alex</t>
  </si>
  <si>
    <t>Mannima Tatjana</t>
  </si>
  <si>
    <t>Manninen Hannu</t>
  </si>
  <si>
    <t>Marbler Margarita</t>
  </si>
  <si>
    <t>March Aaron</t>
  </si>
  <si>
    <t>Marchand-Arvier Marie</t>
  </si>
  <si>
    <t>Marek Kornelia</t>
  </si>
  <si>
    <t>Marguc Rok</t>
  </si>
  <si>
    <t>Maric Igor</t>
  </si>
  <si>
    <t>Maric Janez</t>
  </si>
  <si>
    <t>Marin Tarroch Lluis</t>
  </si>
  <si>
    <t>Marinelli Danko</t>
  </si>
  <si>
    <t>Markov Andrey</t>
  </si>
  <si>
    <t>Marleau Patrick</t>
  </si>
  <si>
    <t>Marmottan Anemone</t>
  </si>
  <si>
    <t>Marquis Vincent</t>
  </si>
  <si>
    <t>Marshall Chelsea</t>
  </si>
  <si>
    <t>Marsicano Trevor</t>
  </si>
  <si>
    <t>Martin Brad</t>
  </si>
  <si>
    <t>Martin Brian</t>
  </si>
  <si>
    <t>Martin Kevin</t>
  </si>
  <si>
    <t>Martin Kim</t>
  </si>
  <si>
    <t>Martini Cathleen</t>
  </si>
  <si>
    <t>Marty Julia</t>
  </si>
  <si>
    <t>Marty Stefanie</t>
  </si>
  <si>
    <t>Marushchak Dmitry</t>
  </si>
  <si>
    <t>Marvin Gigi</t>
  </si>
  <si>
    <t>Masalskis Edgars</t>
  </si>
  <si>
    <t>Maskalans Edgars</t>
  </si>
  <si>
    <t>Maslennikov Sergej</t>
  </si>
  <si>
    <t>Masson Jeremy</t>
  </si>
  <si>
    <t>Matejova Michaela</t>
  </si>
  <si>
    <t>Mates Ben</t>
  </si>
  <si>
    <t>Mathieu Raphael</t>
  </si>
  <si>
    <t>Matiasko Marek</t>
  </si>
  <si>
    <t>Matiasko Miroslav</t>
  </si>
  <si>
    <t>Matijevic Slobodan</t>
  </si>
  <si>
    <t>Matrossova Marina</t>
  </si>
  <si>
    <t>Matsotska Bogdana</t>
  </si>
  <si>
    <t>Matt Andreas</t>
  </si>
  <si>
    <t>Matt Mario</t>
  </si>
  <si>
    <t>Mattei Jean Charles</t>
  </si>
  <si>
    <t>Mattscherodt Katrin</t>
  </si>
  <si>
    <t>Mau Asam Liesbeth</t>
  </si>
  <si>
    <t>Mayer Juergen</t>
  </si>
  <si>
    <t>Mazdzer Chris</t>
  </si>
  <si>
    <t>Maze Tina</t>
  </si>
  <si>
    <t>Mazilu Maria Marinela</t>
  </si>
  <si>
    <t>Mccorkell Jenna</t>
  </si>
  <si>
    <t>Mccormick Debbie</t>
  </si>
  <si>
    <t>Mcgarry Kirsten</t>
  </si>
  <si>
    <t>Mcintosh Cecilia</t>
  </si>
  <si>
    <t>Mcivor Ashleigh</t>
  </si>
  <si>
    <t>Mcjames Megan</t>
  </si>
  <si>
    <t>Mckeever Brian</t>
  </si>
  <si>
    <t>Mckenna Lesley</t>
  </si>
  <si>
    <t>Mckennis Alice</t>
  </si>
  <si>
    <t>Mclaughlin Brianne</t>
  </si>
  <si>
    <t>Mcleish Adam</t>
  </si>
  <si>
    <t>Mcmurtry Brent</t>
  </si>
  <si>
    <t>Mcphie Heather</t>
  </si>
  <si>
    <t>Mcrorie Carolyn</t>
  </si>
  <si>
    <t>Medvedeva Evgenia</t>
  </si>
  <si>
    <t>Medvedtseva Olga</t>
  </si>
  <si>
    <t>Meguro Moe</t>
  </si>
  <si>
    <t>Meier Christine</t>
  </si>
  <si>
    <t>Meier Sarah</t>
  </si>
  <si>
    <t>Meija Gints</t>
  </si>
  <si>
    <t>Meiler Simona</t>
  </si>
  <si>
    <t>Melbardis Oskars</t>
  </si>
  <si>
    <t>Merighetti Daniela</t>
  </si>
  <si>
    <t>Mermillod Blondin Thomas</t>
  </si>
  <si>
    <t>Mertanen Terhi</t>
  </si>
  <si>
    <t>Meschik Ina</t>
  </si>
  <si>
    <t>Mesler Steve</t>
  </si>
  <si>
    <t>Mesotitsch Daniel</t>
  </si>
  <si>
    <t>Meszaros Andrej</t>
  </si>
  <si>
    <t>Meyer Fabienne</t>
  </si>
  <si>
    <t>Meyers Elana</t>
  </si>
  <si>
    <t>Mezin Andrei</t>
  </si>
  <si>
    <t>Meznar Mitja</t>
  </si>
  <si>
    <t>Mezulic Mate</t>
  </si>
  <si>
    <t>Miaillier Sylvain</t>
  </si>
  <si>
    <t>Michalek Milan</t>
  </si>
  <si>
    <t>Michalek Zbynek</t>
  </si>
  <si>
    <t>Michielin Rahel</t>
  </si>
  <si>
    <t>Michielli Giuseppe</t>
  </si>
  <si>
    <t>Mielzynski Erin</t>
  </si>
  <si>
    <t>Miettinen Antti</t>
  </si>
  <si>
    <t>Mietus Krzysztof</t>
  </si>
  <si>
    <t>Mikayelyan Sergey</t>
  </si>
  <si>
    <t>Mikhalev Andrei</t>
  </si>
  <si>
    <t>Mikheev Stanislav</t>
  </si>
  <si>
    <t>Mikkelson Meaghan</t>
  </si>
  <si>
    <t>Miklos Edith</t>
  </si>
  <si>
    <t>Miller Bode</t>
  </si>
  <si>
    <t>Miller Ryan</t>
  </si>
  <si>
    <t>Minagawa Kentaro</t>
  </si>
  <si>
    <t>Minato Yusuke</t>
  </si>
  <si>
    <t>Minichiello Nicola</t>
  </si>
  <si>
    <t>Minins Janis</t>
  </si>
  <si>
    <t>Mirambell Ander</t>
  </si>
  <si>
    <t>Miranda Cyril</t>
  </si>
  <si>
    <t>Mirhashemi Roteh Seyed Mostafa</t>
  </si>
  <si>
    <t>Missillier Steve</t>
  </si>
  <si>
    <t>Mitchell Eric</t>
  </si>
  <si>
    <t>Miyauchi Masaru</t>
  </si>
  <si>
    <t>Mlynar Peter</t>
  </si>
  <si>
    <t>Mo Tae-Bum</t>
  </si>
  <si>
    <t>Moan Magnus H.</t>
  </si>
  <si>
    <t>Modin Fredrik</t>
  </si>
  <si>
    <t>Modin Jesper</t>
  </si>
  <si>
    <t>Moe-Lange Yina</t>
  </si>
  <si>
    <t>Moelgg Manfred</t>
  </si>
  <si>
    <t>Moelgg Manuela</t>
  </si>
  <si>
    <t>Moeller David</t>
  </si>
  <si>
    <t>Moenne Loccoz Nelly</t>
  </si>
  <si>
    <t>Moffat Chris</t>
  </si>
  <si>
    <t>Moffat Mike</t>
  </si>
  <si>
    <t>Moir Scott</t>
  </si>
  <si>
    <t>Moiseev Petr</t>
  </si>
  <si>
    <t>Moiseychenkov Denis</t>
  </si>
  <si>
    <t>Mollin Bart</t>
  </si>
  <si>
    <t>Money Dan</t>
  </si>
  <si>
    <t>Monnet Thibaut</t>
  </si>
  <si>
    <t>Montgomery Jon</t>
  </si>
  <si>
    <t>Moore Kristie</t>
  </si>
  <si>
    <t>Morand Anais</t>
  </si>
  <si>
    <t>Morassi Andrea</t>
  </si>
  <si>
    <t>Moravcikova Zuzana</t>
  </si>
  <si>
    <t>Moravec Ondrej</t>
  </si>
  <si>
    <t>Morgenstern Thomas</t>
  </si>
  <si>
    <t>Moriarty Jamie</t>
  </si>
  <si>
    <t>Moriggl Thomas</t>
  </si>
  <si>
    <t>Morilov Nikolay</t>
  </si>
  <si>
    <t>Morison Matthew</t>
  </si>
  <si>
    <t>Moroder Karin</t>
  </si>
  <si>
    <t>Morozov Alexey</t>
  </si>
  <si>
    <t>Morozov Stanislav</t>
  </si>
  <si>
    <t>Morrice Trevor</t>
  </si>
  <si>
    <t>Morris David</t>
  </si>
  <si>
    <t>Morris John</t>
  </si>
  <si>
    <t>Morrison Denny</t>
  </si>
  <si>
    <t>Morrow Brenden</t>
  </si>
  <si>
    <t>Morse Michael</t>
  </si>
  <si>
    <t>Motohashi Mari</t>
  </si>
  <si>
    <t>Mourao Jaqueline</t>
  </si>
  <si>
    <t>Moyse Heather</t>
  </si>
  <si>
    <t>Mroz Pawel</t>
  </si>
  <si>
    <t>Mueller Katrin</t>
  </si>
  <si>
    <t>Mueller Toni</t>
  </si>
  <si>
    <t>Muir Sophie</t>
  </si>
  <si>
    <t>Muirhead Eve</t>
  </si>
  <si>
    <t>Mukhortova Maria</t>
  </si>
  <si>
    <t>Mulder Ronald</t>
  </si>
  <si>
    <t>Muller Marcel</t>
  </si>
  <si>
    <t>Mulock Travis</t>
  </si>
  <si>
    <t>Mun Ji-Hee</t>
  </si>
  <si>
    <t>Mun Joon</t>
  </si>
  <si>
    <t>Munro Bree</t>
  </si>
  <si>
    <t>Murakami Daisuke</t>
  </si>
  <si>
    <t>Muranen Pirjo</t>
  </si>
  <si>
    <t>Murata Arisa</t>
  </si>
  <si>
    <t>Murdoch David</t>
  </si>
  <si>
    <t>Murphy Sarah</t>
  </si>
  <si>
    <t>Murphy Tucker</t>
  </si>
  <si>
    <t>Murray Douglas</t>
  </si>
  <si>
    <t>Murray Julia</t>
  </si>
  <si>
    <t>Murray Paul</t>
  </si>
  <si>
    <t>Musgrave Andrew</t>
  </si>
  <si>
    <t>Mustukovs Ervins</t>
  </si>
  <si>
    <t>Myhre Lars Elton</t>
  </si>
  <si>
    <t>Myhrer Andre</t>
  </si>
  <si>
    <t>Myren Klara</t>
  </si>
  <si>
    <t>Myslicki Jason</t>
  </si>
  <si>
    <t>Nabeev Niyaz</t>
  </si>
  <si>
    <t>Nabholz Katrin</t>
  </si>
  <si>
    <t>Nabokov Evgeny</t>
  </si>
  <si>
    <t>Nagashima Keiichiro</t>
  </si>
  <si>
    <t>Nagasu Mirai</t>
  </si>
  <si>
    <t>Nakashima Shiho</t>
  </si>
  <si>
    <t>Namgial Jamyang</t>
  </si>
  <si>
    <t>Nan Ioan-Gabriel</t>
  </si>
  <si>
    <t>Napier John</t>
  </si>
  <si>
    <t>Narovec Petr</t>
  </si>
  <si>
    <t>Naruse Nobu</t>
  </si>
  <si>
    <t>Nash Rick</t>
  </si>
  <si>
    <t>Natori Eri</t>
  </si>
  <si>
    <t>Natsumi Madoka</t>
  </si>
  <si>
    <t>Naumovs Sergejs</t>
  </si>
  <si>
    <t>Nazarova Olga</t>
  </si>
  <si>
    <t>Nedelcu Ruxandra</t>
  </si>
  <si>
    <t>Neilson Drew</t>
  </si>
  <si>
    <t>Nella Tyler</t>
  </si>
  <si>
    <t>Nemaya Yulia</t>
  </si>
  <si>
    <t>Nergaard Torger</t>
  </si>
  <si>
    <t>Nersisyan Arsen</t>
  </si>
  <si>
    <t>Nesbitt Christine</t>
  </si>
  <si>
    <t>Nesterenko Lada</t>
  </si>
  <si>
    <t>Netzer Conradign</t>
  </si>
  <si>
    <t>Neumayer Michael</t>
  </si>
  <si>
    <t>Neuner Magdalena</t>
  </si>
  <si>
    <t>Neureuther Felix</t>
  </si>
  <si>
    <t>Nevalainen Frida</t>
  </si>
  <si>
    <t>Newell Andrew</t>
  </si>
  <si>
    <t>Niccum Christian</t>
  </si>
  <si>
    <t>Nicholson Natalie</t>
  </si>
  <si>
    <t>Nicoll Mercedes</t>
  </si>
  <si>
    <t>Niedermayer Scott</t>
  </si>
  <si>
    <t>Niedzwiedzki Konrad</t>
  </si>
  <si>
    <t>Nieminen Tuomas</t>
  </si>
  <si>
    <t>Niewiara Marcin Piotr</t>
  </si>
  <si>
    <t>Nigg Marina</t>
  </si>
  <si>
    <t>Niittymaki Antero</t>
  </si>
  <si>
    <t>Nikulin Ilya</t>
  </si>
  <si>
    <t>Nilsson Anna Maria</t>
  </si>
  <si>
    <t>Nilsson Mattias</t>
  </si>
  <si>
    <t>Ninis Jozef</t>
  </si>
  <si>
    <t>Nishi Nobuyuki</t>
  </si>
  <si>
    <t>Niskala Janne</t>
  </si>
  <si>
    <t>Nissen Kyle</t>
  </si>
  <si>
    <t>Nizivijs Aleksandrs</t>
  </si>
  <si>
    <t>Njeim Chirine</t>
  </si>
  <si>
    <t>Nkrumah-Acheampong Kwame</t>
  </si>
  <si>
    <t>Noble Andrew</t>
  </si>
  <si>
    <t>Nobs Olivia</t>
  </si>
  <si>
    <t>Noens Nastasia</t>
  </si>
  <si>
    <t>Nofuji Yuki</t>
  </si>
  <si>
    <t>Noh Seon-Yeong</t>
  </si>
  <si>
    <t>Norberg Anette</t>
  </si>
  <si>
    <t>Nordin Emma</t>
  </si>
  <si>
    <t>Northug Petter Jr.</t>
  </si>
  <si>
    <t>Notz Jedrij</t>
  </si>
  <si>
    <t>Novakovic Zana</t>
  </si>
  <si>
    <t>Novakowska Weronika</t>
  </si>
  <si>
    <t>Novikov Sergey</t>
  </si>
  <si>
    <t>Novitski Sergei</t>
  </si>
  <si>
    <t>Novoselic Sofija</t>
  </si>
  <si>
    <t>Novoselski Aleksei</t>
  </si>
  <si>
    <t>Novotna Katerina</t>
  </si>
  <si>
    <t>Novotny Michal</t>
  </si>
  <si>
    <t>Nurmberg Tiiu</t>
  </si>
  <si>
    <t>Nurmenkari Ari-Pekka</t>
  </si>
  <si>
    <t>Nussbaum Lucrece</t>
  </si>
  <si>
    <t>Nwume Henry</t>
  </si>
  <si>
    <t>Nyman Steven</t>
  </si>
  <si>
    <t>Nystad Claudia</t>
  </si>
  <si>
    <t>Nyvltova Eva</t>
  </si>
  <si>
    <t>O Connor Shane</t>
  </si>
  <si>
    <t>Obara Tadashi</t>
  </si>
  <si>
    <t>Oberhofer Karin</t>
  </si>
  <si>
    <t>Oberstolz Christian</t>
  </si>
  <si>
    <t>Ochirsuren Erdene-Ochir</t>
  </si>
  <si>
    <t>Ochowicz Elli</t>
  </si>
  <si>
    <t>Ochs Pierre</t>
  </si>
  <si>
    <t>O'Connor Susan</t>
  </si>
  <si>
    <t>Oda Nobunari</t>
  </si>
  <si>
    <t>Oduya Johnny</t>
  </si>
  <si>
    <t>Oenema Thijsje</t>
  </si>
  <si>
    <t>Oettl Reyes Manfred</t>
  </si>
  <si>
    <t>Oettl Reyes Ornella</t>
  </si>
  <si>
    <t>Ofner Katrin</t>
  </si>
  <si>
    <t>Oglago Sebahattin</t>
  </si>
  <si>
    <t>Oguchi Takahisa</t>
  </si>
  <si>
    <t>Oh Min-Jee</t>
  </si>
  <si>
    <t>Ohlund Mattias</t>
  </si>
  <si>
    <t>Ohmiya Anna</t>
  </si>
  <si>
    <t>Ohno Apolo Anton</t>
  </si>
  <si>
    <t>Ohta Akio</t>
  </si>
  <si>
    <t>Oikawa Yuya</t>
  </si>
  <si>
    <t>Ojaste Triin</t>
  </si>
  <si>
    <t>Okabe Takanobu</t>
  </si>
  <si>
    <t>Okada Rana</t>
  </si>
  <si>
    <t>Okazaki Tomomi</t>
  </si>
  <si>
    <t>Olafsen Helene</t>
  </si>
  <si>
    <t>Olimb Mathis</t>
  </si>
  <si>
    <t>Olli Harri</t>
  </si>
  <si>
    <t>Olofsson-Zidek Anna Carin</t>
  </si>
  <si>
    <t>Olsen Justin</t>
  </si>
  <si>
    <t>Olsson Anna</t>
  </si>
  <si>
    <t>Olsson Hans</t>
  </si>
  <si>
    <t>Olsson Johan</t>
  </si>
  <si>
    <t>Omischl Steve</t>
  </si>
  <si>
    <t>Onda Yuichi</t>
  </si>
  <si>
    <t>Onolbaeva Mariya</t>
  </si>
  <si>
    <t>Oprja Deyvid</t>
  </si>
  <si>
    <t>Oranic Mitja</t>
  </si>
  <si>
    <t>Oreshnikov Roman</t>
  </si>
  <si>
    <t>Orgue Laura</t>
  </si>
  <si>
    <t>Orlova Anna</t>
  </si>
  <si>
    <t>Orpik Brooks</t>
  </si>
  <si>
    <t>Os Alexander</t>
  </si>
  <si>
    <t>Osborne-Paradis Manuel</t>
  </si>
  <si>
    <t>Ost Isabell</t>
  </si>
  <si>
    <t>Ostberg Cecilia</t>
  </si>
  <si>
    <t>Oswald Pascal</t>
  </si>
  <si>
    <t>Ott Mirjam</t>
  </si>
  <si>
    <t>Oudenaarden Tamara</t>
  </si>
  <si>
    <t>Ouellette Caroline</t>
  </si>
  <si>
    <t>Ovechkin Alexander</t>
  </si>
  <si>
    <t>Owens Jenny</t>
  </si>
  <si>
    <t>Ozaki Kai</t>
  </si>
  <si>
    <t>Ozawa Mika</t>
  </si>
  <si>
    <t>Paakkonen Lasse</t>
  </si>
  <si>
    <t>Pac Erin</t>
  </si>
  <si>
    <t>Padial Hernandez Victoria</t>
  </si>
  <si>
    <t>Paerson Anja</t>
  </si>
  <si>
    <t>Pahlsson Samuel</t>
  </si>
  <si>
    <t>Pain Jeff</t>
  </si>
  <si>
    <t>Paipals Janis</t>
  </si>
  <si>
    <t>Pajala Magdalena</t>
  </si>
  <si>
    <t>Palffy Zigmund</t>
  </si>
  <si>
    <t>Palic Tea</t>
  </si>
  <si>
    <t>Palka Krystyna</t>
  </si>
  <si>
    <t>Pancochova Sarka</t>
  </si>
  <si>
    <t>Pandov Assen</t>
  </si>
  <si>
    <t>Pang Qing</t>
  </si>
  <si>
    <t>Pankratov Nikolay</t>
  </si>
  <si>
    <t>Panzhinskiy Alexander</t>
  </si>
  <si>
    <t>Papamichalopoulos Christopher</t>
  </si>
  <si>
    <t>Papamichalopoulou Sophia</t>
  </si>
  <si>
    <t>Papukchiev Ivan</t>
  </si>
  <si>
    <t>Paris Dominik</t>
  </si>
  <si>
    <t>Parise Zach</t>
  </si>
  <si>
    <t>Park Do-Yeong</t>
  </si>
  <si>
    <t>Park Seung-Hi</t>
  </si>
  <si>
    <t>Parrott Kyle</t>
  </si>
  <si>
    <t>Pasini Fabio</t>
  </si>
  <si>
    <t>Pasini Renato</t>
  </si>
  <si>
    <t>Paterlini Thierry</t>
  </si>
  <si>
    <t>Patzold Dimitri</t>
  </si>
  <si>
    <t>Pavelec Ondrej</t>
  </si>
  <si>
    <t>Pavelski Joe</t>
  </si>
  <si>
    <t>Pearson Nick</t>
  </si>
  <si>
    <t>Pechalat Nathalie</t>
  </si>
  <si>
    <t>Pechenkin Evgeny</t>
  </si>
  <si>
    <t>Pedersen Maya</t>
  </si>
  <si>
    <t>Pedersen Sverre Lunde</t>
  </si>
  <si>
    <t>Peiffer Arnd</t>
  </si>
  <si>
    <t>Peltonen Ville</t>
  </si>
  <si>
    <t>Pelttari Heidi</t>
  </si>
  <si>
    <t>Pengilly Adam</t>
  </si>
  <si>
    <t>Penyak Yosyf</t>
  </si>
  <si>
    <t>Pepene Paul Constantin</t>
  </si>
  <si>
    <t>Peraelae Kirsi</t>
  </si>
  <si>
    <t>Perathoner Christa</t>
  </si>
  <si>
    <t>Peretti Lucia</t>
  </si>
  <si>
    <t>Perko Rok</t>
  </si>
  <si>
    <t>Perl Curdin</t>
  </si>
  <si>
    <t>Permyakova Olga</t>
  </si>
  <si>
    <t>Persyn Karen</t>
  </si>
  <si>
    <t>Pesko Manuela Laura</t>
  </si>
  <si>
    <t>Peterson Jeret</t>
  </si>
  <si>
    <t>Peterson Teodor</t>
  </si>
  <si>
    <t>Petersson Haavard Vad</t>
  </si>
  <si>
    <t>Petrovic Milanko</t>
  </si>
  <si>
    <t>Petrovskaya Kristina</t>
  </si>
  <si>
    <t>Pettersen Oeystein</t>
  </si>
  <si>
    <t>Petukhov Alexey</t>
  </si>
  <si>
    <t>Pfeifer Viktor</t>
  </si>
  <si>
    <t>Pfister Daniel</t>
  </si>
  <si>
    <t>Pfister Manuel</t>
  </si>
  <si>
    <t>Phaneuf Cynthia</t>
  </si>
  <si>
    <t>Piccard Ted</t>
  </si>
  <si>
    <t>Pidhrushna Olena</t>
  </si>
  <si>
    <t>Pieman Isabelle</t>
  </si>
  <si>
    <t>Pierron Veronique</t>
  </si>
  <si>
    <t>Pietilae-Holmner Maria</t>
  </si>
  <si>
    <t>Pietropoli Manuel</t>
  </si>
  <si>
    <t>Piiroinen Peetu</t>
  </si>
  <si>
    <t>Pikl Primoz</t>
  </si>
  <si>
    <t>Piksons Edgars</t>
  </si>
  <si>
    <t>Pikus-Pace Noelle</t>
  </si>
  <si>
    <t>Piller Cottrer Pietro</t>
  </si>
  <si>
    <t>Pinter Friedrich</t>
  </si>
  <si>
    <t>Pinzaru Victor</t>
  </si>
  <si>
    <t>Piper Cherie</t>
  </si>
  <si>
    <t>Pitkanen Joni</t>
  </si>
  <si>
    <t>Pittin Alessandro</t>
  </si>
  <si>
    <t>Plakalovic Mladen</t>
  </si>
  <si>
    <t>Plankensteiner Gerhard</t>
  </si>
  <si>
    <t>Plekanec Tomas</t>
  </si>
  <si>
    <t>Ploner Alexander</t>
  </si>
  <si>
    <t>Plotogea Dana</t>
  </si>
  <si>
    <t>Plushenko Evgeni</t>
  </si>
  <si>
    <t>Pluss Martin</t>
  </si>
  <si>
    <t>Plys Chris</t>
  </si>
  <si>
    <t>Pociecha Domen</t>
  </si>
  <si>
    <t>Podladtchikov Iouri</t>
  </si>
  <si>
    <t>Poirier Paul</t>
  </si>
  <si>
    <t>Poisson David</t>
  </si>
  <si>
    <t>Polak Roman</t>
  </si>
  <si>
    <t>Poleschuk Danielle</t>
  </si>
  <si>
    <t>Poltaranin Alexey</t>
  </si>
  <si>
    <t>Popov Evgeny</t>
  </si>
  <si>
    <t>Posa Mariia</t>
  </si>
  <si>
    <t>Postic Teodora</t>
  </si>
  <si>
    <t>Potemkina Valeriya</t>
  </si>
  <si>
    <t>Potter Jenny</t>
  </si>
  <si>
    <t>Pottinger Allison</t>
  </si>
  <si>
    <t>Poulin Marie-Philip</t>
  </si>
  <si>
    <t>Poulsen Mikkel</t>
  </si>
  <si>
    <t>Poutala Mika</t>
  </si>
  <si>
    <t>Poutiainen Tanja</t>
  </si>
  <si>
    <t>Pozzo Oceane</t>
  </si>
  <si>
    <t>Pozzolini Stefano</t>
  </si>
  <si>
    <t>Pranger Manfred</t>
  </si>
  <si>
    <t>Praus Sebastian</t>
  </si>
  <si>
    <t>Pravlikova Petra</t>
  </si>
  <si>
    <t>Prefontaine Marie-Pier</t>
  </si>
  <si>
    <t>Prekopova Natalia</t>
  </si>
  <si>
    <t>Prevc Peter</t>
  </si>
  <si>
    <t>Privivkova Ludmila</t>
  </si>
  <si>
    <t>Prochazkova Alena</t>
  </si>
  <si>
    <t>Prommegger Andreas</t>
  </si>
  <si>
    <t>Pronger Chris</t>
  </si>
  <si>
    <t>Prosteva Elena</t>
  </si>
  <si>
    <t>Prudnikov Sergey</t>
  </si>
  <si>
    <t>Prugova Anna</t>
  </si>
  <si>
    <t>Puckett Casey</t>
  </si>
  <si>
    <t>Pugh Duncan Michael</t>
  </si>
  <si>
    <t>Pujacs Georgijs</t>
  </si>
  <si>
    <t>Pullin Alex</t>
  </si>
  <si>
    <t>Puolakka Markus</t>
  </si>
  <si>
    <t>Purdea Mihaela</t>
  </si>
  <si>
    <t>Putsko Olexandr</t>
  </si>
  <si>
    <t>Putze Martin</t>
  </si>
  <si>
    <t>Puurunen Paavo</t>
  </si>
  <si>
    <t>Pysarenko Lyudmyla</t>
  </si>
  <si>
    <t>Qi Guangpu</t>
  </si>
  <si>
    <t>Qi Xueting</t>
  </si>
  <si>
    <t>Quick Jonathan</t>
  </si>
  <si>
    <t>Radanova Evgenia</t>
  </si>
  <si>
    <t>Radenovic Carmen</t>
  </si>
  <si>
    <t>Radivojevic Branko</t>
  </si>
  <si>
    <t>Radjenovic Vuk</t>
  </si>
  <si>
    <t>Radkevich Svetlana</t>
  </si>
  <si>
    <t>Radulov Alexander</t>
  </si>
  <si>
    <t>Rafalski Brian</t>
  </si>
  <si>
    <t>Rahlves Daron</t>
  </si>
  <si>
    <t>Raich Benjamin</t>
  </si>
  <si>
    <t>Raimo Federico</t>
  </si>
  <si>
    <t>Rainer Reinhold</t>
  </si>
  <si>
    <t>Rajahuhta Annina</t>
  </si>
  <si>
    <t>Rajdlova Kamila</t>
  </si>
  <si>
    <t>Rakhimova Regina</t>
  </si>
  <si>
    <t>Rakimgaliev Abzal</t>
  </si>
  <si>
    <t>Rakova Edita</t>
  </si>
  <si>
    <t>Ralli Sophia</t>
  </si>
  <si>
    <t>Ramberger Maria</t>
  </si>
  <si>
    <t>Ramoin Tony</t>
  </si>
  <si>
    <t>Rand Taavi</t>
  </si>
  <si>
    <t>Randall Kikkan</t>
  </si>
  <si>
    <t>Raney-Norman Catherine</t>
  </si>
  <si>
    <t>Ranigler Carmen</t>
  </si>
  <si>
    <t>Rankel Andre</t>
  </si>
  <si>
    <t>Rantamaki Karoliina</t>
  </si>
  <si>
    <t>Rasimoviciute Diana</t>
  </si>
  <si>
    <t>Rastorgujevs Andrejs</t>
  </si>
  <si>
    <t>Ratkic Ivan</t>
  </si>
  <si>
    <t>Raty Noora</t>
  </si>
  <si>
    <t>Ravnikar Dijana</t>
  </si>
  <si>
    <t>Rayanova Lyaysan</t>
  </si>
  <si>
    <t>Razym Ales</t>
  </si>
  <si>
    <t>Razzoli Giuliano</t>
  </si>
  <si>
    <t>Read Stefan</t>
  </si>
  <si>
    <t>Rebensburg Viktoria</t>
  </si>
  <si>
    <t>Recchia Lucia</t>
  </si>
  <si>
    <t>Redlihs Krisjanis</t>
  </si>
  <si>
    <t>Redlihs Mikelis</t>
  </si>
  <si>
    <t>Reed Allison</t>
  </si>
  <si>
    <t>Reed Cathy</t>
  </si>
  <si>
    <t>Reed Chris</t>
  </si>
  <si>
    <t>Regec Branislav</t>
  </si>
  <si>
    <t>Rehemaa Aivar</t>
  </si>
  <si>
    <t>Reichelt Hannes</t>
  </si>
  <si>
    <t>Reichelt Tom</t>
  </si>
  <si>
    <t>Reiherd Dmitriy</t>
  </si>
  <si>
    <t>Reithmayer Nina</t>
  </si>
  <si>
    <t>Reitmayerova Ivana</t>
  </si>
  <si>
    <t>Rekdal Anders</t>
  </si>
  <si>
    <t>Rekis Arvids</t>
  </si>
  <si>
    <t>Rekis Guntis</t>
  </si>
  <si>
    <t>Rempel Shannon</t>
  </si>
  <si>
    <t>Ren Hui</t>
  </si>
  <si>
    <t>Renner Sara</t>
  </si>
  <si>
    <t>Renzhyn Mykhaylo</t>
  </si>
  <si>
    <t>Resch Alexander</t>
  </si>
  <si>
    <t>Reshetkova Olga</t>
  </si>
  <si>
    <t>Reutter Katherine</t>
  </si>
  <si>
    <t>Revillet Aurelie</t>
  </si>
  <si>
    <t>Rezlerova Magda</t>
  </si>
  <si>
    <t>Ri Song Chol</t>
  </si>
  <si>
    <t>Ribela Leandro</t>
  </si>
  <si>
    <t>Ricciardi Aluan</t>
  </si>
  <si>
    <t>Richard Cyprien</t>
  </si>
  <si>
    <t>Richards Kristi</t>
  </si>
  <si>
    <t>Richards Michael</t>
  </si>
  <si>
    <t>Richardson Heather</t>
  </si>
  <si>
    <t>Richardson Kaylin</t>
  </si>
  <si>
    <t>Richardsson Daniel</t>
  </si>
  <si>
    <t>Ricker Maelle</t>
  </si>
  <si>
    <t>Riechsteiner Claudia</t>
  </si>
  <si>
    <t>Riegler Claudia</t>
  </si>
  <si>
    <t>Riegler Manuela</t>
  </si>
  <si>
    <t>Riemen Karolina</t>
  </si>
  <si>
    <t>Rienda Maria Jose</t>
  </si>
  <si>
    <t>Riesch Maria</t>
  </si>
  <si>
    <t>Riesch Susanne</t>
  </si>
  <si>
    <t>Rinaldi Claudio</t>
  </si>
  <si>
    <t>Ristevski Antonio</t>
  </si>
  <si>
    <t>Riva Sergio</t>
  </si>
  <si>
    <t>Roark Michelle</t>
  </si>
  <si>
    <t>Roberge Francois-Olivier</t>
  </si>
  <si>
    <t>Roberge Kalyna</t>
  </si>
  <si>
    <t>Roberts Iain</t>
  </si>
  <si>
    <t>Roberts Nathan</t>
  </si>
  <si>
    <t>Roberts Wynn</t>
  </si>
  <si>
    <t>Robertson Mike</t>
  </si>
  <si>
    <t>Robillard Melanie</t>
  </si>
  <si>
    <t>Rochat Laurence</t>
  </si>
  <si>
    <t>Rochette Joannie</t>
  </si>
  <si>
    <t>Rode Roberts</t>
  </si>
  <si>
    <t>Rodigari Nicola</t>
  </si>
  <si>
    <t>Rodionova Alexandra</t>
  </si>
  <si>
    <t>Rodionova Yuliya</t>
  </si>
  <si>
    <t>Rodriguez Jennifer</t>
  </si>
  <si>
    <t>Rodriguez Sophie</t>
  </si>
  <si>
    <t>Roediger Alexander</t>
  </si>
  <si>
    <t>Roenning Eldar</t>
  </si>
  <si>
    <t>Rogelj Rok</t>
  </si>
  <si>
    <t>Rogstad Solveig</t>
  </si>
  <si>
    <t>Rohbock Shauna</t>
  </si>
  <si>
    <t>Rojler Johan</t>
  </si>
  <si>
    <t>Rokita Anna</t>
  </si>
  <si>
    <t>Rolinek Tomas</t>
  </si>
  <si>
    <t>Rolland Marion</t>
  </si>
  <si>
    <t>Rolleston Jeremy</t>
  </si>
  <si>
    <t>Romanini Samuele</t>
  </si>
  <si>
    <t>Romanova Iana</t>
  </si>
  <si>
    <t>Romar Andreas</t>
  </si>
  <si>
    <t>Rommel Frank</t>
  </si>
  <si>
    <t>Romoeren Bjoern Einar</t>
  </si>
  <si>
    <t>Romy Kevin</t>
  </si>
  <si>
    <t>Ronkainen Mikko</t>
  </si>
  <si>
    <t>Rookard Jilleanne</t>
  </si>
  <si>
    <t>Rooth Maria</t>
  </si>
  <si>
    <t>Roponen Riitta-Liisa</t>
  </si>
  <si>
    <t>Rosen A. J.</t>
  </si>
  <si>
    <t>Roshina Tatjana</t>
  </si>
  <si>
    <t>Rosliakov Ilja</t>
  </si>
  <si>
    <t>Rotcheva Olga</t>
  </si>
  <si>
    <t>Rousseau Pierre-Alexandre</t>
  </si>
  <si>
    <t>Roux Christophe</t>
  </si>
  <si>
    <t>Roymark Martin</t>
  </si>
  <si>
    <t>Rubenis Martins</t>
  </si>
  <si>
    <t>Rubens Shona</t>
  </si>
  <si>
    <t>Rudakova Ekaterina</t>
  </si>
  <si>
    <t>Rudic Marko</t>
  </si>
  <si>
    <t>Rudman Shelley</t>
  </si>
  <si>
    <t>Rueegg Ivo</t>
  </si>
  <si>
    <t>Rueger Ronnie</t>
  </si>
  <si>
    <t>Ruggiero Angela</t>
  </si>
  <si>
    <t>Ruiz Castillo Carolina</t>
  </si>
  <si>
    <t>Ruiz Diego</t>
  </si>
  <si>
    <t>Rukke Christoffer Fagerli</t>
  </si>
  <si>
    <t>Rumiancev Vitalij</t>
  </si>
  <si>
    <t>Rumyantsev Alexander</t>
  </si>
  <si>
    <t>Rundqvist Danijela</t>
  </si>
  <si>
    <t>Runggaldier Lukas</t>
  </si>
  <si>
    <t>Ruotsalainen Ilona</t>
  </si>
  <si>
    <t>Rupil Silvia</t>
  </si>
  <si>
    <t>Rupnik Vasja</t>
  </si>
  <si>
    <t>Rush Lyndon</t>
  </si>
  <si>
    <t>Ruthemann Ivo</t>
  </si>
  <si>
    <t>Rutkowski Lukasz</t>
  </si>
  <si>
    <t>Ruutu Jarkko</t>
  </si>
  <si>
    <t>Ruutu Tuomo</t>
  </si>
  <si>
    <t>Ryadinski Aleksandr</t>
  </si>
  <si>
    <t>Ryan Anthony</t>
  </si>
  <si>
    <t>Ryan Bobby</t>
  </si>
  <si>
    <t>Rybakova Natalya</t>
  </si>
  <si>
    <t>Rybalova Darya</t>
  </si>
  <si>
    <t>Ryding David</t>
  </si>
  <si>
    <t>Rydzek Johannes</t>
  </si>
  <si>
    <t>Ryynaenen Janne</t>
  </si>
  <si>
    <t>Rzepka Michelle</t>
  </si>
  <si>
    <t>Saarepuu Anti</t>
  </si>
  <si>
    <t>Saarinen Aino- Kaisa</t>
  </si>
  <si>
    <t>Saarinen Mari</t>
  </si>
  <si>
    <t>Sablikova Martina</t>
  </si>
  <si>
    <t>Sabolova Veronika</t>
  </si>
  <si>
    <t>Sachenbacher-Stehle Evi</t>
  </si>
  <si>
    <t>Sachtjen Tracy</t>
  </si>
  <si>
    <t>Sadakane Hiroko</t>
  </si>
  <si>
    <t>Sadar Cilka</t>
  </si>
  <si>
    <t>Safar Zdenek</t>
  </si>
  <si>
    <t>Saint-Genies Gregory</t>
  </si>
  <si>
    <t>Sakai Yui</t>
  </si>
  <si>
    <t>Sakurai Biba</t>
  </si>
  <si>
    <t>Salei Ruslan</t>
  </si>
  <si>
    <t>Salo Sami</t>
  </si>
  <si>
    <t>Samsal Dalibor</t>
  </si>
  <si>
    <t>Samuelson Emily</t>
  </si>
  <si>
    <t>Sandbech Staale</t>
  </si>
  <si>
    <t>Sandell Marcus</t>
  </si>
  <si>
    <t>Sandford Ben</t>
  </si>
  <si>
    <t>Sannikova Alena</t>
  </si>
  <si>
    <t>Sannitz Raffaele</t>
  </si>
  <si>
    <t>Sarasoja Riikka</t>
  </si>
  <si>
    <t>Sarcevic Igor</t>
  </si>
  <si>
    <t>Sasaki Akira</t>
  </si>
  <si>
    <t>Satan Miroslav</t>
  </si>
  <si>
    <t>Satoya Tae</t>
  </si>
  <si>
    <t>Saue Eveli</t>
  </si>
  <si>
    <t>Sauerbreij Nicolien</t>
  </si>
  <si>
    <t>Sauvey Sarah</t>
  </si>
  <si>
    <t>Savchenko Aliona</t>
  </si>
  <si>
    <t>Saveh Shemshaki Hossein</t>
  </si>
  <si>
    <t>Saveh Shemshaki Porya</t>
  </si>
  <si>
    <t>Savehshemshaki Hossein</t>
  </si>
  <si>
    <t>Savialova Olga</t>
  </si>
  <si>
    <t>Savic Milos</t>
  </si>
  <si>
    <t>Savin Alina Vera</t>
  </si>
  <si>
    <t>Savitskiy Yan</t>
  </si>
  <si>
    <t>Sbisa Luca</t>
  </si>
  <si>
    <t>Scali Massimo</t>
  </si>
  <si>
    <t>Scanzio Deborah</t>
  </si>
  <si>
    <t>Schaaf Bree</t>
  </si>
  <si>
    <t>Schad Konstantin</t>
  </si>
  <si>
    <t>Schaefer Carmen</t>
  </si>
  <si>
    <t>Schaerer Tanja</t>
  </si>
  <si>
    <t>Schairer Markus</t>
  </si>
  <si>
    <t>Schaus Molly</t>
  </si>
  <si>
    <t>Scheiber Mario</t>
  </si>
  <si>
    <t>Schelling Florence</t>
  </si>
  <si>
    <t>Schempp Simon</t>
  </si>
  <si>
    <t>Schenk Hanne</t>
  </si>
  <si>
    <t>Schiavon Alberto</t>
  </si>
  <si>
    <t>Schiegl Markus</t>
  </si>
  <si>
    <t>Schiegl Tobias</t>
  </si>
  <si>
    <t>Schild Marlies</t>
  </si>
  <si>
    <t>Schleper Sarah</t>
  </si>
  <si>
    <t>Schlierenzauer Gregor</t>
  </si>
  <si>
    <t>Schmid Daniel</t>
  </si>
  <si>
    <t>Schmid Jan</t>
  </si>
  <si>
    <t>Schmid Michael</t>
  </si>
  <si>
    <t>Schmid Tommy</t>
  </si>
  <si>
    <t>Schmidhofer Nicole</t>
  </si>
  <si>
    <t>Schmidt Christophe</t>
  </si>
  <si>
    <t>Schmidt Christopher</t>
  </si>
  <si>
    <t>Schmidt Ulrik</t>
  </si>
  <si>
    <t>Schmitt Martin</t>
  </si>
  <si>
    <t>Schnarf Johanna</t>
  </si>
  <si>
    <t>Schneider Roger</t>
  </si>
  <si>
    <t>Schnoor Lacy</t>
  </si>
  <si>
    <t>Schoch Simon</t>
  </si>
  <si>
    <t>Schoenfelder Olivier</t>
  </si>
  <si>
    <t>Schoepp Andrea</t>
  </si>
  <si>
    <t>Schoerghofer Philipp</t>
  </si>
  <si>
    <t>Scholz Corinna</t>
  </si>
  <si>
    <t>Schori Irene</t>
  </si>
  <si>
    <t>Schramm Claudia</t>
  </si>
  <si>
    <t>Schuchkina Olga</t>
  </si>
  <si>
    <t>Schuffenhauer Bill</t>
  </si>
  <si>
    <t>Schultheiss Adrian</t>
  </si>
  <si>
    <t>Schussler Brittany</t>
  </si>
  <si>
    <t>Schwarz Samuel</t>
  </si>
  <si>
    <t>Scott Peter</t>
  </si>
  <si>
    <t>Seabrook Brent</t>
  </si>
  <si>
    <t>Sebestyen Julia</t>
  </si>
  <si>
    <t>Seck Leyti</t>
  </si>
  <si>
    <t>Sedin Daniel</t>
  </si>
  <si>
    <t>Sedin Henrik</t>
  </si>
  <si>
    <t>Sednev Serguei</t>
  </si>
  <si>
    <t>Sedov Petr</t>
  </si>
  <si>
    <t>Seger Mathias</t>
  </si>
  <si>
    <t>Seidenberg Dennis</t>
  </si>
  <si>
    <t>Seifert Robert</t>
  </si>
  <si>
    <t>Sekera Andrej</t>
  </si>
  <si>
    <t>Selanne Teemu</t>
  </si>
  <si>
    <t>Semenov Serhiy</t>
  </si>
  <si>
    <t>Semerenko Valj</t>
  </si>
  <si>
    <t>Semerenko Vita</t>
  </si>
  <si>
    <t>Semin Alexander</t>
  </si>
  <si>
    <t>Semple Ryan</t>
  </si>
  <si>
    <t>Senkel Christin</t>
  </si>
  <si>
    <t>Senkiv Taras</t>
  </si>
  <si>
    <t>Seo Jung-Hwa</t>
  </si>
  <si>
    <t>Serain Emilie</t>
  </si>
  <si>
    <t>Serebrakian Ani-Matilda</t>
  </si>
  <si>
    <t>Sergejeva Maria</t>
  </si>
  <si>
    <t>Sergina Marina</t>
  </si>
  <si>
    <t>Serova Daria</t>
  </si>
  <si>
    <t>Serra Roberto</t>
  </si>
  <si>
    <t>Servelle Patrice</t>
  </si>
  <si>
    <t>Serwa Kelsey</t>
  </si>
  <si>
    <t>Setina Anze</t>
  </si>
  <si>
    <t>Seyd Seyed Sattar</t>
  </si>
  <si>
    <t>Shabalin Maxim</t>
  </si>
  <si>
    <t>Shabanova Alla</t>
  </si>
  <si>
    <t>Shamaev Oleg</t>
  </si>
  <si>
    <t>Shannon Patrick</t>
  </si>
  <si>
    <t>Shapkin Yury</t>
  </si>
  <si>
    <t>Shapovalova Evgenia</t>
  </si>
  <si>
    <t>Shaw Joh</t>
  </si>
  <si>
    <t>Shen Xue</t>
  </si>
  <si>
    <t>Sherpa Dachhiri</t>
  </si>
  <si>
    <t>Shevchenko Valentina</t>
  </si>
  <si>
    <t>Shi Wancheng</t>
  </si>
  <si>
    <t>Shi Yao</t>
  </si>
  <si>
    <t>Shikhova Yekaterina</t>
  </si>
  <si>
    <t>Shinya Shihomi</t>
  </si>
  <si>
    <t>Shipulin Anton</t>
  </si>
  <si>
    <t>Shiriaev Sergey</t>
  </si>
  <si>
    <t>Shkanova Maria</t>
  </si>
  <si>
    <t>Shouldice Warren</t>
  </si>
  <si>
    <t>Shtork Irina</t>
  </si>
  <si>
    <t>Shumbarets Vitaliy</t>
  </si>
  <si>
    <t>Shuster John</t>
  </si>
  <si>
    <t>Shyam Kumar-Dhakal</t>
  </si>
  <si>
    <t>Siamionau Mikhail</t>
  </si>
  <si>
    <t>Sics Andris</t>
  </si>
  <si>
    <t>Sics Juris</t>
  </si>
  <si>
    <t>Sidorova Anna</t>
  </si>
  <si>
    <t>Sigurgeirsson Stefan Jon</t>
  </si>
  <si>
    <t>Sikora Tomasz</t>
  </si>
  <si>
    <t>Silovs Haralds</t>
  </si>
  <si>
    <t>Silva Danny</t>
  </si>
  <si>
    <t>Sim Ben</t>
  </si>
  <si>
    <t>Simari Birkner Cristian Javier</t>
  </si>
  <si>
    <t>Simari Birkner Macarena</t>
  </si>
  <si>
    <t>Simari Birkner Maria Belen</t>
  </si>
  <si>
    <t>Simionato Chiara</t>
  </si>
  <si>
    <t>Simister Meaghan</t>
  </si>
  <si>
    <t>Simmen Matthias</t>
  </si>
  <si>
    <t>Simmerling Georgia</t>
  </si>
  <si>
    <t>Simocko Dusan</t>
  </si>
  <si>
    <t>Simoncelli Davide</t>
  </si>
  <si>
    <t>Simonlatser Timo</t>
  </si>
  <si>
    <t>Sinclair Rebecca</t>
  </si>
  <si>
    <t>Sindelar Petr</t>
  </si>
  <si>
    <t>Sirokovs Aleksejs</t>
  </si>
  <si>
    <t>Sirvio Saija</t>
  </si>
  <si>
    <t>Sisajova Jana</t>
  </si>
  <si>
    <t>Sivertzen Stian</t>
  </si>
  <si>
    <t>Skalnikova Eva</t>
  </si>
  <si>
    <t>Skardino Nadezhda</t>
  </si>
  <si>
    <t>Skjellerup Blake</t>
  </si>
  <si>
    <t>Skobrev Ivan</t>
  </si>
  <si>
    <t>Skofterud Vibeke W</t>
  </si>
  <si>
    <t>Skopin Timofey</t>
  </si>
  <si>
    <t>Skube Matic</t>
  </si>
  <si>
    <t>Skulkina Anastasia</t>
  </si>
  <si>
    <t>Slavik Tomas</t>
  </si>
  <si>
    <t>Sleptsova Svetlana</t>
  </si>
  <si>
    <t>Slesingr Michal</t>
  </si>
  <si>
    <t>Slettemark Oystein</t>
  </si>
  <si>
    <t>Slivets Assoli</t>
  </si>
  <si>
    <t>Slivets Timofei</t>
  </si>
  <si>
    <t>Slongo Dominique</t>
  </si>
  <si>
    <t>Smeekens Jan</t>
  </si>
  <si>
    <t>Smigun-Vaehi Kristina</t>
  </si>
  <si>
    <t>Smirnov Alexander</t>
  </si>
  <si>
    <t>Smith Fanny</t>
  </si>
  <si>
    <t>Smith Jason</t>
  </si>
  <si>
    <t>Smith Leanne</t>
  </si>
  <si>
    <t>Smith Peter</t>
  </si>
  <si>
    <t>Smith Ruben</t>
  </si>
  <si>
    <t>Smolentseva Ekaterina</t>
  </si>
  <si>
    <t>Smrkovic Belma</t>
  </si>
  <si>
    <t>Smutna Katerina</t>
  </si>
  <si>
    <t>Smyshlyaev Alexandr</t>
  </si>
  <si>
    <t>Snith Justin</t>
  </si>
  <si>
    <t>Soedergren Anders</t>
  </si>
  <si>
    <t>Soklic Mirjam</t>
  </si>
  <si>
    <t>Sola Ivan</t>
  </si>
  <si>
    <t>Soloviev Dmitri</t>
  </si>
  <si>
    <t>Sommerfeldt Rene</t>
  </si>
  <si>
    <t>Song Chaoqing</t>
  </si>
  <si>
    <t>Song Weilong</t>
  </si>
  <si>
    <t>Sosina Olga</t>
  </si>
  <si>
    <t>Sostorics Colleen</t>
  </si>
  <si>
    <t>Sotnieks Kristaps</t>
  </si>
  <si>
    <t>Sotnikova Tatiana</t>
  </si>
  <si>
    <t>Soukalova Gabriela</t>
  </si>
  <si>
    <t>Soukup Jaroslav</t>
  </si>
  <si>
    <t>Soulie Francois</t>
  </si>
  <si>
    <t>Southam James</t>
  </si>
  <si>
    <t>Spahni Caroline</t>
  </si>
  <si>
    <t>Spalinger Richard</t>
  </si>
  <si>
    <t>Spector Laura</t>
  </si>
  <si>
    <t>Speiser David</t>
  </si>
  <si>
    <t>Spence Brad</t>
  </si>
  <si>
    <t>Spillane Johnny</t>
  </si>
  <si>
    <t>Sporn Andrej</t>
  </si>
  <si>
    <t>Spring Christopher</t>
  </si>
  <si>
    <t>Sprukts Janis</t>
  </si>
  <si>
    <t>Sprunger Julien</t>
  </si>
  <si>
    <t>St. Onge Ryan</t>
  </si>
  <si>
    <t>Staal Eric</t>
  </si>
  <si>
    <t>Stack Kelli</t>
  </si>
  <si>
    <t>Staicu Dragos</t>
  </si>
  <si>
    <t>Stampfer Wolfgang</t>
  </si>
  <si>
    <t>Stana Rastislav</t>
  </si>
  <si>
    <t>Stas Andrei</t>
  </si>
  <si>
    <t>Stasenko Nikolai</t>
  </si>
  <si>
    <t>Stastny Paul</t>
  </si>
  <si>
    <t>Staszulonek Ewelina</t>
  </si>
  <si>
    <t>Staudacher Patrick</t>
  </si>
  <si>
    <t>Stecher Mario</t>
  </si>
  <si>
    <t>Stechert Gina</t>
  </si>
  <si>
    <t>Stefani Luca</t>
  </si>
  <si>
    <t>Steira Kristin Stoermer</t>
  </si>
  <si>
    <t>Stepanek Jakub</t>
  </si>
  <si>
    <t>Stephan Christoph</t>
  </si>
  <si>
    <t>Stephan Tobias</t>
  </si>
  <si>
    <t>Stephen Elizabeth</t>
  </si>
  <si>
    <t>Stepushkin Dmitry</t>
  </si>
  <si>
    <t>St-Gelais Marianne</t>
  </si>
  <si>
    <t>Stickl Simon</t>
  </si>
  <si>
    <t>Stiefel Anja</t>
  </si>
  <si>
    <t>Stielicke Sandro</t>
  </si>
  <si>
    <t>Stipanicic Andrijana</t>
  </si>
  <si>
    <t>Stoch Kamil</t>
  </si>
  <si>
    <t>Stoddard Tionette</t>
  </si>
  <si>
    <t>Stoeckli Ralph</t>
  </si>
  <si>
    <t>Stoian Alexandra</t>
  </si>
  <si>
    <t>Stoklaska Jan</t>
  </si>
  <si>
    <t>Stolyarova Ekaterina</t>
  </si>
  <si>
    <t>Storti Cecile</t>
  </si>
  <si>
    <t>St-Pierre Kim</t>
  </si>
  <si>
    <t>Stramaturaru Raluca</t>
  </si>
  <si>
    <t>Stramaturaru Violeta</t>
  </si>
  <si>
    <t>Strandvall Matias</t>
  </si>
  <si>
    <t>Strbak Martin</t>
  </si>
  <si>
    <t>Streit Mark</t>
  </si>
  <si>
    <t>Streitberger Georg</t>
  </si>
  <si>
    <t>Strolia Mantas</t>
  </si>
  <si>
    <t>Struebin Simon</t>
  </si>
  <si>
    <t>Studebaker Sara</t>
  </si>
  <si>
    <t>Stumpel Jozef</t>
  </si>
  <si>
    <t>Sturm Marco</t>
  </si>
  <si>
    <t>Styger Nadia</t>
  </si>
  <si>
    <t>Suchy Dominik</t>
  </si>
  <si>
    <t>Sudova Nikola</t>
  </si>
  <si>
    <t>Sudova Sarka</t>
  </si>
  <si>
    <t>Sugimori Teruhiro</t>
  </si>
  <si>
    <t>Sulej Joanna</t>
  </si>
  <si>
    <t>Sullivan Marco</t>
  </si>
  <si>
    <t>Sulzer Alexander</t>
  </si>
  <si>
    <t>Sun Qinghai</t>
  </si>
  <si>
    <t>Sun Rui</t>
  </si>
  <si>
    <t>Sun Zhifeng</t>
  </si>
  <si>
    <t>Sung Si-Bak</t>
  </si>
  <si>
    <t>Sustersic Izidor</t>
  </si>
  <si>
    <t>Suter Fabienne</t>
  </si>
  <si>
    <t>Suter Ryan</t>
  </si>
  <si>
    <t>Suzuki Akiko</t>
  </si>
  <si>
    <t>Suzuki Fuyuko</t>
  </si>
  <si>
    <t>Suzuki Hiroshi</t>
  </si>
  <si>
    <t>Svae Christoffer</t>
  </si>
  <si>
    <t>Svartedal Jens Arne</t>
  </si>
  <si>
    <t>Svedin Thunstrom Frida</t>
  </si>
  <si>
    <t>Svendsen Emil Hegle</t>
  </si>
  <si>
    <t>Svindal Aksel Lund</t>
  </si>
  <si>
    <t>Sweeney Megan</t>
  </si>
  <si>
    <t>Swider-Peltz Jr. Nancy</t>
  </si>
  <si>
    <t>Syman Alexandr</t>
  </si>
  <si>
    <t>Szabados Shannon</t>
  </si>
  <si>
    <t>Szczurek Lukasz</t>
  </si>
  <si>
    <t>Szolkowy Robin</t>
  </si>
  <si>
    <t>Szymkowiak Kerstin</t>
  </si>
  <si>
    <t>Tabata Maki</t>
  </si>
  <si>
    <t>Tagscherer Imre</t>
  </si>
  <si>
    <t>Tagscherer Zoltan</t>
  </si>
  <si>
    <t>Takagi Miho</t>
  </si>
  <si>
    <t>Takahashi Daisuke</t>
  </si>
  <si>
    <t>Takahashi Daito</t>
  </si>
  <si>
    <t>Takamido Yuzo</t>
  </si>
  <si>
    <t>Takeuchi Taku</t>
  </si>
  <si>
    <t>Takeuchi Tomoka</t>
  </si>
  <si>
    <t>Takizawa Hiroomi</t>
  </si>
  <si>
    <t>Talan Roman</t>
  </si>
  <si>
    <t>Tallinder Henrik</t>
  </si>
  <si>
    <t>Tallus Jaakko</t>
  </si>
  <si>
    <t>Tambornino Eligius</t>
  </si>
  <si>
    <t>Tammjarv Karel</t>
  </si>
  <si>
    <t>Tan Anqi</t>
  </si>
  <si>
    <t>Tande Petter L.</t>
  </si>
  <si>
    <t>Tandy Megan</t>
  </si>
  <si>
    <t>Tang Liang</t>
  </si>
  <si>
    <t>Taran Ionut</t>
  </si>
  <si>
    <t>Tayama Shinsuke</t>
  </si>
  <si>
    <t>Taylor Palmer</t>
  </si>
  <si>
    <t>Tcherezov Ivan</t>
  </si>
  <si>
    <t>Tchoudov Maxim</t>
  </si>
  <si>
    <t>Teela Jeremy</t>
  </si>
  <si>
    <t>Teichmann Axel</t>
  </si>
  <si>
    <t>Teklemariam Robel Zeimichael</t>
  </si>
  <si>
    <t>Ten Denis</t>
  </si>
  <si>
    <t>Ter Mors Jorien</t>
  </si>
  <si>
    <t>Terenteva Svetlana</t>
  </si>
  <si>
    <t>Terentjeva Irina</t>
  </si>
  <si>
    <t>Terra Ferran</t>
  </si>
  <si>
    <t>Tesovic Martin</t>
  </si>
  <si>
    <t>Teter Hannah</t>
  </si>
  <si>
    <t>Thaler Patrick</t>
  </si>
  <si>
    <t>Thalmann Sandra</t>
  </si>
  <si>
    <t>Thomas Tim</t>
  </si>
  <si>
    <t>Thor Olsen Jonas</t>
  </si>
  <si>
    <t>Thoresen Patrick</t>
  </si>
  <si>
    <t>Thornton Joe</t>
  </si>
  <si>
    <t>Thorvaldsson Arni</t>
  </si>
  <si>
    <t>Thovex Mirabelle</t>
  </si>
  <si>
    <t>Tikkinen Nina</t>
  </si>
  <si>
    <t>Timglas Katarina</t>
  </si>
  <si>
    <t>Timofeeva Yulia</t>
  </si>
  <si>
    <t>Timonen Kimmo</t>
  </si>
  <si>
    <t>Tiruma Maija</t>
  </si>
  <si>
    <t>Tischer Janine</t>
  </si>
  <si>
    <t>Tissot Maxime</t>
  </si>
  <si>
    <t>Tkacheva Svetlana</t>
  </si>
  <si>
    <t>Tobreluts Indrek</t>
  </si>
  <si>
    <t>Tochimoto Shohei</t>
  </si>
  <si>
    <t>Toews Jonathan</t>
  </si>
  <si>
    <t>Tofalvi Eva</t>
  </si>
  <si>
    <t>Tola Erjon</t>
  </si>
  <si>
    <t>Tollefsen Ole Kristian</t>
  </si>
  <si>
    <t>Tomasevicz Curtis</t>
  </si>
  <si>
    <t>Tomcikova Zuzana</t>
  </si>
  <si>
    <t>Tong Jian</t>
  </si>
  <si>
    <t>Torres Agustin</t>
  </si>
  <si>
    <t>Tosini Fabrizio</t>
  </si>
  <si>
    <t>Trachsel Doris</t>
  </si>
  <si>
    <t>Trachuk Volodymyr</t>
  </si>
  <si>
    <t>Trankov Maxim</t>
  </si>
  <si>
    <t>Travers Dow</t>
  </si>
  <si>
    <t>Trejbal Filip</t>
  </si>
  <si>
    <t>Trelevski Dmitry</t>
  </si>
  <si>
    <t>Tremblay Francois-Louis</t>
  </si>
  <si>
    <t>Tretiakov Alexander</t>
  </si>
  <si>
    <t>Trifonov Alexandr</t>
  </si>
  <si>
    <t>Tripp John</t>
  </si>
  <si>
    <t>Trmcic Marija</t>
  </si>
  <si>
    <t>Trott Marion</t>
  </si>
  <si>
    <t>Trunenkov Dmitry</t>
  </si>
  <si>
    <t>Trunova Svetlana</t>
  </si>
  <si>
    <t>Trygg Mats</t>
  </si>
  <si>
    <t>Tsakiri Panagiota</t>
  </si>
  <si>
    <t>Tsakiris Athanassios</t>
  </si>
  <si>
    <t>Tscharnke Tim</t>
  </si>
  <si>
    <t>Tsiklauri Nino</t>
  </si>
  <si>
    <t>Tsimikalis Stephanos</t>
  </si>
  <si>
    <t>Tsukita Yugo</t>
  </si>
  <si>
    <t>Tsuper Alla</t>
  </si>
  <si>
    <t>Tudegesheva Ekaterina</t>
  </si>
  <si>
    <t>Tuitert Mark</t>
  </si>
  <si>
    <t>Tulubjevs Pavels</t>
  </si>
  <si>
    <t>Tuominen Minnamari</t>
  </si>
  <si>
    <t>Tuominen Saara</t>
  </si>
  <si>
    <t>Turksever Erdinc</t>
  </si>
  <si>
    <t>Turri Mirko</t>
  </si>
  <si>
    <t>Turysheva Elena</t>
  </si>
  <si>
    <t>Tyutin Fedor</t>
  </si>
  <si>
    <t>Tzinzov Veselin</t>
  </si>
  <si>
    <t>Ugarov Aleksei</t>
  </si>
  <si>
    <t>Uhlaender Katie</t>
  </si>
  <si>
    <t>Uhrmann Michael</t>
  </si>
  <si>
    <t>Ulrich Renato</t>
  </si>
  <si>
    <t>Ulsrud Thomas</t>
  </si>
  <si>
    <t>Upperton Helen</t>
  </si>
  <si>
    <t>Urbas Gregor</t>
  </si>
  <si>
    <t>Ustynowicz Maciej</t>
  </si>
  <si>
    <t>Ustyugov Evgeny</t>
  </si>
  <si>
    <t>Vaculik Lukas</t>
  </si>
  <si>
    <t>Vaculikova Tereza</t>
  </si>
  <si>
    <t>Vaeaenaenen Jesse</t>
  </si>
  <si>
    <t>Vafina Aleksandra</t>
  </si>
  <si>
    <t>Vaiciulis Modestas</t>
  </si>
  <si>
    <t>Vaillancourt Sarah</t>
  </si>
  <si>
    <t>Vajdic Bernard</t>
  </si>
  <si>
    <t>Valbusa Sabina</t>
  </si>
  <si>
    <t>Valcepina Martina</t>
  </si>
  <si>
    <t>Valencic Mitja</t>
  </si>
  <si>
    <t>Valimaki Linda</t>
  </si>
  <si>
    <t>Valiullin Rustam</t>
  </si>
  <si>
    <t>Valkenburg Diane</t>
  </si>
  <si>
    <t>Van Calker Arnold</t>
  </si>
  <si>
    <t>Van Calker Edwin</t>
  </si>
  <si>
    <t>Van De Kieft Arjen</t>
  </si>
  <si>
    <t>Van Den Bogaert Jeroen</t>
  </si>
  <si>
    <t>Van Der Horst Fredrik</t>
  </si>
  <si>
    <t>Van Der Perren Kevin</t>
  </si>
  <si>
    <t>Van Der Wal, Dolf</t>
  </si>
  <si>
    <t>Van Doorn Annita</t>
  </si>
  <si>
    <t>Van Kerkhof Sanne</t>
  </si>
  <si>
    <t>Van Riessen Laurine</t>
  </si>
  <si>
    <t>Vanhatalo Anna</t>
  </si>
  <si>
    <t>Varlamov Semen</t>
  </si>
  <si>
    <t>Vasicek Josef</t>
  </si>
  <si>
    <t>Vasiljevs Herberts</t>
  </si>
  <si>
    <t>Vasiljonok Olga</t>
  </si>
  <si>
    <t>Vasilyev Victor</t>
  </si>
  <si>
    <t>Vaultier Pierre</t>
  </si>
  <si>
    <t>Vaygina-Efremova Lilia</t>
  </si>
  <si>
    <t>Veenstra Tine</t>
  </si>
  <si>
    <t>Veerpalu Andrus</t>
  </si>
  <si>
    <t>Vejnarova Zdenka</t>
  </si>
  <si>
    <t>Velichko Yevgeniy</t>
  </si>
  <si>
    <t>Velickova Martina</t>
  </si>
  <si>
    <t>Verbillo Sergei</t>
  </si>
  <si>
    <t>Verges Ruben</t>
  </si>
  <si>
    <t>Verner Tomas</t>
  </si>
  <si>
    <t>Vesely Milos</t>
  </si>
  <si>
    <t>Vetter Jessie</t>
  </si>
  <si>
    <t>Vevers Lorna</t>
  </si>
  <si>
    <t>Viigipuu Kristel</t>
  </si>
  <si>
    <t>Vikingstad Tore</t>
  </si>
  <si>
    <t>Viks Priit</t>
  </si>
  <si>
    <t>Vilandt Lars</t>
  </si>
  <si>
    <t>Vilarrubla Vicenc</t>
  </si>
  <si>
    <t>Viletta Sandro</t>
  </si>
  <si>
    <t>Vina Emilie</t>
  </si>
  <si>
    <t>Vincour David</t>
  </si>
  <si>
    <t>Virtue Tessa</t>
  </si>
  <si>
    <t>Visnar Katja</t>
  </si>
  <si>
    <t>Visnovsky Lubomir</t>
  </si>
  <si>
    <t>Vitek Zdenek</t>
  </si>
  <si>
    <t>Vitkova Veronika</t>
  </si>
  <si>
    <t>Vito Louie</t>
  </si>
  <si>
    <t>Vittoz Vincent</t>
  </si>
  <si>
    <t>Vodsedalek Ales</t>
  </si>
  <si>
    <t>Voevoda Alexey</t>
  </si>
  <si>
    <t>Vokoun Tomas</t>
  </si>
  <si>
    <t>Volchenkov Anton</t>
  </si>
  <si>
    <t>Volkov Andrey</t>
  </si>
  <si>
    <t>Volkov Sergey</t>
  </si>
  <si>
    <t>Volkova Olga</t>
  </si>
  <si>
    <t>Volosozhar Tatiana</t>
  </si>
  <si>
    <t>Von Allmen Peter</t>
  </si>
  <si>
    <t>Von Hohenlohe Hubertus</t>
  </si>
  <si>
    <t>Vonn Lindsey</t>
  </si>
  <si>
    <t>Voorhuis Jorien</t>
  </si>
  <si>
    <t>Vos Maaike</t>
  </si>
  <si>
    <t>Voutilainen Marjo</t>
  </si>
  <si>
    <t>Vrablik Martin</t>
  </si>
  <si>
    <t>Vrba Jan</t>
  </si>
  <si>
    <t>Vuillermoz Rene Laurent</t>
  </si>
  <si>
    <t>Vylegzhanin Maxim</t>
  </si>
  <si>
    <t>Vysokova Svetlana</t>
  </si>
  <si>
    <t>Wagner Monika</t>
  </si>
  <si>
    <t>Walchhofer Michael</t>
  </si>
  <si>
    <t>Walden Bengt</t>
  </si>
  <si>
    <t>Walder Ingemar</t>
  </si>
  <si>
    <t>Walker Paula</t>
  </si>
  <si>
    <t>Walker Tristan</t>
  </si>
  <si>
    <t>Wang Beixing</t>
  </si>
  <si>
    <t>Wang Bingyu</t>
  </si>
  <si>
    <t>Wang Chunli</t>
  </si>
  <si>
    <t>Wang Fei</t>
  </si>
  <si>
    <t>Wang Fengchun</t>
  </si>
  <si>
    <t>Wang Linuo</t>
  </si>
  <si>
    <t>Wang Meng</t>
  </si>
  <si>
    <t>Wang Nan</t>
  </si>
  <si>
    <t>Wank Andreas</t>
  </si>
  <si>
    <t>Ward Catherine</t>
  </si>
  <si>
    <t>Watabe Akito</t>
  </si>
  <si>
    <t>Watanabe Graham</t>
  </si>
  <si>
    <t>Weber Marco</t>
  </si>
  <si>
    <t>Weber Shea</t>
  </si>
  <si>
    <t>Weber Yannick</t>
  </si>
  <si>
    <t>Webster Brittany</t>
  </si>
  <si>
    <t>Weger Benjamin</t>
  </si>
  <si>
    <t>Weibrecht Andrew</t>
  </si>
  <si>
    <t>Weiland Kerry</t>
  </si>
  <si>
    <t>Weinhandl Mattias</t>
  </si>
  <si>
    <t>Weir Johnny</t>
  </si>
  <si>
    <t>Wende Daniel</t>
  </si>
  <si>
    <t>Wendel Lundholdt Julie</t>
  </si>
  <si>
    <t>Wendel Ole-Christian</t>
  </si>
  <si>
    <t>Wenzl Josef</t>
  </si>
  <si>
    <t>Wescott Seth</t>
  </si>
  <si>
    <t>Whelbourne Jack</t>
  </si>
  <si>
    <t>White Charlie</t>
  </si>
  <si>
    <t>White Shaun</t>
  </si>
  <si>
    <t>White Trevor</t>
  </si>
  <si>
    <t>Whitmore Mitchell</t>
  </si>
  <si>
    <t>Whitney Ryan</t>
  </si>
  <si>
    <t>Wick Roman</t>
  </si>
  <si>
    <t>Wickenheiser Hayley</t>
  </si>
  <si>
    <t>Wiik Lisa</t>
  </si>
  <si>
    <t>Wilhelm Kati</t>
  </si>
  <si>
    <t>Willemarck Eva</t>
  </si>
  <si>
    <t>Willemsen Elfje</t>
  </si>
  <si>
    <t>Williams Amy</t>
  </si>
  <si>
    <t>Williams Madeleine</t>
  </si>
  <si>
    <t>Wilson Bryon</t>
  </si>
  <si>
    <t>Winberg Pernilla</t>
  </si>
  <si>
    <t>Windisch Markus</t>
  </si>
  <si>
    <t>Windisch Veronika</t>
  </si>
  <si>
    <t>Wischnewski Anke</t>
  </si>
  <si>
    <t>Witek Lukasz</t>
  </si>
  <si>
    <t>Wittner Markus</t>
  </si>
  <si>
    <t>Woerner Anna</t>
  </si>
  <si>
    <t>Wolf Alexander</t>
  </si>
  <si>
    <t>Wolf Michael</t>
  </si>
  <si>
    <t>Wood Kelly</t>
  </si>
  <si>
    <t>Worley Tessa</t>
  </si>
  <si>
    <t>Worth Paul</t>
  </si>
  <si>
    <t>Wotherspoon Jeremy</t>
  </si>
  <si>
    <t>Wozniak Katarzyna</t>
  </si>
  <si>
    <t>Wright Neville</t>
  </si>
  <si>
    <t>Wunder Richard</t>
  </si>
  <si>
    <t>Wust Ireen</t>
  </si>
  <si>
    <t>Wustlich Torsten</t>
  </si>
  <si>
    <t>Wyss Stefanie</t>
  </si>
  <si>
    <t>Xia Lina</t>
  </si>
  <si>
    <t>Xing Aihua</t>
  </si>
  <si>
    <t>Xu Mengtao</t>
  </si>
  <si>
    <t>Xu Wenlong</t>
  </si>
  <si>
    <t>Yakushenko Nataliia</t>
  </si>
  <si>
    <t>Yamaoka Soko</t>
  </si>
  <si>
    <t>Yamaura Mayo</t>
  </si>
  <si>
    <t>Yanetani Eri</t>
  </si>
  <si>
    <t>Yasuda Aya</t>
  </si>
  <si>
    <t>Yesin Aleksey</t>
  </si>
  <si>
    <t>Yoshii Sayuri</t>
  </si>
  <si>
    <t>Yoshizawa Jumpei</t>
  </si>
  <si>
    <t>Young Andrew</t>
  </si>
  <si>
    <t>Yu Baiwei</t>
  </si>
  <si>
    <t>Yu Fengtong</t>
  </si>
  <si>
    <t>Yu Jing</t>
  </si>
  <si>
    <t>Yudina Elena</t>
  </si>
  <si>
    <t>Yue Qingshuang</t>
  </si>
  <si>
    <t>Zacher Heidi</t>
  </si>
  <si>
    <t>Zadelenov Sergei</t>
  </si>
  <si>
    <t>Zadorozhniuk Anna</t>
  </si>
  <si>
    <t>Zahrobska Sarka</t>
  </si>
  <si>
    <t>Zahrobsky Petr</t>
  </si>
  <si>
    <t>Zaitseva Olga</t>
  </si>
  <si>
    <t>Zakharkiv Roman</t>
  </si>
  <si>
    <t>Zakharov Ruslan</t>
  </si>
  <si>
    <t>Zakourilova Petra</t>
  </si>
  <si>
    <t>Zakreski Kimiko</t>
  </si>
  <si>
    <t>Zakurdaev Igor</t>
  </si>
  <si>
    <t>Zalims Ugis</t>
  </si>
  <si>
    <t>Zamansky Jake</t>
  </si>
  <si>
    <t>Zang Jialiang</t>
  </si>
  <si>
    <t>Zangerl Thomas</t>
  </si>
  <si>
    <t>Zanoletti Costanza</t>
  </si>
  <si>
    <t>Zaretsky Alexandra</t>
  </si>
  <si>
    <t>Zaretsky Roman</t>
  </si>
  <si>
    <t>Zaripov Danis</t>
  </si>
  <si>
    <t>Zaugg-Siergiej Jinelle</t>
  </si>
  <si>
    <t>Zavalij Tatjana</t>
  </si>
  <si>
    <t>Zavarzina Alena</t>
  </si>
  <si>
    <t>Zavozin Maxim</t>
  </si>
  <si>
    <t>Zblewski Michal</t>
  </si>
  <si>
    <t>Zebrowski Gary</t>
  </si>
  <si>
    <t>Zednik Richard</t>
  </si>
  <si>
    <t>Zeller Katrin</t>
  </si>
  <si>
    <t>Zeng Xiaoye</t>
  </si>
  <si>
    <t>Zettel Kathrin</t>
  </si>
  <si>
    <t>Zetterberg Henrik</t>
  </si>
  <si>
    <t>Zhang Ben</t>
  </si>
  <si>
    <t>Zhang Chengye</t>
  </si>
  <si>
    <t>Zhang Dan</t>
  </si>
  <si>
    <t>Zhang Hao</t>
  </si>
  <si>
    <t>Zhang Hui</t>
  </si>
  <si>
    <t>Zhang Mengying</t>
  </si>
  <si>
    <t>Zhang Shuang</t>
  </si>
  <si>
    <t>Zhang Zhongqi</t>
  </si>
  <si>
    <t>Zhao Hongbo</t>
  </si>
  <si>
    <t>Zhao Nannan</t>
  </si>
  <si>
    <t>Zheng Xun</t>
  </si>
  <si>
    <t>Zhou Yan</t>
  </si>
  <si>
    <t>Zhou Yang</t>
  </si>
  <si>
    <t>Zidlicky Marek</t>
  </si>
  <si>
    <t>Ziegler Miriam</t>
  </si>
  <si>
    <t>Zini Katia</t>
  </si>
  <si>
    <t>Zinovyev Sergey</t>
  </si>
  <si>
    <t>Zlotkowska Luiza</t>
  </si>
  <si>
    <t>Zmoray Tomas</t>
  </si>
  <si>
    <t>Zoeggeler Armin</t>
  </si>
  <si>
    <t>Zollinger Sabrina</t>
  </si>
  <si>
    <t>Zorzi Cristian</t>
  </si>
  <si>
    <t>Zrncic-Dim Natko</t>
  </si>
  <si>
    <t>Zubkov Alexsandr</t>
  </si>
  <si>
    <t>Zuccarello Aasen Mats</t>
  </si>
  <si>
    <t>Zuev Stepan</t>
  </si>
  <si>
    <t>Zurbriggen Silvan</t>
  </si>
  <si>
    <t>Zuzulova Veronika</t>
  </si>
  <si>
    <t>Zvaricova Veronika</t>
  </si>
  <si>
    <t>Zvejnieks Kristaps</t>
  </si>
  <si>
    <t>Weight level</t>
  </si>
  <si>
    <t>Height level</t>
  </si>
  <si>
    <t>BMI</t>
  </si>
  <si>
    <t>Age Group</t>
  </si>
  <si>
    <t>Row Labels</t>
  </si>
  <si>
    <t>Count of Weight(kg)</t>
  </si>
  <si>
    <t>Count of Sport</t>
  </si>
  <si>
    <t>Athlete Name</t>
  </si>
  <si>
    <t>Count of Height(cm)</t>
  </si>
  <si>
    <t>Count of Athlete Name</t>
  </si>
  <si>
    <t>Children</t>
  </si>
  <si>
    <t>Middle-aged Adults</t>
  </si>
  <si>
    <t>Old Adults</t>
  </si>
  <si>
    <t>Young Adults</t>
  </si>
  <si>
    <t>Above Average height</t>
  </si>
  <si>
    <t>Average height</t>
  </si>
  <si>
    <t>Below Average height</t>
  </si>
  <si>
    <t>Average of Weight(kg)</t>
  </si>
  <si>
    <t>Average of Height(cm)</t>
  </si>
  <si>
    <t>&gt;50.04</t>
  </si>
  <si>
    <t>10.04-12.04</t>
  </si>
  <si>
    <t>12.04-14.04</t>
  </si>
  <si>
    <t>14.04-16.04</t>
  </si>
  <si>
    <t>16.04-18.04</t>
  </si>
  <si>
    <t>18.04-20.04</t>
  </si>
  <si>
    <t>20.04-22.04</t>
  </si>
  <si>
    <t>22.04-24.04</t>
  </si>
  <si>
    <t>24.04-26.04</t>
  </si>
  <si>
    <t>26.04-28.04</t>
  </si>
  <si>
    <t>28.04-30.04</t>
  </si>
  <si>
    <t>30.04-32.04</t>
  </si>
  <si>
    <t>32.04-34.04</t>
  </si>
  <si>
    <t>34.04-36.04</t>
  </si>
  <si>
    <t>36.04-38.04</t>
  </si>
  <si>
    <t>38.04-40.04</t>
  </si>
  <si>
    <t>40.04-42.04</t>
  </si>
  <si>
    <t>42.04-44.04</t>
  </si>
  <si>
    <t>44.04-46.04</t>
  </si>
  <si>
    <t>46.04-48.04</t>
  </si>
  <si>
    <t>Count of BMI</t>
  </si>
  <si>
    <t>Average of BMI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</si>
</sst>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_);\(0.00\)"/>
  </numFmts>
  <fonts count="6" x14ac:knownFonts="1">
    <font>
      <sz val="14"/>
      <name val="Calibri"/>
      <family val="2"/>
      <scheme val="minor"/>
    </font>
    <font>
      <b/>
      <sz val="15"/>
      <color theme="3"/>
      <name val="Calibri"/>
      <family val="2"/>
      <scheme val="minor"/>
    </font>
    <font>
      <u/>
      <sz val="14"/>
      <color rgb="FF974D6E"/>
      <name val="Calibri"/>
      <family val="2"/>
    </font>
    <font>
      <b/>
      <sz val="16"/>
      <color rgb="FF5A8B39"/>
      <name val="Calibri"/>
      <family val="2"/>
      <scheme val="minor"/>
    </font>
    <font>
      <u/>
      <sz val="14"/>
      <color rgb="FF0000FF"/>
      <name val="Calibri"/>
      <family val="2"/>
      <scheme val="minor"/>
    </font>
    <font>
      <b/>
      <sz val="14"/>
      <name val="Calibri"/>
      <family val="2"/>
      <scheme val="minor"/>
    </font>
  </fonts>
  <fills count="3">
    <fill>
      <patternFill patternType="none"/>
    </fill>
    <fill>
      <patternFill patternType="gray125"/>
    </fill>
    <fill>
      <patternFill patternType="solid">
        <fgColor theme="4" tint="0.59999389629810485"/>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right/>
      <top/>
      <bottom style="thick">
        <color theme="4"/>
      </bottom>
      <diagonal/>
    </border>
    <border>
      <left style="thin">
        <color indexed="64"/>
      </left>
      <right/>
      <top/>
      <bottom style="thin">
        <color indexed="64"/>
      </bottom>
      <diagonal/>
    </border>
    <border>
      <left/>
      <right/>
      <top/>
      <bottom style="thin">
        <color indexed="64"/>
      </bottom>
      <diagonal/>
    </border>
  </borders>
  <cellStyleXfs count="5">
    <xf numFmtId="0" fontId="0" fillId="0" borderId="0"/>
    <xf numFmtId="0" fontId="4" fillId="0" borderId="0" applyNumberFormat="0" applyFill="0" applyBorder="0" applyAlignment="0" applyProtection="0"/>
    <xf numFmtId="0" fontId="2" fillId="0" borderId="0" applyNumberFormat="0" applyFill="0" applyBorder="0" applyAlignment="0" applyProtection="0"/>
    <xf numFmtId="0" fontId="1" fillId="0" borderId="2" applyNumberFormat="0" applyFill="0" applyBorder="0" applyAlignment="0" applyProtection="0"/>
    <xf numFmtId="0" fontId="3" fillId="0" borderId="0" applyNumberFormat="0" applyFill="0" applyAlignment="0" applyProtection="0"/>
  </cellStyleXfs>
  <cellXfs count="10">
    <xf numFmtId="0" fontId="0" fillId="0" borderId="0" xfId="0"/>
    <xf numFmtId="0" fontId="5" fillId="2" borderId="1" xfId="0" applyFont="1" applyFill="1" applyBorder="1" applyAlignment="1">
      <alignment horizontal="center"/>
    </xf>
    <xf numFmtId="0" fontId="0" fillId="0" borderId="0" xfId="0" applyFill="1" applyAlignment="1">
      <alignment horizontal="center"/>
    </xf>
    <xf numFmtId="0" fontId="5" fillId="2" borderId="4" xfId="0" applyFont="1" applyFill="1" applyBorder="1" applyAlignment="1">
      <alignment horizontal="center"/>
    </xf>
    <xf numFmtId="0" fontId="0" fillId="0" borderId="0" xfId="0" pivotButton="1"/>
    <xf numFmtId="0" fontId="0" fillId="0" borderId="0" xfId="0" applyAlignment="1">
      <alignment horizontal="left"/>
    </xf>
    <xf numFmtId="0" fontId="0" fillId="0" borderId="0" xfId="0" applyNumberFormat="1"/>
    <xf numFmtId="10" fontId="0" fillId="0" borderId="0" xfId="0" applyNumberFormat="1"/>
    <xf numFmtId="164" fontId="5" fillId="2" borderId="3" xfId="0" applyNumberFormat="1" applyFont="1" applyFill="1" applyBorder="1" applyAlignment="1">
      <alignment horizontal="center"/>
    </xf>
    <xf numFmtId="164" fontId="0" fillId="0" borderId="0" xfId="0" applyNumberFormat="1" applyFill="1" applyAlignment="1">
      <alignment horizontal="center"/>
    </xf>
  </cellXfs>
  <cellStyles count="5">
    <cellStyle name="Followed Hyperlink" xfId="2" builtinId="9" customBuiltin="1"/>
    <cellStyle name="Heading 1" xfId="3" builtinId="16" customBuiltin="1"/>
    <cellStyle name="Heading 2" xfId="4" builtinId="17" customBuiltin="1"/>
    <cellStyle name="Hyperlink" xfId="1" builtinId="8" customBuiltin="1"/>
    <cellStyle name="Normal" xfId="0" builtinId="0" customBuiltin="1"/>
  </cellStyles>
  <dxfs count="0"/>
  <tableStyles count="0" defaultTableStyle="TableStyleMedium2" defaultPivotStyle="PivotStyleLight16"/>
  <colors>
    <mruColors>
      <color rgb="FF080808"/>
      <color rgb="FFE1E1FF"/>
      <color rgb="FFCCCC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07/relationships/slicerCache" Target="slicerCaches/slicerCache1.xml"/><Relationship Id="rId26" Type="http://schemas.openxmlformats.org/officeDocument/2006/relationships/calcChain" Target="calcChain.xml"/><Relationship Id="rId3" Type="http://schemas.openxmlformats.org/officeDocument/2006/relationships/worksheet" Target="worksheets/sheet3.xml"/><Relationship Id="rId21" Type="http://schemas.microsoft.com/office/2007/relationships/slicerCache" Target="slicerCaches/slicerCache4.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pivotCacheDefinition" Target="pivotCache/pivotCacheDefinition1.xml"/><Relationship Id="rId25" Type="http://schemas.openxmlformats.org/officeDocument/2006/relationships/sheetMetadata" Target="metadata.xml"/><Relationship Id="rId2" Type="http://schemas.openxmlformats.org/officeDocument/2006/relationships/worksheet" Target="worksheets/sheet2.xml"/><Relationship Id="rId16" Type="http://schemas.openxmlformats.org/officeDocument/2006/relationships/worksheet" Target="worksheets/sheet16.xml"/><Relationship Id="rId20" Type="http://schemas.microsoft.com/office/2007/relationships/slicerCache" Target="slicerCaches/slicerCache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tyles" Target="styles.xml"/><Relationship Id="rId10" Type="http://schemas.openxmlformats.org/officeDocument/2006/relationships/worksheet" Target="worksheets/sheet10.xml"/><Relationship Id="rId19" Type="http://schemas.microsoft.com/office/2007/relationships/slicerCache" Target="slicerCaches/slicerCache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theme" Target="theme/theme1.xml"/><Relationship Id="rId27" Type="http://schemas.openxmlformats.org/officeDocument/2006/relationships/customXml" Target="../customXml/item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[EXCEL PROJECT.xlsx]Count of Athleties Across Sport!PivotTable1</c:name>
    <c:fmtId val="6"/>
  </c:pivotSource>
  <c:chart>
    <c:title>
      <c:tx>
        <c:rich>
          <a:bodyPr rot="0" spcFirstLastPara="1" vertOverflow="ellipsis" vert="horz" wrap="square" anchor="ctr" anchorCtr="1"/>
          <a:lstStyle/>
          <a:p>
            <a:pPr>
              <a:defRPr sz="2800" b="1" i="1"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sz="2800" b="1" i="1">
                <a:solidFill>
                  <a:schemeClr val="bg1">
                    <a:lumMod val="95000"/>
                  </a:schemeClr>
                </a:solidFill>
              </a:rPr>
              <a:t>Count</a:t>
            </a:r>
            <a:r>
              <a:rPr lang="en-US" sz="2800" b="1" i="1" baseline="0">
                <a:solidFill>
                  <a:schemeClr val="bg1">
                    <a:lumMod val="95000"/>
                  </a:schemeClr>
                </a:solidFill>
              </a:rPr>
              <a:t> of Athleties Across Sport</a:t>
            </a:r>
            <a:endParaRPr lang="en-US" sz="2800" b="1" i="1">
              <a:solidFill>
                <a:schemeClr val="bg1">
                  <a:lumMod val="95000"/>
                </a:schemeClr>
              </a:solidFill>
            </a:endParaRPr>
          </a:p>
        </c:rich>
      </c:tx>
      <c:overlay val="0"/>
      <c:spPr>
        <a:noFill/>
        <a:ln>
          <a:noFill/>
        </a:ln>
        <a:effectLst/>
      </c:spPr>
      <c:txPr>
        <a:bodyPr rot="0" spcFirstLastPara="1" vertOverflow="ellipsis" vert="horz" wrap="square" anchor="ctr" anchorCtr="1"/>
        <a:lstStyle/>
        <a:p>
          <a:pPr>
            <a:defRPr sz="2800" b="1" i="1"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4840761409678158E-2"/>
          <c:y val="0.18300925925925926"/>
          <c:w val="0.90444033330785112"/>
          <c:h val="0.41366943715368915"/>
        </c:manualLayout>
      </c:layout>
      <c:barChart>
        <c:barDir val="col"/>
        <c:grouping val="clustered"/>
        <c:varyColors val="0"/>
        <c:ser>
          <c:idx val="0"/>
          <c:order val="0"/>
          <c:tx>
            <c:strRef>
              <c:f>'Count of Athleties Across Sport'!$B$3</c:f>
              <c:strCache>
                <c:ptCount val="1"/>
                <c:pt idx="0">
                  <c:v>Total</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'Count of Athleties Across Sport'!$A$4:$A$20</c:f>
              <c:strCache>
                <c:ptCount val="17"/>
                <c:pt idx="0">
                  <c:v>Alpine Skiing</c:v>
                </c:pt>
                <c:pt idx="1">
                  <c:v>Biathlon</c:v>
                </c:pt>
                <c:pt idx="2">
                  <c:v>Bobsleigh</c:v>
                </c:pt>
                <c:pt idx="3">
                  <c:v>Cross-Country Skiing</c:v>
                </c:pt>
                <c:pt idx="4">
                  <c:v>Cross-Country Skiing,Biathlon</c:v>
                </c:pt>
                <c:pt idx="5">
                  <c:v>Curling</c:v>
                </c:pt>
                <c:pt idx="6">
                  <c:v>Figure Skating</c:v>
                </c:pt>
                <c:pt idx="7">
                  <c:v>Freestyle Skiing</c:v>
                </c:pt>
                <c:pt idx="8">
                  <c:v>Ice Hockey</c:v>
                </c:pt>
                <c:pt idx="9">
                  <c:v>Luge</c:v>
                </c:pt>
                <c:pt idx="10">
                  <c:v>Nordic Combined</c:v>
                </c:pt>
                <c:pt idx="11">
                  <c:v>Short Track</c:v>
                </c:pt>
                <c:pt idx="12">
                  <c:v>Skeleton</c:v>
                </c:pt>
                <c:pt idx="13">
                  <c:v>Ski Jumping</c:v>
                </c:pt>
                <c:pt idx="14">
                  <c:v>Snowboard</c:v>
                </c:pt>
                <c:pt idx="15">
                  <c:v>Speed Skating</c:v>
                </c:pt>
                <c:pt idx="16">
                  <c:v>Speed Skating,Short Track</c:v>
                </c:pt>
              </c:strCache>
            </c:strRef>
          </c:cat>
          <c:val>
            <c:numRef>
              <c:f>'Count of Athleties Across Sport'!$B$4:$B$20</c:f>
              <c:numCache>
                <c:formatCode>General</c:formatCode>
                <c:ptCount val="17"/>
                <c:pt idx="0">
                  <c:v>314</c:v>
                </c:pt>
                <c:pt idx="1">
                  <c:v>215</c:v>
                </c:pt>
                <c:pt idx="2">
                  <c:v>168</c:v>
                </c:pt>
                <c:pt idx="3">
                  <c:v>297</c:v>
                </c:pt>
                <c:pt idx="4">
                  <c:v>3</c:v>
                </c:pt>
                <c:pt idx="5">
                  <c:v>99</c:v>
                </c:pt>
                <c:pt idx="6">
                  <c:v>146</c:v>
                </c:pt>
                <c:pt idx="7">
                  <c:v>171</c:v>
                </c:pt>
                <c:pt idx="8">
                  <c:v>436</c:v>
                </c:pt>
                <c:pt idx="9">
                  <c:v>110</c:v>
                </c:pt>
                <c:pt idx="10">
                  <c:v>54</c:v>
                </c:pt>
                <c:pt idx="11">
                  <c:v>110</c:v>
                </c:pt>
                <c:pt idx="12">
                  <c:v>48</c:v>
                </c:pt>
                <c:pt idx="13">
                  <c:v>69</c:v>
                </c:pt>
                <c:pt idx="14">
                  <c:v>188</c:v>
                </c:pt>
                <c:pt idx="15">
                  <c:v>177</c:v>
                </c:pt>
                <c:pt idx="16">
                  <c:v>1</c:v>
                </c:pt>
              </c:numCache>
            </c:numRef>
          </c:val>
          <c:extLst>
            <c:ext xmlns:c16="http://schemas.microsoft.com/office/drawing/2014/chart" uri="{C3380CC4-5D6E-409C-BE32-E72D297353CC}">
              <c16:uniqueId val="{00000004-3F96-4E9D-8279-2A65E02254B9}"/>
            </c:ext>
          </c:extLst>
        </c:ser>
        <c:dLbls>
          <c:dLblPos val="outEnd"/>
          <c:showLegendKey val="0"/>
          <c:showVal val="1"/>
          <c:showCatName val="0"/>
          <c:showSerName val="0"/>
          <c:showPercent val="0"/>
          <c:showBubbleSize val="0"/>
        </c:dLbls>
        <c:gapWidth val="75"/>
        <c:overlap val="40"/>
        <c:axId val="868573712"/>
        <c:axId val="868574960"/>
      </c:barChart>
      <c:catAx>
        <c:axId val="868573712"/>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868574960"/>
        <c:crosses val="autoZero"/>
        <c:auto val="1"/>
        <c:lblAlgn val="ctr"/>
        <c:lblOffset val="100"/>
        <c:noMultiLvlLbl val="0"/>
      </c:catAx>
      <c:valAx>
        <c:axId val="868574960"/>
        <c:scaling>
          <c:orientation val="minMax"/>
        </c:scaling>
        <c:delete val="0"/>
        <c:axPos val="l"/>
        <c:numFmt formatCode="General"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86857371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[EXCEL PROJECT.xlsx]Count of Athlete Across Age Gro!PivotTable4</c:name>
    <c:fmtId val="6"/>
  </c:pivotSource>
  <c:chart>
    <c:title>
      <c:tx>
        <c:rich>
          <a:bodyPr rot="0" spcFirstLastPara="1" vertOverflow="ellipsis" vert="horz" wrap="square" anchor="ctr" anchorCtr="1"/>
          <a:lstStyle/>
          <a:p>
            <a:pPr>
              <a:defRPr sz="2400" b="1" i="1" u="none" strike="noStrike" kern="1200" baseline="0">
                <a:solidFill>
                  <a:schemeClr val="dk1">
                    <a:lumMod val="75000"/>
                    <a:lumOff val="25000"/>
                  </a:schemeClr>
                </a:solidFill>
                <a:latin typeface="+mn-lt"/>
                <a:ea typeface="+mn-ea"/>
                <a:cs typeface="+mn-cs"/>
              </a:defRPr>
            </a:pPr>
            <a:r>
              <a:rPr lang="en-US" sz="2400" i="1"/>
              <a:t>Count of Athlete Across Age Group</a:t>
            </a:r>
          </a:p>
        </c:rich>
      </c:tx>
      <c:overlay val="0"/>
      <c:spPr>
        <a:noFill/>
        <a:ln>
          <a:noFill/>
        </a:ln>
        <a:effectLst/>
      </c:spPr>
      <c:txPr>
        <a:bodyPr rot="0" spcFirstLastPara="1" vertOverflow="ellipsis" vert="horz" wrap="square" anchor="ctr" anchorCtr="1"/>
        <a:lstStyle/>
        <a:p>
          <a:pPr>
            <a:defRPr sz="2400" b="1" i="1"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6">
              <a:alpha val="85000"/>
            </a:schemeClr>
          </a:solidFill>
          <a:ln w="9525" cap="flat" cmpd="sng" algn="ctr">
            <a:solidFill>
              <a:schemeClr val="lt1">
                <a:alpha val="50000"/>
              </a:schemeClr>
            </a:solidFill>
            <a:round/>
          </a:ln>
          <a:effectLst/>
        </c:spPr>
        <c:marker>
          <c:symbol val="circle"/>
          <c:size val="6"/>
          <c:spPr>
            <a:solidFill>
              <a:schemeClr val="accent6">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6">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6">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6">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6">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6">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6">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'Count of Athlete Across Age Gro'!$B$3</c:f>
              <c:strCache>
                <c:ptCount val="1"/>
                <c:pt idx="0">
                  <c:v>Total</c:v>
                </c:pt>
              </c:strCache>
            </c:strRef>
          </c:tx>
          <c:spPr>
            <a:solidFill>
              <a:schemeClr val="accent6">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'Count of Athlete Across Age Gro'!$A$4:$A$7</c:f>
              <c:strCache>
                <c:ptCount val="4"/>
                <c:pt idx="0">
                  <c:v>Children</c:v>
                </c:pt>
                <c:pt idx="1">
                  <c:v>Middle-aged Adults</c:v>
                </c:pt>
                <c:pt idx="2">
                  <c:v>Old Adults</c:v>
                </c:pt>
                <c:pt idx="3">
                  <c:v>Young Adults</c:v>
                </c:pt>
              </c:strCache>
            </c:strRef>
          </c:cat>
          <c:val>
            <c:numRef>
              <c:f>'Count of Athlete Across Age Gro'!$B$4:$B$7</c:f>
              <c:numCache>
                <c:formatCode>General</c:formatCode>
                <c:ptCount val="4"/>
                <c:pt idx="0">
                  <c:v>26</c:v>
                </c:pt>
                <c:pt idx="1">
                  <c:v>516</c:v>
                </c:pt>
                <c:pt idx="2">
                  <c:v>5</c:v>
                </c:pt>
                <c:pt idx="3">
                  <c:v>2059</c:v>
                </c:pt>
              </c:numCache>
            </c:numRef>
          </c:val>
          <c:extLst>
            <c:ext xmlns:c16="http://schemas.microsoft.com/office/drawing/2014/chart" uri="{C3380CC4-5D6E-409C-BE32-E72D297353CC}">
              <c16:uniqueId val="{00000006-F60F-4DF6-ACD4-02FF19D12C93}"/>
            </c:ext>
          </c:extLst>
        </c:ser>
        <c:dLbls>
          <c:dLblPos val="outEnd"/>
          <c:showLegendKey val="0"/>
          <c:showVal val="1"/>
          <c:showCatName val="0"/>
          <c:showSerName val="0"/>
          <c:showPercent val="0"/>
          <c:showBubbleSize val="0"/>
        </c:dLbls>
        <c:gapWidth val="65"/>
        <c:axId val="474167920"/>
        <c:axId val="474161680"/>
      </c:barChart>
      <c:catAx>
        <c:axId val="474167920"/>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474161680"/>
        <c:crosses val="autoZero"/>
        <c:auto val="1"/>
        <c:lblAlgn val="ctr"/>
        <c:lblOffset val="100"/>
        <c:noMultiLvlLbl val="0"/>
      </c:catAx>
      <c:valAx>
        <c:axId val="47416168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474167920"/>
        <c:crosses val="autoZero"/>
        <c:crossBetween val="between"/>
        <c:minorUnit val="100"/>
      </c:valAx>
      <c:spPr>
        <a:noFill/>
        <a:ln>
          <a:noFill/>
        </a:ln>
        <a:effectLst/>
      </c:spPr>
    </c:plotArea>
    <c:plotVisOnly val="1"/>
    <c:dispBlanksAs val="gap"/>
    <c:showDLblsOverMax val="0"/>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PROJECT.xlsx]Sport Across Nationality!PivotTable1</c:name>
    <c:fmtId val="9"/>
  </c:pivotSource>
  <c:chart>
    <c:title>
      <c:tx>
        <c:rich>
          <a:bodyPr rot="0" spcFirstLastPara="1" vertOverflow="ellipsis" vert="horz" wrap="square" anchor="ctr" anchorCtr="1"/>
          <a:lstStyle/>
          <a:p>
            <a:pPr>
              <a:defRPr sz="2800" b="1" i="1" u="none" strike="noStrike" kern="1200" spc="0" baseline="0">
                <a:solidFill>
                  <a:schemeClr val="tx1">
                    <a:lumMod val="65000"/>
                    <a:lumOff val="35000"/>
                  </a:schemeClr>
                </a:solidFill>
                <a:latin typeface="+mn-lt"/>
                <a:ea typeface="+mn-ea"/>
                <a:cs typeface="+mn-cs"/>
              </a:defRPr>
            </a:pPr>
            <a:r>
              <a:rPr lang="en-US" sz="2800" b="1" i="1"/>
              <a:t>Sport Across Nationality</a:t>
            </a:r>
          </a:p>
        </c:rich>
      </c:tx>
      <c:overlay val="0"/>
      <c:spPr>
        <a:noFill/>
        <a:ln>
          <a:noFill/>
        </a:ln>
        <a:effectLst/>
      </c:spPr>
      <c:txPr>
        <a:bodyPr rot="0" spcFirstLastPara="1" vertOverflow="ellipsis" vert="horz" wrap="square" anchor="ctr" anchorCtr="1"/>
        <a:lstStyle/>
        <a:p>
          <a:pPr>
            <a:defRPr sz="2800" b="1" i="1"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pivotFmt>
      <c:pivotFmt>
        <c:idx val="7"/>
      </c:pivotFmt>
      <c:pivotFmt>
        <c:idx val="8"/>
      </c:pivotFmt>
      <c:pivotFmt>
        <c:idx val="9"/>
      </c:pivotFmt>
      <c:pivotFmt>
        <c:idx val="10"/>
      </c:pivotFmt>
      <c:pivotFmt>
        <c:idx val="11"/>
      </c:pivotFmt>
      <c:pivotFmt>
        <c:idx val="12"/>
      </c:pivotFmt>
      <c:pivotFmt>
        <c:idx val="13"/>
      </c:pivotFmt>
      <c:pivotFmt>
        <c:idx val="14"/>
      </c:pivotFmt>
      <c:pivotFmt>
        <c:idx val="15"/>
      </c:pivotFmt>
      <c:pivotFmt>
        <c:idx val="16"/>
      </c:pivotFmt>
      <c:pivotFmt>
        <c:idx val="17"/>
      </c:pivotFmt>
      <c:pivotFmt>
        <c:idx val="18"/>
      </c:pivotFmt>
      <c:pivotFmt>
        <c:idx val="19"/>
      </c:pivotFmt>
      <c:pivotFmt>
        <c:idx val="20"/>
      </c:pivotFmt>
      <c:pivotFmt>
        <c:idx val="21"/>
      </c:pivotFmt>
      <c:pivotFmt>
        <c:idx val="22"/>
      </c:pivotFmt>
      <c:pivotFmt>
        <c:idx val="23"/>
      </c:pivotFmt>
      <c:pivotFmt>
        <c:idx val="24"/>
      </c:pivotFmt>
      <c:pivotFmt>
        <c:idx val="25"/>
      </c:pivotFmt>
      <c:pivotFmt>
        <c:idx val="26"/>
      </c:pivotFmt>
      <c:pivotFmt>
        <c:idx val="27"/>
      </c:pivotFmt>
      <c:pivotFmt>
        <c:idx val="28"/>
      </c:pivotFmt>
      <c:pivotFmt>
        <c:idx val="29"/>
      </c:pivotFmt>
      <c:pivotFmt>
        <c:idx val="30"/>
      </c:pivotFmt>
      <c:pivotFmt>
        <c:idx val="31"/>
      </c:pivotFmt>
      <c:pivotFmt>
        <c:idx val="32"/>
      </c:pivotFmt>
      <c:pivotFmt>
        <c:idx val="33"/>
      </c:pivotFmt>
      <c:pivotFmt>
        <c:idx val="34"/>
      </c:pivotFmt>
      <c:pivotFmt>
        <c:idx val="35"/>
      </c:pivotFmt>
      <c:pivotFmt>
        <c:idx val="36"/>
      </c:pivotFmt>
      <c:pivotFmt>
        <c:idx val="37"/>
      </c:pivotFmt>
      <c:pivotFmt>
        <c:idx val="38"/>
      </c:pivotFmt>
      <c:pivotFmt>
        <c:idx val="39"/>
      </c:pivotFmt>
      <c:pivotFmt>
        <c:idx val="40"/>
      </c:pivotFmt>
      <c:pivotFmt>
        <c:idx val="41"/>
      </c:pivotFmt>
      <c:pivotFmt>
        <c:idx val="42"/>
      </c:pivotFmt>
      <c:pivotFmt>
        <c:idx val="43"/>
      </c:pivotFmt>
      <c:pivotFmt>
        <c:idx val="44"/>
      </c:pivotFmt>
      <c:pivotFmt>
        <c:idx val="45"/>
      </c:pivotFmt>
      <c:pivotFmt>
        <c:idx val="46"/>
      </c:pivotFmt>
      <c:pivotFmt>
        <c:idx val="47"/>
      </c:pivotFmt>
      <c:pivotFmt>
        <c:idx val="48"/>
      </c:pivotFmt>
      <c:pivotFmt>
        <c:idx val="49"/>
      </c:pivotFmt>
      <c:pivotFmt>
        <c:idx val="50"/>
      </c:pivotFmt>
      <c:pivotFmt>
        <c:idx val="51"/>
      </c:pivotFmt>
      <c:pivotFmt>
        <c:idx val="52"/>
      </c:pivotFmt>
      <c:pivotFmt>
        <c:idx val="53"/>
      </c:pivotFmt>
      <c:pivotFmt>
        <c:idx val="54"/>
      </c:pivotFmt>
      <c:pivotFmt>
        <c:idx val="55"/>
      </c:pivotFmt>
      <c:pivotFmt>
        <c:idx val="56"/>
      </c:pivotFmt>
      <c:pivotFmt>
        <c:idx val="57"/>
      </c:pivotFmt>
      <c:pivotFmt>
        <c:idx val="58"/>
      </c:pivotFmt>
      <c:pivotFmt>
        <c:idx val="59"/>
      </c:pivotFmt>
      <c:pivotFmt>
        <c:idx val="60"/>
      </c:pivotFmt>
      <c:pivotFmt>
        <c:idx val="61"/>
      </c:pivotFmt>
      <c:pivotFmt>
        <c:idx val="62"/>
      </c:pivotFmt>
      <c:pivotFmt>
        <c:idx val="63"/>
      </c:pivotFmt>
      <c:pivotFmt>
        <c:idx val="64"/>
      </c:pivotFmt>
      <c:pivotFmt>
        <c:idx val="65"/>
      </c:pivotFmt>
      <c:pivotFmt>
        <c:idx val="66"/>
      </c:pivotFmt>
      <c:pivotFmt>
        <c:idx val="67"/>
      </c:pivotFmt>
      <c:pivotFmt>
        <c:idx val="68"/>
      </c:pivotFmt>
      <c:pivotFmt>
        <c:idx val="69"/>
      </c:pivotFmt>
      <c:pivotFmt>
        <c:idx val="70"/>
      </c:pivotFmt>
      <c:pivotFmt>
        <c:idx val="71"/>
      </c:pivotFmt>
      <c:pivotFmt>
        <c:idx val="72"/>
      </c:pivotFmt>
      <c:pivotFmt>
        <c:idx val="73"/>
      </c:pivotFmt>
      <c:pivotFmt>
        <c:idx val="74"/>
      </c:pivotFmt>
      <c:pivotFmt>
        <c:idx val="75"/>
      </c:pivotFmt>
      <c:pivotFmt>
        <c:idx val="76"/>
      </c:pivotFmt>
      <c:pivotFmt>
        <c:idx val="77"/>
      </c:pivotFmt>
      <c:pivotFmt>
        <c:idx val="78"/>
      </c:pivotFmt>
      <c:pivotFmt>
        <c:idx val="79"/>
      </c:pivotFmt>
      <c:pivotFmt>
        <c:idx val="80"/>
      </c:pivotFmt>
      <c:pivotFmt>
        <c:idx val="81"/>
      </c:pivotFmt>
      <c:pivotFmt>
        <c:idx val="82"/>
      </c:pivotFmt>
      <c:pivotFmt>
        <c:idx val="83"/>
      </c:pivotFmt>
      <c:pivotFmt>
        <c:idx val="84"/>
      </c:pivotFmt>
      <c:pivotFmt>
        <c:idx val="8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6"/>
        <c:spPr>
          <a:solidFill>
            <a:schemeClr val="accent1"/>
          </a:solidFill>
          <a:ln w="28575" cap="rnd">
            <a:solidFill>
              <a:schemeClr val="accent1"/>
            </a:solidFill>
            <a:round/>
          </a:ln>
          <a:effectLst/>
        </c:spPr>
        <c:marker>
          <c:symbol val="none"/>
        </c:marker>
      </c:pivotFmt>
      <c:pivotFmt>
        <c:idx val="87"/>
        <c:spPr>
          <a:solidFill>
            <a:schemeClr val="accent1"/>
          </a:solidFill>
          <a:ln w="28575" cap="rnd">
            <a:solidFill>
              <a:schemeClr val="accent1"/>
            </a:solidFill>
            <a:round/>
          </a:ln>
          <a:effectLst/>
        </c:spPr>
        <c:marker>
          <c:symbol val="none"/>
        </c:marker>
      </c:pivotFmt>
      <c:pivotFmt>
        <c:idx val="88"/>
        <c:spPr>
          <a:solidFill>
            <a:schemeClr val="accent1"/>
          </a:solidFill>
          <a:ln w="28575" cap="rnd">
            <a:solidFill>
              <a:schemeClr val="accent1"/>
            </a:solidFill>
            <a:round/>
          </a:ln>
          <a:effectLst/>
        </c:spPr>
        <c:marker>
          <c:symbol val="none"/>
        </c:marker>
      </c:pivotFmt>
      <c:pivotFmt>
        <c:idx val="89"/>
        <c:spPr>
          <a:solidFill>
            <a:schemeClr val="accent1"/>
          </a:solidFill>
          <a:ln w="28575" cap="rnd">
            <a:solidFill>
              <a:schemeClr val="accent1"/>
            </a:solidFill>
            <a:round/>
          </a:ln>
          <a:effectLst/>
        </c:spPr>
        <c:marker>
          <c:symbol val="none"/>
        </c:marker>
      </c:pivotFmt>
      <c:pivotFmt>
        <c:idx val="90"/>
        <c:spPr>
          <a:solidFill>
            <a:schemeClr val="accent1"/>
          </a:solidFill>
          <a:ln w="28575" cap="rnd">
            <a:solidFill>
              <a:schemeClr val="accent1"/>
            </a:solidFill>
            <a:round/>
          </a:ln>
          <a:effectLst/>
        </c:spPr>
        <c:marker>
          <c:symbol val="none"/>
        </c:marker>
      </c:pivotFmt>
      <c:pivotFmt>
        <c:idx val="91"/>
        <c:spPr>
          <a:solidFill>
            <a:schemeClr val="accent1"/>
          </a:solidFill>
          <a:ln w="28575" cap="rnd">
            <a:solidFill>
              <a:schemeClr val="accent1"/>
            </a:solidFill>
            <a:round/>
          </a:ln>
          <a:effectLst/>
        </c:spPr>
        <c:marker>
          <c:symbol val="none"/>
        </c:marker>
      </c:pivotFmt>
      <c:pivotFmt>
        <c:idx val="92"/>
        <c:spPr>
          <a:solidFill>
            <a:schemeClr val="accent1"/>
          </a:solidFill>
          <a:ln w="28575" cap="rnd">
            <a:solidFill>
              <a:schemeClr val="accent1"/>
            </a:solidFill>
            <a:round/>
          </a:ln>
          <a:effectLst/>
        </c:spPr>
        <c:marker>
          <c:symbol val="none"/>
        </c:marker>
      </c:pivotFmt>
      <c:pivotFmt>
        <c:idx val="93"/>
        <c:spPr>
          <a:solidFill>
            <a:schemeClr val="accent1"/>
          </a:solidFill>
          <a:ln w="28575" cap="rnd">
            <a:solidFill>
              <a:schemeClr val="accent1"/>
            </a:solidFill>
            <a:round/>
          </a:ln>
          <a:effectLst/>
        </c:spPr>
        <c:marker>
          <c:symbol val="none"/>
        </c:marker>
      </c:pivotFmt>
      <c:pivotFmt>
        <c:idx val="94"/>
        <c:spPr>
          <a:solidFill>
            <a:schemeClr val="accent1"/>
          </a:solidFill>
          <a:ln w="28575" cap="rnd">
            <a:solidFill>
              <a:schemeClr val="accent1"/>
            </a:solidFill>
            <a:round/>
          </a:ln>
          <a:effectLst/>
        </c:spPr>
        <c:marker>
          <c:symbol val="none"/>
        </c:marker>
      </c:pivotFmt>
      <c:pivotFmt>
        <c:idx val="95"/>
        <c:spPr>
          <a:solidFill>
            <a:schemeClr val="accent1"/>
          </a:solidFill>
          <a:ln w="28575" cap="rnd">
            <a:solidFill>
              <a:schemeClr val="accent1"/>
            </a:solidFill>
            <a:round/>
          </a:ln>
          <a:effectLst/>
        </c:spPr>
        <c:marker>
          <c:symbol val="none"/>
        </c:marker>
      </c:pivotFmt>
      <c:pivotFmt>
        <c:idx val="96"/>
        <c:spPr>
          <a:solidFill>
            <a:schemeClr val="accent1"/>
          </a:solidFill>
          <a:ln w="28575" cap="rnd">
            <a:solidFill>
              <a:schemeClr val="accent1"/>
            </a:solidFill>
            <a:round/>
          </a:ln>
          <a:effectLst/>
        </c:spPr>
        <c:marker>
          <c:symbol val="none"/>
        </c:marker>
      </c:pivotFmt>
      <c:pivotFmt>
        <c:idx val="97"/>
        <c:spPr>
          <a:solidFill>
            <a:schemeClr val="accent1"/>
          </a:solidFill>
          <a:ln w="28575" cap="rnd">
            <a:solidFill>
              <a:schemeClr val="accent1"/>
            </a:solidFill>
            <a:round/>
          </a:ln>
          <a:effectLst/>
        </c:spPr>
        <c:marker>
          <c:symbol val="none"/>
        </c:marker>
      </c:pivotFmt>
      <c:pivotFmt>
        <c:idx val="98"/>
        <c:spPr>
          <a:solidFill>
            <a:schemeClr val="accent1"/>
          </a:solidFill>
          <a:ln w="28575" cap="rnd">
            <a:solidFill>
              <a:schemeClr val="accent1"/>
            </a:solidFill>
            <a:round/>
          </a:ln>
          <a:effectLst/>
        </c:spPr>
        <c:marker>
          <c:symbol val="none"/>
        </c:marker>
      </c:pivotFmt>
      <c:pivotFmt>
        <c:idx val="99"/>
        <c:spPr>
          <a:solidFill>
            <a:schemeClr val="accent1"/>
          </a:solidFill>
          <a:ln w="28575" cap="rnd">
            <a:solidFill>
              <a:schemeClr val="accent1"/>
            </a:solidFill>
            <a:round/>
          </a:ln>
          <a:effectLst/>
        </c:spPr>
        <c:marker>
          <c:symbol val="none"/>
        </c:marker>
      </c:pivotFmt>
      <c:pivotFmt>
        <c:idx val="100"/>
        <c:spPr>
          <a:solidFill>
            <a:schemeClr val="accent1"/>
          </a:solidFill>
          <a:ln w="28575" cap="rnd">
            <a:solidFill>
              <a:schemeClr val="accent1"/>
            </a:solidFill>
            <a:round/>
          </a:ln>
          <a:effectLst/>
        </c:spPr>
        <c:marker>
          <c:symbol val="none"/>
        </c:marker>
      </c:pivotFmt>
      <c:pivotFmt>
        <c:idx val="101"/>
        <c:spPr>
          <a:solidFill>
            <a:schemeClr val="accent1"/>
          </a:solidFill>
          <a:ln w="28575" cap="rnd">
            <a:solidFill>
              <a:schemeClr val="accent1"/>
            </a:solidFill>
            <a:round/>
          </a:ln>
          <a:effectLst/>
        </c:spPr>
        <c:marker>
          <c:symbol val="none"/>
        </c:marker>
      </c:pivotFmt>
      <c:pivotFmt>
        <c:idx val="102"/>
        <c:spPr>
          <a:solidFill>
            <a:schemeClr val="accent1"/>
          </a:solidFill>
          <a:ln w="28575" cap="rnd">
            <a:solidFill>
              <a:schemeClr val="accent1"/>
            </a:solidFill>
            <a:round/>
          </a:ln>
          <a:effectLst/>
        </c:spPr>
        <c:marker>
          <c:symbol val="none"/>
        </c:marker>
      </c:pivotFmt>
      <c:pivotFmt>
        <c:idx val="103"/>
        <c:spPr>
          <a:solidFill>
            <a:schemeClr val="accent1"/>
          </a:solidFill>
          <a:ln w="28575" cap="rnd">
            <a:solidFill>
              <a:schemeClr val="accent1"/>
            </a:solidFill>
            <a:round/>
          </a:ln>
          <a:effectLst/>
        </c:spPr>
        <c:marker>
          <c:symbol val="none"/>
        </c:marker>
      </c:pivotFmt>
      <c:pivotFmt>
        <c:idx val="104"/>
        <c:spPr>
          <a:solidFill>
            <a:schemeClr val="accent1"/>
          </a:solidFill>
          <a:ln w="28575" cap="rnd">
            <a:solidFill>
              <a:schemeClr val="accent1"/>
            </a:solidFill>
            <a:round/>
          </a:ln>
          <a:effectLst/>
        </c:spPr>
        <c:marker>
          <c:symbol val="none"/>
        </c:marker>
      </c:pivotFmt>
      <c:pivotFmt>
        <c:idx val="105"/>
        <c:spPr>
          <a:solidFill>
            <a:schemeClr val="accent1"/>
          </a:solidFill>
          <a:ln w="28575" cap="rnd">
            <a:solidFill>
              <a:schemeClr val="accent1"/>
            </a:solidFill>
            <a:round/>
          </a:ln>
          <a:effectLst/>
        </c:spPr>
        <c:marker>
          <c:symbol val="none"/>
        </c:marker>
      </c:pivotFmt>
      <c:pivotFmt>
        <c:idx val="106"/>
        <c:spPr>
          <a:solidFill>
            <a:schemeClr val="accent1"/>
          </a:solidFill>
          <a:ln w="28575" cap="rnd">
            <a:solidFill>
              <a:schemeClr val="accent1"/>
            </a:solidFill>
            <a:round/>
          </a:ln>
          <a:effectLst/>
        </c:spPr>
        <c:marker>
          <c:symbol val="none"/>
        </c:marker>
      </c:pivotFmt>
      <c:pivotFmt>
        <c:idx val="107"/>
        <c:spPr>
          <a:solidFill>
            <a:schemeClr val="accent1"/>
          </a:solidFill>
          <a:ln w="28575" cap="rnd">
            <a:solidFill>
              <a:schemeClr val="accent1"/>
            </a:solidFill>
            <a:round/>
          </a:ln>
          <a:effectLst/>
        </c:spPr>
        <c:marker>
          <c:symbol val="none"/>
        </c:marker>
      </c:pivotFmt>
      <c:pivotFmt>
        <c:idx val="108"/>
        <c:spPr>
          <a:solidFill>
            <a:schemeClr val="accent1"/>
          </a:solidFill>
          <a:ln w="28575" cap="rnd">
            <a:solidFill>
              <a:schemeClr val="accent1"/>
            </a:solidFill>
            <a:round/>
          </a:ln>
          <a:effectLst/>
        </c:spPr>
        <c:marker>
          <c:symbol val="none"/>
        </c:marker>
      </c:pivotFmt>
      <c:pivotFmt>
        <c:idx val="109"/>
        <c:spPr>
          <a:solidFill>
            <a:schemeClr val="accent1"/>
          </a:solidFill>
          <a:ln w="28575" cap="rnd">
            <a:solidFill>
              <a:schemeClr val="accent1"/>
            </a:solidFill>
            <a:round/>
          </a:ln>
          <a:effectLst/>
        </c:spPr>
        <c:marker>
          <c:symbol val="none"/>
        </c:marker>
      </c:pivotFmt>
      <c:pivotFmt>
        <c:idx val="110"/>
        <c:spPr>
          <a:solidFill>
            <a:schemeClr val="accent1"/>
          </a:solidFill>
          <a:ln w="28575" cap="rnd">
            <a:solidFill>
              <a:schemeClr val="accent1"/>
            </a:solidFill>
            <a:round/>
          </a:ln>
          <a:effectLst/>
        </c:spPr>
        <c:marker>
          <c:symbol val="none"/>
        </c:marker>
      </c:pivotFmt>
      <c:pivotFmt>
        <c:idx val="111"/>
        <c:spPr>
          <a:solidFill>
            <a:schemeClr val="accent1"/>
          </a:solidFill>
          <a:ln w="28575" cap="rnd">
            <a:solidFill>
              <a:schemeClr val="accent1"/>
            </a:solidFill>
            <a:round/>
          </a:ln>
          <a:effectLst/>
        </c:spPr>
        <c:marker>
          <c:symbol val="none"/>
        </c:marker>
      </c:pivotFmt>
      <c:pivotFmt>
        <c:idx val="112"/>
        <c:spPr>
          <a:solidFill>
            <a:schemeClr val="accent1"/>
          </a:solidFill>
          <a:ln w="28575" cap="rnd">
            <a:solidFill>
              <a:schemeClr val="accent1"/>
            </a:solidFill>
            <a:round/>
          </a:ln>
          <a:effectLst/>
        </c:spPr>
        <c:marker>
          <c:symbol val="none"/>
        </c:marker>
      </c:pivotFmt>
      <c:pivotFmt>
        <c:idx val="113"/>
        <c:spPr>
          <a:solidFill>
            <a:schemeClr val="accent1"/>
          </a:solidFill>
          <a:ln w="28575" cap="rnd">
            <a:solidFill>
              <a:schemeClr val="accent1"/>
            </a:solidFill>
            <a:round/>
          </a:ln>
          <a:effectLst/>
        </c:spPr>
        <c:marker>
          <c:symbol val="none"/>
        </c:marker>
      </c:pivotFmt>
      <c:pivotFmt>
        <c:idx val="114"/>
        <c:spPr>
          <a:solidFill>
            <a:schemeClr val="accent1"/>
          </a:solidFill>
          <a:ln w="28575" cap="rnd">
            <a:solidFill>
              <a:schemeClr val="accent1"/>
            </a:solidFill>
            <a:round/>
          </a:ln>
          <a:effectLst/>
        </c:spPr>
        <c:marker>
          <c:symbol val="none"/>
        </c:marker>
      </c:pivotFmt>
      <c:pivotFmt>
        <c:idx val="115"/>
        <c:spPr>
          <a:solidFill>
            <a:schemeClr val="accent1"/>
          </a:solidFill>
          <a:ln w="28575" cap="rnd">
            <a:solidFill>
              <a:schemeClr val="accent1"/>
            </a:solidFill>
            <a:round/>
          </a:ln>
          <a:effectLst/>
        </c:spPr>
        <c:marker>
          <c:symbol val="none"/>
        </c:marker>
      </c:pivotFmt>
      <c:pivotFmt>
        <c:idx val="116"/>
        <c:spPr>
          <a:solidFill>
            <a:schemeClr val="accent1"/>
          </a:solidFill>
          <a:ln w="28575" cap="rnd">
            <a:solidFill>
              <a:schemeClr val="accent1"/>
            </a:solidFill>
            <a:round/>
          </a:ln>
          <a:effectLst/>
        </c:spPr>
        <c:marker>
          <c:symbol val="none"/>
        </c:marker>
      </c:pivotFmt>
      <c:pivotFmt>
        <c:idx val="117"/>
        <c:spPr>
          <a:solidFill>
            <a:schemeClr val="accent1"/>
          </a:solidFill>
          <a:ln w="28575" cap="rnd">
            <a:solidFill>
              <a:schemeClr val="accent1"/>
            </a:solidFill>
            <a:round/>
          </a:ln>
          <a:effectLst/>
        </c:spPr>
        <c:marker>
          <c:symbol val="none"/>
        </c:marker>
      </c:pivotFmt>
      <c:pivotFmt>
        <c:idx val="118"/>
        <c:spPr>
          <a:solidFill>
            <a:schemeClr val="accent1"/>
          </a:solidFill>
          <a:ln w="28575" cap="rnd">
            <a:solidFill>
              <a:schemeClr val="accent1"/>
            </a:solidFill>
            <a:round/>
          </a:ln>
          <a:effectLst/>
        </c:spPr>
        <c:marker>
          <c:symbol val="none"/>
        </c:marker>
      </c:pivotFmt>
      <c:pivotFmt>
        <c:idx val="119"/>
        <c:spPr>
          <a:solidFill>
            <a:schemeClr val="accent1"/>
          </a:solidFill>
          <a:ln w="28575" cap="rnd">
            <a:solidFill>
              <a:schemeClr val="accent1"/>
            </a:solidFill>
            <a:round/>
          </a:ln>
          <a:effectLst/>
        </c:spPr>
        <c:marker>
          <c:symbol val="none"/>
        </c:marker>
      </c:pivotFmt>
      <c:pivotFmt>
        <c:idx val="120"/>
        <c:spPr>
          <a:solidFill>
            <a:schemeClr val="accent1"/>
          </a:solidFill>
          <a:ln w="28575" cap="rnd">
            <a:solidFill>
              <a:schemeClr val="accent1"/>
            </a:solidFill>
            <a:round/>
          </a:ln>
          <a:effectLst/>
        </c:spPr>
        <c:marker>
          <c:symbol val="none"/>
        </c:marker>
      </c:pivotFmt>
      <c:pivotFmt>
        <c:idx val="121"/>
        <c:spPr>
          <a:solidFill>
            <a:schemeClr val="accent1"/>
          </a:solidFill>
          <a:ln w="28575" cap="rnd">
            <a:solidFill>
              <a:schemeClr val="accent1"/>
            </a:solidFill>
            <a:round/>
          </a:ln>
          <a:effectLst/>
        </c:spPr>
        <c:marker>
          <c:symbol val="none"/>
        </c:marker>
      </c:pivotFmt>
      <c:pivotFmt>
        <c:idx val="122"/>
        <c:spPr>
          <a:solidFill>
            <a:schemeClr val="accent1"/>
          </a:solidFill>
          <a:ln w="28575" cap="rnd">
            <a:solidFill>
              <a:schemeClr val="accent1"/>
            </a:solidFill>
            <a:round/>
          </a:ln>
          <a:effectLst/>
        </c:spPr>
        <c:marker>
          <c:symbol val="none"/>
        </c:marker>
      </c:pivotFmt>
      <c:pivotFmt>
        <c:idx val="123"/>
        <c:spPr>
          <a:solidFill>
            <a:schemeClr val="accent1"/>
          </a:solidFill>
          <a:ln w="28575" cap="rnd">
            <a:solidFill>
              <a:schemeClr val="accent1"/>
            </a:solidFill>
            <a:round/>
          </a:ln>
          <a:effectLst/>
        </c:spPr>
        <c:marker>
          <c:symbol val="none"/>
        </c:marker>
      </c:pivotFmt>
      <c:pivotFmt>
        <c:idx val="124"/>
        <c:spPr>
          <a:solidFill>
            <a:schemeClr val="accent1"/>
          </a:solidFill>
          <a:ln w="28575" cap="rnd">
            <a:solidFill>
              <a:schemeClr val="accent1"/>
            </a:solidFill>
            <a:round/>
          </a:ln>
          <a:effectLst/>
        </c:spPr>
        <c:marker>
          <c:symbol val="none"/>
        </c:marker>
      </c:pivotFmt>
      <c:pivotFmt>
        <c:idx val="125"/>
        <c:spPr>
          <a:solidFill>
            <a:schemeClr val="accent1"/>
          </a:solidFill>
          <a:ln w="28575" cap="rnd">
            <a:solidFill>
              <a:schemeClr val="accent1"/>
            </a:solidFill>
            <a:round/>
          </a:ln>
          <a:effectLst/>
        </c:spPr>
        <c:marker>
          <c:symbol val="none"/>
        </c:marker>
      </c:pivotFmt>
      <c:pivotFmt>
        <c:idx val="126"/>
        <c:spPr>
          <a:solidFill>
            <a:schemeClr val="accent1"/>
          </a:solidFill>
          <a:ln w="28575" cap="rnd">
            <a:solidFill>
              <a:schemeClr val="accent1"/>
            </a:solidFill>
            <a:round/>
          </a:ln>
          <a:effectLst/>
        </c:spPr>
        <c:marker>
          <c:symbol val="none"/>
        </c:marker>
      </c:pivotFmt>
      <c:pivotFmt>
        <c:idx val="127"/>
        <c:spPr>
          <a:solidFill>
            <a:schemeClr val="accent1"/>
          </a:solidFill>
          <a:ln w="28575" cap="rnd">
            <a:solidFill>
              <a:schemeClr val="accent1"/>
            </a:solidFill>
            <a:round/>
          </a:ln>
          <a:effectLst/>
        </c:spPr>
        <c:marker>
          <c:symbol val="none"/>
        </c:marker>
      </c:pivotFmt>
      <c:pivotFmt>
        <c:idx val="128"/>
        <c:spPr>
          <a:solidFill>
            <a:schemeClr val="accent1"/>
          </a:solidFill>
          <a:ln w="28575" cap="rnd">
            <a:solidFill>
              <a:schemeClr val="accent1"/>
            </a:solidFill>
            <a:round/>
          </a:ln>
          <a:effectLst/>
        </c:spPr>
        <c:marker>
          <c:symbol val="none"/>
        </c:marker>
      </c:pivotFmt>
      <c:pivotFmt>
        <c:idx val="129"/>
        <c:spPr>
          <a:solidFill>
            <a:schemeClr val="accent1"/>
          </a:solidFill>
          <a:ln w="28575" cap="rnd">
            <a:solidFill>
              <a:schemeClr val="accent1"/>
            </a:solidFill>
            <a:round/>
          </a:ln>
          <a:effectLst/>
        </c:spPr>
        <c:marker>
          <c:symbol val="none"/>
        </c:marker>
      </c:pivotFmt>
      <c:pivotFmt>
        <c:idx val="130"/>
        <c:spPr>
          <a:solidFill>
            <a:schemeClr val="accent1"/>
          </a:solidFill>
          <a:ln w="28575" cap="rnd">
            <a:solidFill>
              <a:schemeClr val="accent1"/>
            </a:solidFill>
            <a:round/>
          </a:ln>
          <a:effectLst/>
        </c:spPr>
        <c:marker>
          <c:symbol val="none"/>
        </c:marker>
      </c:pivotFmt>
      <c:pivotFmt>
        <c:idx val="131"/>
        <c:spPr>
          <a:solidFill>
            <a:schemeClr val="accent1"/>
          </a:solidFill>
          <a:ln w="28575" cap="rnd">
            <a:solidFill>
              <a:schemeClr val="accent1"/>
            </a:solidFill>
            <a:round/>
          </a:ln>
          <a:effectLst/>
        </c:spPr>
        <c:marker>
          <c:symbol val="none"/>
        </c:marker>
      </c:pivotFmt>
      <c:pivotFmt>
        <c:idx val="132"/>
        <c:spPr>
          <a:solidFill>
            <a:schemeClr val="accent1"/>
          </a:solidFill>
          <a:ln w="28575" cap="rnd">
            <a:solidFill>
              <a:schemeClr val="accent1"/>
            </a:solidFill>
            <a:round/>
          </a:ln>
          <a:effectLst/>
        </c:spPr>
        <c:marker>
          <c:symbol val="none"/>
        </c:marker>
      </c:pivotFmt>
      <c:pivotFmt>
        <c:idx val="133"/>
        <c:spPr>
          <a:solidFill>
            <a:schemeClr val="accent1"/>
          </a:solidFill>
          <a:ln w="28575" cap="rnd">
            <a:solidFill>
              <a:schemeClr val="accent1"/>
            </a:solidFill>
            <a:round/>
          </a:ln>
          <a:effectLst/>
        </c:spPr>
        <c:marker>
          <c:symbol val="none"/>
        </c:marker>
      </c:pivotFmt>
      <c:pivotFmt>
        <c:idx val="134"/>
        <c:spPr>
          <a:solidFill>
            <a:schemeClr val="accent1"/>
          </a:solidFill>
          <a:ln w="28575" cap="rnd">
            <a:solidFill>
              <a:schemeClr val="accent1"/>
            </a:solidFill>
            <a:round/>
          </a:ln>
          <a:effectLst/>
        </c:spPr>
        <c:marker>
          <c:symbol val="none"/>
        </c:marker>
      </c:pivotFmt>
      <c:pivotFmt>
        <c:idx val="135"/>
        <c:spPr>
          <a:solidFill>
            <a:schemeClr val="accent1"/>
          </a:solidFill>
          <a:ln w="28575" cap="rnd">
            <a:solidFill>
              <a:schemeClr val="accent1"/>
            </a:solidFill>
            <a:round/>
          </a:ln>
          <a:effectLst/>
        </c:spPr>
        <c:marker>
          <c:symbol val="none"/>
        </c:marker>
      </c:pivotFmt>
      <c:pivotFmt>
        <c:idx val="136"/>
        <c:spPr>
          <a:solidFill>
            <a:schemeClr val="accent1"/>
          </a:solidFill>
          <a:ln w="28575" cap="rnd">
            <a:solidFill>
              <a:schemeClr val="accent1"/>
            </a:solidFill>
            <a:round/>
          </a:ln>
          <a:effectLst/>
        </c:spPr>
        <c:marker>
          <c:symbol val="none"/>
        </c:marker>
      </c:pivotFmt>
      <c:pivotFmt>
        <c:idx val="137"/>
        <c:spPr>
          <a:solidFill>
            <a:schemeClr val="accent1"/>
          </a:solidFill>
          <a:ln w="28575" cap="rnd">
            <a:solidFill>
              <a:schemeClr val="accent1"/>
            </a:solidFill>
            <a:round/>
          </a:ln>
          <a:effectLst/>
        </c:spPr>
        <c:marker>
          <c:symbol val="none"/>
        </c:marker>
      </c:pivotFmt>
      <c:pivotFmt>
        <c:idx val="138"/>
        <c:spPr>
          <a:solidFill>
            <a:schemeClr val="accent1"/>
          </a:solidFill>
          <a:ln w="28575" cap="rnd">
            <a:solidFill>
              <a:schemeClr val="accent1"/>
            </a:solidFill>
            <a:round/>
          </a:ln>
          <a:effectLst/>
        </c:spPr>
        <c:marker>
          <c:symbol val="none"/>
        </c:marker>
      </c:pivotFmt>
      <c:pivotFmt>
        <c:idx val="139"/>
        <c:spPr>
          <a:solidFill>
            <a:schemeClr val="accent1"/>
          </a:solidFill>
          <a:ln w="28575" cap="rnd">
            <a:solidFill>
              <a:schemeClr val="accent1"/>
            </a:solidFill>
            <a:round/>
          </a:ln>
          <a:effectLst/>
        </c:spPr>
        <c:marker>
          <c:symbol val="none"/>
        </c:marker>
      </c:pivotFmt>
      <c:pivotFmt>
        <c:idx val="140"/>
        <c:spPr>
          <a:solidFill>
            <a:schemeClr val="accent1"/>
          </a:solidFill>
          <a:ln w="28575" cap="rnd">
            <a:solidFill>
              <a:schemeClr val="accent1"/>
            </a:solidFill>
            <a:round/>
          </a:ln>
          <a:effectLst/>
        </c:spPr>
        <c:marker>
          <c:symbol val="none"/>
        </c:marker>
      </c:pivotFmt>
      <c:pivotFmt>
        <c:idx val="141"/>
        <c:spPr>
          <a:solidFill>
            <a:schemeClr val="accent1"/>
          </a:solidFill>
          <a:ln w="28575" cap="rnd">
            <a:solidFill>
              <a:schemeClr val="accent1"/>
            </a:solidFill>
            <a:round/>
          </a:ln>
          <a:effectLst/>
        </c:spPr>
        <c:marker>
          <c:symbol val="none"/>
        </c:marker>
      </c:pivotFmt>
      <c:pivotFmt>
        <c:idx val="142"/>
        <c:spPr>
          <a:solidFill>
            <a:schemeClr val="accent1"/>
          </a:solidFill>
          <a:ln w="28575" cap="rnd">
            <a:solidFill>
              <a:schemeClr val="accent1"/>
            </a:solidFill>
            <a:round/>
          </a:ln>
          <a:effectLst/>
        </c:spPr>
        <c:marker>
          <c:symbol val="none"/>
        </c:marker>
      </c:pivotFmt>
      <c:pivotFmt>
        <c:idx val="143"/>
        <c:spPr>
          <a:solidFill>
            <a:schemeClr val="accent1"/>
          </a:solidFill>
          <a:ln w="28575" cap="rnd">
            <a:solidFill>
              <a:schemeClr val="accent1"/>
            </a:solidFill>
            <a:round/>
          </a:ln>
          <a:effectLst/>
        </c:spPr>
        <c:marker>
          <c:symbol val="none"/>
        </c:marker>
      </c:pivotFmt>
      <c:pivotFmt>
        <c:idx val="144"/>
        <c:spPr>
          <a:solidFill>
            <a:schemeClr val="accent1"/>
          </a:solidFill>
          <a:ln w="28575" cap="rnd">
            <a:solidFill>
              <a:schemeClr val="accent1"/>
            </a:solidFill>
            <a:round/>
          </a:ln>
          <a:effectLst/>
        </c:spPr>
        <c:marker>
          <c:symbol val="none"/>
        </c:marker>
      </c:pivotFmt>
      <c:pivotFmt>
        <c:idx val="145"/>
        <c:spPr>
          <a:solidFill>
            <a:schemeClr val="accent1"/>
          </a:solidFill>
          <a:ln w="28575" cap="rnd">
            <a:solidFill>
              <a:schemeClr val="accent1"/>
            </a:solidFill>
            <a:round/>
          </a:ln>
          <a:effectLst/>
        </c:spPr>
        <c:marker>
          <c:symbol val="none"/>
        </c:marker>
      </c:pivotFmt>
      <c:pivotFmt>
        <c:idx val="146"/>
        <c:spPr>
          <a:solidFill>
            <a:schemeClr val="accent1"/>
          </a:solidFill>
          <a:ln w="28575" cap="rnd">
            <a:solidFill>
              <a:schemeClr val="accent1"/>
            </a:solidFill>
            <a:round/>
          </a:ln>
          <a:effectLst/>
        </c:spPr>
        <c:marker>
          <c:symbol val="none"/>
        </c:marker>
      </c:pivotFmt>
      <c:pivotFmt>
        <c:idx val="147"/>
        <c:spPr>
          <a:solidFill>
            <a:schemeClr val="accent1"/>
          </a:solidFill>
          <a:ln w="28575" cap="rnd">
            <a:solidFill>
              <a:schemeClr val="accent1"/>
            </a:solidFill>
            <a:round/>
          </a:ln>
          <a:effectLst/>
        </c:spPr>
        <c:marker>
          <c:symbol val="none"/>
        </c:marker>
      </c:pivotFmt>
      <c:pivotFmt>
        <c:idx val="148"/>
        <c:spPr>
          <a:solidFill>
            <a:schemeClr val="accent1"/>
          </a:solidFill>
          <a:ln w="28575" cap="rnd">
            <a:solidFill>
              <a:schemeClr val="accent1"/>
            </a:solidFill>
            <a:round/>
          </a:ln>
          <a:effectLst/>
        </c:spPr>
        <c:marker>
          <c:symbol val="none"/>
        </c:marker>
      </c:pivotFmt>
      <c:pivotFmt>
        <c:idx val="149"/>
        <c:spPr>
          <a:solidFill>
            <a:schemeClr val="accent1"/>
          </a:solidFill>
          <a:ln w="28575" cap="rnd">
            <a:solidFill>
              <a:schemeClr val="accent1"/>
            </a:solidFill>
            <a:round/>
          </a:ln>
          <a:effectLst/>
        </c:spPr>
        <c:marker>
          <c:symbol val="none"/>
        </c:marker>
      </c:pivotFmt>
      <c:pivotFmt>
        <c:idx val="150"/>
        <c:spPr>
          <a:solidFill>
            <a:schemeClr val="accent1"/>
          </a:solidFill>
          <a:ln w="28575" cap="rnd">
            <a:solidFill>
              <a:schemeClr val="accent1"/>
            </a:solidFill>
            <a:round/>
          </a:ln>
          <a:effectLst/>
        </c:spPr>
        <c:marker>
          <c:symbol val="none"/>
        </c:marker>
      </c:pivotFmt>
      <c:pivotFmt>
        <c:idx val="151"/>
        <c:spPr>
          <a:solidFill>
            <a:schemeClr val="accent1"/>
          </a:solidFill>
          <a:ln w="28575" cap="rnd">
            <a:solidFill>
              <a:schemeClr val="accent1"/>
            </a:solidFill>
            <a:round/>
          </a:ln>
          <a:effectLst/>
        </c:spPr>
        <c:marker>
          <c:symbol val="none"/>
        </c:marker>
      </c:pivotFmt>
      <c:pivotFmt>
        <c:idx val="152"/>
        <c:spPr>
          <a:solidFill>
            <a:schemeClr val="accent1"/>
          </a:solidFill>
          <a:ln w="28575" cap="rnd">
            <a:solidFill>
              <a:schemeClr val="accent1"/>
            </a:solidFill>
            <a:round/>
          </a:ln>
          <a:effectLst/>
        </c:spPr>
        <c:marker>
          <c:symbol val="none"/>
        </c:marker>
      </c:pivotFmt>
      <c:pivotFmt>
        <c:idx val="153"/>
        <c:spPr>
          <a:solidFill>
            <a:schemeClr val="accent1"/>
          </a:solidFill>
          <a:ln w="28575" cap="rnd">
            <a:solidFill>
              <a:schemeClr val="accent1"/>
            </a:solidFill>
            <a:round/>
          </a:ln>
          <a:effectLst/>
        </c:spPr>
        <c:marker>
          <c:symbol val="none"/>
        </c:marker>
      </c:pivotFmt>
      <c:pivotFmt>
        <c:idx val="154"/>
        <c:spPr>
          <a:solidFill>
            <a:schemeClr val="accent1"/>
          </a:solidFill>
          <a:ln w="28575" cap="rnd">
            <a:solidFill>
              <a:schemeClr val="accent1"/>
            </a:solidFill>
            <a:round/>
          </a:ln>
          <a:effectLst/>
        </c:spPr>
        <c:marker>
          <c:symbol val="none"/>
        </c:marker>
      </c:pivotFmt>
      <c:pivotFmt>
        <c:idx val="155"/>
        <c:spPr>
          <a:solidFill>
            <a:schemeClr val="accent1"/>
          </a:solidFill>
          <a:ln w="28575" cap="rnd">
            <a:solidFill>
              <a:schemeClr val="accent1"/>
            </a:solidFill>
            <a:round/>
          </a:ln>
          <a:effectLst/>
        </c:spPr>
        <c:marker>
          <c:symbol val="none"/>
        </c:marker>
      </c:pivotFmt>
      <c:pivotFmt>
        <c:idx val="156"/>
        <c:spPr>
          <a:solidFill>
            <a:schemeClr val="accent1"/>
          </a:solidFill>
          <a:ln w="28575" cap="rnd">
            <a:solidFill>
              <a:schemeClr val="accent1"/>
            </a:solidFill>
            <a:round/>
          </a:ln>
          <a:effectLst/>
        </c:spPr>
        <c:marker>
          <c:symbol val="none"/>
        </c:marker>
      </c:pivotFmt>
      <c:pivotFmt>
        <c:idx val="157"/>
        <c:spPr>
          <a:solidFill>
            <a:schemeClr val="accent1"/>
          </a:solidFill>
          <a:ln w="28575" cap="rnd">
            <a:solidFill>
              <a:schemeClr val="accent1"/>
            </a:solidFill>
            <a:round/>
          </a:ln>
          <a:effectLst/>
        </c:spPr>
        <c:marker>
          <c:symbol val="none"/>
        </c:marker>
      </c:pivotFmt>
      <c:pivotFmt>
        <c:idx val="158"/>
        <c:spPr>
          <a:solidFill>
            <a:schemeClr val="accent1"/>
          </a:solidFill>
          <a:ln w="28575" cap="rnd">
            <a:solidFill>
              <a:schemeClr val="accent1"/>
            </a:solidFill>
            <a:round/>
          </a:ln>
          <a:effectLst/>
        </c:spPr>
        <c:marker>
          <c:symbol val="none"/>
        </c:marker>
      </c:pivotFmt>
      <c:pivotFmt>
        <c:idx val="159"/>
        <c:spPr>
          <a:solidFill>
            <a:schemeClr val="accent1"/>
          </a:solidFill>
          <a:ln w="28575" cap="rnd">
            <a:solidFill>
              <a:schemeClr val="accent1"/>
            </a:solidFill>
            <a:round/>
          </a:ln>
          <a:effectLst/>
        </c:spPr>
        <c:marker>
          <c:symbol val="none"/>
        </c:marker>
      </c:pivotFmt>
      <c:pivotFmt>
        <c:idx val="160"/>
        <c:spPr>
          <a:solidFill>
            <a:schemeClr val="accent1"/>
          </a:solidFill>
          <a:ln w="28575" cap="rnd">
            <a:solidFill>
              <a:schemeClr val="accent1"/>
            </a:solidFill>
            <a:round/>
          </a:ln>
          <a:effectLst/>
        </c:spPr>
        <c:marker>
          <c:symbol val="none"/>
        </c:marker>
      </c:pivotFmt>
      <c:pivotFmt>
        <c:idx val="161"/>
        <c:spPr>
          <a:solidFill>
            <a:schemeClr val="accent1"/>
          </a:solidFill>
          <a:ln w="28575" cap="rnd">
            <a:solidFill>
              <a:schemeClr val="accent1"/>
            </a:solidFill>
            <a:round/>
          </a:ln>
          <a:effectLst/>
        </c:spPr>
        <c:marker>
          <c:symbol val="none"/>
        </c:marker>
      </c:pivotFmt>
      <c:pivotFmt>
        <c:idx val="162"/>
        <c:spPr>
          <a:solidFill>
            <a:schemeClr val="accent1"/>
          </a:solidFill>
          <a:ln w="28575" cap="rnd">
            <a:solidFill>
              <a:schemeClr val="accent1"/>
            </a:solidFill>
            <a:round/>
          </a:ln>
          <a:effectLst/>
        </c:spPr>
        <c:marker>
          <c:symbol val="none"/>
        </c:marker>
      </c:pivotFmt>
      <c:pivotFmt>
        <c:idx val="163"/>
        <c:spPr>
          <a:solidFill>
            <a:schemeClr val="accent1"/>
          </a:solidFill>
          <a:ln w="28575" cap="rnd">
            <a:solidFill>
              <a:schemeClr val="accent1"/>
            </a:solidFill>
            <a:round/>
          </a:ln>
          <a:effectLst/>
        </c:spPr>
        <c:marker>
          <c:symbol val="none"/>
        </c:marker>
      </c:pivotFmt>
      <c:pivotFmt>
        <c:idx val="164"/>
        <c:spPr>
          <a:solidFill>
            <a:schemeClr val="accent1"/>
          </a:solidFill>
          <a:ln w="28575" cap="rnd">
            <a:solidFill>
              <a:schemeClr val="accent1"/>
            </a:solidFill>
            <a:round/>
          </a:ln>
          <a:effectLst/>
        </c:spPr>
        <c:marker>
          <c:symbol val="none"/>
        </c:marker>
      </c:pivotFmt>
      <c:pivotFmt>
        <c:idx val="165"/>
        <c:spPr>
          <a:solidFill>
            <a:schemeClr val="accent1"/>
          </a:solidFill>
          <a:ln w="28575" cap="rnd">
            <a:solidFill>
              <a:schemeClr val="accent1"/>
            </a:solidFill>
            <a:round/>
          </a:ln>
          <a:effectLst/>
        </c:spPr>
        <c:marker>
          <c:symbol val="none"/>
        </c:marker>
      </c:pivotFmt>
      <c:pivotFmt>
        <c:idx val="166"/>
        <c:spPr>
          <a:solidFill>
            <a:schemeClr val="accent1"/>
          </a:solidFill>
          <a:ln w="28575" cap="rnd">
            <a:solidFill>
              <a:schemeClr val="accent1"/>
            </a:solidFill>
            <a:round/>
          </a:ln>
          <a:effectLst/>
        </c:spPr>
        <c:marker>
          <c:symbol val="none"/>
        </c:marker>
      </c:pivotFmt>
      <c:pivotFmt>
        <c:idx val="167"/>
        <c:spPr>
          <a:solidFill>
            <a:schemeClr val="accent1"/>
          </a:solidFill>
          <a:ln w="28575" cap="rnd">
            <a:solidFill>
              <a:schemeClr val="accent1"/>
            </a:solidFill>
            <a:round/>
          </a:ln>
          <a:effectLst/>
        </c:spPr>
        <c:marker>
          <c:symbol val="none"/>
        </c:marker>
      </c:pivotFmt>
      <c:pivotFmt>
        <c:idx val="168"/>
        <c:spPr>
          <a:solidFill>
            <a:schemeClr val="accent1"/>
          </a:solidFill>
          <a:ln w="28575" cap="rnd">
            <a:solidFill>
              <a:schemeClr val="accent1"/>
            </a:solidFill>
            <a:round/>
          </a:ln>
          <a:effectLst/>
        </c:spPr>
        <c:marker>
          <c:symbol val="none"/>
        </c:marker>
      </c:pivotFmt>
      <c:pivotFmt>
        <c:idx val="16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0"/>
        <c:spPr>
          <a:solidFill>
            <a:schemeClr val="accent1"/>
          </a:solidFill>
          <a:ln w="28575" cap="rnd">
            <a:solidFill>
              <a:schemeClr val="accent1"/>
            </a:solidFill>
            <a:round/>
          </a:ln>
          <a:effectLst/>
        </c:spPr>
        <c:marker>
          <c:symbol val="none"/>
        </c:marker>
      </c:pivotFmt>
      <c:pivotFmt>
        <c:idx val="171"/>
        <c:spPr>
          <a:solidFill>
            <a:schemeClr val="accent1"/>
          </a:solidFill>
          <a:ln w="28575" cap="rnd">
            <a:solidFill>
              <a:schemeClr val="accent1"/>
            </a:solidFill>
            <a:round/>
          </a:ln>
          <a:effectLst/>
        </c:spPr>
        <c:marker>
          <c:symbol val="none"/>
        </c:marker>
      </c:pivotFmt>
      <c:pivotFmt>
        <c:idx val="172"/>
        <c:spPr>
          <a:solidFill>
            <a:schemeClr val="accent1"/>
          </a:solidFill>
          <a:ln w="28575" cap="rnd">
            <a:solidFill>
              <a:schemeClr val="accent1"/>
            </a:solidFill>
            <a:round/>
          </a:ln>
          <a:effectLst/>
        </c:spPr>
        <c:marker>
          <c:symbol val="none"/>
        </c:marker>
      </c:pivotFmt>
      <c:pivotFmt>
        <c:idx val="173"/>
        <c:spPr>
          <a:solidFill>
            <a:schemeClr val="accent1"/>
          </a:solidFill>
          <a:ln w="28575" cap="rnd">
            <a:solidFill>
              <a:schemeClr val="accent1"/>
            </a:solidFill>
            <a:round/>
          </a:ln>
          <a:effectLst/>
        </c:spPr>
        <c:marker>
          <c:symbol val="none"/>
        </c:marker>
      </c:pivotFmt>
      <c:pivotFmt>
        <c:idx val="174"/>
        <c:spPr>
          <a:solidFill>
            <a:schemeClr val="accent1"/>
          </a:solidFill>
          <a:ln w="28575" cap="rnd">
            <a:solidFill>
              <a:schemeClr val="accent1"/>
            </a:solidFill>
            <a:round/>
          </a:ln>
          <a:effectLst/>
        </c:spPr>
        <c:marker>
          <c:symbol val="none"/>
        </c:marker>
      </c:pivotFmt>
      <c:pivotFmt>
        <c:idx val="175"/>
        <c:spPr>
          <a:solidFill>
            <a:schemeClr val="accent1"/>
          </a:solidFill>
          <a:ln w="28575" cap="rnd">
            <a:solidFill>
              <a:schemeClr val="accent1"/>
            </a:solidFill>
            <a:round/>
          </a:ln>
          <a:effectLst/>
        </c:spPr>
        <c:marker>
          <c:symbol val="none"/>
        </c:marker>
      </c:pivotFmt>
      <c:pivotFmt>
        <c:idx val="176"/>
        <c:spPr>
          <a:solidFill>
            <a:schemeClr val="accent1"/>
          </a:solidFill>
          <a:ln w="28575" cap="rnd">
            <a:solidFill>
              <a:schemeClr val="accent1"/>
            </a:solidFill>
            <a:round/>
          </a:ln>
          <a:effectLst/>
        </c:spPr>
        <c:marker>
          <c:symbol val="none"/>
        </c:marker>
      </c:pivotFmt>
      <c:pivotFmt>
        <c:idx val="177"/>
        <c:spPr>
          <a:solidFill>
            <a:schemeClr val="accent1"/>
          </a:solidFill>
          <a:ln w="28575" cap="rnd">
            <a:solidFill>
              <a:schemeClr val="accent1"/>
            </a:solidFill>
            <a:round/>
          </a:ln>
          <a:effectLst/>
        </c:spPr>
        <c:marker>
          <c:symbol val="none"/>
        </c:marker>
      </c:pivotFmt>
      <c:pivotFmt>
        <c:idx val="178"/>
        <c:spPr>
          <a:solidFill>
            <a:schemeClr val="accent1"/>
          </a:solidFill>
          <a:ln w="28575" cap="rnd">
            <a:solidFill>
              <a:schemeClr val="accent1"/>
            </a:solidFill>
            <a:round/>
          </a:ln>
          <a:effectLst/>
        </c:spPr>
        <c:marker>
          <c:symbol val="none"/>
        </c:marker>
      </c:pivotFmt>
      <c:pivotFmt>
        <c:idx val="179"/>
        <c:spPr>
          <a:solidFill>
            <a:schemeClr val="accent1"/>
          </a:solidFill>
          <a:ln w="28575" cap="rnd">
            <a:solidFill>
              <a:schemeClr val="accent1"/>
            </a:solidFill>
            <a:round/>
          </a:ln>
          <a:effectLst/>
        </c:spPr>
        <c:marker>
          <c:symbol val="none"/>
        </c:marker>
      </c:pivotFmt>
      <c:pivotFmt>
        <c:idx val="180"/>
        <c:spPr>
          <a:solidFill>
            <a:schemeClr val="accent1"/>
          </a:solidFill>
          <a:ln w="28575" cap="rnd">
            <a:solidFill>
              <a:schemeClr val="accent1"/>
            </a:solidFill>
            <a:round/>
          </a:ln>
          <a:effectLst/>
        </c:spPr>
        <c:marker>
          <c:symbol val="none"/>
        </c:marker>
      </c:pivotFmt>
      <c:pivotFmt>
        <c:idx val="181"/>
        <c:spPr>
          <a:solidFill>
            <a:schemeClr val="accent1"/>
          </a:solidFill>
          <a:ln w="28575" cap="rnd">
            <a:solidFill>
              <a:schemeClr val="accent1"/>
            </a:solidFill>
            <a:round/>
          </a:ln>
          <a:effectLst/>
        </c:spPr>
        <c:marker>
          <c:symbol val="none"/>
        </c:marker>
      </c:pivotFmt>
      <c:pivotFmt>
        <c:idx val="182"/>
        <c:spPr>
          <a:solidFill>
            <a:schemeClr val="accent1"/>
          </a:solidFill>
          <a:ln w="28575" cap="rnd">
            <a:solidFill>
              <a:schemeClr val="accent1"/>
            </a:solidFill>
            <a:round/>
          </a:ln>
          <a:effectLst/>
        </c:spPr>
        <c:marker>
          <c:symbol val="none"/>
        </c:marker>
      </c:pivotFmt>
      <c:pivotFmt>
        <c:idx val="183"/>
        <c:spPr>
          <a:solidFill>
            <a:schemeClr val="accent1"/>
          </a:solidFill>
          <a:ln w="28575" cap="rnd">
            <a:solidFill>
              <a:schemeClr val="accent1"/>
            </a:solidFill>
            <a:round/>
          </a:ln>
          <a:effectLst/>
        </c:spPr>
        <c:marker>
          <c:symbol val="none"/>
        </c:marker>
      </c:pivotFmt>
      <c:pivotFmt>
        <c:idx val="184"/>
        <c:spPr>
          <a:solidFill>
            <a:schemeClr val="accent1"/>
          </a:solidFill>
          <a:ln w="28575" cap="rnd">
            <a:solidFill>
              <a:schemeClr val="accent1"/>
            </a:solidFill>
            <a:round/>
          </a:ln>
          <a:effectLst/>
        </c:spPr>
        <c:marker>
          <c:symbol val="none"/>
        </c:marker>
      </c:pivotFmt>
      <c:pivotFmt>
        <c:idx val="185"/>
        <c:spPr>
          <a:solidFill>
            <a:schemeClr val="accent1"/>
          </a:solidFill>
          <a:ln w="28575" cap="rnd">
            <a:solidFill>
              <a:schemeClr val="accent1"/>
            </a:solidFill>
            <a:round/>
          </a:ln>
          <a:effectLst/>
        </c:spPr>
        <c:marker>
          <c:symbol val="none"/>
        </c:marker>
      </c:pivotFmt>
      <c:pivotFmt>
        <c:idx val="186"/>
        <c:spPr>
          <a:solidFill>
            <a:schemeClr val="accent1"/>
          </a:solidFill>
          <a:ln w="28575" cap="rnd">
            <a:solidFill>
              <a:schemeClr val="accent1"/>
            </a:solidFill>
            <a:round/>
          </a:ln>
          <a:effectLst/>
        </c:spPr>
        <c:marker>
          <c:symbol val="none"/>
        </c:marker>
      </c:pivotFmt>
      <c:pivotFmt>
        <c:idx val="187"/>
        <c:spPr>
          <a:solidFill>
            <a:schemeClr val="accent1"/>
          </a:solidFill>
          <a:ln w="28575" cap="rnd">
            <a:solidFill>
              <a:schemeClr val="accent1"/>
            </a:solidFill>
            <a:round/>
          </a:ln>
          <a:effectLst/>
        </c:spPr>
        <c:marker>
          <c:symbol val="none"/>
        </c:marker>
      </c:pivotFmt>
      <c:pivotFmt>
        <c:idx val="188"/>
        <c:spPr>
          <a:solidFill>
            <a:schemeClr val="accent1"/>
          </a:solidFill>
          <a:ln w="28575" cap="rnd">
            <a:solidFill>
              <a:schemeClr val="accent1"/>
            </a:solidFill>
            <a:round/>
          </a:ln>
          <a:effectLst/>
        </c:spPr>
        <c:marker>
          <c:symbol val="none"/>
        </c:marker>
      </c:pivotFmt>
      <c:pivotFmt>
        <c:idx val="189"/>
        <c:spPr>
          <a:solidFill>
            <a:schemeClr val="accent1"/>
          </a:solidFill>
          <a:ln w="28575" cap="rnd">
            <a:solidFill>
              <a:schemeClr val="accent1"/>
            </a:solidFill>
            <a:round/>
          </a:ln>
          <a:effectLst/>
        </c:spPr>
        <c:marker>
          <c:symbol val="none"/>
        </c:marker>
      </c:pivotFmt>
      <c:pivotFmt>
        <c:idx val="190"/>
        <c:spPr>
          <a:solidFill>
            <a:schemeClr val="accent1"/>
          </a:solidFill>
          <a:ln w="28575" cap="rnd">
            <a:solidFill>
              <a:schemeClr val="accent1"/>
            </a:solidFill>
            <a:round/>
          </a:ln>
          <a:effectLst/>
        </c:spPr>
        <c:marker>
          <c:symbol val="none"/>
        </c:marker>
      </c:pivotFmt>
      <c:pivotFmt>
        <c:idx val="191"/>
        <c:spPr>
          <a:solidFill>
            <a:schemeClr val="accent1"/>
          </a:solidFill>
          <a:ln w="28575" cap="rnd">
            <a:solidFill>
              <a:schemeClr val="accent1"/>
            </a:solidFill>
            <a:round/>
          </a:ln>
          <a:effectLst/>
        </c:spPr>
        <c:marker>
          <c:symbol val="none"/>
        </c:marker>
      </c:pivotFmt>
      <c:pivotFmt>
        <c:idx val="192"/>
        <c:spPr>
          <a:solidFill>
            <a:schemeClr val="accent1"/>
          </a:solidFill>
          <a:ln w="28575" cap="rnd">
            <a:solidFill>
              <a:schemeClr val="accent1"/>
            </a:solidFill>
            <a:round/>
          </a:ln>
          <a:effectLst/>
        </c:spPr>
        <c:marker>
          <c:symbol val="none"/>
        </c:marker>
      </c:pivotFmt>
      <c:pivotFmt>
        <c:idx val="193"/>
        <c:spPr>
          <a:solidFill>
            <a:schemeClr val="accent1"/>
          </a:solidFill>
          <a:ln w="28575" cap="rnd">
            <a:solidFill>
              <a:schemeClr val="accent1"/>
            </a:solidFill>
            <a:round/>
          </a:ln>
          <a:effectLst/>
        </c:spPr>
        <c:marker>
          <c:symbol val="none"/>
        </c:marker>
      </c:pivotFmt>
      <c:pivotFmt>
        <c:idx val="194"/>
        <c:spPr>
          <a:solidFill>
            <a:schemeClr val="accent1"/>
          </a:solidFill>
          <a:ln w="28575" cap="rnd">
            <a:solidFill>
              <a:schemeClr val="accent1"/>
            </a:solidFill>
            <a:round/>
          </a:ln>
          <a:effectLst/>
        </c:spPr>
        <c:marker>
          <c:symbol val="none"/>
        </c:marker>
      </c:pivotFmt>
      <c:pivotFmt>
        <c:idx val="195"/>
        <c:spPr>
          <a:solidFill>
            <a:schemeClr val="accent1"/>
          </a:solidFill>
          <a:ln w="28575" cap="rnd">
            <a:solidFill>
              <a:schemeClr val="accent1"/>
            </a:solidFill>
            <a:round/>
          </a:ln>
          <a:effectLst/>
        </c:spPr>
        <c:marker>
          <c:symbol val="none"/>
        </c:marker>
      </c:pivotFmt>
      <c:pivotFmt>
        <c:idx val="196"/>
        <c:spPr>
          <a:solidFill>
            <a:schemeClr val="accent1"/>
          </a:solidFill>
          <a:ln w="28575" cap="rnd">
            <a:solidFill>
              <a:schemeClr val="accent1"/>
            </a:solidFill>
            <a:round/>
          </a:ln>
          <a:effectLst/>
        </c:spPr>
        <c:marker>
          <c:symbol val="none"/>
        </c:marker>
      </c:pivotFmt>
      <c:pivotFmt>
        <c:idx val="197"/>
        <c:spPr>
          <a:solidFill>
            <a:schemeClr val="accent1"/>
          </a:solidFill>
          <a:ln w="28575" cap="rnd">
            <a:solidFill>
              <a:schemeClr val="accent1"/>
            </a:solidFill>
            <a:round/>
          </a:ln>
          <a:effectLst/>
        </c:spPr>
        <c:marker>
          <c:symbol val="none"/>
        </c:marker>
      </c:pivotFmt>
      <c:pivotFmt>
        <c:idx val="198"/>
        <c:spPr>
          <a:solidFill>
            <a:schemeClr val="accent1"/>
          </a:solidFill>
          <a:ln w="28575" cap="rnd">
            <a:solidFill>
              <a:schemeClr val="accent1"/>
            </a:solidFill>
            <a:round/>
          </a:ln>
          <a:effectLst/>
        </c:spPr>
        <c:marker>
          <c:symbol val="none"/>
        </c:marker>
      </c:pivotFmt>
      <c:pivotFmt>
        <c:idx val="199"/>
        <c:spPr>
          <a:solidFill>
            <a:schemeClr val="accent1"/>
          </a:solidFill>
          <a:ln w="28575" cap="rnd">
            <a:solidFill>
              <a:schemeClr val="accent1"/>
            </a:solidFill>
            <a:round/>
          </a:ln>
          <a:effectLst/>
        </c:spPr>
        <c:marker>
          <c:symbol val="none"/>
        </c:marker>
      </c:pivotFmt>
      <c:pivotFmt>
        <c:idx val="200"/>
        <c:spPr>
          <a:solidFill>
            <a:schemeClr val="accent1"/>
          </a:solidFill>
          <a:ln w="28575" cap="rnd">
            <a:solidFill>
              <a:schemeClr val="accent1"/>
            </a:solidFill>
            <a:round/>
          </a:ln>
          <a:effectLst/>
        </c:spPr>
        <c:marker>
          <c:symbol val="none"/>
        </c:marker>
      </c:pivotFmt>
      <c:pivotFmt>
        <c:idx val="201"/>
        <c:spPr>
          <a:solidFill>
            <a:schemeClr val="accent1"/>
          </a:solidFill>
          <a:ln w="28575" cap="rnd">
            <a:solidFill>
              <a:schemeClr val="accent1"/>
            </a:solidFill>
            <a:round/>
          </a:ln>
          <a:effectLst/>
        </c:spPr>
        <c:marker>
          <c:symbol val="none"/>
        </c:marker>
      </c:pivotFmt>
      <c:pivotFmt>
        <c:idx val="202"/>
        <c:spPr>
          <a:solidFill>
            <a:schemeClr val="accent1"/>
          </a:solidFill>
          <a:ln w="28575" cap="rnd">
            <a:solidFill>
              <a:schemeClr val="accent1"/>
            </a:solidFill>
            <a:round/>
          </a:ln>
          <a:effectLst/>
        </c:spPr>
        <c:marker>
          <c:symbol val="none"/>
        </c:marker>
      </c:pivotFmt>
      <c:pivotFmt>
        <c:idx val="203"/>
        <c:spPr>
          <a:solidFill>
            <a:schemeClr val="accent1"/>
          </a:solidFill>
          <a:ln w="28575" cap="rnd">
            <a:solidFill>
              <a:schemeClr val="accent1"/>
            </a:solidFill>
            <a:round/>
          </a:ln>
          <a:effectLst/>
        </c:spPr>
        <c:marker>
          <c:symbol val="none"/>
        </c:marker>
      </c:pivotFmt>
      <c:pivotFmt>
        <c:idx val="204"/>
        <c:spPr>
          <a:solidFill>
            <a:schemeClr val="accent1"/>
          </a:solidFill>
          <a:ln w="28575" cap="rnd">
            <a:solidFill>
              <a:schemeClr val="accent1"/>
            </a:solidFill>
            <a:round/>
          </a:ln>
          <a:effectLst/>
        </c:spPr>
        <c:marker>
          <c:symbol val="none"/>
        </c:marker>
      </c:pivotFmt>
      <c:pivotFmt>
        <c:idx val="205"/>
        <c:spPr>
          <a:solidFill>
            <a:schemeClr val="accent1"/>
          </a:solidFill>
          <a:ln w="28575" cap="rnd">
            <a:solidFill>
              <a:schemeClr val="accent1"/>
            </a:solidFill>
            <a:round/>
          </a:ln>
          <a:effectLst/>
        </c:spPr>
        <c:marker>
          <c:symbol val="none"/>
        </c:marker>
      </c:pivotFmt>
      <c:pivotFmt>
        <c:idx val="206"/>
        <c:spPr>
          <a:solidFill>
            <a:schemeClr val="accent1"/>
          </a:solidFill>
          <a:ln w="28575" cap="rnd">
            <a:solidFill>
              <a:schemeClr val="accent1"/>
            </a:solidFill>
            <a:round/>
          </a:ln>
          <a:effectLst/>
        </c:spPr>
        <c:marker>
          <c:symbol val="none"/>
        </c:marker>
      </c:pivotFmt>
      <c:pivotFmt>
        <c:idx val="207"/>
        <c:spPr>
          <a:solidFill>
            <a:schemeClr val="accent1"/>
          </a:solidFill>
          <a:ln w="28575" cap="rnd">
            <a:solidFill>
              <a:schemeClr val="accent1"/>
            </a:solidFill>
            <a:round/>
          </a:ln>
          <a:effectLst/>
        </c:spPr>
        <c:marker>
          <c:symbol val="none"/>
        </c:marker>
      </c:pivotFmt>
      <c:pivotFmt>
        <c:idx val="208"/>
        <c:spPr>
          <a:solidFill>
            <a:schemeClr val="accent1"/>
          </a:solidFill>
          <a:ln w="28575" cap="rnd">
            <a:solidFill>
              <a:schemeClr val="accent1"/>
            </a:solidFill>
            <a:round/>
          </a:ln>
          <a:effectLst/>
        </c:spPr>
        <c:marker>
          <c:symbol val="none"/>
        </c:marker>
      </c:pivotFmt>
      <c:pivotFmt>
        <c:idx val="209"/>
        <c:spPr>
          <a:solidFill>
            <a:schemeClr val="accent1"/>
          </a:solidFill>
          <a:ln w="28575" cap="rnd">
            <a:solidFill>
              <a:schemeClr val="accent1"/>
            </a:solidFill>
            <a:round/>
          </a:ln>
          <a:effectLst/>
        </c:spPr>
        <c:marker>
          <c:symbol val="none"/>
        </c:marker>
      </c:pivotFmt>
      <c:pivotFmt>
        <c:idx val="210"/>
        <c:spPr>
          <a:solidFill>
            <a:schemeClr val="accent1"/>
          </a:solidFill>
          <a:ln w="28575" cap="rnd">
            <a:solidFill>
              <a:schemeClr val="accent1"/>
            </a:solidFill>
            <a:round/>
          </a:ln>
          <a:effectLst/>
        </c:spPr>
        <c:marker>
          <c:symbol val="none"/>
        </c:marker>
      </c:pivotFmt>
      <c:pivotFmt>
        <c:idx val="211"/>
        <c:spPr>
          <a:solidFill>
            <a:schemeClr val="accent1"/>
          </a:solidFill>
          <a:ln w="28575" cap="rnd">
            <a:solidFill>
              <a:schemeClr val="accent1"/>
            </a:solidFill>
            <a:round/>
          </a:ln>
          <a:effectLst/>
        </c:spPr>
        <c:marker>
          <c:symbol val="none"/>
        </c:marker>
      </c:pivotFmt>
      <c:pivotFmt>
        <c:idx val="212"/>
        <c:spPr>
          <a:solidFill>
            <a:schemeClr val="accent1"/>
          </a:solidFill>
          <a:ln w="28575" cap="rnd">
            <a:solidFill>
              <a:schemeClr val="accent1"/>
            </a:solidFill>
            <a:round/>
          </a:ln>
          <a:effectLst/>
        </c:spPr>
        <c:marker>
          <c:symbol val="none"/>
        </c:marker>
      </c:pivotFmt>
      <c:pivotFmt>
        <c:idx val="213"/>
        <c:spPr>
          <a:solidFill>
            <a:schemeClr val="accent1"/>
          </a:solidFill>
          <a:ln w="28575" cap="rnd">
            <a:solidFill>
              <a:schemeClr val="accent1"/>
            </a:solidFill>
            <a:round/>
          </a:ln>
          <a:effectLst/>
        </c:spPr>
        <c:marker>
          <c:symbol val="none"/>
        </c:marker>
      </c:pivotFmt>
      <c:pivotFmt>
        <c:idx val="214"/>
        <c:spPr>
          <a:solidFill>
            <a:schemeClr val="accent1"/>
          </a:solidFill>
          <a:ln w="28575" cap="rnd">
            <a:solidFill>
              <a:schemeClr val="accent1"/>
            </a:solidFill>
            <a:round/>
          </a:ln>
          <a:effectLst/>
        </c:spPr>
        <c:marker>
          <c:symbol val="none"/>
        </c:marker>
      </c:pivotFmt>
      <c:pivotFmt>
        <c:idx val="215"/>
        <c:spPr>
          <a:solidFill>
            <a:schemeClr val="accent1"/>
          </a:solidFill>
          <a:ln w="28575" cap="rnd">
            <a:solidFill>
              <a:schemeClr val="accent1"/>
            </a:solidFill>
            <a:round/>
          </a:ln>
          <a:effectLst/>
        </c:spPr>
        <c:marker>
          <c:symbol val="none"/>
        </c:marker>
      </c:pivotFmt>
      <c:pivotFmt>
        <c:idx val="216"/>
        <c:spPr>
          <a:solidFill>
            <a:schemeClr val="accent1"/>
          </a:solidFill>
          <a:ln w="28575" cap="rnd">
            <a:solidFill>
              <a:schemeClr val="accent1"/>
            </a:solidFill>
            <a:round/>
          </a:ln>
          <a:effectLst/>
        </c:spPr>
        <c:marker>
          <c:symbol val="none"/>
        </c:marker>
      </c:pivotFmt>
      <c:pivotFmt>
        <c:idx val="217"/>
        <c:spPr>
          <a:solidFill>
            <a:schemeClr val="accent1"/>
          </a:solidFill>
          <a:ln w="28575" cap="rnd">
            <a:solidFill>
              <a:schemeClr val="accent1"/>
            </a:solidFill>
            <a:round/>
          </a:ln>
          <a:effectLst/>
        </c:spPr>
        <c:marker>
          <c:symbol val="none"/>
        </c:marker>
      </c:pivotFmt>
      <c:pivotFmt>
        <c:idx val="218"/>
        <c:spPr>
          <a:solidFill>
            <a:schemeClr val="accent1"/>
          </a:solidFill>
          <a:ln w="28575" cap="rnd">
            <a:solidFill>
              <a:schemeClr val="accent1"/>
            </a:solidFill>
            <a:round/>
          </a:ln>
          <a:effectLst/>
        </c:spPr>
        <c:marker>
          <c:symbol val="none"/>
        </c:marker>
      </c:pivotFmt>
      <c:pivotFmt>
        <c:idx val="219"/>
        <c:spPr>
          <a:solidFill>
            <a:schemeClr val="accent1"/>
          </a:solidFill>
          <a:ln w="28575" cap="rnd">
            <a:solidFill>
              <a:schemeClr val="accent1"/>
            </a:solidFill>
            <a:round/>
          </a:ln>
          <a:effectLst/>
        </c:spPr>
        <c:marker>
          <c:symbol val="none"/>
        </c:marker>
      </c:pivotFmt>
      <c:pivotFmt>
        <c:idx val="220"/>
        <c:spPr>
          <a:solidFill>
            <a:schemeClr val="accent1"/>
          </a:solidFill>
          <a:ln w="28575" cap="rnd">
            <a:solidFill>
              <a:schemeClr val="accent1"/>
            </a:solidFill>
            <a:round/>
          </a:ln>
          <a:effectLst/>
        </c:spPr>
        <c:marker>
          <c:symbol val="none"/>
        </c:marker>
      </c:pivotFmt>
      <c:pivotFmt>
        <c:idx val="221"/>
        <c:spPr>
          <a:solidFill>
            <a:schemeClr val="accent1"/>
          </a:solidFill>
          <a:ln w="28575" cap="rnd">
            <a:solidFill>
              <a:schemeClr val="accent1"/>
            </a:solidFill>
            <a:round/>
          </a:ln>
          <a:effectLst/>
        </c:spPr>
        <c:marker>
          <c:symbol val="none"/>
        </c:marker>
      </c:pivotFmt>
      <c:pivotFmt>
        <c:idx val="222"/>
        <c:spPr>
          <a:solidFill>
            <a:schemeClr val="accent1"/>
          </a:solidFill>
          <a:ln w="28575" cap="rnd">
            <a:solidFill>
              <a:schemeClr val="accent1"/>
            </a:solidFill>
            <a:round/>
          </a:ln>
          <a:effectLst/>
        </c:spPr>
        <c:marker>
          <c:symbol val="none"/>
        </c:marker>
      </c:pivotFmt>
      <c:pivotFmt>
        <c:idx val="223"/>
        <c:spPr>
          <a:solidFill>
            <a:schemeClr val="accent1"/>
          </a:solidFill>
          <a:ln w="28575" cap="rnd">
            <a:solidFill>
              <a:schemeClr val="accent1"/>
            </a:solidFill>
            <a:round/>
          </a:ln>
          <a:effectLst/>
        </c:spPr>
        <c:marker>
          <c:symbol val="none"/>
        </c:marker>
      </c:pivotFmt>
      <c:pivotFmt>
        <c:idx val="224"/>
        <c:spPr>
          <a:solidFill>
            <a:schemeClr val="accent1"/>
          </a:solidFill>
          <a:ln w="28575" cap="rnd">
            <a:solidFill>
              <a:schemeClr val="accent1"/>
            </a:solidFill>
            <a:round/>
          </a:ln>
          <a:effectLst/>
        </c:spPr>
        <c:marker>
          <c:symbol val="none"/>
        </c:marker>
      </c:pivotFmt>
      <c:pivotFmt>
        <c:idx val="225"/>
        <c:spPr>
          <a:solidFill>
            <a:schemeClr val="accent1"/>
          </a:solidFill>
          <a:ln w="28575" cap="rnd">
            <a:solidFill>
              <a:schemeClr val="accent1"/>
            </a:solidFill>
            <a:round/>
          </a:ln>
          <a:effectLst/>
        </c:spPr>
        <c:marker>
          <c:symbol val="none"/>
        </c:marker>
      </c:pivotFmt>
      <c:pivotFmt>
        <c:idx val="226"/>
        <c:spPr>
          <a:solidFill>
            <a:schemeClr val="accent1"/>
          </a:solidFill>
          <a:ln w="28575" cap="rnd">
            <a:solidFill>
              <a:schemeClr val="accent1"/>
            </a:solidFill>
            <a:round/>
          </a:ln>
          <a:effectLst/>
        </c:spPr>
        <c:marker>
          <c:symbol val="none"/>
        </c:marker>
      </c:pivotFmt>
      <c:pivotFmt>
        <c:idx val="227"/>
        <c:spPr>
          <a:solidFill>
            <a:schemeClr val="accent1"/>
          </a:solidFill>
          <a:ln w="28575" cap="rnd">
            <a:solidFill>
              <a:schemeClr val="accent1"/>
            </a:solidFill>
            <a:round/>
          </a:ln>
          <a:effectLst/>
        </c:spPr>
        <c:marker>
          <c:symbol val="none"/>
        </c:marker>
      </c:pivotFmt>
      <c:pivotFmt>
        <c:idx val="228"/>
        <c:spPr>
          <a:solidFill>
            <a:schemeClr val="accent1"/>
          </a:solidFill>
          <a:ln w="28575" cap="rnd">
            <a:solidFill>
              <a:schemeClr val="accent1"/>
            </a:solidFill>
            <a:round/>
          </a:ln>
          <a:effectLst/>
        </c:spPr>
        <c:marker>
          <c:symbol val="none"/>
        </c:marker>
      </c:pivotFmt>
      <c:pivotFmt>
        <c:idx val="229"/>
        <c:spPr>
          <a:solidFill>
            <a:schemeClr val="accent1"/>
          </a:solidFill>
          <a:ln w="28575" cap="rnd">
            <a:solidFill>
              <a:schemeClr val="accent1"/>
            </a:solidFill>
            <a:round/>
          </a:ln>
          <a:effectLst/>
        </c:spPr>
        <c:marker>
          <c:symbol val="none"/>
        </c:marker>
      </c:pivotFmt>
      <c:pivotFmt>
        <c:idx val="230"/>
        <c:spPr>
          <a:solidFill>
            <a:schemeClr val="accent1"/>
          </a:solidFill>
          <a:ln w="28575" cap="rnd">
            <a:solidFill>
              <a:schemeClr val="accent1"/>
            </a:solidFill>
            <a:round/>
          </a:ln>
          <a:effectLst/>
        </c:spPr>
        <c:marker>
          <c:symbol val="none"/>
        </c:marker>
      </c:pivotFmt>
      <c:pivotFmt>
        <c:idx val="231"/>
        <c:spPr>
          <a:solidFill>
            <a:schemeClr val="accent1"/>
          </a:solidFill>
          <a:ln w="28575" cap="rnd">
            <a:solidFill>
              <a:schemeClr val="accent1"/>
            </a:solidFill>
            <a:round/>
          </a:ln>
          <a:effectLst/>
        </c:spPr>
        <c:marker>
          <c:symbol val="none"/>
        </c:marker>
      </c:pivotFmt>
      <c:pivotFmt>
        <c:idx val="232"/>
        <c:spPr>
          <a:solidFill>
            <a:schemeClr val="accent1"/>
          </a:solidFill>
          <a:ln w="28575" cap="rnd">
            <a:solidFill>
              <a:schemeClr val="accent1"/>
            </a:solidFill>
            <a:round/>
          </a:ln>
          <a:effectLst/>
        </c:spPr>
        <c:marker>
          <c:symbol val="none"/>
        </c:marker>
      </c:pivotFmt>
      <c:pivotFmt>
        <c:idx val="233"/>
        <c:spPr>
          <a:solidFill>
            <a:schemeClr val="accent1"/>
          </a:solidFill>
          <a:ln w="28575" cap="rnd">
            <a:solidFill>
              <a:schemeClr val="accent1"/>
            </a:solidFill>
            <a:round/>
          </a:ln>
          <a:effectLst/>
        </c:spPr>
        <c:marker>
          <c:symbol val="none"/>
        </c:marker>
      </c:pivotFmt>
      <c:pivotFmt>
        <c:idx val="234"/>
        <c:spPr>
          <a:solidFill>
            <a:schemeClr val="accent1"/>
          </a:solidFill>
          <a:ln w="28575" cap="rnd">
            <a:solidFill>
              <a:schemeClr val="accent1"/>
            </a:solidFill>
            <a:round/>
          </a:ln>
          <a:effectLst/>
        </c:spPr>
        <c:marker>
          <c:symbol val="none"/>
        </c:marker>
      </c:pivotFmt>
      <c:pivotFmt>
        <c:idx val="235"/>
        <c:spPr>
          <a:solidFill>
            <a:schemeClr val="accent1"/>
          </a:solidFill>
          <a:ln w="28575" cap="rnd">
            <a:solidFill>
              <a:schemeClr val="accent1"/>
            </a:solidFill>
            <a:round/>
          </a:ln>
          <a:effectLst/>
        </c:spPr>
        <c:marker>
          <c:symbol val="none"/>
        </c:marker>
      </c:pivotFmt>
      <c:pivotFmt>
        <c:idx val="236"/>
        <c:spPr>
          <a:solidFill>
            <a:schemeClr val="accent1"/>
          </a:solidFill>
          <a:ln w="28575" cap="rnd">
            <a:solidFill>
              <a:schemeClr val="accent1"/>
            </a:solidFill>
            <a:round/>
          </a:ln>
          <a:effectLst/>
        </c:spPr>
        <c:marker>
          <c:symbol val="none"/>
        </c:marker>
      </c:pivotFmt>
      <c:pivotFmt>
        <c:idx val="237"/>
        <c:spPr>
          <a:solidFill>
            <a:schemeClr val="accent1"/>
          </a:solidFill>
          <a:ln w="28575" cap="rnd">
            <a:solidFill>
              <a:schemeClr val="accent1"/>
            </a:solidFill>
            <a:round/>
          </a:ln>
          <a:effectLst/>
        </c:spPr>
        <c:marker>
          <c:symbol val="none"/>
        </c:marker>
      </c:pivotFmt>
      <c:pivotFmt>
        <c:idx val="238"/>
        <c:spPr>
          <a:solidFill>
            <a:schemeClr val="accent1"/>
          </a:solidFill>
          <a:ln w="28575" cap="rnd">
            <a:solidFill>
              <a:schemeClr val="accent1"/>
            </a:solidFill>
            <a:round/>
          </a:ln>
          <a:effectLst/>
        </c:spPr>
        <c:marker>
          <c:symbol val="none"/>
        </c:marker>
      </c:pivotFmt>
      <c:pivotFmt>
        <c:idx val="239"/>
        <c:spPr>
          <a:solidFill>
            <a:schemeClr val="accent1"/>
          </a:solidFill>
          <a:ln w="28575" cap="rnd">
            <a:solidFill>
              <a:schemeClr val="accent1"/>
            </a:solidFill>
            <a:round/>
          </a:ln>
          <a:effectLst/>
        </c:spPr>
        <c:marker>
          <c:symbol val="none"/>
        </c:marker>
      </c:pivotFmt>
      <c:pivotFmt>
        <c:idx val="240"/>
        <c:spPr>
          <a:solidFill>
            <a:schemeClr val="accent1"/>
          </a:solidFill>
          <a:ln w="28575" cap="rnd">
            <a:solidFill>
              <a:schemeClr val="accent1"/>
            </a:solidFill>
            <a:round/>
          </a:ln>
          <a:effectLst/>
        </c:spPr>
        <c:marker>
          <c:symbol val="none"/>
        </c:marker>
      </c:pivotFmt>
      <c:pivotFmt>
        <c:idx val="241"/>
        <c:spPr>
          <a:solidFill>
            <a:schemeClr val="accent1"/>
          </a:solidFill>
          <a:ln w="28575" cap="rnd">
            <a:solidFill>
              <a:schemeClr val="accent1"/>
            </a:solidFill>
            <a:round/>
          </a:ln>
          <a:effectLst/>
        </c:spPr>
        <c:marker>
          <c:symbol val="none"/>
        </c:marker>
      </c:pivotFmt>
      <c:pivotFmt>
        <c:idx val="242"/>
        <c:spPr>
          <a:solidFill>
            <a:schemeClr val="accent1"/>
          </a:solidFill>
          <a:ln w="28575" cap="rnd">
            <a:solidFill>
              <a:schemeClr val="accent1"/>
            </a:solidFill>
            <a:round/>
          </a:ln>
          <a:effectLst/>
        </c:spPr>
        <c:marker>
          <c:symbol val="none"/>
        </c:marker>
      </c:pivotFmt>
      <c:pivotFmt>
        <c:idx val="243"/>
        <c:spPr>
          <a:solidFill>
            <a:schemeClr val="accent1"/>
          </a:solidFill>
          <a:ln w="28575" cap="rnd">
            <a:solidFill>
              <a:schemeClr val="accent1"/>
            </a:solidFill>
            <a:round/>
          </a:ln>
          <a:effectLst/>
        </c:spPr>
        <c:marker>
          <c:symbol val="none"/>
        </c:marker>
      </c:pivotFmt>
      <c:pivotFmt>
        <c:idx val="244"/>
        <c:spPr>
          <a:solidFill>
            <a:schemeClr val="accent1"/>
          </a:solidFill>
          <a:ln w="28575" cap="rnd">
            <a:solidFill>
              <a:schemeClr val="accent1"/>
            </a:solidFill>
            <a:round/>
          </a:ln>
          <a:effectLst/>
        </c:spPr>
        <c:marker>
          <c:symbol val="none"/>
        </c:marker>
      </c:pivotFmt>
      <c:pivotFmt>
        <c:idx val="245"/>
        <c:spPr>
          <a:solidFill>
            <a:schemeClr val="accent1"/>
          </a:solidFill>
          <a:ln w="28575" cap="rnd">
            <a:solidFill>
              <a:schemeClr val="accent1"/>
            </a:solidFill>
            <a:round/>
          </a:ln>
          <a:effectLst/>
        </c:spPr>
        <c:marker>
          <c:symbol val="none"/>
        </c:marker>
      </c:pivotFmt>
      <c:pivotFmt>
        <c:idx val="246"/>
        <c:spPr>
          <a:solidFill>
            <a:schemeClr val="accent1"/>
          </a:solidFill>
          <a:ln w="28575" cap="rnd">
            <a:solidFill>
              <a:schemeClr val="accent1"/>
            </a:solidFill>
            <a:round/>
          </a:ln>
          <a:effectLst/>
        </c:spPr>
        <c:marker>
          <c:symbol val="none"/>
        </c:marker>
      </c:pivotFmt>
      <c:pivotFmt>
        <c:idx val="247"/>
        <c:spPr>
          <a:solidFill>
            <a:schemeClr val="accent1"/>
          </a:solidFill>
          <a:ln w="28575" cap="rnd">
            <a:solidFill>
              <a:schemeClr val="accent1"/>
            </a:solidFill>
            <a:round/>
          </a:ln>
          <a:effectLst/>
        </c:spPr>
        <c:marker>
          <c:symbol val="none"/>
        </c:marker>
      </c:pivotFmt>
      <c:pivotFmt>
        <c:idx val="248"/>
        <c:spPr>
          <a:solidFill>
            <a:schemeClr val="accent1"/>
          </a:solidFill>
          <a:ln w="28575" cap="rnd">
            <a:solidFill>
              <a:schemeClr val="accent1"/>
            </a:solidFill>
            <a:round/>
          </a:ln>
          <a:effectLst/>
        </c:spPr>
        <c:marker>
          <c:symbol val="none"/>
        </c:marker>
      </c:pivotFmt>
      <c:pivotFmt>
        <c:idx val="249"/>
        <c:spPr>
          <a:solidFill>
            <a:schemeClr val="accent1"/>
          </a:solidFill>
          <a:ln w="28575" cap="rnd">
            <a:solidFill>
              <a:schemeClr val="accent1"/>
            </a:solidFill>
            <a:round/>
          </a:ln>
          <a:effectLst/>
        </c:spPr>
        <c:marker>
          <c:symbol val="none"/>
        </c:marker>
      </c:pivotFmt>
      <c:pivotFmt>
        <c:idx val="250"/>
        <c:spPr>
          <a:solidFill>
            <a:schemeClr val="accent1"/>
          </a:solidFill>
          <a:ln w="28575" cap="rnd">
            <a:solidFill>
              <a:schemeClr val="accent1"/>
            </a:solidFill>
            <a:round/>
          </a:ln>
          <a:effectLst/>
        </c:spPr>
        <c:marker>
          <c:symbol val="none"/>
        </c:marker>
      </c:pivotFmt>
      <c:pivotFmt>
        <c:idx val="251"/>
        <c:spPr>
          <a:solidFill>
            <a:schemeClr val="accent1"/>
          </a:solidFill>
          <a:ln w="28575" cap="rnd">
            <a:solidFill>
              <a:schemeClr val="accent1"/>
            </a:solidFill>
            <a:round/>
          </a:ln>
          <a:effectLst/>
        </c:spPr>
        <c:marker>
          <c:symbol val="none"/>
        </c:marker>
      </c:pivotFmt>
      <c:pivotFmt>
        <c:idx val="252"/>
        <c:spPr>
          <a:solidFill>
            <a:schemeClr val="accent1"/>
          </a:solidFill>
          <a:ln w="28575" cap="rnd">
            <a:solidFill>
              <a:schemeClr val="accent1"/>
            </a:solidFill>
            <a:round/>
          </a:ln>
          <a:effectLst/>
        </c:spPr>
        <c:marker>
          <c:symbol val="none"/>
        </c:marker>
      </c:pivotFmt>
      <c:pivotFmt>
        <c:idx val="253"/>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4"/>
        <c:spPr>
          <a:ln w="28575" cap="rnd">
            <a:solidFill>
              <a:schemeClr val="accent1"/>
            </a:solidFill>
            <a:round/>
          </a:ln>
          <a:effectLst/>
        </c:spPr>
        <c:marker>
          <c:symbol val="none"/>
        </c:marker>
      </c:pivotFmt>
      <c:pivotFmt>
        <c:idx val="255"/>
        <c:spPr>
          <a:ln w="28575" cap="rnd">
            <a:solidFill>
              <a:schemeClr val="accent1"/>
            </a:solidFill>
            <a:round/>
          </a:ln>
          <a:effectLst/>
        </c:spPr>
        <c:marker>
          <c:symbol val="none"/>
        </c:marker>
      </c:pivotFmt>
      <c:pivotFmt>
        <c:idx val="256"/>
        <c:spPr>
          <a:ln w="28575" cap="rnd">
            <a:solidFill>
              <a:schemeClr val="accent1"/>
            </a:solidFill>
            <a:round/>
          </a:ln>
          <a:effectLst/>
        </c:spPr>
        <c:marker>
          <c:symbol val="none"/>
        </c:marker>
      </c:pivotFmt>
      <c:pivotFmt>
        <c:idx val="257"/>
        <c:spPr>
          <a:ln w="28575" cap="rnd">
            <a:solidFill>
              <a:schemeClr val="accent1"/>
            </a:solidFill>
            <a:round/>
          </a:ln>
          <a:effectLst/>
        </c:spPr>
        <c:marker>
          <c:symbol val="none"/>
        </c:marker>
      </c:pivotFmt>
      <c:pivotFmt>
        <c:idx val="258"/>
        <c:spPr>
          <a:ln w="28575" cap="rnd">
            <a:solidFill>
              <a:schemeClr val="accent1"/>
            </a:solidFill>
            <a:round/>
          </a:ln>
          <a:effectLst/>
        </c:spPr>
        <c:marker>
          <c:symbol val="none"/>
        </c:marker>
      </c:pivotFmt>
      <c:pivotFmt>
        <c:idx val="259"/>
        <c:spPr>
          <a:ln w="28575" cap="rnd">
            <a:solidFill>
              <a:schemeClr val="accent1"/>
            </a:solidFill>
            <a:round/>
          </a:ln>
          <a:effectLst/>
        </c:spPr>
        <c:marker>
          <c:symbol val="none"/>
        </c:marker>
      </c:pivotFmt>
      <c:pivotFmt>
        <c:idx val="260"/>
        <c:spPr>
          <a:ln w="28575" cap="rnd">
            <a:solidFill>
              <a:schemeClr val="accent1"/>
            </a:solidFill>
            <a:round/>
          </a:ln>
          <a:effectLst/>
        </c:spPr>
        <c:marker>
          <c:symbol val="none"/>
        </c:marker>
      </c:pivotFmt>
      <c:pivotFmt>
        <c:idx val="261"/>
        <c:spPr>
          <a:ln w="28575" cap="rnd">
            <a:solidFill>
              <a:schemeClr val="accent1"/>
            </a:solidFill>
            <a:round/>
          </a:ln>
          <a:effectLst/>
        </c:spPr>
        <c:marker>
          <c:symbol val="none"/>
        </c:marker>
      </c:pivotFmt>
      <c:pivotFmt>
        <c:idx val="262"/>
        <c:spPr>
          <a:ln w="28575" cap="rnd">
            <a:solidFill>
              <a:schemeClr val="accent1"/>
            </a:solidFill>
            <a:round/>
          </a:ln>
          <a:effectLst/>
        </c:spPr>
        <c:marker>
          <c:symbol val="none"/>
        </c:marker>
      </c:pivotFmt>
      <c:pivotFmt>
        <c:idx val="263"/>
        <c:spPr>
          <a:ln w="28575" cap="rnd">
            <a:solidFill>
              <a:schemeClr val="accent1"/>
            </a:solidFill>
            <a:round/>
          </a:ln>
          <a:effectLst/>
        </c:spPr>
        <c:marker>
          <c:symbol val="none"/>
        </c:marker>
      </c:pivotFmt>
      <c:pivotFmt>
        <c:idx val="264"/>
        <c:spPr>
          <a:ln w="28575" cap="rnd">
            <a:solidFill>
              <a:schemeClr val="accent1"/>
            </a:solidFill>
            <a:round/>
          </a:ln>
          <a:effectLst/>
        </c:spPr>
        <c:marker>
          <c:symbol val="none"/>
        </c:marker>
      </c:pivotFmt>
      <c:pivotFmt>
        <c:idx val="265"/>
        <c:spPr>
          <a:ln w="28575" cap="rnd">
            <a:solidFill>
              <a:schemeClr val="accent1"/>
            </a:solidFill>
            <a:round/>
          </a:ln>
          <a:effectLst/>
        </c:spPr>
        <c:marker>
          <c:symbol val="none"/>
        </c:marker>
      </c:pivotFmt>
      <c:pivotFmt>
        <c:idx val="266"/>
        <c:spPr>
          <a:ln w="28575" cap="rnd">
            <a:solidFill>
              <a:schemeClr val="accent1"/>
            </a:solidFill>
            <a:round/>
          </a:ln>
          <a:effectLst/>
        </c:spPr>
        <c:marker>
          <c:symbol val="none"/>
        </c:marker>
      </c:pivotFmt>
      <c:pivotFmt>
        <c:idx val="267"/>
        <c:spPr>
          <a:ln w="28575" cap="rnd">
            <a:solidFill>
              <a:schemeClr val="accent1"/>
            </a:solidFill>
            <a:round/>
          </a:ln>
          <a:effectLst/>
        </c:spPr>
        <c:marker>
          <c:symbol val="none"/>
        </c:marker>
      </c:pivotFmt>
      <c:pivotFmt>
        <c:idx val="268"/>
        <c:spPr>
          <a:ln w="28575" cap="rnd">
            <a:solidFill>
              <a:schemeClr val="accent1"/>
            </a:solidFill>
            <a:round/>
          </a:ln>
          <a:effectLst/>
        </c:spPr>
        <c:marker>
          <c:symbol val="none"/>
        </c:marker>
      </c:pivotFmt>
      <c:pivotFmt>
        <c:idx val="269"/>
        <c:spPr>
          <a:ln w="28575" cap="rnd">
            <a:solidFill>
              <a:schemeClr val="accent1"/>
            </a:solidFill>
            <a:round/>
          </a:ln>
          <a:effectLst/>
        </c:spPr>
        <c:marker>
          <c:symbol val="none"/>
        </c:marker>
      </c:pivotFmt>
      <c:pivotFmt>
        <c:idx val="270"/>
        <c:spPr>
          <a:ln w="28575" cap="rnd">
            <a:solidFill>
              <a:schemeClr val="accent1"/>
            </a:solidFill>
            <a:round/>
          </a:ln>
          <a:effectLst/>
        </c:spPr>
        <c:marker>
          <c:symbol val="none"/>
        </c:marker>
      </c:pivotFmt>
      <c:pivotFmt>
        <c:idx val="271"/>
        <c:spPr>
          <a:ln w="28575" cap="rnd">
            <a:solidFill>
              <a:schemeClr val="accent1"/>
            </a:solidFill>
            <a:round/>
          </a:ln>
          <a:effectLst/>
        </c:spPr>
        <c:marker>
          <c:symbol val="none"/>
        </c:marker>
      </c:pivotFmt>
      <c:pivotFmt>
        <c:idx val="272"/>
        <c:spPr>
          <a:ln w="28575" cap="rnd">
            <a:solidFill>
              <a:schemeClr val="accent1"/>
            </a:solidFill>
            <a:round/>
          </a:ln>
          <a:effectLst/>
        </c:spPr>
        <c:marker>
          <c:symbol val="none"/>
        </c:marker>
      </c:pivotFmt>
      <c:pivotFmt>
        <c:idx val="273"/>
        <c:spPr>
          <a:ln w="28575" cap="rnd">
            <a:solidFill>
              <a:schemeClr val="accent1"/>
            </a:solidFill>
            <a:round/>
          </a:ln>
          <a:effectLst/>
        </c:spPr>
        <c:marker>
          <c:symbol val="none"/>
        </c:marker>
      </c:pivotFmt>
      <c:pivotFmt>
        <c:idx val="274"/>
        <c:spPr>
          <a:ln w="28575" cap="rnd">
            <a:solidFill>
              <a:schemeClr val="accent1"/>
            </a:solidFill>
            <a:round/>
          </a:ln>
          <a:effectLst/>
        </c:spPr>
        <c:marker>
          <c:symbol val="none"/>
        </c:marker>
      </c:pivotFmt>
      <c:pivotFmt>
        <c:idx val="275"/>
        <c:spPr>
          <a:ln w="28575" cap="rnd">
            <a:solidFill>
              <a:schemeClr val="accent1"/>
            </a:solidFill>
            <a:round/>
          </a:ln>
          <a:effectLst/>
        </c:spPr>
        <c:marker>
          <c:symbol val="none"/>
        </c:marker>
      </c:pivotFmt>
      <c:pivotFmt>
        <c:idx val="276"/>
        <c:spPr>
          <a:ln w="28575" cap="rnd">
            <a:solidFill>
              <a:schemeClr val="accent1"/>
            </a:solidFill>
            <a:round/>
          </a:ln>
          <a:effectLst/>
        </c:spPr>
        <c:marker>
          <c:symbol val="none"/>
        </c:marker>
      </c:pivotFmt>
      <c:pivotFmt>
        <c:idx val="277"/>
        <c:spPr>
          <a:ln w="28575" cap="rnd">
            <a:solidFill>
              <a:schemeClr val="accent1"/>
            </a:solidFill>
            <a:round/>
          </a:ln>
          <a:effectLst/>
        </c:spPr>
        <c:marker>
          <c:symbol val="none"/>
        </c:marker>
      </c:pivotFmt>
      <c:pivotFmt>
        <c:idx val="278"/>
        <c:spPr>
          <a:ln w="28575" cap="rnd">
            <a:solidFill>
              <a:schemeClr val="accent1"/>
            </a:solidFill>
            <a:round/>
          </a:ln>
          <a:effectLst/>
        </c:spPr>
        <c:marker>
          <c:symbol val="none"/>
        </c:marker>
      </c:pivotFmt>
      <c:pivotFmt>
        <c:idx val="279"/>
        <c:spPr>
          <a:ln w="28575" cap="rnd">
            <a:solidFill>
              <a:schemeClr val="accent1"/>
            </a:solidFill>
            <a:round/>
          </a:ln>
          <a:effectLst/>
        </c:spPr>
        <c:marker>
          <c:symbol val="none"/>
        </c:marker>
      </c:pivotFmt>
      <c:pivotFmt>
        <c:idx val="280"/>
        <c:spPr>
          <a:ln w="28575" cap="rnd">
            <a:solidFill>
              <a:schemeClr val="accent1"/>
            </a:solidFill>
            <a:round/>
          </a:ln>
          <a:effectLst/>
        </c:spPr>
        <c:marker>
          <c:symbol val="none"/>
        </c:marker>
      </c:pivotFmt>
      <c:pivotFmt>
        <c:idx val="281"/>
        <c:spPr>
          <a:ln w="28575" cap="rnd">
            <a:solidFill>
              <a:schemeClr val="accent1"/>
            </a:solidFill>
            <a:round/>
          </a:ln>
          <a:effectLst/>
        </c:spPr>
        <c:marker>
          <c:symbol val="none"/>
        </c:marker>
      </c:pivotFmt>
      <c:pivotFmt>
        <c:idx val="282"/>
        <c:spPr>
          <a:ln w="28575" cap="rnd">
            <a:solidFill>
              <a:schemeClr val="accent1"/>
            </a:solidFill>
            <a:round/>
          </a:ln>
          <a:effectLst/>
        </c:spPr>
        <c:marker>
          <c:symbol val="none"/>
        </c:marker>
      </c:pivotFmt>
      <c:pivotFmt>
        <c:idx val="283"/>
        <c:spPr>
          <a:ln w="28575" cap="rnd">
            <a:solidFill>
              <a:schemeClr val="accent1"/>
            </a:solidFill>
            <a:round/>
          </a:ln>
          <a:effectLst/>
        </c:spPr>
        <c:marker>
          <c:symbol val="none"/>
        </c:marker>
      </c:pivotFmt>
      <c:pivotFmt>
        <c:idx val="284"/>
        <c:spPr>
          <a:ln w="28575" cap="rnd">
            <a:solidFill>
              <a:schemeClr val="accent1"/>
            </a:solidFill>
            <a:round/>
          </a:ln>
          <a:effectLst/>
        </c:spPr>
        <c:marker>
          <c:symbol val="none"/>
        </c:marker>
      </c:pivotFmt>
      <c:pivotFmt>
        <c:idx val="285"/>
        <c:spPr>
          <a:ln w="28575" cap="rnd">
            <a:solidFill>
              <a:schemeClr val="accent1"/>
            </a:solidFill>
            <a:round/>
          </a:ln>
          <a:effectLst/>
        </c:spPr>
        <c:marker>
          <c:symbol val="none"/>
        </c:marker>
      </c:pivotFmt>
      <c:pivotFmt>
        <c:idx val="286"/>
        <c:spPr>
          <a:ln w="28575" cap="rnd">
            <a:solidFill>
              <a:schemeClr val="accent1"/>
            </a:solidFill>
            <a:round/>
          </a:ln>
          <a:effectLst/>
        </c:spPr>
        <c:marker>
          <c:symbol val="none"/>
        </c:marker>
      </c:pivotFmt>
      <c:pivotFmt>
        <c:idx val="287"/>
        <c:spPr>
          <a:ln w="28575" cap="rnd">
            <a:solidFill>
              <a:schemeClr val="accent1"/>
            </a:solidFill>
            <a:round/>
          </a:ln>
          <a:effectLst/>
        </c:spPr>
        <c:marker>
          <c:symbol val="none"/>
        </c:marker>
      </c:pivotFmt>
      <c:pivotFmt>
        <c:idx val="288"/>
        <c:spPr>
          <a:ln w="28575" cap="rnd">
            <a:solidFill>
              <a:schemeClr val="accent1"/>
            </a:solidFill>
            <a:round/>
          </a:ln>
          <a:effectLst/>
        </c:spPr>
        <c:marker>
          <c:symbol val="none"/>
        </c:marker>
      </c:pivotFmt>
      <c:pivotFmt>
        <c:idx val="289"/>
        <c:spPr>
          <a:ln w="28575" cap="rnd">
            <a:solidFill>
              <a:schemeClr val="accent1"/>
            </a:solidFill>
            <a:round/>
          </a:ln>
          <a:effectLst/>
        </c:spPr>
        <c:marker>
          <c:symbol val="none"/>
        </c:marker>
      </c:pivotFmt>
      <c:pivotFmt>
        <c:idx val="290"/>
        <c:spPr>
          <a:ln w="28575" cap="rnd">
            <a:solidFill>
              <a:schemeClr val="accent1"/>
            </a:solidFill>
            <a:round/>
          </a:ln>
          <a:effectLst/>
        </c:spPr>
        <c:marker>
          <c:symbol val="none"/>
        </c:marker>
      </c:pivotFmt>
      <c:pivotFmt>
        <c:idx val="291"/>
        <c:spPr>
          <a:ln w="28575" cap="rnd">
            <a:solidFill>
              <a:schemeClr val="accent1"/>
            </a:solidFill>
            <a:round/>
          </a:ln>
          <a:effectLst/>
        </c:spPr>
        <c:marker>
          <c:symbol val="none"/>
        </c:marker>
      </c:pivotFmt>
      <c:pivotFmt>
        <c:idx val="292"/>
        <c:spPr>
          <a:ln w="28575" cap="rnd">
            <a:solidFill>
              <a:schemeClr val="accent1"/>
            </a:solidFill>
            <a:round/>
          </a:ln>
          <a:effectLst/>
        </c:spPr>
        <c:marker>
          <c:symbol val="none"/>
        </c:marker>
      </c:pivotFmt>
      <c:pivotFmt>
        <c:idx val="293"/>
        <c:spPr>
          <a:ln w="28575" cap="rnd">
            <a:solidFill>
              <a:schemeClr val="accent1"/>
            </a:solidFill>
            <a:round/>
          </a:ln>
          <a:effectLst/>
        </c:spPr>
        <c:marker>
          <c:symbol val="none"/>
        </c:marker>
      </c:pivotFmt>
      <c:pivotFmt>
        <c:idx val="294"/>
        <c:spPr>
          <a:ln w="28575" cap="rnd">
            <a:solidFill>
              <a:schemeClr val="accent1"/>
            </a:solidFill>
            <a:round/>
          </a:ln>
          <a:effectLst/>
        </c:spPr>
        <c:marker>
          <c:symbol val="none"/>
        </c:marker>
      </c:pivotFmt>
      <c:pivotFmt>
        <c:idx val="295"/>
        <c:spPr>
          <a:ln w="28575" cap="rnd">
            <a:solidFill>
              <a:schemeClr val="accent1"/>
            </a:solidFill>
            <a:round/>
          </a:ln>
          <a:effectLst/>
        </c:spPr>
        <c:marker>
          <c:symbol val="none"/>
        </c:marker>
      </c:pivotFmt>
      <c:pivotFmt>
        <c:idx val="296"/>
        <c:spPr>
          <a:ln w="28575" cap="rnd">
            <a:solidFill>
              <a:schemeClr val="accent1"/>
            </a:solidFill>
            <a:round/>
          </a:ln>
          <a:effectLst/>
        </c:spPr>
        <c:marker>
          <c:symbol val="none"/>
        </c:marker>
      </c:pivotFmt>
      <c:pivotFmt>
        <c:idx val="297"/>
        <c:spPr>
          <a:ln w="28575" cap="rnd">
            <a:solidFill>
              <a:schemeClr val="accent1"/>
            </a:solidFill>
            <a:round/>
          </a:ln>
          <a:effectLst/>
        </c:spPr>
        <c:marker>
          <c:symbol val="none"/>
        </c:marker>
      </c:pivotFmt>
      <c:pivotFmt>
        <c:idx val="298"/>
        <c:spPr>
          <a:ln w="28575" cap="rnd">
            <a:solidFill>
              <a:schemeClr val="accent1"/>
            </a:solidFill>
            <a:round/>
          </a:ln>
          <a:effectLst/>
        </c:spPr>
        <c:marker>
          <c:symbol val="none"/>
        </c:marker>
      </c:pivotFmt>
      <c:pivotFmt>
        <c:idx val="299"/>
        <c:spPr>
          <a:ln w="28575" cap="rnd">
            <a:solidFill>
              <a:schemeClr val="accent1"/>
            </a:solidFill>
            <a:round/>
          </a:ln>
          <a:effectLst/>
        </c:spPr>
        <c:marker>
          <c:symbol val="none"/>
        </c:marker>
      </c:pivotFmt>
      <c:pivotFmt>
        <c:idx val="300"/>
        <c:spPr>
          <a:ln w="28575" cap="rnd">
            <a:solidFill>
              <a:schemeClr val="accent1"/>
            </a:solidFill>
            <a:round/>
          </a:ln>
          <a:effectLst/>
        </c:spPr>
        <c:marker>
          <c:symbol val="none"/>
        </c:marker>
      </c:pivotFmt>
      <c:pivotFmt>
        <c:idx val="301"/>
        <c:spPr>
          <a:ln w="28575" cap="rnd">
            <a:solidFill>
              <a:schemeClr val="accent1"/>
            </a:solidFill>
            <a:round/>
          </a:ln>
          <a:effectLst/>
        </c:spPr>
        <c:marker>
          <c:symbol val="none"/>
        </c:marker>
      </c:pivotFmt>
      <c:pivotFmt>
        <c:idx val="302"/>
        <c:spPr>
          <a:ln w="28575" cap="rnd">
            <a:solidFill>
              <a:schemeClr val="accent1"/>
            </a:solidFill>
            <a:round/>
          </a:ln>
          <a:effectLst/>
        </c:spPr>
        <c:marker>
          <c:symbol val="none"/>
        </c:marker>
      </c:pivotFmt>
      <c:pivotFmt>
        <c:idx val="303"/>
        <c:spPr>
          <a:ln w="28575" cap="rnd">
            <a:solidFill>
              <a:schemeClr val="accent1"/>
            </a:solidFill>
            <a:round/>
          </a:ln>
          <a:effectLst/>
        </c:spPr>
        <c:marker>
          <c:symbol val="none"/>
        </c:marker>
      </c:pivotFmt>
      <c:pivotFmt>
        <c:idx val="304"/>
        <c:spPr>
          <a:ln w="28575" cap="rnd">
            <a:solidFill>
              <a:schemeClr val="accent1"/>
            </a:solidFill>
            <a:round/>
          </a:ln>
          <a:effectLst/>
        </c:spPr>
        <c:marker>
          <c:symbol val="none"/>
        </c:marker>
      </c:pivotFmt>
      <c:pivotFmt>
        <c:idx val="305"/>
        <c:spPr>
          <a:ln w="28575" cap="rnd">
            <a:solidFill>
              <a:schemeClr val="accent1"/>
            </a:solidFill>
            <a:round/>
          </a:ln>
          <a:effectLst/>
        </c:spPr>
        <c:marker>
          <c:symbol val="none"/>
        </c:marker>
      </c:pivotFmt>
      <c:pivotFmt>
        <c:idx val="306"/>
        <c:spPr>
          <a:ln w="28575" cap="rnd">
            <a:solidFill>
              <a:schemeClr val="accent1"/>
            </a:solidFill>
            <a:round/>
          </a:ln>
          <a:effectLst/>
        </c:spPr>
        <c:marker>
          <c:symbol val="none"/>
        </c:marker>
      </c:pivotFmt>
      <c:pivotFmt>
        <c:idx val="307"/>
        <c:spPr>
          <a:ln w="28575" cap="rnd">
            <a:solidFill>
              <a:schemeClr val="accent1"/>
            </a:solidFill>
            <a:round/>
          </a:ln>
          <a:effectLst/>
        </c:spPr>
        <c:marker>
          <c:symbol val="none"/>
        </c:marker>
      </c:pivotFmt>
      <c:pivotFmt>
        <c:idx val="308"/>
        <c:spPr>
          <a:ln w="28575" cap="rnd">
            <a:solidFill>
              <a:schemeClr val="accent1"/>
            </a:solidFill>
            <a:round/>
          </a:ln>
          <a:effectLst/>
        </c:spPr>
        <c:marker>
          <c:symbol val="none"/>
        </c:marker>
      </c:pivotFmt>
      <c:pivotFmt>
        <c:idx val="309"/>
        <c:spPr>
          <a:ln w="28575" cap="rnd">
            <a:solidFill>
              <a:schemeClr val="accent1"/>
            </a:solidFill>
            <a:round/>
          </a:ln>
          <a:effectLst/>
        </c:spPr>
        <c:marker>
          <c:symbol val="none"/>
        </c:marker>
      </c:pivotFmt>
      <c:pivotFmt>
        <c:idx val="310"/>
        <c:spPr>
          <a:ln w="28575" cap="rnd">
            <a:solidFill>
              <a:schemeClr val="accent1"/>
            </a:solidFill>
            <a:round/>
          </a:ln>
          <a:effectLst/>
        </c:spPr>
        <c:marker>
          <c:symbol val="none"/>
        </c:marker>
      </c:pivotFmt>
      <c:pivotFmt>
        <c:idx val="311"/>
        <c:spPr>
          <a:ln w="28575" cap="rnd">
            <a:solidFill>
              <a:schemeClr val="accent1"/>
            </a:solidFill>
            <a:round/>
          </a:ln>
          <a:effectLst/>
        </c:spPr>
        <c:marker>
          <c:symbol val="none"/>
        </c:marker>
      </c:pivotFmt>
      <c:pivotFmt>
        <c:idx val="312"/>
        <c:spPr>
          <a:ln w="28575" cap="rnd">
            <a:solidFill>
              <a:schemeClr val="accent1"/>
            </a:solidFill>
            <a:round/>
          </a:ln>
          <a:effectLst/>
        </c:spPr>
        <c:marker>
          <c:symbol val="none"/>
        </c:marker>
      </c:pivotFmt>
      <c:pivotFmt>
        <c:idx val="313"/>
        <c:spPr>
          <a:ln w="28575" cap="rnd">
            <a:solidFill>
              <a:schemeClr val="accent1"/>
            </a:solidFill>
            <a:round/>
          </a:ln>
          <a:effectLst/>
        </c:spPr>
        <c:marker>
          <c:symbol val="none"/>
        </c:marker>
      </c:pivotFmt>
      <c:pivotFmt>
        <c:idx val="314"/>
        <c:spPr>
          <a:ln w="28575" cap="rnd">
            <a:solidFill>
              <a:schemeClr val="accent1"/>
            </a:solidFill>
            <a:round/>
          </a:ln>
          <a:effectLst/>
        </c:spPr>
        <c:marker>
          <c:symbol val="none"/>
        </c:marker>
      </c:pivotFmt>
      <c:pivotFmt>
        <c:idx val="315"/>
        <c:spPr>
          <a:ln w="28575" cap="rnd">
            <a:solidFill>
              <a:schemeClr val="accent1"/>
            </a:solidFill>
            <a:round/>
          </a:ln>
          <a:effectLst/>
        </c:spPr>
        <c:marker>
          <c:symbol val="none"/>
        </c:marker>
      </c:pivotFmt>
      <c:pivotFmt>
        <c:idx val="316"/>
        <c:spPr>
          <a:ln w="28575" cap="rnd">
            <a:solidFill>
              <a:schemeClr val="accent1"/>
            </a:solidFill>
            <a:round/>
          </a:ln>
          <a:effectLst/>
        </c:spPr>
        <c:marker>
          <c:symbol val="none"/>
        </c:marker>
      </c:pivotFmt>
      <c:pivotFmt>
        <c:idx val="317"/>
        <c:spPr>
          <a:ln w="28575" cap="rnd">
            <a:solidFill>
              <a:schemeClr val="accent1"/>
            </a:solidFill>
            <a:round/>
          </a:ln>
          <a:effectLst/>
        </c:spPr>
        <c:marker>
          <c:symbol val="none"/>
        </c:marker>
      </c:pivotFmt>
      <c:pivotFmt>
        <c:idx val="318"/>
        <c:spPr>
          <a:ln w="28575" cap="rnd">
            <a:solidFill>
              <a:schemeClr val="accent1"/>
            </a:solidFill>
            <a:round/>
          </a:ln>
          <a:effectLst/>
        </c:spPr>
        <c:marker>
          <c:symbol val="none"/>
        </c:marker>
      </c:pivotFmt>
      <c:pivotFmt>
        <c:idx val="319"/>
        <c:spPr>
          <a:ln w="28575" cap="rnd">
            <a:solidFill>
              <a:schemeClr val="accent1"/>
            </a:solidFill>
            <a:round/>
          </a:ln>
          <a:effectLst/>
        </c:spPr>
        <c:marker>
          <c:symbol val="none"/>
        </c:marker>
      </c:pivotFmt>
      <c:pivotFmt>
        <c:idx val="320"/>
        <c:spPr>
          <a:ln w="28575" cap="rnd">
            <a:solidFill>
              <a:schemeClr val="accent1"/>
            </a:solidFill>
            <a:round/>
          </a:ln>
          <a:effectLst/>
        </c:spPr>
        <c:marker>
          <c:symbol val="none"/>
        </c:marker>
      </c:pivotFmt>
      <c:pivotFmt>
        <c:idx val="321"/>
        <c:spPr>
          <a:ln w="28575" cap="rnd">
            <a:solidFill>
              <a:schemeClr val="accent1"/>
            </a:solidFill>
            <a:round/>
          </a:ln>
          <a:effectLst/>
        </c:spPr>
        <c:marker>
          <c:symbol val="none"/>
        </c:marker>
      </c:pivotFmt>
      <c:pivotFmt>
        <c:idx val="322"/>
        <c:spPr>
          <a:ln w="28575" cap="rnd">
            <a:solidFill>
              <a:schemeClr val="accent1"/>
            </a:solidFill>
            <a:round/>
          </a:ln>
          <a:effectLst/>
        </c:spPr>
        <c:marker>
          <c:symbol val="none"/>
        </c:marker>
      </c:pivotFmt>
      <c:pivotFmt>
        <c:idx val="323"/>
        <c:spPr>
          <a:ln w="28575" cap="rnd">
            <a:solidFill>
              <a:schemeClr val="accent1"/>
            </a:solidFill>
            <a:round/>
          </a:ln>
          <a:effectLst/>
        </c:spPr>
        <c:marker>
          <c:symbol val="none"/>
        </c:marker>
      </c:pivotFmt>
      <c:pivotFmt>
        <c:idx val="324"/>
        <c:spPr>
          <a:ln w="28575" cap="rnd">
            <a:solidFill>
              <a:schemeClr val="accent1"/>
            </a:solidFill>
            <a:round/>
          </a:ln>
          <a:effectLst/>
        </c:spPr>
        <c:marker>
          <c:symbol val="none"/>
        </c:marker>
      </c:pivotFmt>
      <c:pivotFmt>
        <c:idx val="325"/>
        <c:spPr>
          <a:ln w="28575" cap="rnd">
            <a:solidFill>
              <a:schemeClr val="accent1"/>
            </a:solidFill>
            <a:round/>
          </a:ln>
          <a:effectLst/>
        </c:spPr>
        <c:marker>
          <c:symbol val="none"/>
        </c:marker>
      </c:pivotFmt>
      <c:pivotFmt>
        <c:idx val="326"/>
        <c:spPr>
          <a:ln w="28575" cap="rnd">
            <a:solidFill>
              <a:schemeClr val="accent1"/>
            </a:solidFill>
            <a:round/>
          </a:ln>
          <a:effectLst/>
        </c:spPr>
        <c:marker>
          <c:symbol val="none"/>
        </c:marker>
      </c:pivotFmt>
      <c:pivotFmt>
        <c:idx val="327"/>
        <c:spPr>
          <a:ln w="28575" cap="rnd">
            <a:solidFill>
              <a:schemeClr val="accent1"/>
            </a:solidFill>
            <a:round/>
          </a:ln>
          <a:effectLst/>
        </c:spPr>
        <c:marker>
          <c:symbol val="none"/>
        </c:marker>
      </c:pivotFmt>
      <c:pivotFmt>
        <c:idx val="328"/>
        <c:spPr>
          <a:ln w="28575" cap="rnd">
            <a:solidFill>
              <a:schemeClr val="accent1"/>
            </a:solidFill>
            <a:round/>
          </a:ln>
          <a:effectLst/>
        </c:spPr>
        <c:marker>
          <c:symbol val="none"/>
        </c:marker>
      </c:pivotFmt>
      <c:pivotFmt>
        <c:idx val="329"/>
        <c:spPr>
          <a:ln w="28575" cap="rnd">
            <a:solidFill>
              <a:schemeClr val="accent1"/>
            </a:solidFill>
            <a:round/>
          </a:ln>
          <a:effectLst/>
        </c:spPr>
        <c:marker>
          <c:symbol val="none"/>
        </c:marker>
      </c:pivotFmt>
      <c:pivotFmt>
        <c:idx val="330"/>
        <c:spPr>
          <a:ln w="28575" cap="rnd">
            <a:solidFill>
              <a:schemeClr val="accent1"/>
            </a:solidFill>
            <a:round/>
          </a:ln>
          <a:effectLst/>
        </c:spPr>
        <c:marker>
          <c:symbol val="none"/>
        </c:marker>
      </c:pivotFmt>
      <c:pivotFmt>
        <c:idx val="331"/>
        <c:spPr>
          <a:ln w="28575" cap="rnd">
            <a:solidFill>
              <a:schemeClr val="accent1"/>
            </a:solidFill>
            <a:round/>
          </a:ln>
          <a:effectLst/>
        </c:spPr>
        <c:marker>
          <c:symbol val="none"/>
        </c:marker>
      </c:pivotFmt>
      <c:pivotFmt>
        <c:idx val="332"/>
        <c:spPr>
          <a:ln w="28575" cap="rnd">
            <a:solidFill>
              <a:schemeClr val="accent1"/>
            </a:solidFill>
            <a:round/>
          </a:ln>
          <a:effectLst/>
        </c:spPr>
        <c:marker>
          <c:symbol val="none"/>
        </c:marker>
      </c:pivotFmt>
      <c:pivotFmt>
        <c:idx val="333"/>
        <c:spPr>
          <a:ln w="28575" cap="rnd">
            <a:solidFill>
              <a:schemeClr val="accent1"/>
            </a:solidFill>
            <a:round/>
          </a:ln>
          <a:effectLst/>
        </c:spPr>
        <c:marker>
          <c:symbol val="none"/>
        </c:marker>
      </c:pivotFmt>
      <c:pivotFmt>
        <c:idx val="334"/>
        <c:spPr>
          <a:ln w="28575" cap="rnd">
            <a:solidFill>
              <a:schemeClr val="accent1"/>
            </a:solidFill>
            <a:round/>
          </a:ln>
          <a:effectLst/>
        </c:spPr>
        <c:marker>
          <c:symbol val="none"/>
        </c:marker>
      </c:pivotFmt>
      <c:pivotFmt>
        <c:idx val="335"/>
        <c:spPr>
          <a:ln w="28575" cap="rnd">
            <a:solidFill>
              <a:schemeClr val="accent1"/>
            </a:solidFill>
            <a:round/>
          </a:ln>
          <a:effectLst/>
        </c:spPr>
        <c:marker>
          <c:symbol val="none"/>
        </c:marker>
      </c:pivotFmt>
      <c:pivotFmt>
        <c:idx val="336"/>
        <c:spPr>
          <a:ln w="28575" cap="rnd">
            <a:solidFill>
              <a:schemeClr val="accent1"/>
            </a:solidFill>
            <a:round/>
          </a:ln>
          <a:effectLst/>
        </c:spPr>
        <c:marker>
          <c:symbol val="none"/>
        </c:marker>
      </c:pivotFmt>
    </c:pivotFmts>
    <c:plotArea>
      <c:layout>
        <c:manualLayout>
          <c:layoutTarget val="inner"/>
          <c:xMode val="edge"/>
          <c:yMode val="edge"/>
          <c:x val="6.4879275994709662E-2"/>
          <c:y val="1.7989438184339453E-2"/>
          <c:w val="0.87575400533795855"/>
          <c:h val="0.84680555555555559"/>
        </c:manualLayout>
      </c:layout>
      <c:lineChart>
        <c:grouping val="standard"/>
        <c:varyColors val="0"/>
        <c:ser>
          <c:idx val="0"/>
          <c:order val="0"/>
          <c:tx>
            <c:strRef>
              <c:f>'Sport Across Nationality'!$B$3</c:f>
              <c:strCache>
                <c:ptCount val="1"/>
                <c:pt idx="0">
                  <c:v>Total</c:v>
                </c:pt>
              </c:strCache>
            </c:strRef>
          </c:tx>
          <c:spPr>
            <a:ln w="28575" cap="rnd">
              <a:solidFill>
                <a:schemeClr val="accent1"/>
              </a:solidFill>
              <a:round/>
            </a:ln>
            <a:effectLst/>
          </c:spPr>
          <c:marker>
            <c:symbol val="none"/>
          </c:marker>
          <c:dPt>
            <c:idx val="0"/>
            <c:marker>
              <c:symbol val="none"/>
            </c:marker>
            <c:bubble3D val="0"/>
            <c:spPr>
              <a:ln w="28575" cap="rnd">
                <a:solidFill>
                  <a:schemeClr val="accent1"/>
                </a:solidFill>
                <a:round/>
              </a:ln>
              <a:effectLst/>
            </c:spPr>
            <c:extLst>
              <c:ext xmlns:c16="http://schemas.microsoft.com/office/drawing/2014/chart" uri="{C3380CC4-5D6E-409C-BE32-E72D297353CC}">
                <c16:uniqueId val="{00000001-567F-44C6-B76D-9C7AD4B02B9E}"/>
              </c:ext>
            </c:extLst>
          </c:dPt>
          <c:dPt>
            <c:idx val="1"/>
            <c:marker>
              <c:symbol val="none"/>
            </c:marker>
            <c:bubble3D val="0"/>
            <c:spPr>
              <a:ln w="28575" cap="rnd">
                <a:solidFill>
                  <a:schemeClr val="accent1"/>
                </a:solidFill>
                <a:round/>
              </a:ln>
              <a:effectLst/>
            </c:spPr>
            <c:extLst>
              <c:ext xmlns:c16="http://schemas.microsoft.com/office/drawing/2014/chart" uri="{C3380CC4-5D6E-409C-BE32-E72D297353CC}">
                <c16:uniqueId val="{00000003-567F-44C6-B76D-9C7AD4B02B9E}"/>
              </c:ext>
            </c:extLst>
          </c:dPt>
          <c:dPt>
            <c:idx val="2"/>
            <c:marker>
              <c:symbol val="none"/>
            </c:marker>
            <c:bubble3D val="0"/>
            <c:spPr>
              <a:ln w="28575" cap="rnd">
                <a:solidFill>
                  <a:schemeClr val="accent1"/>
                </a:solidFill>
                <a:round/>
              </a:ln>
              <a:effectLst/>
            </c:spPr>
            <c:extLst>
              <c:ext xmlns:c16="http://schemas.microsoft.com/office/drawing/2014/chart" uri="{C3380CC4-5D6E-409C-BE32-E72D297353CC}">
                <c16:uniqueId val="{00000005-567F-44C6-B76D-9C7AD4B02B9E}"/>
              </c:ext>
            </c:extLst>
          </c:dPt>
          <c:dPt>
            <c:idx val="3"/>
            <c:marker>
              <c:symbol val="none"/>
            </c:marker>
            <c:bubble3D val="0"/>
            <c:spPr>
              <a:ln w="28575" cap="rnd">
                <a:solidFill>
                  <a:schemeClr val="accent1"/>
                </a:solidFill>
                <a:round/>
              </a:ln>
              <a:effectLst/>
            </c:spPr>
            <c:extLst>
              <c:ext xmlns:c16="http://schemas.microsoft.com/office/drawing/2014/chart" uri="{C3380CC4-5D6E-409C-BE32-E72D297353CC}">
                <c16:uniqueId val="{00000007-567F-44C6-B76D-9C7AD4B02B9E}"/>
              </c:ext>
            </c:extLst>
          </c:dPt>
          <c:dPt>
            <c:idx val="4"/>
            <c:marker>
              <c:symbol val="none"/>
            </c:marker>
            <c:bubble3D val="0"/>
            <c:spPr>
              <a:ln w="28575" cap="rnd">
                <a:solidFill>
                  <a:schemeClr val="accent1"/>
                </a:solidFill>
                <a:round/>
              </a:ln>
              <a:effectLst/>
            </c:spPr>
            <c:extLst>
              <c:ext xmlns:c16="http://schemas.microsoft.com/office/drawing/2014/chart" uri="{C3380CC4-5D6E-409C-BE32-E72D297353CC}">
                <c16:uniqueId val="{00000009-567F-44C6-B76D-9C7AD4B02B9E}"/>
              </c:ext>
            </c:extLst>
          </c:dPt>
          <c:dPt>
            <c:idx val="5"/>
            <c:marker>
              <c:symbol val="none"/>
            </c:marker>
            <c:bubble3D val="0"/>
            <c:spPr>
              <a:ln w="28575" cap="rnd">
                <a:solidFill>
                  <a:schemeClr val="accent1"/>
                </a:solidFill>
                <a:round/>
              </a:ln>
              <a:effectLst/>
            </c:spPr>
            <c:extLst>
              <c:ext xmlns:c16="http://schemas.microsoft.com/office/drawing/2014/chart" uri="{C3380CC4-5D6E-409C-BE32-E72D297353CC}">
                <c16:uniqueId val="{0000000B-567F-44C6-B76D-9C7AD4B02B9E}"/>
              </c:ext>
            </c:extLst>
          </c:dPt>
          <c:dPt>
            <c:idx val="6"/>
            <c:marker>
              <c:symbol val="none"/>
            </c:marker>
            <c:bubble3D val="0"/>
            <c:spPr>
              <a:ln w="28575" cap="rnd">
                <a:solidFill>
                  <a:schemeClr val="accent1"/>
                </a:solidFill>
                <a:round/>
              </a:ln>
              <a:effectLst/>
            </c:spPr>
            <c:extLst>
              <c:ext xmlns:c16="http://schemas.microsoft.com/office/drawing/2014/chart" uri="{C3380CC4-5D6E-409C-BE32-E72D297353CC}">
                <c16:uniqueId val="{0000000D-567F-44C6-B76D-9C7AD4B02B9E}"/>
              </c:ext>
            </c:extLst>
          </c:dPt>
          <c:dPt>
            <c:idx val="7"/>
            <c:marker>
              <c:symbol val="none"/>
            </c:marker>
            <c:bubble3D val="0"/>
            <c:spPr>
              <a:ln w="28575" cap="rnd">
                <a:solidFill>
                  <a:schemeClr val="accent1"/>
                </a:solidFill>
                <a:round/>
              </a:ln>
              <a:effectLst/>
            </c:spPr>
            <c:extLst>
              <c:ext xmlns:c16="http://schemas.microsoft.com/office/drawing/2014/chart" uri="{C3380CC4-5D6E-409C-BE32-E72D297353CC}">
                <c16:uniqueId val="{0000000F-567F-44C6-B76D-9C7AD4B02B9E}"/>
              </c:ext>
            </c:extLst>
          </c:dPt>
          <c:dPt>
            <c:idx val="8"/>
            <c:marker>
              <c:symbol val="none"/>
            </c:marker>
            <c:bubble3D val="0"/>
            <c:spPr>
              <a:ln w="28575" cap="rnd">
                <a:solidFill>
                  <a:schemeClr val="accent1"/>
                </a:solidFill>
                <a:round/>
              </a:ln>
              <a:effectLst/>
            </c:spPr>
            <c:extLst>
              <c:ext xmlns:c16="http://schemas.microsoft.com/office/drawing/2014/chart" uri="{C3380CC4-5D6E-409C-BE32-E72D297353CC}">
                <c16:uniqueId val="{00000011-567F-44C6-B76D-9C7AD4B02B9E}"/>
              </c:ext>
            </c:extLst>
          </c:dPt>
          <c:dPt>
            <c:idx val="9"/>
            <c:marker>
              <c:symbol val="none"/>
            </c:marker>
            <c:bubble3D val="0"/>
            <c:spPr>
              <a:ln w="28575" cap="rnd">
                <a:solidFill>
                  <a:schemeClr val="accent1"/>
                </a:solidFill>
                <a:round/>
              </a:ln>
              <a:effectLst/>
            </c:spPr>
            <c:extLst>
              <c:ext xmlns:c16="http://schemas.microsoft.com/office/drawing/2014/chart" uri="{C3380CC4-5D6E-409C-BE32-E72D297353CC}">
                <c16:uniqueId val="{00000013-567F-44C6-B76D-9C7AD4B02B9E}"/>
              </c:ext>
            </c:extLst>
          </c:dPt>
          <c:dPt>
            <c:idx val="10"/>
            <c:marker>
              <c:symbol val="none"/>
            </c:marker>
            <c:bubble3D val="0"/>
            <c:spPr>
              <a:ln w="28575" cap="rnd">
                <a:solidFill>
                  <a:schemeClr val="accent1"/>
                </a:solidFill>
                <a:round/>
              </a:ln>
              <a:effectLst/>
            </c:spPr>
            <c:extLst>
              <c:ext xmlns:c16="http://schemas.microsoft.com/office/drawing/2014/chart" uri="{C3380CC4-5D6E-409C-BE32-E72D297353CC}">
                <c16:uniqueId val="{00000015-567F-44C6-B76D-9C7AD4B02B9E}"/>
              </c:ext>
            </c:extLst>
          </c:dPt>
          <c:dPt>
            <c:idx val="11"/>
            <c:marker>
              <c:symbol val="none"/>
            </c:marker>
            <c:bubble3D val="0"/>
            <c:spPr>
              <a:ln w="28575" cap="rnd">
                <a:solidFill>
                  <a:schemeClr val="accent1"/>
                </a:solidFill>
                <a:round/>
              </a:ln>
              <a:effectLst/>
            </c:spPr>
            <c:extLst>
              <c:ext xmlns:c16="http://schemas.microsoft.com/office/drawing/2014/chart" uri="{C3380CC4-5D6E-409C-BE32-E72D297353CC}">
                <c16:uniqueId val="{00000017-567F-44C6-B76D-9C7AD4B02B9E}"/>
              </c:ext>
            </c:extLst>
          </c:dPt>
          <c:dPt>
            <c:idx val="12"/>
            <c:marker>
              <c:symbol val="none"/>
            </c:marker>
            <c:bubble3D val="0"/>
            <c:spPr>
              <a:ln w="28575" cap="rnd">
                <a:solidFill>
                  <a:schemeClr val="accent1"/>
                </a:solidFill>
                <a:round/>
              </a:ln>
              <a:effectLst/>
            </c:spPr>
            <c:extLst>
              <c:ext xmlns:c16="http://schemas.microsoft.com/office/drawing/2014/chart" uri="{C3380CC4-5D6E-409C-BE32-E72D297353CC}">
                <c16:uniqueId val="{00000019-567F-44C6-B76D-9C7AD4B02B9E}"/>
              </c:ext>
            </c:extLst>
          </c:dPt>
          <c:dPt>
            <c:idx val="13"/>
            <c:marker>
              <c:symbol val="none"/>
            </c:marker>
            <c:bubble3D val="0"/>
            <c:spPr>
              <a:ln w="28575" cap="rnd">
                <a:solidFill>
                  <a:schemeClr val="accent1"/>
                </a:solidFill>
                <a:round/>
              </a:ln>
              <a:effectLst/>
            </c:spPr>
            <c:extLst>
              <c:ext xmlns:c16="http://schemas.microsoft.com/office/drawing/2014/chart" uri="{C3380CC4-5D6E-409C-BE32-E72D297353CC}">
                <c16:uniqueId val="{0000001B-567F-44C6-B76D-9C7AD4B02B9E}"/>
              </c:ext>
            </c:extLst>
          </c:dPt>
          <c:dPt>
            <c:idx val="14"/>
            <c:marker>
              <c:symbol val="none"/>
            </c:marker>
            <c:bubble3D val="0"/>
            <c:spPr>
              <a:ln w="28575" cap="rnd">
                <a:solidFill>
                  <a:schemeClr val="accent1"/>
                </a:solidFill>
                <a:round/>
              </a:ln>
              <a:effectLst/>
            </c:spPr>
            <c:extLst>
              <c:ext xmlns:c16="http://schemas.microsoft.com/office/drawing/2014/chart" uri="{C3380CC4-5D6E-409C-BE32-E72D297353CC}">
                <c16:uniqueId val="{0000001D-567F-44C6-B76D-9C7AD4B02B9E}"/>
              </c:ext>
            </c:extLst>
          </c:dPt>
          <c:dPt>
            <c:idx val="15"/>
            <c:marker>
              <c:symbol val="none"/>
            </c:marker>
            <c:bubble3D val="0"/>
            <c:spPr>
              <a:ln w="28575" cap="rnd">
                <a:solidFill>
                  <a:schemeClr val="accent1"/>
                </a:solidFill>
                <a:round/>
              </a:ln>
              <a:effectLst/>
            </c:spPr>
            <c:extLst>
              <c:ext xmlns:c16="http://schemas.microsoft.com/office/drawing/2014/chart" uri="{C3380CC4-5D6E-409C-BE32-E72D297353CC}">
                <c16:uniqueId val="{0000001F-567F-44C6-B76D-9C7AD4B02B9E}"/>
              </c:ext>
            </c:extLst>
          </c:dPt>
          <c:dPt>
            <c:idx val="16"/>
            <c:marker>
              <c:symbol val="none"/>
            </c:marker>
            <c:bubble3D val="0"/>
            <c:spPr>
              <a:ln w="28575" cap="rnd">
                <a:solidFill>
                  <a:schemeClr val="accent1"/>
                </a:solidFill>
                <a:round/>
              </a:ln>
              <a:effectLst/>
            </c:spPr>
            <c:extLst>
              <c:ext xmlns:c16="http://schemas.microsoft.com/office/drawing/2014/chart" uri="{C3380CC4-5D6E-409C-BE32-E72D297353CC}">
                <c16:uniqueId val="{00000021-567F-44C6-B76D-9C7AD4B02B9E}"/>
              </c:ext>
            </c:extLst>
          </c:dPt>
          <c:dPt>
            <c:idx val="17"/>
            <c:marker>
              <c:symbol val="none"/>
            </c:marker>
            <c:bubble3D val="0"/>
            <c:spPr>
              <a:ln w="28575" cap="rnd">
                <a:solidFill>
                  <a:schemeClr val="accent1"/>
                </a:solidFill>
                <a:round/>
              </a:ln>
              <a:effectLst/>
            </c:spPr>
            <c:extLst>
              <c:ext xmlns:c16="http://schemas.microsoft.com/office/drawing/2014/chart" uri="{C3380CC4-5D6E-409C-BE32-E72D297353CC}">
                <c16:uniqueId val="{00000023-567F-44C6-B76D-9C7AD4B02B9E}"/>
              </c:ext>
            </c:extLst>
          </c:dPt>
          <c:dPt>
            <c:idx val="18"/>
            <c:marker>
              <c:symbol val="none"/>
            </c:marker>
            <c:bubble3D val="0"/>
            <c:spPr>
              <a:ln w="28575" cap="rnd">
                <a:solidFill>
                  <a:schemeClr val="accent1"/>
                </a:solidFill>
                <a:round/>
              </a:ln>
              <a:effectLst/>
            </c:spPr>
            <c:extLst>
              <c:ext xmlns:c16="http://schemas.microsoft.com/office/drawing/2014/chart" uri="{C3380CC4-5D6E-409C-BE32-E72D297353CC}">
                <c16:uniqueId val="{00000025-567F-44C6-B76D-9C7AD4B02B9E}"/>
              </c:ext>
            </c:extLst>
          </c:dPt>
          <c:dPt>
            <c:idx val="19"/>
            <c:marker>
              <c:symbol val="none"/>
            </c:marker>
            <c:bubble3D val="0"/>
            <c:spPr>
              <a:ln w="28575" cap="rnd">
                <a:solidFill>
                  <a:schemeClr val="accent1"/>
                </a:solidFill>
                <a:round/>
              </a:ln>
              <a:effectLst/>
            </c:spPr>
            <c:extLst>
              <c:ext xmlns:c16="http://schemas.microsoft.com/office/drawing/2014/chart" uri="{C3380CC4-5D6E-409C-BE32-E72D297353CC}">
                <c16:uniqueId val="{00000027-567F-44C6-B76D-9C7AD4B02B9E}"/>
              </c:ext>
            </c:extLst>
          </c:dPt>
          <c:dPt>
            <c:idx val="20"/>
            <c:marker>
              <c:symbol val="none"/>
            </c:marker>
            <c:bubble3D val="0"/>
            <c:spPr>
              <a:ln w="28575" cap="rnd">
                <a:solidFill>
                  <a:schemeClr val="accent1"/>
                </a:solidFill>
                <a:round/>
              </a:ln>
              <a:effectLst/>
            </c:spPr>
            <c:extLst>
              <c:ext xmlns:c16="http://schemas.microsoft.com/office/drawing/2014/chart" uri="{C3380CC4-5D6E-409C-BE32-E72D297353CC}">
                <c16:uniqueId val="{00000029-567F-44C6-B76D-9C7AD4B02B9E}"/>
              </c:ext>
            </c:extLst>
          </c:dPt>
          <c:dPt>
            <c:idx val="21"/>
            <c:marker>
              <c:symbol val="none"/>
            </c:marker>
            <c:bubble3D val="0"/>
            <c:spPr>
              <a:ln w="28575" cap="rnd">
                <a:solidFill>
                  <a:schemeClr val="accent1"/>
                </a:solidFill>
                <a:round/>
              </a:ln>
              <a:effectLst/>
            </c:spPr>
            <c:extLst>
              <c:ext xmlns:c16="http://schemas.microsoft.com/office/drawing/2014/chart" uri="{C3380CC4-5D6E-409C-BE32-E72D297353CC}">
                <c16:uniqueId val="{0000002B-567F-44C6-B76D-9C7AD4B02B9E}"/>
              </c:ext>
            </c:extLst>
          </c:dPt>
          <c:dPt>
            <c:idx val="22"/>
            <c:marker>
              <c:symbol val="none"/>
            </c:marker>
            <c:bubble3D val="0"/>
            <c:spPr>
              <a:ln w="28575" cap="rnd">
                <a:solidFill>
                  <a:schemeClr val="accent1"/>
                </a:solidFill>
                <a:round/>
              </a:ln>
              <a:effectLst/>
            </c:spPr>
            <c:extLst>
              <c:ext xmlns:c16="http://schemas.microsoft.com/office/drawing/2014/chart" uri="{C3380CC4-5D6E-409C-BE32-E72D297353CC}">
                <c16:uniqueId val="{0000002D-567F-44C6-B76D-9C7AD4B02B9E}"/>
              </c:ext>
            </c:extLst>
          </c:dPt>
          <c:dPt>
            <c:idx val="23"/>
            <c:marker>
              <c:symbol val="none"/>
            </c:marker>
            <c:bubble3D val="0"/>
            <c:spPr>
              <a:ln w="28575" cap="rnd">
                <a:solidFill>
                  <a:schemeClr val="accent1"/>
                </a:solidFill>
                <a:round/>
              </a:ln>
              <a:effectLst/>
            </c:spPr>
            <c:extLst>
              <c:ext xmlns:c16="http://schemas.microsoft.com/office/drawing/2014/chart" uri="{C3380CC4-5D6E-409C-BE32-E72D297353CC}">
                <c16:uniqueId val="{0000002F-567F-44C6-B76D-9C7AD4B02B9E}"/>
              </c:ext>
            </c:extLst>
          </c:dPt>
          <c:dPt>
            <c:idx val="24"/>
            <c:marker>
              <c:symbol val="none"/>
            </c:marker>
            <c:bubble3D val="0"/>
            <c:spPr>
              <a:ln w="28575" cap="rnd">
                <a:solidFill>
                  <a:schemeClr val="accent1"/>
                </a:solidFill>
                <a:round/>
              </a:ln>
              <a:effectLst/>
            </c:spPr>
            <c:extLst>
              <c:ext xmlns:c16="http://schemas.microsoft.com/office/drawing/2014/chart" uri="{C3380CC4-5D6E-409C-BE32-E72D297353CC}">
                <c16:uniqueId val="{00000031-567F-44C6-B76D-9C7AD4B02B9E}"/>
              </c:ext>
            </c:extLst>
          </c:dPt>
          <c:dPt>
            <c:idx val="25"/>
            <c:marker>
              <c:symbol val="none"/>
            </c:marker>
            <c:bubble3D val="0"/>
            <c:spPr>
              <a:ln w="28575" cap="rnd">
                <a:solidFill>
                  <a:schemeClr val="accent1"/>
                </a:solidFill>
                <a:round/>
              </a:ln>
              <a:effectLst/>
            </c:spPr>
            <c:extLst>
              <c:ext xmlns:c16="http://schemas.microsoft.com/office/drawing/2014/chart" uri="{C3380CC4-5D6E-409C-BE32-E72D297353CC}">
                <c16:uniqueId val="{00000033-567F-44C6-B76D-9C7AD4B02B9E}"/>
              </c:ext>
            </c:extLst>
          </c:dPt>
          <c:dPt>
            <c:idx val="26"/>
            <c:marker>
              <c:symbol val="none"/>
            </c:marker>
            <c:bubble3D val="0"/>
            <c:spPr>
              <a:ln w="28575" cap="rnd">
                <a:solidFill>
                  <a:schemeClr val="accent1"/>
                </a:solidFill>
                <a:round/>
              </a:ln>
              <a:effectLst/>
            </c:spPr>
            <c:extLst>
              <c:ext xmlns:c16="http://schemas.microsoft.com/office/drawing/2014/chart" uri="{C3380CC4-5D6E-409C-BE32-E72D297353CC}">
                <c16:uniqueId val="{00000035-567F-44C6-B76D-9C7AD4B02B9E}"/>
              </c:ext>
            </c:extLst>
          </c:dPt>
          <c:dPt>
            <c:idx val="27"/>
            <c:marker>
              <c:symbol val="none"/>
            </c:marker>
            <c:bubble3D val="0"/>
            <c:spPr>
              <a:ln w="28575" cap="rnd">
                <a:solidFill>
                  <a:schemeClr val="accent1"/>
                </a:solidFill>
                <a:round/>
              </a:ln>
              <a:effectLst/>
            </c:spPr>
            <c:extLst>
              <c:ext xmlns:c16="http://schemas.microsoft.com/office/drawing/2014/chart" uri="{C3380CC4-5D6E-409C-BE32-E72D297353CC}">
                <c16:uniqueId val="{00000037-567F-44C6-B76D-9C7AD4B02B9E}"/>
              </c:ext>
            </c:extLst>
          </c:dPt>
          <c:dPt>
            <c:idx val="28"/>
            <c:marker>
              <c:symbol val="none"/>
            </c:marker>
            <c:bubble3D val="0"/>
            <c:spPr>
              <a:ln w="28575" cap="rnd">
                <a:solidFill>
                  <a:schemeClr val="accent1"/>
                </a:solidFill>
                <a:round/>
              </a:ln>
              <a:effectLst/>
            </c:spPr>
            <c:extLst>
              <c:ext xmlns:c16="http://schemas.microsoft.com/office/drawing/2014/chart" uri="{C3380CC4-5D6E-409C-BE32-E72D297353CC}">
                <c16:uniqueId val="{00000039-567F-44C6-B76D-9C7AD4B02B9E}"/>
              </c:ext>
            </c:extLst>
          </c:dPt>
          <c:dPt>
            <c:idx val="29"/>
            <c:marker>
              <c:symbol val="none"/>
            </c:marker>
            <c:bubble3D val="0"/>
            <c:spPr>
              <a:ln w="28575" cap="rnd">
                <a:solidFill>
                  <a:schemeClr val="accent1"/>
                </a:solidFill>
                <a:round/>
              </a:ln>
              <a:effectLst/>
            </c:spPr>
            <c:extLst>
              <c:ext xmlns:c16="http://schemas.microsoft.com/office/drawing/2014/chart" uri="{C3380CC4-5D6E-409C-BE32-E72D297353CC}">
                <c16:uniqueId val="{0000003B-567F-44C6-B76D-9C7AD4B02B9E}"/>
              </c:ext>
            </c:extLst>
          </c:dPt>
          <c:dPt>
            <c:idx val="30"/>
            <c:marker>
              <c:symbol val="none"/>
            </c:marker>
            <c:bubble3D val="0"/>
            <c:spPr>
              <a:ln w="28575" cap="rnd">
                <a:solidFill>
                  <a:schemeClr val="accent1"/>
                </a:solidFill>
                <a:round/>
              </a:ln>
              <a:effectLst/>
            </c:spPr>
            <c:extLst>
              <c:ext xmlns:c16="http://schemas.microsoft.com/office/drawing/2014/chart" uri="{C3380CC4-5D6E-409C-BE32-E72D297353CC}">
                <c16:uniqueId val="{0000003D-567F-44C6-B76D-9C7AD4B02B9E}"/>
              </c:ext>
            </c:extLst>
          </c:dPt>
          <c:dPt>
            <c:idx val="31"/>
            <c:marker>
              <c:symbol val="none"/>
            </c:marker>
            <c:bubble3D val="0"/>
            <c:spPr>
              <a:ln w="28575" cap="rnd">
                <a:solidFill>
                  <a:schemeClr val="accent1"/>
                </a:solidFill>
                <a:round/>
              </a:ln>
              <a:effectLst/>
            </c:spPr>
            <c:extLst>
              <c:ext xmlns:c16="http://schemas.microsoft.com/office/drawing/2014/chart" uri="{C3380CC4-5D6E-409C-BE32-E72D297353CC}">
                <c16:uniqueId val="{0000003F-567F-44C6-B76D-9C7AD4B02B9E}"/>
              </c:ext>
            </c:extLst>
          </c:dPt>
          <c:dPt>
            <c:idx val="32"/>
            <c:marker>
              <c:symbol val="none"/>
            </c:marker>
            <c:bubble3D val="0"/>
            <c:spPr>
              <a:ln w="28575" cap="rnd">
                <a:solidFill>
                  <a:schemeClr val="accent1"/>
                </a:solidFill>
                <a:round/>
              </a:ln>
              <a:effectLst/>
            </c:spPr>
            <c:extLst>
              <c:ext xmlns:c16="http://schemas.microsoft.com/office/drawing/2014/chart" uri="{C3380CC4-5D6E-409C-BE32-E72D297353CC}">
                <c16:uniqueId val="{00000041-567F-44C6-B76D-9C7AD4B02B9E}"/>
              </c:ext>
            </c:extLst>
          </c:dPt>
          <c:dPt>
            <c:idx val="33"/>
            <c:marker>
              <c:symbol val="none"/>
            </c:marker>
            <c:bubble3D val="0"/>
            <c:spPr>
              <a:ln w="28575" cap="rnd">
                <a:solidFill>
                  <a:schemeClr val="accent1"/>
                </a:solidFill>
                <a:round/>
              </a:ln>
              <a:effectLst/>
            </c:spPr>
            <c:extLst>
              <c:ext xmlns:c16="http://schemas.microsoft.com/office/drawing/2014/chart" uri="{C3380CC4-5D6E-409C-BE32-E72D297353CC}">
                <c16:uniqueId val="{00000043-567F-44C6-B76D-9C7AD4B02B9E}"/>
              </c:ext>
            </c:extLst>
          </c:dPt>
          <c:dPt>
            <c:idx val="34"/>
            <c:marker>
              <c:symbol val="none"/>
            </c:marker>
            <c:bubble3D val="0"/>
            <c:spPr>
              <a:ln w="28575" cap="rnd">
                <a:solidFill>
                  <a:schemeClr val="accent1"/>
                </a:solidFill>
                <a:round/>
              </a:ln>
              <a:effectLst/>
            </c:spPr>
            <c:extLst>
              <c:ext xmlns:c16="http://schemas.microsoft.com/office/drawing/2014/chart" uri="{C3380CC4-5D6E-409C-BE32-E72D297353CC}">
                <c16:uniqueId val="{00000045-567F-44C6-B76D-9C7AD4B02B9E}"/>
              </c:ext>
            </c:extLst>
          </c:dPt>
          <c:dPt>
            <c:idx val="35"/>
            <c:marker>
              <c:symbol val="none"/>
            </c:marker>
            <c:bubble3D val="0"/>
            <c:spPr>
              <a:ln w="28575" cap="rnd">
                <a:solidFill>
                  <a:schemeClr val="accent1"/>
                </a:solidFill>
                <a:round/>
              </a:ln>
              <a:effectLst/>
            </c:spPr>
            <c:extLst>
              <c:ext xmlns:c16="http://schemas.microsoft.com/office/drawing/2014/chart" uri="{C3380CC4-5D6E-409C-BE32-E72D297353CC}">
                <c16:uniqueId val="{00000047-567F-44C6-B76D-9C7AD4B02B9E}"/>
              </c:ext>
            </c:extLst>
          </c:dPt>
          <c:dPt>
            <c:idx val="36"/>
            <c:marker>
              <c:symbol val="none"/>
            </c:marker>
            <c:bubble3D val="0"/>
            <c:spPr>
              <a:ln w="28575" cap="rnd">
                <a:solidFill>
                  <a:schemeClr val="accent1"/>
                </a:solidFill>
                <a:round/>
              </a:ln>
              <a:effectLst/>
            </c:spPr>
            <c:extLst>
              <c:ext xmlns:c16="http://schemas.microsoft.com/office/drawing/2014/chart" uri="{C3380CC4-5D6E-409C-BE32-E72D297353CC}">
                <c16:uniqueId val="{00000049-567F-44C6-B76D-9C7AD4B02B9E}"/>
              </c:ext>
            </c:extLst>
          </c:dPt>
          <c:dPt>
            <c:idx val="37"/>
            <c:marker>
              <c:symbol val="none"/>
            </c:marker>
            <c:bubble3D val="0"/>
            <c:spPr>
              <a:ln w="28575" cap="rnd">
                <a:solidFill>
                  <a:schemeClr val="accent1"/>
                </a:solidFill>
                <a:round/>
              </a:ln>
              <a:effectLst/>
            </c:spPr>
            <c:extLst>
              <c:ext xmlns:c16="http://schemas.microsoft.com/office/drawing/2014/chart" uri="{C3380CC4-5D6E-409C-BE32-E72D297353CC}">
                <c16:uniqueId val="{0000004B-567F-44C6-B76D-9C7AD4B02B9E}"/>
              </c:ext>
            </c:extLst>
          </c:dPt>
          <c:dPt>
            <c:idx val="38"/>
            <c:marker>
              <c:symbol val="none"/>
            </c:marker>
            <c:bubble3D val="0"/>
            <c:spPr>
              <a:ln w="28575" cap="rnd">
                <a:solidFill>
                  <a:schemeClr val="accent1"/>
                </a:solidFill>
                <a:round/>
              </a:ln>
              <a:effectLst/>
            </c:spPr>
            <c:extLst>
              <c:ext xmlns:c16="http://schemas.microsoft.com/office/drawing/2014/chart" uri="{C3380CC4-5D6E-409C-BE32-E72D297353CC}">
                <c16:uniqueId val="{0000004D-567F-44C6-B76D-9C7AD4B02B9E}"/>
              </c:ext>
            </c:extLst>
          </c:dPt>
          <c:dPt>
            <c:idx val="39"/>
            <c:marker>
              <c:symbol val="none"/>
            </c:marker>
            <c:bubble3D val="0"/>
            <c:spPr>
              <a:ln w="28575" cap="rnd">
                <a:solidFill>
                  <a:schemeClr val="accent1"/>
                </a:solidFill>
                <a:round/>
              </a:ln>
              <a:effectLst/>
            </c:spPr>
            <c:extLst>
              <c:ext xmlns:c16="http://schemas.microsoft.com/office/drawing/2014/chart" uri="{C3380CC4-5D6E-409C-BE32-E72D297353CC}">
                <c16:uniqueId val="{0000004F-567F-44C6-B76D-9C7AD4B02B9E}"/>
              </c:ext>
            </c:extLst>
          </c:dPt>
          <c:dPt>
            <c:idx val="40"/>
            <c:marker>
              <c:symbol val="none"/>
            </c:marker>
            <c:bubble3D val="0"/>
            <c:spPr>
              <a:ln w="28575" cap="rnd">
                <a:solidFill>
                  <a:schemeClr val="accent1"/>
                </a:solidFill>
                <a:round/>
              </a:ln>
              <a:effectLst/>
            </c:spPr>
            <c:extLst>
              <c:ext xmlns:c16="http://schemas.microsoft.com/office/drawing/2014/chart" uri="{C3380CC4-5D6E-409C-BE32-E72D297353CC}">
                <c16:uniqueId val="{00000051-567F-44C6-B76D-9C7AD4B02B9E}"/>
              </c:ext>
            </c:extLst>
          </c:dPt>
          <c:dPt>
            <c:idx val="41"/>
            <c:marker>
              <c:symbol val="none"/>
            </c:marker>
            <c:bubble3D val="0"/>
            <c:spPr>
              <a:ln w="28575" cap="rnd">
                <a:solidFill>
                  <a:schemeClr val="accent1"/>
                </a:solidFill>
                <a:round/>
              </a:ln>
              <a:effectLst/>
            </c:spPr>
            <c:extLst>
              <c:ext xmlns:c16="http://schemas.microsoft.com/office/drawing/2014/chart" uri="{C3380CC4-5D6E-409C-BE32-E72D297353CC}">
                <c16:uniqueId val="{00000053-567F-44C6-B76D-9C7AD4B02B9E}"/>
              </c:ext>
            </c:extLst>
          </c:dPt>
          <c:dPt>
            <c:idx val="42"/>
            <c:marker>
              <c:symbol val="none"/>
            </c:marker>
            <c:bubble3D val="0"/>
            <c:spPr>
              <a:ln w="28575" cap="rnd">
                <a:solidFill>
                  <a:schemeClr val="accent1"/>
                </a:solidFill>
                <a:round/>
              </a:ln>
              <a:effectLst/>
            </c:spPr>
            <c:extLst>
              <c:ext xmlns:c16="http://schemas.microsoft.com/office/drawing/2014/chart" uri="{C3380CC4-5D6E-409C-BE32-E72D297353CC}">
                <c16:uniqueId val="{00000055-567F-44C6-B76D-9C7AD4B02B9E}"/>
              </c:ext>
            </c:extLst>
          </c:dPt>
          <c:dPt>
            <c:idx val="43"/>
            <c:marker>
              <c:symbol val="none"/>
            </c:marker>
            <c:bubble3D val="0"/>
            <c:spPr>
              <a:ln w="28575" cap="rnd">
                <a:solidFill>
                  <a:schemeClr val="accent1"/>
                </a:solidFill>
                <a:round/>
              </a:ln>
              <a:effectLst/>
            </c:spPr>
            <c:extLst>
              <c:ext xmlns:c16="http://schemas.microsoft.com/office/drawing/2014/chart" uri="{C3380CC4-5D6E-409C-BE32-E72D297353CC}">
                <c16:uniqueId val="{00000057-567F-44C6-B76D-9C7AD4B02B9E}"/>
              </c:ext>
            </c:extLst>
          </c:dPt>
          <c:dPt>
            <c:idx val="44"/>
            <c:marker>
              <c:symbol val="none"/>
            </c:marker>
            <c:bubble3D val="0"/>
            <c:spPr>
              <a:ln w="28575" cap="rnd">
                <a:solidFill>
                  <a:schemeClr val="accent1"/>
                </a:solidFill>
                <a:round/>
              </a:ln>
              <a:effectLst/>
            </c:spPr>
            <c:extLst>
              <c:ext xmlns:c16="http://schemas.microsoft.com/office/drawing/2014/chart" uri="{C3380CC4-5D6E-409C-BE32-E72D297353CC}">
                <c16:uniqueId val="{00000059-567F-44C6-B76D-9C7AD4B02B9E}"/>
              </c:ext>
            </c:extLst>
          </c:dPt>
          <c:dPt>
            <c:idx val="45"/>
            <c:marker>
              <c:symbol val="none"/>
            </c:marker>
            <c:bubble3D val="0"/>
            <c:spPr>
              <a:ln w="28575" cap="rnd">
                <a:solidFill>
                  <a:schemeClr val="accent1"/>
                </a:solidFill>
                <a:round/>
              </a:ln>
              <a:effectLst/>
            </c:spPr>
            <c:extLst>
              <c:ext xmlns:c16="http://schemas.microsoft.com/office/drawing/2014/chart" uri="{C3380CC4-5D6E-409C-BE32-E72D297353CC}">
                <c16:uniqueId val="{0000005B-567F-44C6-B76D-9C7AD4B02B9E}"/>
              </c:ext>
            </c:extLst>
          </c:dPt>
          <c:dPt>
            <c:idx val="46"/>
            <c:marker>
              <c:symbol val="none"/>
            </c:marker>
            <c:bubble3D val="0"/>
            <c:spPr>
              <a:ln w="28575" cap="rnd">
                <a:solidFill>
                  <a:schemeClr val="accent1"/>
                </a:solidFill>
                <a:round/>
              </a:ln>
              <a:effectLst/>
            </c:spPr>
            <c:extLst>
              <c:ext xmlns:c16="http://schemas.microsoft.com/office/drawing/2014/chart" uri="{C3380CC4-5D6E-409C-BE32-E72D297353CC}">
                <c16:uniqueId val="{0000005D-567F-44C6-B76D-9C7AD4B02B9E}"/>
              </c:ext>
            </c:extLst>
          </c:dPt>
          <c:dPt>
            <c:idx val="47"/>
            <c:marker>
              <c:symbol val="none"/>
            </c:marker>
            <c:bubble3D val="0"/>
            <c:spPr>
              <a:ln w="28575" cap="rnd">
                <a:solidFill>
                  <a:schemeClr val="accent1"/>
                </a:solidFill>
                <a:round/>
              </a:ln>
              <a:effectLst/>
            </c:spPr>
            <c:extLst>
              <c:ext xmlns:c16="http://schemas.microsoft.com/office/drawing/2014/chart" uri="{C3380CC4-5D6E-409C-BE32-E72D297353CC}">
                <c16:uniqueId val="{0000005F-567F-44C6-B76D-9C7AD4B02B9E}"/>
              </c:ext>
            </c:extLst>
          </c:dPt>
          <c:dPt>
            <c:idx val="48"/>
            <c:marker>
              <c:symbol val="none"/>
            </c:marker>
            <c:bubble3D val="0"/>
            <c:spPr>
              <a:ln w="28575" cap="rnd">
                <a:solidFill>
                  <a:schemeClr val="accent1"/>
                </a:solidFill>
                <a:round/>
              </a:ln>
              <a:effectLst/>
            </c:spPr>
            <c:extLst>
              <c:ext xmlns:c16="http://schemas.microsoft.com/office/drawing/2014/chart" uri="{C3380CC4-5D6E-409C-BE32-E72D297353CC}">
                <c16:uniqueId val="{00000061-567F-44C6-B76D-9C7AD4B02B9E}"/>
              </c:ext>
            </c:extLst>
          </c:dPt>
          <c:dPt>
            <c:idx val="49"/>
            <c:marker>
              <c:symbol val="none"/>
            </c:marker>
            <c:bubble3D val="0"/>
            <c:spPr>
              <a:ln w="28575" cap="rnd">
                <a:solidFill>
                  <a:schemeClr val="accent1"/>
                </a:solidFill>
                <a:round/>
              </a:ln>
              <a:effectLst/>
            </c:spPr>
            <c:extLst>
              <c:ext xmlns:c16="http://schemas.microsoft.com/office/drawing/2014/chart" uri="{C3380CC4-5D6E-409C-BE32-E72D297353CC}">
                <c16:uniqueId val="{00000063-567F-44C6-B76D-9C7AD4B02B9E}"/>
              </c:ext>
            </c:extLst>
          </c:dPt>
          <c:dPt>
            <c:idx val="50"/>
            <c:marker>
              <c:symbol val="none"/>
            </c:marker>
            <c:bubble3D val="0"/>
            <c:spPr>
              <a:ln w="28575" cap="rnd">
                <a:solidFill>
                  <a:schemeClr val="accent1"/>
                </a:solidFill>
                <a:round/>
              </a:ln>
              <a:effectLst/>
            </c:spPr>
            <c:extLst>
              <c:ext xmlns:c16="http://schemas.microsoft.com/office/drawing/2014/chart" uri="{C3380CC4-5D6E-409C-BE32-E72D297353CC}">
                <c16:uniqueId val="{00000065-567F-44C6-B76D-9C7AD4B02B9E}"/>
              </c:ext>
            </c:extLst>
          </c:dPt>
          <c:dPt>
            <c:idx val="51"/>
            <c:marker>
              <c:symbol val="none"/>
            </c:marker>
            <c:bubble3D val="0"/>
            <c:spPr>
              <a:ln w="28575" cap="rnd">
                <a:solidFill>
                  <a:schemeClr val="accent1"/>
                </a:solidFill>
                <a:round/>
              </a:ln>
              <a:effectLst/>
            </c:spPr>
            <c:extLst>
              <c:ext xmlns:c16="http://schemas.microsoft.com/office/drawing/2014/chart" uri="{C3380CC4-5D6E-409C-BE32-E72D297353CC}">
                <c16:uniqueId val="{00000067-567F-44C6-B76D-9C7AD4B02B9E}"/>
              </c:ext>
            </c:extLst>
          </c:dPt>
          <c:dPt>
            <c:idx val="52"/>
            <c:marker>
              <c:symbol val="none"/>
            </c:marker>
            <c:bubble3D val="0"/>
            <c:spPr>
              <a:ln w="28575" cap="rnd">
                <a:solidFill>
                  <a:schemeClr val="accent1"/>
                </a:solidFill>
                <a:round/>
              </a:ln>
              <a:effectLst/>
            </c:spPr>
            <c:extLst>
              <c:ext xmlns:c16="http://schemas.microsoft.com/office/drawing/2014/chart" uri="{C3380CC4-5D6E-409C-BE32-E72D297353CC}">
                <c16:uniqueId val="{00000069-567F-44C6-B76D-9C7AD4B02B9E}"/>
              </c:ext>
            </c:extLst>
          </c:dPt>
          <c:dPt>
            <c:idx val="53"/>
            <c:marker>
              <c:symbol val="none"/>
            </c:marker>
            <c:bubble3D val="0"/>
            <c:spPr>
              <a:ln w="28575" cap="rnd">
                <a:solidFill>
                  <a:schemeClr val="accent1"/>
                </a:solidFill>
                <a:round/>
              </a:ln>
              <a:effectLst/>
            </c:spPr>
            <c:extLst>
              <c:ext xmlns:c16="http://schemas.microsoft.com/office/drawing/2014/chart" uri="{C3380CC4-5D6E-409C-BE32-E72D297353CC}">
                <c16:uniqueId val="{0000006B-567F-44C6-B76D-9C7AD4B02B9E}"/>
              </c:ext>
            </c:extLst>
          </c:dPt>
          <c:dPt>
            <c:idx val="54"/>
            <c:marker>
              <c:symbol val="none"/>
            </c:marker>
            <c:bubble3D val="0"/>
            <c:spPr>
              <a:ln w="28575" cap="rnd">
                <a:solidFill>
                  <a:schemeClr val="accent1"/>
                </a:solidFill>
                <a:round/>
              </a:ln>
              <a:effectLst/>
            </c:spPr>
            <c:extLst>
              <c:ext xmlns:c16="http://schemas.microsoft.com/office/drawing/2014/chart" uri="{C3380CC4-5D6E-409C-BE32-E72D297353CC}">
                <c16:uniqueId val="{0000006D-567F-44C6-B76D-9C7AD4B02B9E}"/>
              </c:ext>
            </c:extLst>
          </c:dPt>
          <c:dPt>
            <c:idx val="55"/>
            <c:marker>
              <c:symbol val="none"/>
            </c:marker>
            <c:bubble3D val="0"/>
            <c:spPr>
              <a:ln w="28575" cap="rnd">
                <a:solidFill>
                  <a:schemeClr val="accent1"/>
                </a:solidFill>
                <a:round/>
              </a:ln>
              <a:effectLst/>
            </c:spPr>
            <c:extLst>
              <c:ext xmlns:c16="http://schemas.microsoft.com/office/drawing/2014/chart" uri="{C3380CC4-5D6E-409C-BE32-E72D297353CC}">
                <c16:uniqueId val="{0000006F-567F-44C6-B76D-9C7AD4B02B9E}"/>
              </c:ext>
            </c:extLst>
          </c:dPt>
          <c:dPt>
            <c:idx val="56"/>
            <c:marker>
              <c:symbol val="none"/>
            </c:marker>
            <c:bubble3D val="0"/>
            <c:spPr>
              <a:ln w="28575" cap="rnd">
                <a:solidFill>
                  <a:schemeClr val="accent1"/>
                </a:solidFill>
                <a:round/>
              </a:ln>
              <a:effectLst/>
            </c:spPr>
            <c:extLst>
              <c:ext xmlns:c16="http://schemas.microsoft.com/office/drawing/2014/chart" uri="{C3380CC4-5D6E-409C-BE32-E72D297353CC}">
                <c16:uniqueId val="{00000071-567F-44C6-B76D-9C7AD4B02B9E}"/>
              </c:ext>
            </c:extLst>
          </c:dPt>
          <c:dPt>
            <c:idx val="57"/>
            <c:marker>
              <c:symbol val="none"/>
            </c:marker>
            <c:bubble3D val="0"/>
            <c:spPr>
              <a:ln w="28575" cap="rnd">
                <a:solidFill>
                  <a:schemeClr val="accent1"/>
                </a:solidFill>
                <a:round/>
              </a:ln>
              <a:effectLst/>
            </c:spPr>
            <c:extLst>
              <c:ext xmlns:c16="http://schemas.microsoft.com/office/drawing/2014/chart" uri="{C3380CC4-5D6E-409C-BE32-E72D297353CC}">
                <c16:uniqueId val="{00000073-567F-44C6-B76D-9C7AD4B02B9E}"/>
              </c:ext>
            </c:extLst>
          </c:dPt>
          <c:dPt>
            <c:idx val="58"/>
            <c:marker>
              <c:symbol val="none"/>
            </c:marker>
            <c:bubble3D val="0"/>
            <c:spPr>
              <a:ln w="28575" cap="rnd">
                <a:solidFill>
                  <a:schemeClr val="accent1"/>
                </a:solidFill>
                <a:round/>
              </a:ln>
              <a:effectLst/>
            </c:spPr>
            <c:extLst>
              <c:ext xmlns:c16="http://schemas.microsoft.com/office/drawing/2014/chart" uri="{C3380CC4-5D6E-409C-BE32-E72D297353CC}">
                <c16:uniqueId val="{00000075-567F-44C6-B76D-9C7AD4B02B9E}"/>
              </c:ext>
            </c:extLst>
          </c:dPt>
          <c:dPt>
            <c:idx val="59"/>
            <c:marker>
              <c:symbol val="none"/>
            </c:marker>
            <c:bubble3D val="0"/>
            <c:spPr>
              <a:ln w="28575" cap="rnd">
                <a:solidFill>
                  <a:schemeClr val="accent1"/>
                </a:solidFill>
                <a:round/>
              </a:ln>
              <a:effectLst/>
            </c:spPr>
            <c:extLst>
              <c:ext xmlns:c16="http://schemas.microsoft.com/office/drawing/2014/chart" uri="{C3380CC4-5D6E-409C-BE32-E72D297353CC}">
                <c16:uniqueId val="{00000077-567F-44C6-B76D-9C7AD4B02B9E}"/>
              </c:ext>
            </c:extLst>
          </c:dPt>
          <c:dPt>
            <c:idx val="60"/>
            <c:marker>
              <c:symbol val="none"/>
            </c:marker>
            <c:bubble3D val="0"/>
            <c:spPr>
              <a:ln w="28575" cap="rnd">
                <a:solidFill>
                  <a:schemeClr val="accent1"/>
                </a:solidFill>
                <a:round/>
              </a:ln>
              <a:effectLst/>
            </c:spPr>
            <c:extLst>
              <c:ext xmlns:c16="http://schemas.microsoft.com/office/drawing/2014/chart" uri="{C3380CC4-5D6E-409C-BE32-E72D297353CC}">
                <c16:uniqueId val="{00000079-567F-44C6-B76D-9C7AD4B02B9E}"/>
              </c:ext>
            </c:extLst>
          </c:dPt>
          <c:dPt>
            <c:idx val="61"/>
            <c:marker>
              <c:symbol val="none"/>
            </c:marker>
            <c:bubble3D val="0"/>
            <c:spPr>
              <a:ln w="28575" cap="rnd">
                <a:solidFill>
                  <a:schemeClr val="accent1"/>
                </a:solidFill>
                <a:round/>
              </a:ln>
              <a:effectLst/>
            </c:spPr>
            <c:extLst>
              <c:ext xmlns:c16="http://schemas.microsoft.com/office/drawing/2014/chart" uri="{C3380CC4-5D6E-409C-BE32-E72D297353CC}">
                <c16:uniqueId val="{0000007B-567F-44C6-B76D-9C7AD4B02B9E}"/>
              </c:ext>
            </c:extLst>
          </c:dPt>
          <c:dPt>
            <c:idx val="62"/>
            <c:marker>
              <c:symbol val="none"/>
            </c:marker>
            <c:bubble3D val="0"/>
            <c:spPr>
              <a:ln w="28575" cap="rnd">
                <a:solidFill>
                  <a:schemeClr val="accent1"/>
                </a:solidFill>
                <a:round/>
              </a:ln>
              <a:effectLst/>
            </c:spPr>
            <c:extLst>
              <c:ext xmlns:c16="http://schemas.microsoft.com/office/drawing/2014/chart" uri="{C3380CC4-5D6E-409C-BE32-E72D297353CC}">
                <c16:uniqueId val="{0000007D-567F-44C6-B76D-9C7AD4B02B9E}"/>
              </c:ext>
            </c:extLst>
          </c:dPt>
          <c:dPt>
            <c:idx val="63"/>
            <c:marker>
              <c:symbol val="none"/>
            </c:marker>
            <c:bubble3D val="0"/>
            <c:spPr>
              <a:ln w="28575" cap="rnd">
                <a:solidFill>
                  <a:schemeClr val="accent1"/>
                </a:solidFill>
                <a:round/>
              </a:ln>
              <a:effectLst/>
            </c:spPr>
            <c:extLst>
              <c:ext xmlns:c16="http://schemas.microsoft.com/office/drawing/2014/chart" uri="{C3380CC4-5D6E-409C-BE32-E72D297353CC}">
                <c16:uniqueId val="{0000007F-567F-44C6-B76D-9C7AD4B02B9E}"/>
              </c:ext>
            </c:extLst>
          </c:dPt>
          <c:dPt>
            <c:idx val="64"/>
            <c:marker>
              <c:symbol val="none"/>
            </c:marker>
            <c:bubble3D val="0"/>
            <c:spPr>
              <a:ln w="28575" cap="rnd">
                <a:solidFill>
                  <a:schemeClr val="accent1"/>
                </a:solidFill>
                <a:round/>
              </a:ln>
              <a:effectLst/>
            </c:spPr>
            <c:extLst>
              <c:ext xmlns:c16="http://schemas.microsoft.com/office/drawing/2014/chart" uri="{C3380CC4-5D6E-409C-BE32-E72D297353CC}">
                <c16:uniqueId val="{00000081-567F-44C6-B76D-9C7AD4B02B9E}"/>
              </c:ext>
            </c:extLst>
          </c:dPt>
          <c:dPt>
            <c:idx val="65"/>
            <c:marker>
              <c:symbol val="none"/>
            </c:marker>
            <c:bubble3D val="0"/>
            <c:spPr>
              <a:ln w="28575" cap="rnd">
                <a:solidFill>
                  <a:schemeClr val="accent1"/>
                </a:solidFill>
                <a:round/>
              </a:ln>
              <a:effectLst/>
            </c:spPr>
            <c:extLst>
              <c:ext xmlns:c16="http://schemas.microsoft.com/office/drawing/2014/chart" uri="{C3380CC4-5D6E-409C-BE32-E72D297353CC}">
                <c16:uniqueId val="{00000083-567F-44C6-B76D-9C7AD4B02B9E}"/>
              </c:ext>
            </c:extLst>
          </c:dPt>
          <c:dPt>
            <c:idx val="66"/>
            <c:marker>
              <c:symbol val="none"/>
            </c:marker>
            <c:bubble3D val="0"/>
            <c:spPr>
              <a:ln w="28575" cap="rnd">
                <a:solidFill>
                  <a:schemeClr val="accent1"/>
                </a:solidFill>
                <a:round/>
              </a:ln>
              <a:effectLst/>
            </c:spPr>
            <c:extLst>
              <c:ext xmlns:c16="http://schemas.microsoft.com/office/drawing/2014/chart" uri="{C3380CC4-5D6E-409C-BE32-E72D297353CC}">
                <c16:uniqueId val="{00000085-567F-44C6-B76D-9C7AD4B02B9E}"/>
              </c:ext>
            </c:extLst>
          </c:dPt>
          <c:dPt>
            <c:idx val="67"/>
            <c:marker>
              <c:symbol val="none"/>
            </c:marker>
            <c:bubble3D val="0"/>
            <c:spPr>
              <a:ln w="28575" cap="rnd">
                <a:solidFill>
                  <a:schemeClr val="accent1"/>
                </a:solidFill>
                <a:round/>
              </a:ln>
              <a:effectLst/>
            </c:spPr>
            <c:extLst>
              <c:ext xmlns:c16="http://schemas.microsoft.com/office/drawing/2014/chart" uri="{C3380CC4-5D6E-409C-BE32-E72D297353CC}">
                <c16:uniqueId val="{00000087-567F-44C6-B76D-9C7AD4B02B9E}"/>
              </c:ext>
            </c:extLst>
          </c:dPt>
          <c:dPt>
            <c:idx val="68"/>
            <c:marker>
              <c:symbol val="none"/>
            </c:marker>
            <c:bubble3D val="0"/>
            <c:spPr>
              <a:ln w="28575" cap="rnd">
                <a:solidFill>
                  <a:schemeClr val="accent1"/>
                </a:solidFill>
                <a:round/>
              </a:ln>
              <a:effectLst/>
            </c:spPr>
            <c:extLst>
              <c:ext xmlns:c16="http://schemas.microsoft.com/office/drawing/2014/chart" uri="{C3380CC4-5D6E-409C-BE32-E72D297353CC}">
                <c16:uniqueId val="{00000089-567F-44C6-B76D-9C7AD4B02B9E}"/>
              </c:ext>
            </c:extLst>
          </c:dPt>
          <c:dPt>
            <c:idx val="69"/>
            <c:marker>
              <c:symbol val="none"/>
            </c:marker>
            <c:bubble3D val="0"/>
            <c:spPr>
              <a:ln w="28575" cap="rnd">
                <a:solidFill>
                  <a:schemeClr val="accent1"/>
                </a:solidFill>
                <a:round/>
              </a:ln>
              <a:effectLst/>
            </c:spPr>
            <c:extLst>
              <c:ext xmlns:c16="http://schemas.microsoft.com/office/drawing/2014/chart" uri="{C3380CC4-5D6E-409C-BE32-E72D297353CC}">
                <c16:uniqueId val="{0000008B-567F-44C6-B76D-9C7AD4B02B9E}"/>
              </c:ext>
            </c:extLst>
          </c:dPt>
          <c:dPt>
            <c:idx val="70"/>
            <c:marker>
              <c:symbol val="none"/>
            </c:marker>
            <c:bubble3D val="0"/>
            <c:spPr>
              <a:ln w="28575" cap="rnd">
                <a:solidFill>
                  <a:schemeClr val="accent1"/>
                </a:solidFill>
                <a:round/>
              </a:ln>
              <a:effectLst/>
            </c:spPr>
            <c:extLst>
              <c:ext xmlns:c16="http://schemas.microsoft.com/office/drawing/2014/chart" uri="{C3380CC4-5D6E-409C-BE32-E72D297353CC}">
                <c16:uniqueId val="{0000008D-567F-44C6-B76D-9C7AD4B02B9E}"/>
              </c:ext>
            </c:extLst>
          </c:dPt>
          <c:dPt>
            <c:idx val="71"/>
            <c:marker>
              <c:symbol val="none"/>
            </c:marker>
            <c:bubble3D val="0"/>
            <c:spPr>
              <a:ln w="28575" cap="rnd">
                <a:solidFill>
                  <a:schemeClr val="accent1"/>
                </a:solidFill>
                <a:round/>
              </a:ln>
              <a:effectLst/>
            </c:spPr>
            <c:extLst>
              <c:ext xmlns:c16="http://schemas.microsoft.com/office/drawing/2014/chart" uri="{C3380CC4-5D6E-409C-BE32-E72D297353CC}">
                <c16:uniqueId val="{0000008F-567F-44C6-B76D-9C7AD4B02B9E}"/>
              </c:ext>
            </c:extLst>
          </c:dPt>
          <c:dPt>
            <c:idx val="72"/>
            <c:marker>
              <c:symbol val="none"/>
            </c:marker>
            <c:bubble3D val="0"/>
            <c:spPr>
              <a:ln w="28575" cap="rnd">
                <a:solidFill>
                  <a:schemeClr val="accent1"/>
                </a:solidFill>
                <a:round/>
              </a:ln>
              <a:effectLst/>
            </c:spPr>
            <c:extLst>
              <c:ext xmlns:c16="http://schemas.microsoft.com/office/drawing/2014/chart" uri="{C3380CC4-5D6E-409C-BE32-E72D297353CC}">
                <c16:uniqueId val="{00000091-567F-44C6-B76D-9C7AD4B02B9E}"/>
              </c:ext>
            </c:extLst>
          </c:dPt>
          <c:dPt>
            <c:idx val="73"/>
            <c:marker>
              <c:symbol val="none"/>
            </c:marker>
            <c:bubble3D val="0"/>
            <c:spPr>
              <a:ln w="28575" cap="rnd">
                <a:solidFill>
                  <a:schemeClr val="accent1"/>
                </a:solidFill>
                <a:round/>
              </a:ln>
              <a:effectLst/>
            </c:spPr>
            <c:extLst>
              <c:ext xmlns:c16="http://schemas.microsoft.com/office/drawing/2014/chart" uri="{C3380CC4-5D6E-409C-BE32-E72D297353CC}">
                <c16:uniqueId val="{00000093-567F-44C6-B76D-9C7AD4B02B9E}"/>
              </c:ext>
            </c:extLst>
          </c:dPt>
          <c:dPt>
            <c:idx val="74"/>
            <c:marker>
              <c:symbol val="none"/>
            </c:marker>
            <c:bubble3D val="0"/>
            <c:spPr>
              <a:ln w="28575" cap="rnd">
                <a:solidFill>
                  <a:schemeClr val="accent1"/>
                </a:solidFill>
                <a:round/>
              </a:ln>
              <a:effectLst/>
            </c:spPr>
            <c:extLst>
              <c:ext xmlns:c16="http://schemas.microsoft.com/office/drawing/2014/chart" uri="{C3380CC4-5D6E-409C-BE32-E72D297353CC}">
                <c16:uniqueId val="{00000095-567F-44C6-B76D-9C7AD4B02B9E}"/>
              </c:ext>
            </c:extLst>
          </c:dPt>
          <c:dPt>
            <c:idx val="75"/>
            <c:marker>
              <c:symbol val="none"/>
            </c:marker>
            <c:bubble3D val="0"/>
            <c:spPr>
              <a:ln w="28575" cap="rnd">
                <a:solidFill>
                  <a:schemeClr val="accent1"/>
                </a:solidFill>
                <a:round/>
              </a:ln>
              <a:effectLst/>
            </c:spPr>
            <c:extLst>
              <c:ext xmlns:c16="http://schemas.microsoft.com/office/drawing/2014/chart" uri="{C3380CC4-5D6E-409C-BE32-E72D297353CC}">
                <c16:uniqueId val="{00000097-567F-44C6-B76D-9C7AD4B02B9E}"/>
              </c:ext>
            </c:extLst>
          </c:dPt>
          <c:dPt>
            <c:idx val="76"/>
            <c:marker>
              <c:symbol val="none"/>
            </c:marker>
            <c:bubble3D val="0"/>
            <c:spPr>
              <a:ln w="28575" cap="rnd">
                <a:solidFill>
                  <a:schemeClr val="accent1"/>
                </a:solidFill>
                <a:round/>
              </a:ln>
              <a:effectLst/>
            </c:spPr>
            <c:extLst>
              <c:ext xmlns:c16="http://schemas.microsoft.com/office/drawing/2014/chart" uri="{C3380CC4-5D6E-409C-BE32-E72D297353CC}">
                <c16:uniqueId val="{00000099-567F-44C6-B76D-9C7AD4B02B9E}"/>
              </c:ext>
            </c:extLst>
          </c:dPt>
          <c:dPt>
            <c:idx val="77"/>
            <c:marker>
              <c:symbol val="none"/>
            </c:marker>
            <c:bubble3D val="0"/>
            <c:spPr>
              <a:ln w="28575" cap="rnd">
                <a:solidFill>
                  <a:schemeClr val="accent1"/>
                </a:solidFill>
                <a:round/>
              </a:ln>
              <a:effectLst/>
            </c:spPr>
            <c:extLst>
              <c:ext xmlns:c16="http://schemas.microsoft.com/office/drawing/2014/chart" uri="{C3380CC4-5D6E-409C-BE32-E72D297353CC}">
                <c16:uniqueId val="{0000009B-567F-44C6-B76D-9C7AD4B02B9E}"/>
              </c:ext>
            </c:extLst>
          </c:dPt>
          <c:dPt>
            <c:idx val="78"/>
            <c:marker>
              <c:symbol val="none"/>
            </c:marker>
            <c:bubble3D val="0"/>
            <c:spPr>
              <a:ln w="28575" cap="rnd">
                <a:solidFill>
                  <a:schemeClr val="accent1"/>
                </a:solidFill>
                <a:round/>
              </a:ln>
              <a:effectLst/>
            </c:spPr>
            <c:extLst>
              <c:ext xmlns:c16="http://schemas.microsoft.com/office/drawing/2014/chart" uri="{C3380CC4-5D6E-409C-BE32-E72D297353CC}">
                <c16:uniqueId val="{0000009D-567F-44C6-B76D-9C7AD4B02B9E}"/>
              </c:ext>
            </c:extLst>
          </c:dPt>
          <c:dPt>
            <c:idx val="79"/>
            <c:marker>
              <c:symbol val="none"/>
            </c:marker>
            <c:bubble3D val="0"/>
            <c:spPr>
              <a:ln w="28575" cap="rnd">
                <a:solidFill>
                  <a:schemeClr val="accent1"/>
                </a:solidFill>
                <a:round/>
              </a:ln>
              <a:effectLst/>
            </c:spPr>
            <c:extLst>
              <c:ext xmlns:c16="http://schemas.microsoft.com/office/drawing/2014/chart" uri="{C3380CC4-5D6E-409C-BE32-E72D297353CC}">
                <c16:uniqueId val="{0000009F-567F-44C6-B76D-9C7AD4B02B9E}"/>
              </c:ext>
            </c:extLst>
          </c:dPt>
          <c:dPt>
            <c:idx val="80"/>
            <c:marker>
              <c:symbol val="none"/>
            </c:marker>
            <c:bubble3D val="0"/>
            <c:spPr>
              <a:ln w="28575" cap="rnd">
                <a:solidFill>
                  <a:schemeClr val="accent1"/>
                </a:solidFill>
                <a:round/>
              </a:ln>
              <a:effectLst/>
            </c:spPr>
            <c:extLst>
              <c:ext xmlns:c16="http://schemas.microsoft.com/office/drawing/2014/chart" uri="{C3380CC4-5D6E-409C-BE32-E72D297353CC}">
                <c16:uniqueId val="{000000A1-567F-44C6-B76D-9C7AD4B02B9E}"/>
              </c:ext>
            </c:extLst>
          </c:dPt>
          <c:dPt>
            <c:idx val="81"/>
            <c:marker>
              <c:symbol val="none"/>
            </c:marker>
            <c:bubble3D val="0"/>
            <c:spPr>
              <a:ln w="28575" cap="rnd">
                <a:solidFill>
                  <a:schemeClr val="accent1"/>
                </a:solidFill>
                <a:round/>
              </a:ln>
              <a:effectLst/>
            </c:spPr>
            <c:extLst>
              <c:ext xmlns:c16="http://schemas.microsoft.com/office/drawing/2014/chart" uri="{C3380CC4-5D6E-409C-BE32-E72D297353CC}">
                <c16:uniqueId val="{000000A3-567F-44C6-B76D-9C7AD4B02B9E}"/>
              </c:ext>
            </c:extLst>
          </c:dPt>
          <c:dPt>
            <c:idx val="82"/>
            <c:marker>
              <c:symbol val="none"/>
            </c:marker>
            <c:bubble3D val="0"/>
            <c:spPr>
              <a:ln w="28575" cap="rnd">
                <a:solidFill>
                  <a:schemeClr val="accent1"/>
                </a:solidFill>
                <a:round/>
              </a:ln>
              <a:effectLst/>
            </c:spPr>
            <c:extLst>
              <c:ext xmlns:c16="http://schemas.microsoft.com/office/drawing/2014/chart" uri="{C3380CC4-5D6E-409C-BE32-E72D297353CC}">
                <c16:uniqueId val="{000000A5-567F-44C6-B76D-9C7AD4B02B9E}"/>
              </c:ext>
            </c:extLst>
          </c:dPt>
          <c:cat>
            <c:strRef>
              <c:f>'Sport Across Nationality'!$A$4:$A$86</c:f>
              <c:strCache>
                <c:ptCount val="83"/>
                <c:pt idx="0">
                  <c:v>Albania</c:v>
                </c:pt>
                <c:pt idx="1">
                  <c:v>Algeria</c:v>
                </c:pt>
                <c:pt idx="2">
                  <c:v>Andorra</c:v>
                </c:pt>
                <c:pt idx="3">
                  <c:v>Argentina</c:v>
                </c:pt>
                <c:pt idx="4">
                  <c:v>Armenia</c:v>
                </c:pt>
                <c:pt idx="5">
                  <c:v>Australia</c:v>
                </c:pt>
                <c:pt idx="6">
                  <c:v>Austria</c:v>
                </c:pt>
                <c:pt idx="7">
                  <c:v>Azerbaijan</c:v>
                </c:pt>
                <c:pt idx="8">
                  <c:v>Belarus</c:v>
                </c:pt>
                <c:pt idx="9">
                  <c:v>Belgium</c:v>
                </c:pt>
                <c:pt idx="10">
                  <c:v>Bermuda</c:v>
                </c:pt>
                <c:pt idx="11">
                  <c:v>Bosnia and Herzegovina</c:v>
                </c:pt>
                <c:pt idx="12">
                  <c:v>Brazil</c:v>
                </c:pt>
                <c:pt idx="13">
                  <c:v>Bulgaria</c:v>
                </c:pt>
                <c:pt idx="14">
                  <c:v>Canada</c:v>
                </c:pt>
                <c:pt idx="15">
                  <c:v>Cayman Islands</c:v>
                </c:pt>
                <c:pt idx="16">
                  <c:v>Chile</c:v>
                </c:pt>
                <c:pt idx="17">
                  <c:v>China</c:v>
                </c:pt>
                <c:pt idx="18">
                  <c:v>Chinese Taipei</c:v>
                </c:pt>
                <c:pt idx="19">
                  <c:v>Colombia</c:v>
                </c:pt>
                <c:pt idx="20">
                  <c:v>Croatia</c:v>
                </c:pt>
                <c:pt idx="21">
                  <c:v>Cyprus</c:v>
                </c:pt>
                <c:pt idx="22">
                  <c:v>Czech Republic</c:v>
                </c:pt>
                <c:pt idx="23">
                  <c:v>Denmark</c:v>
                </c:pt>
                <c:pt idx="24">
                  <c:v>Estonia</c:v>
                </c:pt>
                <c:pt idx="25">
                  <c:v>Ethiopia</c:v>
                </c:pt>
                <c:pt idx="26">
                  <c:v>Finland</c:v>
                </c:pt>
                <c:pt idx="27">
                  <c:v>France</c:v>
                </c:pt>
                <c:pt idx="28">
                  <c:v>Georgia</c:v>
                </c:pt>
                <c:pt idx="29">
                  <c:v>Germany</c:v>
                </c:pt>
                <c:pt idx="30">
                  <c:v>Ghana</c:v>
                </c:pt>
                <c:pt idx="31">
                  <c:v>Great Britain</c:v>
                </c:pt>
                <c:pt idx="32">
                  <c:v>Greece</c:v>
                </c:pt>
                <c:pt idx="33">
                  <c:v>Hong Kong</c:v>
                </c:pt>
                <c:pt idx="34">
                  <c:v>Hungary</c:v>
                </c:pt>
                <c:pt idx="35">
                  <c:v>Iceland</c:v>
                </c:pt>
                <c:pt idx="36">
                  <c:v>India</c:v>
                </c:pt>
                <c:pt idx="37">
                  <c:v>Iran</c:v>
                </c:pt>
                <c:pt idx="38">
                  <c:v>Ireland</c:v>
                </c:pt>
                <c:pt idx="39">
                  <c:v>Israel</c:v>
                </c:pt>
                <c:pt idx="40">
                  <c:v>Italy</c:v>
                </c:pt>
                <c:pt idx="41">
                  <c:v>Jamaica</c:v>
                </c:pt>
                <c:pt idx="42">
                  <c:v>Japan</c:v>
                </c:pt>
                <c:pt idx="43">
                  <c:v>Kazakhstan</c:v>
                </c:pt>
                <c:pt idx="44">
                  <c:v>Kenya</c:v>
                </c:pt>
                <c:pt idx="45">
                  <c:v>Kyrgyzstan</c:v>
                </c:pt>
                <c:pt idx="46">
                  <c:v>Latvia</c:v>
                </c:pt>
                <c:pt idx="47">
                  <c:v>Lebanon</c:v>
                </c:pt>
                <c:pt idx="48">
                  <c:v>Liechtenstein</c:v>
                </c:pt>
                <c:pt idx="49">
                  <c:v>Lithuania</c:v>
                </c:pt>
                <c:pt idx="50">
                  <c:v>Macedonia</c:v>
                </c:pt>
                <c:pt idx="51">
                  <c:v>Mexico</c:v>
                </c:pt>
                <c:pt idx="52">
                  <c:v>Moldova</c:v>
                </c:pt>
                <c:pt idx="53">
                  <c:v>Monaco</c:v>
                </c:pt>
                <c:pt idx="54">
                  <c:v>Mongolia</c:v>
                </c:pt>
                <c:pt idx="55">
                  <c:v>Montenegro</c:v>
                </c:pt>
                <c:pt idx="56">
                  <c:v>Morocco</c:v>
                </c:pt>
                <c:pt idx="57">
                  <c:v>Nepal</c:v>
                </c:pt>
                <c:pt idx="58">
                  <c:v>Netherlands</c:v>
                </c:pt>
                <c:pt idx="59">
                  <c:v>New Zealand</c:v>
                </c:pt>
                <c:pt idx="60">
                  <c:v>North Korea</c:v>
                </c:pt>
                <c:pt idx="61">
                  <c:v>Norway</c:v>
                </c:pt>
                <c:pt idx="62">
                  <c:v>Pakistan</c:v>
                </c:pt>
                <c:pt idx="63">
                  <c:v>Peru</c:v>
                </c:pt>
                <c:pt idx="64">
                  <c:v>Poland</c:v>
                </c:pt>
                <c:pt idx="65">
                  <c:v>Portugal</c:v>
                </c:pt>
                <c:pt idx="66">
                  <c:v>Romania</c:v>
                </c:pt>
                <c:pt idx="67">
                  <c:v>Russia</c:v>
                </c:pt>
                <c:pt idx="68">
                  <c:v>San Marino</c:v>
                </c:pt>
                <c:pt idx="69">
                  <c:v>Senegal</c:v>
                </c:pt>
                <c:pt idx="70">
                  <c:v>Serbia</c:v>
                </c:pt>
                <c:pt idx="71">
                  <c:v>Slovakia</c:v>
                </c:pt>
                <c:pt idx="72">
                  <c:v>Slovenia</c:v>
                </c:pt>
                <c:pt idx="73">
                  <c:v>South Africa</c:v>
                </c:pt>
                <c:pt idx="74">
                  <c:v>South Korea</c:v>
                </c:pt>
                <c:pt idx="75">
                  <c:v>Spain</c:v>
                </c:pt>
                <c:pt idx="76">
                  <c:v>Sweden</c:v>
                </c:pt>
                <c:pt idx="77">
                  <c:v>Switzerland</c:v>
                </c:pt>
                <c:pt idx="78">
                  <c:v>Tajikistan</c:v>
                </c:pt>
                <c:pt idx="79">
                  <c:v>Turkey</c:v>
                </c:pt>
                <c:pt idx="80">
                  <c:v>Ukraine</c:v>
                </c:pt>
                <c:pt idx="81">
                  <c:v>United States</c:v>
                </c:pt>
                <c:pt idx="82">
                  <c:v>Uzbekistan</c:v>
                </c:pt>
              </c:strCache>
            </c:strRef>
          </c:cat>
          <c:val>
            <c:numRef>
              <c:f>'Sport Across Nationality'!$B$4:$B$86</c:f>
              <c:numCache>
                <c:formatCode>0.00%</c:formatCode>
                <c:ptCount val="83"/>
                <c:pt idx="0">
                  <c:v>3.8372985418265541E-4</c:v>
                </c:pt>
                <c:pt idx="1">
                  <c:v>3.8372985418265541E-4</c:v>
                </c:pt>
                <c:pt idx="2">
                  <c:v>1.918649270913277E-3</c:v>
                </c:pt>
                <c:pt idx="3">
                  <c:v>2.6861089792785879E-3</c:v>
                </c:pt>
                <c:pt idx="4">
                  <c:v>1.5349194167306216E-3</c:v>
                </c:pt>
                <c:pt idx="5">
                  <c:v>1.5349194167306216E-2</c:v>
                </c:pt>
                <c:pt idx="6">
                  <c:v>3.0698388334612432E-2</c:v>
                </c:pt>
                <c:pt idx="7">
                  <c:v>7.6745970836531081E-4</c:v>
                </c:pt>
                <c:pt idx="8">
                  <c:v>1.9186492709132769E-2</c:v>
                </c:pt>
                <c:pt idx="9">
                  <c:v>3.0698388334612432E-3</c:v>
                </c:pt>
                <c:pt idx="10">
                  <c:v>3.8372985418265541E-4</c:v>
                </c:pt>
                <c:pt idx="11">
                  <c:v>1.918649270913277E-3</c:v>
                </c:pt>
                <c:pt idx="12">
                  <c:v>1.918649270913277E-3</c:v>
                </c:pt>
                <c:pt idx="13">
                  <c:v>6.9071373752877972E-3</c:v>
                </c:pt>
                <c:pt idx="14">
                  <c:v>7.7897160399079055E-2</c:v>
                </c:pt>
                <c:pt idx="15">
                  <c:v>3.8372985418265541E-4</c:v>
                </c:pt>
                <c:pt idx="16">
                  <c:v>1.1511895625479663E-3</c:v>
                </c:pt>
                <c:pt idx="17">
                  <c:v>3.3384497313891023E-2</c:v>
                </c:pt>
                <c:pt idx="18">
                  <c:v>3.8372985418265541E-4</c:v>
                </c:pt>
                <c:pt idx="19">
                  <c:v>3.8372985418265541E-4</c:v>
                </c:pt>
                <c:pt idx="20">
                  <c:v>6.9071373752877972E-3</c:v>
                </c:pt>
                <c:pt idx="21">
                  <c:v>7.6745970836531081E-4</c:v>
                </c:pt>
                <c:pt idx="22">
                  <c:v>3.4919416730621641E-2</c:v>
                </c:pt>
                <c:pt idx="23">
                  <c:v>6.9071373752877972E-3</c:v>
                </c:pt>
                <c:pt idx="24">
                  <c:v>1.1128165771297006E-2</c:v>
                </c:pt>
                <c:pt idx="25">
                  <c:v>3.8372985418265541E-4</c:v>
                </c:pt>
                <c:pt idx="26">
                  <c:v>3.6070606293169612E-2</c:v>
                </c:pt>
                <c:pt idx="27">
                  <c:v>4.1059094397544127E-2</c:v>
                </c:pt>
                <c:pt idx="28">
                  <c:v>3.0698388334612432E-3</c:v>
                </c:pt>
                <c:pt idx="29">
                  <c:v>5.832693783576362E-2</c:v>
                </c:pt>
                <c:pt idx="30">
                  <c:v>3.8372985418265541E-4</c:v>
                </c:pt>
                <c:pt idx="31">
                  <c:v>1.9570222563315427E-2</c:v>
                </c:pt>
                <c:pt idx="32">
                  <c:v>2.6861089792785879E-3</c:v>
                </c:pt>
                <c:pt idx="33">
                  <c:v>3.8372985418265541E-4</c:v>
                </c:pt>
                <c:pt idx="34">
                  <c:v>5.7559478127398311E-3</c:v>
                </c:pt>
                <c:pt idx="35">
                  <c:v>1.5349194167306216E-3</c:v>
                </c:pt>
                <c:pt idx="36">
                  <c:v>1.1511895625479663E-3</c:v>
                </c:pt>
                <c:pt idx="37">
                  <c:v>2.3023791250959325E-3</c:v>
                </c:pt>
                <c:pt idx="38">
                  <c:v>2.3023791250959325E-3</c:v>
                </c:pt>
                <c:pt idx="39">
                  <c:v>1.1511895625479663E-3</c:v>
                </c:pt>
                <c:pt idx="40">
                  <c:v>4.1442824251726781E-2</c:v>
                </c:pt>
                <c:pt idx="41">
                  <c:v>3.8372985418265541E-4</c:v>
                </c:pt>
                <c:pt idx="42">
                  <c:v>3.568687643898695E-2</c:v>
                </c:pt>
                <c:pt idx="43">
                  <c:v>1.4581734458940905E-2</c:v>
                </c:pt>
                <c:pt idx="44">
                  <c:v>3.8372985418265541E-4</c:v>
                </c:pt>
                <c:pt idx="45">
                  <c:v>7.6745970836531081E-4</c:v>
                </c:pt>
                <c:pt idx="46">
                  <c:v>2.2256331542594012E-2</c:v>
                </c:pt>
                <c:pt idx="47">
                  <c:v>1.1511895625479663E-3</c:v>
                </c:pt>
                <c:pt idx="48">
                  <c:v>2.3023791250959325E-3</c:v>
                </c:pt>
                <c:pt idx="49">
                  <c:v>2.3023791250959325E-3</c:v>
                </c:pt>
                <c:pt idx="50">
                  <c:v>1.5349194167306216E-3</c:v>
                </c:pt>
                <c:pt idx="51">
                  <c:v>3.8372985418265541E-4</c:v>
                </c:pt>
                <c:pt idx="52">
                  <c:v>2.6861089792785879E-3</c:v>
                </c:pt>
                <c:pt idx="53">
                  <c:v>1.1511895625479663E-3</c:v>
                </c:pt>
                <c:pt idx="54">
                  <c:v>7.6745970836531081E-4</c:v>
                </c:pt>
                <c:pt idx="55">
                  <c:v>3.8372985418265541E-4</c:v>
                </c:pt>
                <c:pt idx="56">
                  <c:v>3.8372985418265541E-4</c:v>
                </c:pt>
                <c:pt idx="57">
                  <c:v>7.6745970836531081E-4</c:v>
                </c:pt>
                <c:pt idx="58">
                  <c:v>1.3046815042210284E-2</c:v>
                </c:pt>
                <c:pt idx="59">
                  <c:v>6.1396776669224865E-3</c:v>
                </c:pt>
                <c:pt idx="60">
                  <c:v>7.6745970836531081E-4</c:v>
                </c:pt>
                <c:pt idx="61">
                  <c:v>3.7221795855717575E-2</c:v>
                </c:pt>
                <c:pt idx="62">
                  <c:v>3.8372985418265541E-4</c:v>
                </c:pt>
                <c:pt idx="63">
                  <c:v>1.1511895625479663E-3</c:v>
                </c:pt>
                <c:pt idx="64">
                  <c:v>1.9186492709132769E-2</c:v>
                </c:pt>
                <c:pt idx="65">
                  <c:v>3.8372985418265541E-4</c:v>
                </c:pt>
                <c:pt idx="66">
                  <c:v>1.1128165771297006E-2</c:v>
                </c:pt>
                <c:pt idx="67">
                  <c:v>6.792018419033001E-2</c:v>
                </c:pt>
                <c:pt idx="68">
                  <c:v>7.6745970836531081E-4</c:v>
                </c:pt>
                <c:pt idx="69">
                  <c:v>3.8372985418265541E-4</c:v>
                </c:pt>
                <c:pt idx="70">
                  <c:v>3.8372985418265539E-3</c:v>
                </c:pt>
                <c:pt idx="71">
                  <c:v>2.7628549501151189E-2</c:v>
                </c:pt>
                <c:pt idx="72">
                  <c:v>1.8802762854950115E-2</c:v>
                </c:pt>
                <c:pt idx="73">
                  <c:v>7.6745970836531081E-4</c:v>
                </c:pt>
                <c:pt idx="74">
                  <c:v>1.7651573292402148E-2</c:v>
                </c:pt>
                <c:pt idx="75">
                  <c:v>6.9071373752877972E-3</c:v>
                </c:pt>
                <c:pt idx="76">
                  <c:v>4.0675364543361472E-2</c:v>
                </c:pt>
                <c:pt idx="77">
                  <c:v>5.5640828856485032E-2</c:v>
                </c:pt>
                <c:pt idx="78">
                  <c:v>3.8372985418265541E-4</c:v>
                </c:pt>
                <c:pt idx="79">
                  <c:v>1.918649270913277E-3</c:v>
                </c:pt>
                <c:pt idx="80">
                  <c:v>1.7267843438219493E-2</c:v>
                </c:pt>
                <c:pt idx="81">
                  <c:v>8.2118188795088254E-2</c:v>
                </c:pt>
                <c:pt idx="82">
                  <c:v>1.1511895625479663E-3</c:v>
                </c:pt>
              </c:numCache>
            </c:numRef>
          </c:val>
          <c:smooth val="0"/>
          <c:extLst>
            <c:ext xmlns:c16="http://schemas.microsoft.com/office/drawing/2014/chart" uri="{C3380CC4-5D6E-409C-BE32-E72D297353CC}">
              <c16:uniqueId val="{000000AA-AE29-46CD-8339-A8B53895BC9B}"/>
            </c:ext>
          </c:extLst>
        </c:ser>
        <c:dLbls>
          <c:showLegendKey val="0"/>
          <c:showVal val="0"/>
          <c:showCatName val="0"/>
          <c:showSerName val="0"/>
          <c:showPercent val="0"/>
          <c:showBubbleSize val="0"/>
        </c:dLbls>
        <c:smooth val="0"/>
        <c:axId val="763656159"/>
        <c:axId val="763652831"/>
      </c:lineChart>
      <c:catAx>
        <c:axId val="763656159"/>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63652831"/>
        <c:crosses val="autoZero"/>
        <c:auto val="1"/>
        <c:lblAlgn val="ctr"/>
        <c:lblOffset val="100"/>
        <c:noMultiLvlLbl val="0"/>
      </c:catAx>
      <c:valAx>
        <c:axId val="763652831"/>
        <c:scaling>
          <c:orientation val="minMax"/>
        </c:scaling>
        <c:delete val="0"/>
        <c:axPos val="l"/>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6365615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[EXCEL PROJECT.xlsx]Weight Across Age!PivotTable1</c:name>
    <c:fmtId val="9"/>
  </c:pivotSource>
  <c:chart>
    <c:title>
      <c:tx>
        <c:rich>
          <a:bodyPr rot="0" spcFirstLastPara="1" vertOverflow="ellipsis" vert="horz" wrap="square" anchor="ctr" anchorCtr="1"/>
          <a:lstStyle/>
          <a:p>
            <a:pPr algn="ctr">
              <a:defRPr sz="2800" b="1" i="1"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sz="2800" i="1"/>
              <a:t>Weight</a:t>
            </a:r>
            <a:r>
              <a:rPr lang="en-US" sz="2800" i="1" baseline="0"/>
              <a:t> Across Age</a:t>
            </a:r>
            <a:endParaRPr lang="en-US" sz="2800" i="1"/>
          </a:p>
        </c:rich>
      </c:tx>
      <c:layout>
        <c:manualLayout>
          <c:xMode val="edge"/>
          <c:yMode val="edge"/>
          <c:x val="0.38384695003663644"/>
          <c:y val="3.6078434706592506E-2"/>
        </c:manualLayout>
      </c:layout>
      <c:overlay val="0"/>
      <c:spPr>
        <a:noFill/>
        <a:ln>
          <a:noFill/>
        </a:ln>
        <a:effectLst/>
      </c:spPr>
      <c:txPr>
        <a:bodyPr rot="0" spcFirstLastPara="1" vertOverflow="ellipsis" vert="horz" wrap="square" anchor="ctr" anchorCtr="1"/>
        <a:lstStyle/>
        <a:p>
          <a:pPr algn="ctr">
            <a:defRPr sz="2800" b="1" i="1"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9904486115863297E-2"/>
          <c:y val="4.8677399853305763E-2"/>
          <c:w val="0.86588556404009742"/>
          <c:h val="0.80439838810557107"/>
        </c:manualLayout>
      </c:layout>
      <c:barChart>
        <c:barDir val="col"/>
        <c:grouping val="stacked"/>
        <c:varyColors val="0"/>
        <c:ser>
          <c:idx val="0"/>
          <c:order val="0"/>
          <c:tx>
            <c:strRef>
              <c:f>'Weight Across Age'!$B$3</c:f>
              <c:strCache>
                <c:ptCount val="1"/>
                <c:pt idx="0">
                  <c:v>Total</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'Weight Across Age'!$A$4:$A$38</c:f>
              <c:strCache>
                <c:ptCount val="35"/>
                <c:pt idx="0">
                  <c:v>15</c:v>
                </c:pt>
                <c:pt idx="1">
                  <c:v>16</c:v>
                </c:pt>
                <c:pt idx="2">
                  <c:v>17</c:v>
                </c:pt>
                <c:pt idx="3">
                  <c:v>18</c:v>
                </c:pt>
                <c:pt idx="4">
                  <c:v>19</c:v>
                </c:pt>
                <c:pt idx="5">
                  <c:v>20</c:v>
                </c:pt>
                <c:pt idx="6">
                  <c:v>21</c:v>
                </c:pt>
                <c:pt idx="7">
                  <c:v>22</c:v>
                </c:pt>
                <c:pt idx="8">
                  <c:v>23</c:v>
                </c:pt>
                <c:pt idx="9">
                  <c:v>24</c:v>
                </c:pt>
                <c:pt idx="10">
                  <c:v>25</c:v>
                </c:pt>
                <c:pt idx="11">
                  <c:v>26</c:v>
                </c:pt>
                <c:pt idx="12">
                  <c:v>27</c:v>
                </c:pt>
                <c:pt idx="13">
                  <c:v>28</c:v>
                </c:pt>
                <c:pt idx="14">
                  <c:v>29</c:v>
                </c:pt>
                <c:pt idx="15">
                  <c:v>30</c:v>
                </c:pt>
                <c:pt idx="16">
                  <c:v>31</c:v>
                </c:pt>
                <c:pt idx="17">
                  <c:v>32</c:v>
                </c:pt>
                <c:pt idx="18">
                  <c:v>33</c:v>
                </c:pt>
                <c:pt idx="19">
                  <c:v>34</c:v>
                </c:pt>
                <c:pt idx="20">
                  <c:v>35</c:v>
                </c:pt>
                <c:pt idx="21">
                  <c:v>36</c:v>
                </c:pt>
                <c:pt idx="22">
                  <c:v>37</c:v>
                </c:pt>
                <c:pt idx="23">
                  <c:v>38</c:v>
                </c:pt>
                <c:pt idx="24">
                  <c:v>39</c:v>
                </c:pt>
                <c:pt idx="25">
                  <c:v>40</c:v>
                </c:pt>
                <c:pt idx="26">
                  <c:v>41</c:v>
                </c:pt>
                <c:pt idx="27">
                  <c:v>42</c:v>
                </c:pt>
                <c:pt idx="28">
                  <c:v>43</c:v>
                </c:pt>
                <c:pt idx="29">
                  <c:v>44</c:v>
                </c:pt>
                <c:pt idx="30">
                  <c:v>45</c:v>
                </c:pt>
                <c:pt idx="31">
                  <c:v>46</c:v>
                </c:pt>
                <c:pt idx="32">
                  <c:v>47</c:v>
                </c:pt>
                <c:pt idx="33">
                  <c:v>48</c:v>
                </c:pt>
                <c:pt idx="34">
                  <c:v>51</c:v>
                </c:pt>
              </c:strCache>
            </c:strRef>
          </c:cat>
          <c:val>
            <c:numRef>
              <c:f>'Weight Across Age'!$B$4:$B$38</c:f>
              <c:numCache>
                <c:formatCode>General</c:formatCode>
                <c:ptCount val="35"/>
                <c:pt idx="0">
                  <c:v>5</c:v>
                </c:pt>
                <c:pt idx="1">
                  <c:v>21</c:v>
                </c:pt>
                <c:pt idx="2">
                  <c:v>40</c:v>
                </c:pt>
                <c:pt idx="3">
                  <c:v>55</c:v>
                </c:pt>
                <c:pt idx="4">
                  <c:v>95</c:v>
                </c:pt>
                <c:pt idx="5">
                  <c:v>137</c:v>
                </c:pt>
                <c:pt idx="6">
                  <c:v>157</c:v>
                </c:pt>
                <c:pt idx="7">
                  <c:v>176</c:v>
                </c:pt>
                <c:pt idx="8">
                  <c:v>187</c:v>
                </c:pt>
                <c:pt idx="9">
                  <c:v>238</c:v>
                </c:pt>
                <c:pt idx="10">
                  <c:v>228</c:v>
                </c:pt>
                <c:pt idx="11">
                  <c:v>169</c:v>
                </c:pt>
                <c:pt idx="12">
                  <c:v>188</c:v>
                </c:pt>
                <c:pt idx="13">
                  <c:v>143</c:v>
                </c:pt>
                <c:pt idx="14">
                  <c:v>149</c:v>
                </c:pt>
                <c:pt idx="15">
                  <c:v>97</c:v>
                </c:pt>
                <c:pt idx="16">
                  <c:v>102</c:v>
                </c:pt>
                <c:pt idx="17">
                  <c:v>102</c:v>
                </c:pt>
                <c:pt idx="18">
                  <c:v>78</c:v>
                </c:pt>
                <c:pt idx="19">
                  <c:v>47</c:v>
                </c:pt>
                <c:pt idx="20">
                  <c:v>52</c:v>
                </c:pt>
                <c:pt idx="21">
                  <c:v>39</c:v>
                </c:pt>
                <c:pt idx="22">
                  <c:v>30</c:v>
                </c:pt>
                <c:pt idx="23">
                  <c:v>22</c:v>
                </c:pt>
                <c:pt idx="24">
                  <c:v>16</c:v>
                </c:pt>
                <c:pt idx="25">
                  <c:v>13</c:v>
                </c:pt>
                <c:pt idx="26">
                  <c:v>1</c:v>
                </c:pt>
                <c:pt idx="27">
                  <c:v>4</c:v>
                </c:pt>
                <c:pt idx="28">
                  <c:v>4</c:v>
                </c:pt>
                <c:pt idx="29">
                  <c:v>3</c:v>
                </c:pt>
                <c:pt idx="30">
                  <c:v>3</c:v>
                </c:pt>
                <c:pt idx="31">
                  <c:v>1</c:v>
                </c:pt>
                <c:pt idx="32">
                  <c:v>2</c:v>
                </c:pt>
                <c:pt idx="33">
                  <c:v>1</c:v>
                </c:pt>
                <c:pt idx="34">
                  <c:v>1</c:v>
                </c:pt>
              </c:numCache>
            </c:numRef>
          </c:val>
          <c:extLst>
            <c:ext xmlns:c16="http://schemas.microsoft.com/office/drawing/2014/chart" uri="{C3380CC4-5D6E-409C-BE32-E72D297353CC}">
              <c16:uniqueId val="{00000004-158F-4FD9-8E12-B54E24DC1245}"/>
            </c:ext>
          </c:extLst>
        </c:ser>
        <c:dLbls>
          <c:showLegendKey val="0"/>
          <c:showVal val="0"/>
          <c:showCatName val="0"/>
          <c:showSerName val="0"/>
          <c:showPercent val="0"/>
          <c:showBubbleSize val="0"/>
        </c:dLbls>
        <c:gapWidth val="150"/>
        <c:overlap val="100"/>
        <c:axId val="2033510512"/>
        <c:axId val="2033512176"/>
      </c:barChart>
      <c:catAx>
        <c:axId val="2033510512"/>
        <c:scaling>
          <c:orientation val="minMax"/>
        </c:scaling>
        <c:delete val="0"/>
        <c:axPos val="b"/>
        <c:numFmt formatCode="General" sourceLinked="1"/>
        <c:majorTickMark val="out"/>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033512176"/>
        <c:crosses val="autoZero"/>
        <c:auto val="1"/>
        <c:lblAlgn val="ctr"/>
        <c:lblOffset val="100"/>
        <c:noMultiLvlLbl val="0"/>
      </c:catAx>
      <c:valAx>
        <c:axId val="2033512176"/>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033510512"/>
        <c:crosses val="autoZero"/>
        <c:crossBetween val="between"/>
      </c:valAx>
      <c:dTable>
        <c:showHorzBorder val="1"/>
        <c:showVertBorder val="1"/>
        <c:showOutline val="1"/>
        <c:showKeys val="1"/>
        <c:spPr>
          <a:noFill/>
          <a:ln w="9525">
            <a:solidFill>
              <a:schemeClr val="lt1">
                <a:lumMod val="95000"/>
                <a:alpha val="54000"/>
              </a:schemeClr>
            </a:solidFill>
          </a:ln>
          <a:effectLst/>
        </c:spPr>
        <c:txPr>
          <a:bodyPr rot="0" spcFirstLastPara="1" vertOverflow="ellipsis" vert="horz" wrap="square" anchor="ctr" anchorCtr="1"/>
          <a:lstStyle/>
          <a:p>
            <a:pPr rtl="0">
              <a:defRPr sz="900" b="0" i="0" u="none" strike="noStrike" kern="1200" baseline="0">
                <a:solidFill>
                  <a:schemeClr val="lt1">
                    <a:lumMod val="85000"/>
                  </a:schemeClr>
                </a:solidFill>
                <a:latin typeface="+mn-lt"/>
                <a:ea typeface="+mn-ea"/>
                <a:cs typeface="+mn-cs"/>
              </a:defRPr>
            </a:pPr>
            <a:endParaRPr lang="en-US"/>
          </a:p>
        </c:txPr>
      </c:dTable>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[EXCEL PROJECT.xlsx]Weight Across Age!PivotTable4</c:name>
    <c:fmtId val="6"/>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Top 10 Age Vs Weight</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2">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'Weight Across Age'!$E$3</c:f>
              <c:strCache>
                <c:ptCount val="1"/>
                <c:pt idx="0">
                  <c:v>Total</c:v>
                </c:pt>
              </c:strCache>
            </c:strRef>
          </c:tx>
          <c:spPr>
            <a:solidFill>
              <a:schemeClr val="accent2">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'Weight Across Age'!$D$4:$D$13</c:f>
              <c:strCache>
                <c:ptCount val="10"/>
                <c:pt idx="0">
                  <c:v>20</c:v>
                </c:pt>
                <c:pt idx="1">
                  <c:v>21</c:v>
                </c:pt>
                <c:pt idx="2">
                  <c:v>22</c:v>
                </c:pt>
                <c:pt idx="3">
                  <c:v>23</c:v>
                </c:pt>
                <c:pt idx="4">
                  <c:v>24</c:v>
                </c:pt>
                <c:pt idx="5">
                  <c:v>25</c:v>
                </c:pt>
                <c:pt idx="6">
                  <c:v>26</c:v>
                </c:pt>
                <c:pt idx="7">
                  <c:v>27</c:v>
                </c:pt>
                <c:pt idx="8">
                  <c:v>28</c:v>
                </c:pt>
                <c:pt idx="9">
                  <c:v>29</c:v>
                </c:pt>
              </c:strCache>
            </c:strRef>
          </c:cat>
          <c:val>
            <c:numRef>
              <c:f>'Weight Across Age'!$E$4:$E$13</c:f>
              <c:numCache>
                <c:formatCode>General</c:formatCode>
                <c:ptCount val="10"/>
                <c:pt idx="0">
                  <c:v>137</c:v>
                </c:pt>
                <c:pt idx="1">
                  <c:v>157</c:v>
                </c:pt>
                <c:pt idx="2">
                  <c:v>176</c:v>
                </c:pt>
                <c:pt idx="3">
                  <c:v>187</c:v>
                </c:pt>
                <c:pt idx="4">
                  <c:v>238</c:v>
                </c:pt>
                <c:pt idx="5">
                  <c:v>228</c:v>
                </c:pt>
                <c:pt idx="6">
                  <c:v>169</c:v>
                </c:pt>
                <c:pt idx="7">
                  <c:v>188</c:v>
                </c:pt>
                <c:pt idx="8">
                  <c:v>143</c:v>
                </c:pt>
                <c:pt idx="9">
                  <c:v>149</c:v>
                </c:pt>
              </c:numCache>
            </c:numRef>
          </c:val>
          <c:extLst>
            <c:ext xmlns:c16="http://schemas.microsoft.com/office/drawing/2014/chart" uri="{C3380CC4-5D6E-409C-BE32-E72D297353CC}">
              <c16:uniqueId val="{00000003-FC1B-4850-8E8B-1949B858BB27}"/>
            </c:ext>
          </c:extLst>
        </c:ser>
        <c:dLbls>
          <c:dLblPos val="inEnd"/>
          <c:showLegendKey val="0"/>
          <c:showVal val="1"/>
          <c:showCatName val="0"/>
          <c:showSerName val="0"/>
          <c:showPercent val="0"/>
          <c:showBubbleSize val="0"/>
        </c:dLbls>
        <c:gapWidth val="65"/>
        <c:axId val="1512722079"/>
        <c:axId val="1512711679"/>
      </c:barChart>
      <c:catAx>
        <c:axId val="1512722079"/>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512711679"/>
        <c:crosses val="autoZero"/>
        <c:auto val="1"/>
        <c:lblAlgn val="ctr"/>
        <c:lblOffset val="100"/>
        <c:noMultiLvlLbl val="0"/>
      </c:catAx>
      <c:valAx>
        <c:axId val="1512711679"/>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151272207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[EXCEL PROJECT.xlsx]Weight Across Age!PivotTable5</c:name>
    <c:fmtId val="6"/>
  </c:pivotSource>
  <c:chart>
    <c:title>
      <c:tx>
        <c:rich>
          <a:bodyPr rot="0" spcFirstLastPara="1" vertOverflow="ellipsis" vert="horz" wrap="square" anchor="ctr" anchorCtr="1"/>
          <a:lstStyle/>
          <a:p>
            <a:pPr>
              <a:defRPr sz="2800" b="0" i="0" u="none" strike="noStrike" kern="1200" spc="0" baseline="0">
                <a:solidFill>
                  <a:schemeClr val="tx1">
                    <a:lumMod val="65000"/>
                    <a:lumOff val="35000"/>
                  </a:schemeClr>
                </a:solidFill>
                <a:latin typeface="+mn-lt"/>
                <a:ea typeface="+mn-ea"/>
                <a:cs typeface="+mn-cs"/>
              </a:defRPr>
            </a:pPr>
            <a:r>
              <a:rPr lang="en-US" sz="2800" b="1" i="1"/>
              <a:t>Bottom</a:t>
            </a:r>
            <a:r>
              <a:rPr lang="en-US" sz="2800" b="1" i="1" baseline="0"/>
              <a:t> 10 Age Vs Weight</a:t>
            </a:r>
            <a:endParaRPr lang="en-US" sz="2800" b="1" i="1"/>
          </a:p>
        </c:rich>
      </c:tx>
      <c:overlay val="0"/>
      <c:spPr>
        <a:noFill/>
        <a:ln>
          <a:noFill/>
        </a:ln>
        <a:effectLst/>
      </c:spPr>
      <c:txPr>
        <a:bodyPr rot="0" spcFirstLastPara="1" vertOverflow="ellipsis" vert="horz" wrap="square" anchor="ctr" anchorCtr="1"/>
        <a:lstStyle/>
        <a:p>
          <a:pPr>
            <a:defRPr sz="28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'Weight Across Age'!$H$3</c:f>
              <c:strCache>
                <c:ptCount val="1"/>
                <c:pt idx="0">
                  <c:v>Total</c:v>
                </c:pt>
              </c:strCache>
            </c:strRef>
          </c:tx>
          <c:spPr>
            <a:solidFill>
              <a:schemeClr val="accent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'Weight Across Age'!$G$4:$G$13</c:f>
              <c:strCache>
                <c:ptCount val="10"/>
                <c:pt idx="0">
                  <c:v>15</c:v>
                </c:pt>
                <c:pt idx="1">
                  <c:v>41</c:v>
                </c:pt>
                <c:pt idx="2">
                  <c:v>42</c:v>
                </c:pt>
                <c:pt idx="3">
                  <c:v>43</c:v>
                </c:pt>
                <c:pt idx="4">
                  <c:v>44</c:v>
                </c:pt>
                <c:pt idx="5">
                  <c:v>45</c:v>
                </c:pt>
                <c:pt idx="6">
                  <c:v>46</c:v>
                </c:pt>
                <c:pt idx="7">
                  <c:v>47</c:v>
                </c:pt>
                <c:pt idx="8">
                  <c:v>48</c:v>
                </c:pt>
                <c:pt idx="9">
                  <c:v>51</c:v>
                </c:pt>
              </c:strCache>
            </c:strRef>
          </c:cat>
          <c:val>
            <c:numRef>
              <c:f>'Weight Across Age'!$H$4:$H$13</c:f>
              <c:numCache>
                <c:formatCode>General</c:formatCode>
                <c:ptCount val="10"/>
                <c:pt idx="0">
                  <c:v>5</c:v>
                </c:pt>
                <c:pt idx="1">
                  <c:v>1</c:v>
                </c:pt>
                <c:pt idx="2">
                  <c:v>4</c:v>
                </c:pt>
                <c:pt idx="3">
                  <c:v>4</c:v>
                </c:pt>
                <c:pt idx="4">
                  <c:v>3</c:v>
                </c:pt>
                <c:pt idx="5">
                  <c:v>3</c:v>
                </c:pt>
                <c:pt idx="6">
                  <c:v>1</c:v>
                </c:pt>
                <c:pt idx="7">
                  <c:v>2</c:v>
                </c:pt>
                <c:pt idx="8">
                  <c:v>1</c:v>
                </c:pt>
                <c:pt idx="9">
                  <c:v>1</c:v>
                </c:pt>
              </c:numCache>
            </c:numRef>
          </c:val>
          <c:extLst>
            <c:ext xmlns:c16="http://schemas.microsoft.com/office/drawing/2014/chart" uri="{C3380CC4-5D6E-409C-BE32-E72D297353CC}">
              <c16:uniqueId val="{00000003-2FEF-4E48-B311-0F95A297A0E3}"/>
            </c:ext>
          </c:extLst>
        </c:ser>
        <c:dLbls>
          <c:dLblPos val="outEnd"/>
          <c:showLegendKey val="0"/>
          <c:showVal val="1"/>
          <c:showCatName val="0"/>
          <c:showSerName val="0"/>
          <c:showPercent val="0"/>
          <c:showBubbleSize val="0"/>
        </c:dLbls>
        <c:gapWidth val="182"/>
        <c:axId val="1512754111"/>
        <c:axId val="1512754527"/>
      </c:barChart>
      <c:catAx>
        <c:axId val="151275411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12754527"/>
        <c:crosses val="autoZero"/>
        <c:auto val="1"/>
        <c:lblAlgn val="ctr"/>
        <c:lblOffset val="100"/>
        <c:noMultiLvlLbl val="0"/>
      </c:catAx>
      <c:valAx>
        <c:axId val="1512754527"/>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1275411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pivotSource>
    <c:name>[EXCEL PROJECT.xlsx]Count of Athlete Across Weight!PivotTable3</c:name>
    <c:fmtId val="2"/>
  </c:pivotSource>
  <c:chart>
    <c:title>
      <c:tx>
        <c:rich>
          <a:bodyPr rot="0" spcFirstLastPara="1" vertOverflow="ellipsis" vert="horz" wrap="square" anchor="ctr" anchorCtr="1"/>
          <a:lstStyle/>
          <a:p>
            <a:pPr>
              <a:defRPr sz="2400" b="1" i="1" u="none" strike="noStrike" kern="1200" spc="0" baseline="0">
                <a:solidFill>
                  <a:schemeClr val="tx1">
                    <a:lumMod val="65000"/>
                    <a:lumOff val="35000"/>
                  </a:schemeClr>
                </a:solidFill>
                <a:latin typeface="+mn-lt"/>
                <a:ea typeface="+mn-ea"/>
                <a:cs typeface="+mn-cs"/>
              </a:defRPr>
            </a:pPr>
            <a:r>
              <a:rPr lang="en-US" sz="2400" b="1" i="1"/>
              <a:t>Count of Athlete Across Weight</a:t>
            </a:r>
          </a:p>
        </c:rich>
      </c:tx>
      <c:overlay val="0"/>
      <c:spPr>
        <a:noFill/>
        <a:ln>
          <a:noFill/>
        </a:ln>
        <a:effectLst/>
      </c:spPr>
      <c:txPr>
        <a:bodyPr rot="0" spcFirstLastPara="1" vertOverflow="ellipsis" vert="horz" wrap="square" anchor="ctr" anchorCtr="1"/>
        <a:lstStyle/>
        <a:p>
          <a:pPr>
            <a:defRPr sz="2400" b="1" i="1"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pivotFmt>
      <c:pivotFmt>
        <c:idx val="7"/>
      </c:pivotFmt>
      <c:pivotFmt>
        <c:idx val="8"/>
      </c:pivotFmt>
      <c:pivotFmt>
        <c:idx val="9"/>
      </c:pivotFmt>
      <c:pivotFmt>
        <c:idx val="10"/>
      </c:pivotFmt>
      <c:pivotFmt>
        <c:idx val="11"/>
      </c:pivotFmt>
      <c:pivotFmt>
        <c:idx val="12"/>
      </c:pivotFmt>
      <c:pivotFmt>
        <c:idx val="13"/>
      </c:pivotFmt>
      <c:pivotFmt>
        <c:idx val="14"/>
      </c:pivotFmt>
      <c:pivotFmt>
        <c:idx val="15"/>
      </c:pivotFmt>
      <c:pivotFmt>
        <c:idx val="16"/>
      </c:pivotFmt>
      <c:pivotFmt>
        <c:idx val="17"/>
      </c:pivotFmt>
      <c:pivotFmt>
        <c:idx val="18"/>
      </c:pivotFmt>
      <c:pivotFmt>
        <c:idx val="19"/>
      </c:pivotFmt>
      <c:pivotFmt>
        <c:idx val="20"/>
      </c:pivotFmt>
      <c:pivotFmt>
        <c:idx val="21"/>
      </c:pivotFmt>
      <c:pivotFmt>
        <c:idx val="22"/>
      </c:pivotFmt>
      <c:pivotFmt>
        <c:idx val="23"/>
      </c:pivotFmt>
      <c:pivotFmt>
        <c:idx val="24"/>
      </c:pivotFmt>
      <c:pivotFmt>
        <c:idx val="25"/>
      </c:pivotFmt>
      <c:pivotFmt>
        <c:idx val="26"/>
      </c:pivotFmt>
      <c:pivotFmt>
        <c:idx val="27"/>
      </c:pivotFmt>
      <c:pivotFmt>
        <c:idx val="28"/>
      </c:pivotFmt>
      <c:pivotFmt>
        <c:idx val="29"/>
      </c:pivotFmt>
      <c:pivotFmt>
        <c:idx val="30"/>
      </c:pivotFmt>
      <c:pivotFmt>
        <c:idx val="31"/>
      </c:pivotFmt>
      <c:pivotFmt>
        <c:idx val="32"/>
      </c:pivotFmt>
      <c:pivotFmt>
        <c:idx val="33"/>
      </c:pivotFmt>
      <c:pivotFmt>
        <c:idx val="34"/>
      </c:pivotFmt>
      <c:pivotFmt>
        <c:idx val="35"/>
      </c:pivotFmt>
      <c:pivotFmt>
        <c:idx val="36"/>
      </c:pivotFmt>
      <c:pivotFmt>
        <c:idx val="37"/>
      </c:pivotFmt>
      <c:pivotFmt>
        <c:idx val="38"/>
      </c:pivotFmt>
      <c:pivotFmt>
        <c:idx val="39"/>
      </c:pivotFmt>
      <c:pivotFmt>
        <c:idx val="40"/>
      </c:pivotFmt>
      <c:pivotFmt>
        <c:idx val="41"/>
      </c:pivotFmt>
      <c:pivotFmt>
        <c:idx val="42"/>
      </c:pivotFmt>
      <c:pivotFmt>
        <c:idx val="43"/>
      </c:pivotFmt>
      <c:pivotFmt>
        <c:idx val="44"/>
      </c:pivotFmt>
      <c:pivotFmt>
        <c:idx val="45"/>
      </c:pivotFmt>
      <c:pivotFmt>
        <c:idx val="46"/>
      </c:pivotFmt>
      <c:pivotFmt>
        <c:idx val="47"/>
      </c:pivotFmt>
      <c:pivotFmt>
        <c:idx val="48"/>
      </c:pivotFmt>
      <c:pivotFmt>
        <c:idx val="49"/>
      </c:pivotFmt>
      <c:pivotFmt>
        <c:idx val="50"/>
      </c:pivotFmt>
      <c:pivotFmt>
        <c:idx val="51"/>
      </c:pivotFmt>
      <c:pivotFmt>
        <c:idx val="52"/>
      </c:pivotFmt>
      <c:pivotFmt>
        <c:idx val="53"/>
      </c:pivotFmt>
      <c:pivotFmt>
        <c:idx val="54"/>
      </c:pivotFmt>
      <c:pivotFmt>
        <c:idx val="55"/>
      </c:pivotFmt>
      <c:pivotFmt>
        <c:idx val="56"/>
      </c:pivotFmt>
      <c:pivotFmt>
        <c:idx val="57"/>
      </c:pivotFmt>
      <c:pivotFmt>
        <c:idx val="58"/>
      </c:pivotFmt>
      <c:pivotFmt>
        <c:idx val="59"/>
      </c:pivotFmt>
      <c:pivotFmt>
        <c:idx val="60"/>
      </c:pivotFmt>
      <c:pivotFmt>
        <c:idx val="61"/>
      </c:pivotFmt>
      <c:pivotFmt>
        <c:idx val="62"/>
      </c:pivotFmt>
      <c:pivotFmt>
        <c:idx val="63"/>
      </c:pivotFmt>
      <c:pivotFmt>
        <c:idx val="64"/>
      </c:pivotFmt>
      <c:pivotFmt>
        <c:idx val="65"/>
      </c:pivotFmt>
      <c:pivotFmt>
        <c:idx val="66"/>
      </c:pivotFmt>
      <c:pivotFmt>
        <c:idx val="67"/>
      </c:pivotFmt>
      <c:pivotFmt>
        <c:idx val="68"/>
      </c:pivotFmt>
      <c:pivotFmt>
        <c:idx val="69"/>
      </c:pivotFmt>
      <c:pivotFmt>
        <c:idx val="70"/>
      </c:pivotFmt>
      <c:pivotFmt>
        <c:idx val="71"/>
        <c:spPr>
          <a:ln w="28575" cap="rnd">
            <a:solidFill>
              <a:schemeClr val="dk1">
                <a:tint val="88500"/>
              </a:schemeClr>
            </a:solidFill>
            <a:round/>
          </a:ln>
          <a:effectLst/>
        </c:spPr>
        <c:marker>
          <c:symbol val="circle"/>
          <c:size val="5"/>
          <c:spPr>
            <a:solidFill>
              <a:schemeClr val="dk1">
                <a:tint val="88500"/>
              </a:schemeClr>
            </a:solidFill>
            <a:ln w="9525">
              <a:solidFill>
                <a:schemeClr val="dk1">
                  <a:tint val="885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2"/>
        <c:spPr>
          <a:ln w="28575" cap="rnd">
            <a:solidFill>
              <a:schemeClr val="dk1">
                <a:tint val="88500"/>
              </a:schemeClr>
            </a:solidFill>
            <a:round/>
          </a:ln>
          <a:effectLst/>
        </c:spPr>
        <c:marker>
          <c:symbol val="circle"/>
          <c:size val="5"/>
          <c:spPr>
            <a:solidFill>
              <a:schemeClr val="dk1">
                <a:tint val="88500"/>
              </a:schemeClr>
            </a:solidFill>
            <a:ln w="9525">
              <a:solidFill>
                <a:schemeClr val="dk1">
                  <a:tint val="88500"/>
                </a:schemeClr>
              </a:solidFill>
            </a:ln>
            <a:effectLst/>
          </c:spPr>
        </c:marker>
      </c:pivotFmt>
      <c:pivotFmt>
        <c:idx val="73"/>
        <c:spPr>
          <a:ln w="28575" cap="rnd">
            <a:solidFill>
              <a:schemeClr val="dk1">
                <a:tint val="88500"/>
              </a:schemeClr>
            </a:solidFill>
            <a:round/>
          </a:ln>
          <a:effectLst/>
        </c:spPr>
        <c:marker>
          <c:symbol val="circle"/>
          <c:size val="5"/>
          <c:spPr>
            <a:solidFill>
              <a:schemeClr val="dk1">
                <a:tint val="88500"/>
              </a:schemeClr>
            </a:solidFill>
            <a:ln w="9525">
              <a:solidFill>
                <a:schemeClr val="dk1">
                  <a:tint val="88500"/>
                </a:schemeClr>
              </a:solidFill>
            </a:ln>
            <a:effectLst/>
          </c:spPr>
        </c:marker>
      </c:pivotFmt>
      <c:pivotFmt>
        <c:idx val="74"/>
        <c:spPr>
          <a:ln w="28575" cap="rnd">
            <a:solidFill>
              <a:schemeClr val="dk1">
                <a:tint val="88500"/>
              </a:schemeClr>
            </a:solidFill>
            <a:round/>
          </a:ln>
          <a:effectLst/>
        </c:spPr>
        <c:marker>
          <c:symbol val="circle"/>
          <c:size val="5"/>
          <c:spPr>
            <a:solidFill>
              <a:schemeClr val="dk1">
                <a:tint val="88500"/>
              </a:schemeClr>
            </a:solidFill>
            <a:ln w="9525">
              <a:solidFill>
                <a:schemeClr val="dk1">
                  <a:tint val="88500"/>
                </a:schemeClr>
              </a:solidFill>
            </a:ln>
            <a:effectLst/>
          </c:spPr>
        </c:marker>
      </c:pivotFmt>
      <c:pivotFmt>
        <c:idx val="75"/>
        <c:spPr>
          <a:ln w="28575" cap="rnd">
            <a:solidFill>
              <a:schemeClr val="dk1">
                <a:tint val="88500"/>
              </a:schemeClr>
            </a:solidFill>
            <a:round/>
          </a:ln>
          <a:effectLst/>
        </c:spPr>
        <c:marker>
          <c:symbol val="circle"/>
          <c:size val="5"/>
          <c:spPr>
            <a:solidFill>
              <a:schemeClr val="dk1">
                <a:tint val="88500"/>
              </a:schemeClr>
            </a:solidFill>
            <a:ln w="9525">
              <a:solidFill>
                <a:schemeClr val="dk1">
                  <a:tint val="88500"/>
                </a:schemeClr>
              </a:solidFill>
            </a:ln>
            <a:effectLst/>
          </c:spPr>
        </c:marker>
      </c:pivotFmt>
      <c:pivotFmt>
        <c:idx val="76"/>
        <c:spPr>
          <a:ln w="28575" cap="rnd">
            <a:solidFill>
              <a:schemeClr val="dk1">
                <a:tint val="88500"/>
              </a:schemeClr>
            </a:solidFill>
            <a:round/>
          </a:ln>
          <a:effectLst/>
        </c:spPr>
        <c:marker>
          <c:symbol val="circle"/>
          <c:size val="5"/>
          <c:spPr>
            <a:solidFill>
              <a:schemeClr val="dk1">
                <a:tint val="88500"/>
              </a:schemeClr>
            </a:solidFill>
            <a:ln w="9525">
              <a:solidFill>
                <a:schemeClr val="dk1">
                  <a:tint val="88500"/>
                </a:schemeClr>
              </a:solidFill>
            </a:ln>
            <a:effectLst/>
          </c:spPr>
        </c:marker>
      </c:pivotFmt>
      <c:pivotFmt>
        <c:idx val="77"/>
        <c:spPr>
          <a:ln w="28575" cap="rnd">
            <a:solidFill>
              <a:schemeClr val="dk1">
                <a:tint val="88500"/>
              </a:schemeClr>
            </a:solidFill>
            <a:round/>
          </a:ln>
          <a:effectLst/>
        </c:spPr>
        <c:marker>
          <c:symbol val="circle"/>
          <c:size val="5"/>
          <c:spPr>
            <a:solidFill>
              <a:schemeClr val="dk1">
                <a:tint val="88500"/>
              </a:schemeClr>
            </a:solidFill>
            <a:ln w="9525">
              <a:solidFill>
                <a:schemeClr val="dk1">
                  <a:tint val="88500"/>
                </a:schemeClr>
              </a:solidFill>
            </a:ln>
            <a:effectLst/>
          </c:spPr>
        </c:marker>
      </c:pivotFmt>
      <c:pivotFmt>
        <c:idx val="78"/>
        <c:spPr>
          <a:ln w="28575" cap="rnd">
            <a:solidFill>
              <a:schemeClr val="dk1">
                <a:tint val="88500"/>
              </a:schemeClr>
            </a:solidFill>
            <a:round/>
          </a:ln>
          <a:effectLst/>
        </c:spPr>
        <c:marker>
          <c:symbol val="circle"/>
          <c:size val="5"/>
          <c:spPr>
            <a:solidFill>
              <a:schemeClr val="dk1">
                <a:tint val="88500"/>
              </a:schemeClr>
            </a:solidFill>
            <a:ln w="9525">
              <a:solidFill>
                <a:schemeClr val="dk1">
                  <a:tint val="88500"/>
                </a:schemeClr>
              </a:solidFill>
            </a:ln>
            <a:effectLst/>
          </c:spPr>
        </c:marker>
      </c:pivotFmt>
      <c:pivotFmt>
        <c:idx val="79"/>
        <c:spPr>
          <a:ln w="28575" cap="rnd">
            <a:solidFill>
              <a:schemeClr val="dk1">
                <a:tint val="88500"/>
              </a:schemeClr>
            </a:solidFill>
            <a:round/>
          </a:ln>
          <a:effectLst/>
        </c:spPr>
        <c:marker>
          <c:symbol val="circle"/>
          <c:size val="5"/>
          <c:spPr>
            <a:solidFill>
              <a:schemeClr val="dk1">
                <a:tint val="88500"/>
              </a:schemeClr>
            </a:solidFill>
            <a:ln w="9525">
              <a:solidFill>
                <a:schemeClr val="dk1">
                  <a:tint val="88500"/>
                </a:schemeClr>
              </a:solidFill>
            </a:ln>
            <a:effectLst/>
          </c:spPr>
        </c:marker>
      </c:pivotFmt>
      <c:pivotFmt>
        <c:idx val="80"/>
        <c:spPr>
          <a:ln w="28575" cap="rnd">
            <a:solidFill>
              <a:schemeClr val="dk1">
                <a:tint val="88500"/>
              </a:schemeClr>
            </a:solidFill>
            <a:round/>
          </a:ln>
          <a:effectLst/>
        </c:spPr>
        <c:marker>
          <c:symbol val="circle"/>
          <c:size val="5"/>
          <c:spPr>
            <a:solidFill>
              <a:schemeClr val="dk1">
                <a:tint val="88500"/>
              </a:schemeClr>
            </a:solidFill>
            <a:ln w="9525">
              <a:solidFill>
                <a:schemeClr val="dk1">
                  <a:tint val="88500"/>
                </a:schemeClr>
              </a:solidFill>
            </a:ln>
            <a:effectLst/>
          </c:spPr>
        </c:marker>
      </c:pivotFmt>
      <c:pivotFmt>
        <c:idx val="81"/>
        <c:spPr>
          <a:ln w="28575" cap="rnd">
            <a:solidFill>
              <a:schemeClr val="dk1">
                <a:tint val="88500"/>
              </a:schemeClr>
            </a:solidFill>
            <a:round/>
          </a:ln>
          <a:effectLst/>
        </c:spPr>
        <c:marker>
          <c:symbol val="circle"/>
          <c:size val="5"/>
          <c:spPr>
            <a:solidFill>
              <a:schemeClr val="dk1">
                <a:tint val="88500"/>
              </a:schemeClr>
            </a:solidFill>
            <a:ln w="9525">
              <a:solidFill>
                <a:schemeClr val="dk1">
                  <a:tint val="88500"/>
                </a:schemeClr>
              </a:solidFill>
            </a:ln>
            <a:effectLst/>
          </c:spPr>
        </c:marker>
      </c:pivotFmt>
      <c:pivotFmt>
        <c:idx val="82"/>
        <c:spPr>
          <a:ln w="28575" cap="rnd">
            <a:solidFill>
              <a:schemeClr val="dk1">
                <a:tint val="88500"/>
              </a:schemeClr>
            </a:solidFill>
            <a:round/>
          </a:ln>
          <a:effectLst/>
        </c:spPr>
        <c:marker>
          <c:symbol val="circle"/>
          <c:size val="5"/>
          <c:spPr>
            <a:solidFill>
              <a:schemeClr val="dk1">
                <a:tint val="88500"/>
              </a:schemeClr>
            </a:solidFill>
            <a:ln w="9525">
              <a:solidFill>
                <a:schemeClr val="dk1">
                  <a:tint val="88500"/>
                </a:schemeClr>
              </a:solidFill>
            </a:ln>
            <a:effectLst/>
          </c:spPr>
        </c:marker>
      </c:pivotFmt>
      <c:pivotFmt>
        <c:idx val="83"/>
        <c:spPr>
          <a:ln w="28575" cap="rnd">
            <a:solidFill>
              <a:schemeClr val="dk1">
                <a:tint val="88500"/>
              </a:schemeClr>
            </a:solidFill>
            <a:round/>
          </a:ln>
          <a:effectLst/>
        </c:spPr>
        <c:marker>
          <c:symbol val="circle"/>
          <c:size val="5"/>
          <c:spPr>
            <a:solidFill>
              <a:schemeClr val="dk1">
                <a:tint val="88500"/>
              </a:schemeClr>
            </a:solidFill>
            <a:ln w="9525">
              <a:solidFill>
                <a:schemeClr val="dk1">
                  <a:tint val="88500"/>
                </a:schemeClr>
              </a:solidFill>
            </a:ln>
            <a:effectLst/>
          </c:spPr>
        </c:marker>
      </c:pivotFmt>
      <c:pivotFmt>
        <c:idx val="84"/>
        <c:spPr>
          <a:ln w="28575" cap="rnd">
            <a:solidFill>
              <a:schemeClr val="dk1">
                <a:tint val="88500"/>
              </a:schemeClr>
            </a:solidFill>
            <a:round/>
          </a:ln>
          <a:effectLst/>
        </c:spPr>
        <c:marker>
          <c:symbol val="circle"/>
          <c:size val="5"/>
          <c:spPr>
            <a:solidFill>
              <a:schemeClr val="dk1">
                <a:tint val="88500"/>
              </a:schemeClr>
            </a:solidFill>
            <a:ln w="9525">
              <a:solidFill>
                <a:schemeClr val="dk1">
                  <a:tint val="88500"/>
                </a:schemeClr>
              </a:solidFill>
            </a:ln>
            <a:effectLst/>
          </c:spPr>
        </c:marker>
      </c:pivotFmt>
      <c:pivotFmt>
        <c:idx val="85"/>
        <c:spPr>
          <a:ln w="28575" cap="rnd">
            <a:solidFill>
              <a:schemeClr val="dk1">
                <a:tint val="88500"/>
              </a:schemeClr>
            </a:solidFill>
            <a:round/>
          </a:ln>
          <a:effectLst/>
        </c:spPr>
        <c:marker>
          <c:symbol val="circle"/>
          <c:size val="5"/>
          <c:spPr>
            <a:solidFill>
              <a:schemeClr val="dk1">
                <a:tint val="88500"/>
              </a:schemeClr>
            </a:solidFill>
            <a:ln w="9525">
              <a:solidFill>
                <a:schemeClr val="dk1">
                  <a:tint val="88500"/>
                </a:schemeClr>
              </a:solidFill>
            </a:ln>
            <a:effectLst/>
          </c:spPr>
        </c:marker>
      </c:pivotFmt>
      <c:pivotFmt>
        <c:idx val="86"/>
        <c:spPr>
          <a:ln w="28575" cap="rnd">
            <a:solidFill>
              <a:schemeClr val="dk1">
                <a:tint val="88500"/>
              </a:schemeClr>
            </a:solidFill>
            <a:round/>
          </a:ln>
          <a:effectLst/>
        </c:spPr>
        <c:marker>
          <c:symbol val="circle"/>
          <c:size val="5"/>
          <c:spPr>
            <a:solidFill>
              <a:schemeClr val="dk1">
                <a:tint val="88500"/>
              </a:schemeClr>
            </a:solidFill>
            <a:ln w="9525">
              <a:solidFill>
                <a:schemeClr val="dk1">
                  <a:tint val="88500"/>
                </a:schemeClr>
              </a:solidFill>
            </a:ln>
            <a:effectLst/>
          </c:spPr>
        </c:marker>
      </c:pivotFmt>
      <c:pivotFmt>
        <c:idx val="87"/>
        <c:spPr>
          <a:ln w="28575" cap="rnd">
            <a:solidFill>
              <a:schemeClr val="dk1">
                <a:tint val="88500"/>
              </a:schemeClr>
            </a:solidFill>
            <a:round/>
          </a:ln>
          <a:effectLst/>
        </c:spPr>
        <c:marker>
          <c:symbol val="circle"/>
          <c:size val="5"/>
          <c:spPr>
            <a:solidFill>
              <a:schemeClr val="dk1">
                <a:tint val="88500"/>
              </a:schemeClr>
            </a:solidFill>
            <a:ln w="9525">
              <a:solidFill>
                <a:schemeClr val="dk1">
                  <a:tint val="88500"/>
                </a:schemeClr>
              </a:solidFill>
            </a:ln>
            <a:effectLst/>
          </c:spPr>
        </c:marker>
      </c:pivotFmt>
      <c:pivotFmt>
        <c:idx val="88"/>
        <c:spPr>
          <a:ln w="28575" cap="rnd">
            <a:solidFill>
              <a:schemeClr val="dk1">
                <a:tint val="88500"/>
              </a:schemeClr>
            </a:solidFill>
            <a:round/>
          </a:ln>
          <a:effectLst/>
        </c:spPr>
        <c:marker>
          <c:symbol val="circle"/>
          <c:size val="5"/>
          <c:spPr>
            <a:solidFill>
              <a:schemeClr val="dk1">
                <a:tint val="88500"/>
              </a:schemeClr>
            </a:solidFill>
            <a:ln w="9525">
              <a:solidFill>
                <a:schemeClr val="dk1">
                  <a:tint val="88500"/>
                </a:schemeClr>
              </a:solidFill>
            </a:ln>
            <a:effectLst/>
          </c:spPr>
        </c:marker>
      </c:pivotFmt>
      <c:pivotFmt>
        <c:idx val="89"/>
        <c:spPr>
          <a:ln w="28575" cap="rnd">
            <a:solidFill>
              <a:schemeClr val="dk1">
                <a:tint val="88500"/>
              </a:schemeClr>
            </a:solidFill>
            <a:round/>
          </a:ln>
          <a:effectLst/>
        </c:spPr>
        <c:marker>
          <c:symbol val="circle"/>
          <c:size val="5"/>
          <c:spPr>
            <a:solidFill>
              <a:schemeClr val="dk1">
                <a:tint val="88500"/>
              </a:schemeClr>
            </a:solidFill>
            <a:ln w="9525">
              <a:solidFill>
                <a:schemeClr val="dk1">
                  <a:tint val="88500"/>
                </a:schemeClr>
              </a:solidFill>
            </a:ln>
            <a:effectLst/>
          </c:spPr>
        </c:marker>
      </c:pivotFmt>
      <c:pivotFmt>
        <c:idx val="90"/>
        <c:spPr>
          <a:ln w="28575" cap="rnd">
            <a:solidFill>
              <a:schemeClr val="dk1">
                <a:tint val="88500"/>
              </a:schemeClr>
            </a:solidFill>
            <a:round/>
          </a:ln>
          <a:effectLst/>
        </c:spPr>
        <c:marker>
          <c:symbol val="circle"/>
          <c:size val="5"/>
          <c:spPr>
            <a:solidFill>
              <a:schemeClr val="dk1">
                <a:tint val="88500"/>
              </a:schemeClr>
            </a:solidFill>
            <a:ln w="9525">
              <a:solidFill>
                <a:schemeClr val="dk1">
                  <a:tint val="88500"/>
                </a:schemeClr>
              </a:solidFill>
            </a:ln>
            <a:effectLst/>
          </c:spPr>
        </c:marker>
      </c:pivotFmt>
      <c:pivotFmt>
        <c:idx val="91"/>
        <c:spPr>
          <a:ln w="28575" cap="rnd">
            <a:solidFill>
              <a:schemeClr val="dk1">
                <a:tint val="88500"/>
              </a:schemeClr>
            </a:solidFill>
            <a:round/>
          </a:ln>
          <a:effectLst/>
        </c:spPr>
        <c:marker>
          <c:symbol val="circle"/>
          <c:size val="5"/>
          <c:spPr>
            <a:solidFill>
              <a:schemeClr val="dk1">
                <a:tint val="88500"/>
              </a:schemeClr>
            </a:solidFill>
            <a:ln w="9525">
              <a:solidFill>
                <a:schemeClr val="dk1">
                  <a:tint val="88500"/>
                </a:schemeClr>
              </a:solidFill>
            </a:ln>
            <a:effectLst/>
          </c:spPr>
        </c:marker>
      </c:pivotFmt>
      <c:pivotFmt>
        <c:idx val="92"/>
        <c:spPr>
          <a:ln w="28575" cap="rnd">
            <a:solidFill>
              <a:schemeClr val="dk1">
                <a:tint val="88500"/>
              </a:schemeClr>
            </a:solidFill>
            <a:round/>
          </a:ln>
          <a:effectLst/>
        </c:spPr>
        <c:marker>
          <c:symbol val="circle"/>
          <c:size val="5"/>
          <c:spPr>
            <a:solidFill>
              <a:schemeClr val="dk1">
                <a:tint val="88500"/>
              </a:schemeClr>
            </a:solidFill>
            <a:ln w="9525">
              <a:solidFill>
                <a:schemeClr val="dk1">
                  <a:tint val="88500"/>
                </a:schemeClr>
              </a:solidFill>
            </a:ln>
            <a:effectLst/>
          </c:spPr>
        </c:marker>
      </c:pivotFmt>
      <c:pivotFmt>
        <c:idx val="93"/>
        <c:spPr>
          <a:ln w="28575" cap="rnd">
            <a:solidFill>
              <a:schemeClr val="dk1">
                <a:tint val="88500"/>
              </a:schemeClr>
            </a:solidFill>
            <a:round/>
          </a:ln>
          <a:effectLst/>
        </c:spPr>
        <c:marker>
          <c:symbol val="circle"/>
          <c:size val="5"/>
          <c:spPr>
            <a:solidFill>
              <a:schemeClr val="dk1">
                <a:tint val="88500"/>
              </a:schemeClr>
            </a:solidFill>
            <a:ln w="9525">
              <a:solidFill>
                <a:schemeClr val="dk1">
                  <a:tint val="88500"/>
                </a:schemeClr>
              </a:solidFill>
            </a:ln>
            <a:effectLst/>
          </c:spPr>
        </c:marker>
      </c:pivotFmt>
      <c:pivotFmt>
        <c:idx val="94"/>
        <c:spPr>
          <a:ln w="28575" cap="rnd">
            <a:solidFill>
              <a:schemeClr val="dk1">
                <a:tint val="88500"/>
              </a:schemeClr>
            </a:solidFill>
            <a:round/>
          </a:ln>
          <a:effectLst/>
        </c:spPr>
        <c:marker>
          <c:symbol val="circle"/>
          <c:size val="5"/>
          <c:spPr>
            <a:solidFill>
              <a:schemeClr val="dk1">
                <a:tint val="88500"/>
              </a:schemeClr>
            </a:solidFill>
            <a:ln w="9525">
              <a:solidFill>
                <a:schemeClr val="dk1">
                  <a:tint val="88500"/>
                </a:schemeClr>
              </a:solidFill>
            </a:ln>
            <a:effectLst/>
          </c:spPr>
        </c:marker>
      </c:pivotFmt>
      <c:pivotFmt>
        <c:idx val="95"/>
        <c:spPr>
          <a:ln w="28575" cap="rnd">
            <a:solidFill>
              <a:schemeClr val="dk1">
                <a:tint val="88500"/>
              </a:schemeClr>
            </a:solidFill>
            <a:round/>
          </a:ln>
          <a:effectLst/>
        </c:spPr>
        <c:marker>
          <c:symbol val="circle"/>
          <c:size val="5"/>
          <c:spPr>
            <a:solidFill>
              <a:schemeClr val="dk1">
                <a:tint val="88500"/>
              </a:schemeClr>
            </a:solidFill>
            <a:ln w="9525">
              <a:solidFill>
                <a:schemeClr val="dk1">
                  <a:tint val="88500"/>
                </a:schemeClr>
              </a:solidFill>
            </a:ln>
            <a:effectLst/>
          </c:spPr>
        </c:marker>
      </c:pivotFmt>
      <c:pivotFmt>
        <c:idx val="96"/>
        <c:spPr>
          <a:ln w="28575" cap="rnd">
            <a:solidFill>
              <a:schemeClr val="dk1">
                <a:tint val="88500"/>
              </a:schemeClr>
            </a:solidFill>
            <a:round/>
          </a:ln>
          <a:effectLst/>
        </c:spPr>
        <c:marker>
          <c:symbol val="circle"/>
          <c:size val="5"/>
          <c:spPr>
            <a:solidFill>
              <a:schemeClr val="dk1">
                <a:tint val="88500"/>
              </a:schemeClr>
            </a:solidFill>
            <a:ln w="9525">
              <a:solidFill>
                <a:schemeClr val="dk1">
                  <a:tint val="88500"/>
                </a:schemeClr>
              </a:solidFill>
            </a:ln>
            <a:effectLst/>
          </c:spPr>
        </c:marker>
      </c:pivotFmt>
      <c:pivotFmt>
        <c:idx val="97"/>
        <c:spPr>
          <a:ln w="28575" cap="rnd">
            <a:solidFill>
              <a:schemeClr val="dk1">
                <a:tint val="88500"/>
              </a:schemeClr>
            </a:solidFill>
            <a:round/>
          </a:ln>
          <a:effectLst/>
        </c:spPr>
        <c:marker>
          <c:symbol val="circle"/>
          <c:size val="5"/>
          <c:spPr>
            <a:solidFill>
              <a:schemeClr val="dk1">
                <a:tint val="88500"/>
              </a:schemeClr>
            </a:solidFill>
            <a:ln w="9525">
              <a:solidFill>
                <a:schemeClr val="dk1">
                  <a:tint val="88500"/>
                </a:schemeClr>
              </a:solidFill>
            </a:ln>
            <a:effectLst/>
          </c:spPr>
        </c:marker>
      </c:pivotFmt>
      <c:pivotFmt>
        <c:idx val="98"/>
        <c:spPr>
          <a:ln w="28575" cap="rnd">
            <a:solidFill>
              <a:schemeClr val="dk1">
                <a:tint val="88500"/>
              </a:schemeClr>
            </a:solidFill>
            <a:round/>
          </a:ln>
          <a:effectLst/>
        </c:spPr>
        <c:marker>
          <c:symbol val="circle"/>
          <c:size val="5"/>
          <c:spPr>
            <a:solidFill>
              <a:schemeClr val="dk1">
                <a:tint val="88500"/>
              </a:schemeClr>
            </a:solidFill>
            <a:ln w="9525">
              <a:solidFill>
                <a:schemeClr val="dk1">
                  <a:tint val="88500"/>
                </a:schemeClr>
              </a:solidFill>
            </a:ln>
            <a:effectLst/>
          </c:spPr>
        </c:marker>
      </c:pivotFmt>
      <c:pivotFmt>
        <c:idx val="99"/>
        <c:spPr>
          <a:ln w="28575" cap="rnd">
            <a:solidFill>
              <a:schemeClr val="dk1">
                <a:tint val="88500"/>
              </a:schemeClr>
            </a:solidFill>
            <a:round/>
          </a:ln>
          <a:effectLst/>
        </c:spPr>
        <c:marker>
          <c:symbol val="circle"/>
          <c:size val="5"/>
          <c:spPr>
            <a:solidFill>
              <a:schemeClr val="dk1">
                <a:tint val="88500"/>
              </a:schemeClr>
            </a:solidFill>
            <a:ln w="9525">
              <a:solidFill>
                <a:schemeClr val="dk1">
                  <a:tint val="88500"/>
                </a:schemeClr>
              </a:solidFill>
            </a:ln>
            <a:effectLst/>
          </c:spPr>
        </c:marker>
      </c:pivotFmt>
      <c:pivotFmt>
        <c:idx val="100"/>
        <c:spPr>
          <a:ln w="28575" cap="rnd">
            <a:solidFill>
              <a:schemeClr val="dk1">
                <a:tint val="88500"/>
              </a:schemeClr>
            </a:solidFill>
            <a:round/>
          </a:ln>
          <a:effectLst/>
        </c:spPr>
        <c:marker>
          <c:symbol val="circle"/>
          <c:size val="5"/>
          <c:spPr>
            <a:solidFill>
              <a:schemeClr val="dk1">
                <a:tint val="88500"/>
              </a:schemeClr>
            </a:solidFill>
            <a:ln w="9525">
              <a:solidFill>
                <a:schemeClr val="dk1">
                  <a:tint val="88500"/>
                </a:schemeClr>
              </a:solidFill>
            </a:ln>
            <a:effectLst/>
          </c:spPr>
        </c:marker>
      </c:pivotFmt>
      <c:pivotFmt>
        <c:idx val="101"/>
        <c:spPr>
          <a:ln w="28575" cap="rnd">
            <a:solidFill>
              <a:schemeClr val="dk1">
                <a:tint val="88500"/>
              </a:schemeClr>
            </a:solidFill>
            <a:round/>
          </a:ln>
          <a:effectLst/>
        </c:spPr>
        <c:marker>
          <c:symbol val="circle"/>
          <c:size val="5"/>
          <c:spPr>
            <a:solidFill>
              <a:schemeClr val="dk1">
                <a:tint val="88500"/>
              </a:schemeClr>
            </a:solidFill>
            <a:ln w="9525">
              <a:solidFill>
                <a:schemeClr val="dk1">
                  <a:tint val="88500"/>
                </a:schemeClr>
              </a:solidFill>
            </a:ln>
            <a:effectLst/>
          </c:spPr>
        </c:marker>
      </c:pivotFmt>
      <c:pivotFmt>
        <c:idx val="102"/>
        <c:spPr>
          <a:ln w="28575" cap="rnd">
            <a:solidFill>
              <a:schemeClr val="dk1">
                <a:tint val="88500"/>
              </a:schemeClr>
            </a:solidFill>
            <a:round/>
          </a:ln>
          <a:effectLst/>
        </c:spPr>
        <c:marker>
          <c:symbol val="circle"/>
          <c:size val="5"/>
          <c:spPr>
            <a:solidFill>
              <a:schemeClr val="dk1">
                <a:tint val="88500"/>
              </a:schemeClr>
            </a:solidFill>
            <a:ln w="9525">
              <a:solidFill>
                <a:schemeClr val="dk1">
                  <a:tint val="88500"/>
                </a:schemeClr>
              </a:solidFill>
            </a:ln>
            <a:effectLst/>
          </c:spPr>
        </c:marker>
      </c:pivotFmt>
      <c:pivotFmt>
        <c:idx val="103"/>
        <c:spPr>
          <a:ln w="28575" cap="rnd">
            <a:solidFill>
              <a:schemeClr val="dk1">
                <a:tint val="88500"/>
              </a:schemeClr>
            </a:solidFill>
            <a:round/>
          </a:ln>
          <a:effectLst/>
        </c:spPr>
        <c:marker>
          <c:symbol val="circle"/>
          <c:size val="5"/>
          <c:spPr>
            <a:solidFill>
              <a:schemeClr val="dk1">
                <a:tint val="88500"/>
              </a:schemeClr>
            </a:solidFill>
            <a:ln w="9525">
              <a:solidFill>
                <a:schemeClr val="dk1">
                  <a:tint val="88500"/>
                </a:schemeClr>
              </a:solidFill>
            </a:ln>
            <a:effectLst/>
          </c:spPr>
        </c:marker>
      </c:pivotFmt>
      <c:pivotFmt>
        <c:idx val="104"/>
        <c:spPr>
          <a:ln w="28575" cap="rnd">
            <a:solidFill>
              <a:schemeClr val="dk1">
                <a:tint val="88500"/>
              </a:schemeClr>
            </a:solidFill>
            <a:round/>
          </a:ln>
          <a:effectLst/>
        </c:spPr>
        <c:marker>
          <c:symbol val="circle"/>
          <c:size val="5"/>
          <c:spPr>
            <a:solidFill>
              <a:schemeClr val="dk1">
                <a:tint val="88500"/>
              </a:schemeClr>
            </a:solidFill>
            <a:ln w="9525">
              <a:solidFill>
                <a:schemeClr val="dk1">
                  <a:tint val="88500"/>
                </a:schemeClr>
              </a:solidFill>
            </a:ln>
            <a:effectLst/>
          </c:spPr>
        </c:marker>
      </c:pivotFmt>
      <c:pivotFmt>
        <c:idx val="105"/>
        <c:spPr>
          <a:ln w="28575" cap="rnd">
            <a:solidFill>
              <a:schemeClr val="dk1">
                <a:tint val="88500"/>
              </a:schemeClr>
            </a:solidFill>
            <a:round/>
          </a:ln>
          <a:effectLst/>
        </c:spPr>
        <c:marker>
          <c:symbol val="circle"/>
          <c:size val="5"/>
          <c:spPr>
            <a:solidFill>
              <a:schemeClr val="dk1">
                <a:tint val="88500"/>
              </a:schemeClr>
            </a:solidFill>
            <a:ln w="9525">
              <a:solidFill>
                <a:schemeClr val="dk1">
                  <a:tint val="88500"/>
                </a:schemeClr>
              </a:solidFill>
            </a:ln>
            <a:effectLst/>
          </c:spPr>
        </c:marker>
      </c:pivotFmt>
      <c:pivotFmt>
        <c:idx val="106"/>
        <c:spPr>
          <a:ln w="28575" cap="rnd">
            <a:solidFill>
              <a:schemeClr val="dk1">
                <a:tint val="88500"/>
              </a:schemeClr>
            </a:solidFill>
            <a:round/>
          </a:ln>
          <a:effectLst/>
        </c:spPr>
        <c:marker>
          <c:symbol val="circle"/>
          <c:size val="5"/>
          <c:spPr>
            <a:solidFill>
              <a:schemeClr val="dk1">
                <a:tint val="88500"/>
              </a:schemeClr>
            </a:solidFill>
            <a:ln w="9525">
              <a:solidFill>
                <a:schemeClr val="dk1">
                  <a:tint val="88500"/>
                </a:schemeClr>
              </a:solidFill>
            </a:ln>
            <a:effectLst/>
          </c:spPr>
        </c:marker>
      </c:pivotFmt>
      <c:pivotFmt>
        <c:idx val="107"/>
        <c:spPr>
          <a:ln w="28575" cap="rnd">
            <a:solidFill>
              <a:schemeClr val="dk1">
                <a:tint val="88500"/>
              </a:schemeClr>
            </a:solidFill>
            <a:round/>
          </a:ln>
          <a:effectLst/>
        </c:spPr>
        <c:marker>
          <c:symbol val="circle"/>
          <c:size val="5"/>
          <c:spPr>
            <a:solidFill>
              <a:schemeClr val="dk1">
                <a:tint val="88500"/>
              </a:schemeClr>
            </a:solidFill>
            <a:ln w="9525">
              <a:solidFill>
                <a:schemeClr val="dk1">
                  <a:tint val="88500"/>
                </a:schemeClr>
              </a:solidFill>
            </a:ln>
            <a:effectLst/>
          </c:spPr>
        </c:marker>
      </c:pivotFmt>
      <c:pivotFmt>
        <c:idx val="108"/>
        <c:spPr>
          <a:ln w="28575" cap="rnd">
            <a:solidFill>
              <a:schemeClr val="dk1">
                <a:tint val="88500"/>
              </a:schemeClr>
            </a:solidFill>
            <a:round/>
          </a:ln>
          <a:effectLst/>
        </c:spPr>
        <c:marker>
          <c:symbol val="circle"/>
          <c:size val="5"/>
          <c:spPr>
            <a:solidFill>
              <a:schemeClr val="dk1">
                <a:tint val="88500"/>
              </a:schemeClr>
            </a:solidFill>
            <a:ln w="9525">
              <a:solidFill>
                <a:schemeClr val="dk1">
                  <a:tint val="88500"/>
                </a:schemeClr>
              </a:solidFill>
            </a:ln>
            <a:effectLst/>
          </c:spPr>
        </c:marker>
      </c:pivotFmt>
      <c:pivotFmt>
        <c:idx val="109"/>
        <c:spPr>
          <a:ln w="28575" cap="rnd">
            <a:solidFill>
              <a:schemeClr val="dk1">
                <a:tint val="88500"/>
              </a:schemeClr>
            </a:solidFill>
            <a:round/>
          </a:ln>
          <a:effectLst/>
        </c:spPr>
        <c:marker>
          <c:symbol val="circle"/>
          <c:size val="5"/>
          <c:spPr>
            <a:solidFill>
              <a:schemeClr val="dk1">
                <a:tint val="88500"/>
              </a:schemeClr>
            </a:solidFill>
            <a:ln w="9525">
              <a:solidFill>
                <a:schemeClr val="dk1">
                  <a:tint val="88500"/>
                </a:schemeClr>
              </a:solidFill>
            </a:ln>
            <a:effectLst/>
          </c:spPr>
        </c:marker>
      </c:pivotFmt>
      <c:pivotFmt>
        <c:idx val="110"/>
        <c:spPr>
          <a:ln w="28575" cap="rnd">
            <a:solidFill>
              <a:schemeClr val="dk1">
                <a:tint val="88500"/>
              </a:schemeClr>
            </a:solidFill>
            <a:round/>
          </a:ln>
          <a:effectLst/>
        </c:spPr>
        <c:marker>
          <c:symbol val="circle"/>
          <c:size val="5"/>
          <c:spPr>
            <a:solidFill>
              <a:schemeClr val="dk1">
                <a:tint val="88500"/>
              </a:schemeClr>
            </a:solidFill>
            <a:ln w="9525">
              <a:solidFill>
                <a:schemeClr val="dk1">
                  <a:tint val="88500"/>
                </a:schemeClr>
              </a:solidFill>
            </a:ln>
            <a:effectLst/>
          </c:spPr>
        </c:marker>
      </c:pivotFmt>
      <c:pivotFmt>
        <c:idx val="111"/>
        <c:spPr>
          <a:ln w="28575" cap="rnd">
            <a:solidFill>
              <a:schemeClr val="dk1">
                <a:tint val="88500"/>
              </a:schemeClr>
            </a:solidFill>
            <a:round/>
          </a:ln>
          <a:effectLst/>
        </c:spPr>
        <c:marker>
          <c:symbol val="circle"/>
          <c:size val="5"/>
          <c:spPr>
            <a:solidFill>
              <a:schemeClr val="dk1">
                <a:tint val="88500"/>
              </a:schemeClr>
            </a:solidFill>
            <a:ln w="9525">
              <a:solidFill>
                <a:schemeClr val="dk1">
                  <a:tint val="88500"/>
                </a:schemeClr>
              </a:solidFill>
            </a:ln>
            <a:effectLst/>
          </c:spPr>
        </c:marker>
      </c:pivotFmt>
      <c:pivotFmt>
        <c:idx val="112"/>
        <c:spPr>
          <a:ln w="28575" cap="rnd">
            <a:solidFill>
              <a:schemeClr val="dk1">
                <a:tint val="88500"/>
              </a:schemeClr>
            </a:solidFill>
            <a:round/>
          </a:ln>
          <a:effectLst/>
        </c:spPr>
        <c:marker>
          <c:symbol val="circle"/>
          <c:size val="5"/>
          <c:spPr>
            <a:solidFill>
              <a:schemeClr val="dk1">
                <a:tint val="88500"/>
              </a:schemeClr>
            </a:solidFill>
            <a:ln w="9525">
              <a:solidFill>
                <a:schemeClr val="dk1">
                  <a:tint val="88500"/>
                </a:schemeClr>
              </a:solidFill>
            </a:ln>
            <a:effectLst/>
          </c:spPr>
        </c:marker>
      </c:pivotFmt>
      <c:pivotFmt>
        <c:idx val="113"/>
        <c:spPr>
          <a:ln w="28575" cap="rnd">
            <a:solidFill>
              <a:schemeClr val="dk1">
                <a:tint val="88500"/>
              </a:schemeClr>
            </a:solidFill>
            <a:round/>
          </a:ln>
          <a:effectLst/>
        </c:spPr>
        <c:marker>
          <c:symbol val="circle"/>
          <c:size val="5"/>
          <c:spPr>
            <a:solidFill>
              <a:schemeClr val="dk1">
                <a:tint val="88500"/>
              </a:schemeClr>
            </a:solidFill>
            <a:ln w="9525">
              <a:solidFill>
                <a:schemeClr val="dk1">
                  <a:tint val="88500"/>
                </a:schemeClr>
              </a:solidFill>
            </a:ln>
            <a:effectLst/>
          </c:spPr>
        </c:marker>
      </c:pivotFmt>
      <c:pivotFmt>
        <c:idx val="114"/>
        <c:spPr>
          <a:ln w="28575" cap="rnd">
            <a:solidFill>
              <a:schemeClr val="dk1">
                <a:tint val="88500"/>
              </a:schemeClr>
            </a:solidFill>
            <a:round/>
          </a:ln>
          <a:effectLst/>
        </c:spPr>
        <c:marker>
          <c:symbol val="circle"/>
          <c:size val="5"/>
          <c:spPr>
            <a:solidFill>
              <a:schemeClr val="dk1">
                <a:tint val="88500"/>
              </a:schemeClr>
            </a:solidFill>
            <a:ln w="9525">
              <a:solidFill>
                <a:schemeClr val="dk1">
                  <a:tint val="88500"/>
                </a:schemeClr>
              </a:solidFill>
            </a:ln>
            <a:effectLst/>
          </c:spPr>
        </c:marker>
      </c:pivotFmt>
      <c:pivotFmt>
        <c:idx val="115"/>
        <c:spPr>
          <a:ln w="28575" cap="rnd">
            <a:solidFill>
              <a:schemeClr val="dk1">
                <a:tint val="88500"/>
              </a:schemeClr>
            </a:solidFill>
            <a:round/>
          </a:ln>
          <a:effectLst/>
        </c:spPr>
        <c:marker>
          <c:symbol val="circle"/>
          <c:size val="5"/>
          <c:spPr>
            <a:solidFill>
              <a:schemeClr val="dk1">
                <a:tint val="88500"/>
              </a:schemeClr>
            </a:solidFill>
            <a:ln w="9525">
              <a:solidFill>
                <a:schemeClr val="dk1">
                  <a:tint val="88500"/>
                </a:schemeClr>
              </a:solidFill>
            </a:ln>
            <a:effectLst/>
          </c:spPr>
        </c:marker>
      </c:pivotFmt>
      <c:pivotFmt>
        <c:idx val="116"/>
        <c:spPr>
          <a:ln w="28575" cap="rnd">
            <a:solidFill>
              <a:schemeClr val="dk1">
                <a:tint val="88500"/>
              </a:schemeClr>
            </a:solidFill>
            <a:round/>
          </a:ln>
          <a:effectLst/>
        </c:spPr>
        <c:marker>
          <c:symbol val="circle"/>
          <c:size val="5"/>
          <c:spPr>
            <a:solidFill>
              <a:schemeClr val="dk1">
                <a:tint val="88500"/>
              </a:schemeClr>
            </a:solidFill>
            <a:ln w="9525">
              <a:solidFill>
                <a:schemeClr val="dk1">
                  <a:tint val="88500"/>
                </a:schemeClr>
              </a:solidFill>
            </a:ln>
            <a:effectLst/>
          </c:spPr>
        </c:marker>
      </c:pivotFmt>
      <c:pivotFmt>
        <c:idx val="117"/>
        <c:spPr>
          <a:ln w="28575" cap="rnd">
            <a:solidFill>
              <a:schemeClr val="dk1">
                <a:tint val="88500"/>
              </a:schemeClr>
            </a:solidFill>
            <a:round/>
          </a:ln>
          <a:effectLst/>
        </c:spPr>
        <c:marker>
          <c:symbol val="circle"/>
          <c:size val="5"/>
          <c:spPr>
            <a:solidFill>
              <a:schemeClr val="dk1">
                <a:tint val="88500"/>
              </a:schemeClr>
            </a:solidFill>
            <a:ln w="9525">
              <a:solidFill>
                <a:schemeClr val="dk1">
                  <a:tint val="88500"/>
                </a:schemeClr>
              </a:solidFill>
            </a:ln>
            <a:effectLst/>
          </c:spPr>
        </c:marker>
      </c:pivotFmt>
      <c:pivotFmt>
        <c:idx val="118"/>
        <c:spPr>
          <a:ln w="28575" cap="rnd">
            <a:solidFill>
              <a:schemeClr val="dk1">
                <a:tint val="88500"/>
              </a:schemeClr>
            </a:solidFill>
            <a:round/>
          </a:ln>
          <a:effectLst/>
        </c:spPr>
        <c:marker>
          <c:symbol val="circle"/>
          <c:size val="5"/>
          <c:spPr>
            <a:solidFill>
              <a:schemeClr val="dk1">
                <a:tint val="88500"/>
              </a:schemeClr>
            </a:solidFill>
            <a:ln w="9525">
              <a:solidFill>
                <a:schemeClr val="dk1">
                  <a:tint val="88500"/>
                </a:schemeClr>
              </a:solidFill>
            </a:ln>
            <a:effectLst/>
          </c:spPr>
        </c:marker>
      </c:pivotFmt>
      <c:pivotFmt>
        <c:idx val="119"/>
        <c:spPr>
          <a:ln w="28575" cap="rnd">
            <a:solidFill>
              <a:schemeClr val="dk1">
                <a:tint val="88500"/>
              </a:schemeClr>
            </a:solidFill>
            <a:round/>
          </a:ln>
          <a:effectLst/>
        </c:spPr>
        <c:marker>
          <c:symbol val="circle"/>
          <c:size val="5"/>
          <c:spPr>
            <a:solidFill>
              <a:schemeClr val="dk1">
                <a:tint val="88500"/>
              </a:schemeClr>
            </a:solidFill>
            <a:ln w="9525">
              <a:solidFill>
                <a:schemeClr val="dk1">
                  <a:tint val="88500"/>
                </a:schemeClr>
              </a:solidFill>
            </a:ln>
            <a:effectLst/>
          </c:spPr>
        </c:marker>
      </c:pivotFmt>
      <c:pivotFmt>
        <c:idx val="120"/>
        <c:spPr>
          <a:ln w="28575" cap="rnd">
            <a:solidFill>
              <a:schemeClr val="dk1">
                <a:tint val="88500"/>
              </a:schemeClr>
            </a:solidFill>
            <a:round/>
          </a:ln>
          <a:effectLst/>
        </c:spPr>
        <c:marker>
          <c:symbol val="circle"/>
          <c:size val="5"/>
          <c:spPr>
            <a:solidFill>
              <a:schemeClr val="dk1">
                <a:tint val="88500"/>
              </a:schemeClr>
            </a:solidFill>
            <a:ln w="9525">
              <a:solidFill>
                <a:schemeClr val="dk1">
                  <a:tint val="88500"/>
                </a:schemeClr>
              </a:solidFill>
            </a:ln>
            <a:effectLst/>
          </c:spPr>
        </c:marker>
      </c:pivotFmt>
      <c:pivotFmt>
        <c:idx val="121"/>
        <c:spPr>
          <a:ln w="28575" cap="rnd">
            <a:solidFill>
              <a:schemeClr val="dk1">
                <a:tint val="88500"/>
              </a:schemeClr>
            </a:solidFill>
            <a:round/>
          </a:ln>
          <a:effectLst/>
        </c:spPr>
        <c:marker>
          <c:symbol val="circle"/>
          <c:size val="5"/>
          <c:spPr>
            <a:solidFill>
              <a:schemeClr val="dk1">
                <a:tint val="88500"/>
              </a:schemeClr>
            </a:solidFill>
            <a:ln w="9525">
              <a:solidFill>
                <a:schemeClr val="dk1">
                  <a:tint val="88500"/>
                </a:schemeClr>
              </a:solidFill>
            </a:ln>
            <a:effectLst/>
          </c:spPr>
        </c:marker>
      </c:pivotFmt>
      <c:pivotFmt>
        <c:idx val="122"/>
        <c:spPr>
          <a:ln w="28575" cap="rnd">
            <a:solidFill>
              <a:schemeClr val="dk1">
                <a:tint val="88500"/>
              </a:schemeClr>
            </a:solidFill>
            <a:round/>
          </a:ln>
          <a:effectLst/>
        </c:spPr>
        <c:marker>
          <c:symbol val="circle"/>
          <c:size val="5"/>
          <c:spPr>
            <a:solidFill>
              <a:schemeClr val="dk1">
                <a:tint val="88500"/>
              </a:schemeClr>
            </a:solidFill>
            <a:ln w="9525">
              <a:solidFill>
                <a:schemeClr val="dk1">
                  <a:tint val="88500"/>
                </a:schemeClr>
              </a:solidFill>
            </a:ln>
            <a:effectLst/>
          </c:spPr>
        </c:marker>
      </c:pivotFmt>
      <c:pivotFmt>
        <c:idx val="123"/>
        <c:spPr>
          <a:ln w="28575" cap="rnd">
            <a:solidFill>
              <a:schemeClr val="dk1">
                <a:tint val="88500"/>
              </a:schemeClr>
            </a:solidFill>
            <a:round/>
          </a:ln>
          <a:effectLst/>
        </c:spPr>
        <c:marker>
          <c:symbol val="circle"/>
          <c:size val="5"/>
          <c:spPr>
            <a:solidFill>
              <a:schemeClr val="dk1">
                <a:tint val="88500"/>
              </a:schemeClr>
            </a:solidFill>
            <a:ln w="9525">
              <a:solidFill>
                <a:schemeClr val="dk1">
                  <a:tint val="88500"/>
                </a:schemeClr>
              </a:solidFill>
            </a:ln>
            <a:effectLst/>
          </c:spPr>
        </c:marker>
      </c:pivotFmt>
      <c:pivotFmt>
        <c:idx val="124"/>
        <c:spPr>
          <a:ln w="28575" cap="rnd">
            <a:solidFill>
              <a:schemeClr val="dk1">
                <a:tint val="88500"/>
              </a:schemeClr>
            </a:solidFill>
            <a:round/>
          </a:ln>
          <a:effectLst/>
        </c:spPr>
        <c:marker>
          <c:symbol val="circle"/>
          <c:size val="5"/>
          <c:spPr>
            <a:solidFill>
              <a:schemeClr val="dk1">
                <a:tint val="88500"/>
              </a:schemeClr>
            </a:solidFill>
            <a:ln w="9525">
              <a:solidFill>
                <a:schemeClr val="dk1">
                  <a:tint val="88500"/>
                </a:schemeClr>
              </a:solidFill>
            </a:ln>
            <a:effectLst/>
          </c:spPr>
        </c:marker>
      </c:pivotFmt>
      <c:pivotFmt>
        <c:idx val="125"/>
        <c:spPr>
          <a:ln w="28575" cap="rnd">
            <a:solidFill>
              <a:schemeClr val="dk1">
                <a:tint val="88500"/>
              </a:schemeClr>
            </a:solidFill>
            <a:round/>
          </a:ln>
          <a:effectLst/>
        </c:spPr>
        <c:marker>
          <c:symbol val="circle"/>
          <c:size val="5"/>
          <c:spPr>
            <a:solidFill>
              <a:schemeClr val="dk1">
                <a:tint val="88500"/>
              </a:schemeClr>
            </a:solidFill>
            <a:ln w="9525">
              <a:solidFill>
                <a:schemeClr val="dk1">
                  <a:tint val="88500"/>
                </a:schemeClr>
              </a:solidFill>
            </a:ln>
            <a:effectLst/>
          </c:spPr>
        </c:marker>
      </c:pivotFmt>
      <c:pivotFmt>
        <c:idx val="126"/>
        <c:spPr>
          <a:ln w="28575" cap="rnd">
            <a:solidFill>
              <a:schemeClr val="dk1">
                <a:tint val="88500"/>
              </a:schemeClr>
            </a:solidFill>
            <a:round/>
          </a:ln>
          <a:effectLst/>
        </c:spPr>
        <c:marker>
          <c:symbol val="circle"/>
          <c:size val="5"/>
          <c:spPr>
            <a:solidFill>
              <a:schemeClr val="dk1">
                <a:tint val="88500"/>
              </a:schemeClr>
            </a:solidFill>
            <a:ln w="9525">
              <a:solidFill>
                <a:schemeClr val="dk1">
                  <a:tint val="88500"/>
                </a:schemeClr>
              </a:solidFill>
            </a:ln>
            <a:effectLst/>
          </c:spPr>
        </c:marker>
      </c:pivotFmt>
      <c:pivotFmt>
        <c:idx val="127"/>
        <c:spPr>
          <a:ln w="28575" cap="rnd">
            <a:solidFill>
              <a:schemeClr val="dk1">
                <a:tint val="88500"/>
              </a:schemeClr>
            </a:solidFill>
            <a:round/>
          </a:ln>
          <a:effectLst/>
        </c:spPr>
        <c:marker>
          <c:symbol val="circle"/>
          <c:size val="5"/>
          <c:spPr>
            <a:solidFill>
              <a:schemeClr val="dk1">
                <a:tint val="88500"/>
              </a:schemeClr>
            </a:solidFill>
            <a:ln w="9525">
              <a:solidFill>
                <a:schemeClr val="dk1">
                  <a:tint val="88500"/>
                </a:schemeClr>
              </a:solidFill>
            </a:ln>
            <a:effectLst/>
          </c:spPr>
        </c:marker>
      </c:pivotFmt>
      <c:pivotFmt>
        <c:idx val="128"/>
        <c:spPr>
          <a:ln w="28575" cap="rnd">
            <a:solidFill>
              <a:schemeClr val="dk1">
                <a:tint val="88500"/>
              </a:schemeClr>
            </a:solidFill>
            <a:round/>
          </a:ln>
          <a:effectLst/>
        </c:spPr>
        <c:marker>
          <c:symbol val="circle"/>
          <c:size val="5"/>
          <c:spPr>
            <a:solidFill>
              <a:schemeClr val="dk1">
                <a:tint val="88500"/>
              </a:schemeClr>
            </a:solidFill>
            <a:ln w="9525">
              <a:solidFill>
                <a:schemeClr val="dk1">
                  <a:tint val="88500"/>
                </a:schemeClr>
              </a:solidFill>
            </a:ln>
            <a:effectLst/>
          </c:spPr>
        </c:marker>
      </c:pivotFmt>
      <c:pivotFmt>
        <c:idx val="129"/>
        <c:spPr>
          <a:ln w="28575" cap="rnd">
            <a:solidFill>
              <a:schemeClr val="dk1">
                <a:tint val="88500"/>
              </a:schemeClr>
            </a:solidFill>
            <a:round/>
          </a:ln>
          <a:effectLst/>
        </c:spPr>
        <c:marker>
          <c:symbol val="circle"/>
          <c:size val="5"/>
          <c:spPr>
            <a:solidFill>
              <a:schemeClr val="dk1">
                <a:tint val="88500"/>
              </a:schemeClr>
            </a:solidFill>
            <a:ln w="9525">
              <a:solidFill>
                <a:schemeClr val="dk1">
                  <a:tint val="88500"/>
                </a:schemeClr>
              </a:solidFill>
            </a:ln>
            <a:effectLst/>
          </c:spPr>
        </c:marker>
      </c:pivotFmt>
      <c:pivotFmt>
        <c:idx val="130"/>
        <c:spPr>
          <a:ln w="28575" cap="rnd">
            <a:solidFill>
              <a:schemeClr val="dk1">
                <a:tint val="88500"/>
              </a:schemeClr>
            </a:solidFill>
            <a:round/>
          </a:ln>
          <a:effectLst/>
        </c:spPr>
        <c:marker>
          <c:symbol val="circle"/>
          <c:size val="5"/>
          <c:spPr>
            <a:solidFill>
              <a:schemeClr val="dk1">
                <a:tint val="88500"/>
              </a:schemeClr>
            </a:solidFill>
            <a:ln w="9525">
              <a:solidFill>
                <a:schemeClr val="dk1">
                  <a:tint val="88500"/>
                </a:schemeClr>
              </a:solidFill>
            </a:ln>
            <a:effectLst/>
          </c:spPr>
        </c:marker>
      </c:pivotFmt>
      <c:pivotFmt>
        <c:idx val="131"/>
        <c:spPr>
          <a:ln w="28575" cap="rnd">
            <a:solidFill>
              <a:schemeClr val="dk1">
                <a:tint val="88500"/>
              </a:schemeClr>
            </a:solidFill>
            <a:round/>
          </a:ln>
          <a:effectLst/>
        </c:spPr>
        <c:marker>
          <c:symbol val="circle"/>
          <c:size val="5"/>
          <c:spPr>
            <a:solidFill>
              <a:schemeClr val="dk1">
                <a:tint val="88500"/>
              </a:schemeClr>
            </a:solidFill>
            <a:ln w="9525">
              <a:solidFill>
                <a:schemeClr val="dk1">
                  <a:tint val="88500"/>
                </a:schemeClr>
              </a:solidFill>
            </a:ln>
            <a:effectLst/>
          </c:spPr>
        </c:marker>
      </c:pivotFmt>
      <c:pivotFmt>
        <c:idx val="132"/>
        <c:spPr>
          <a:ln w="28575" cap="rnd">
            <a:solidFill>
              <a:schemeClr val="dk1">
                <a:tint val="88500"/>
              </a:schemeClr>
            </a:solidFill>
            <a:round/>
          </a:ln>
          <a:effectLst/>
        </c:spPr>
        <c:marker>
          <c:symbol val="circle"/>
          <c:size val="5"/>
          <c:spPr>
            <a:solidFill>
              <a:schemeClr val="dk1">
                <a:tint val="88500"/>
              </a:schemeClr>
            </a:solidFill>
            <a:ln w="9525">
              <a:solidFill>
                <a:schemeClr val="dk1">
                  <a:tint val="88500"/>
                </a:schemeClr>
              </a:solidFill>
            </a:ln>
            <a:effectLst/>
          </c:spPr>
        </c:marker>
      </c:pivotFmt>
      <c:pivotFmt>
        <c:idx val="133"/>
        <c:spPr>
          <a:ln w="28575" cap="rnd">
            <a:solidFill>
              <a:schemeClr val="dk1">
                <a:tint val="88500"/>
              </a:schemeClr>
            </a:solidFill>
            <a:round/>
          </a:ln>
          <a:effectLst/>
        </c:spPr>
        <c:marker>
          <c:symbol val="circle"/>
          <c:size val="5"/>
          <c:spPr>
            <a:solidFill>
              <a:schemeClr val="dk1">
                <a:tint val="88500"/>
              </a:schemeClr>
            </a:solidFill>
            <a:ln w="9525">
              <a:solidFill>
                <a:schemeClr val="dk1">
                  <a:tint val="88500"/>
                </a:schemeClr>
              </a:solidFill>
            </a:ln>
            <a:effectLst/>
          </c:spPr>
        </c:marker>
      </c:pivotFmt>
      <c:pivotFmt>
        <c:idx val="134"/>
        <c:spPr>
          <a:ln w="28575" cap="rnd">
            <a:solidFill>
              <a:schemeClr val="dk1">
                <a:tint val="88500"/>
              </a:schemeClr>
            </a:solidFill>
            <a:round/>
          </a:ln>
          <a:effectLst/>
        </c:spPr>
        <c:marker>
          <c:symbol val="circle"/>
          <c:size val="5"/>
          <c:spPr>
            <a:solidFill>
              <a:schemeClr val="dk1">
                <a:tint val="88500"/>
              </a:schemeClr>
            </a:solidFill>
            <a:ln w="9525">
              <a:solidFill>
                <a:schemeClr val="dk1">
                  <a:tint val="88500"/>
                </a:schemeClr>
              </a:solidFill>
            </a:ln>
            <a:effectLst/>
          </c:spPr>
        </c:marker>
      </c:pivotFmt>
      <c:pivotFmt>
        <c:idx val="135"/>
        <c:spPr>
          <a:ln w="28575" cap="rnd">
            <a:solidFill>
              <a:schemeClr val="dk1">
                <a:tint val="88500"/>
              </a:schemeClr>
            </a:solidFill>
            <a:round/>
          </a:ln>
          <a:effectLst/>
        </c:spPr>
        <c:marker>
          <c:symbol val="circle"/>
          <c:size val="5"/>
          <c:spPr>
            <a:solidFill>
              <a:schemeClr val="dk1">
                <a:tint val="88500"/>
              </a:schemeClr>
            </a:solidFill>
            <a:ln w="9525">
              <a:solidFill>
                <a:schemeClr val="dk1">
                  <a:tint val="88500"/>
                </a:schemeClr>
              </a:solidFill>
            </a:ln>
            <a:effectLst/>
          </c:spPr>
        </c:marker>
      </c:pivotFmt>
      <c:pivotFmt>
        <c:idx val="136"/>
        <c:spPr>
          <a:ln w="28575" cap="rnd">
            <a:solidFill>
              <a:schemeClr val="dk1">
                <a:tint val="88500"/>
              </a:schemeClr>
            </a:solidFill>
            <a:round/>
          </a:ln>
          <a:effectLst/>
        </c:spPr>
        <c:marker>
          <c:symbol val="circle"/>
          <c:size val="5"/>
          <c:spPr>
            <a:solidFill>
              <a:schemeClr val="dk1">
                <a:tint val="88500"/>
              </a:schemeClr>
            </a:solidFill>
            <a:ln w="9525">
              <a:solidFill>
                <a:schemeClr val="dk1">
                  <a:tint val="88500"/>
                </a:schemeClr>
              </a:solidFill>
            </a:ln>
            <a:effectLst/>
          </c:spPr>
        </c:marker>
      </c:pivotFmt>
      <c:pivotFmt>
        <c:idx val="137"/>
        <c:spPr>
          <a:ln w="28575" cap="rnd">
            <a:solidFill>
              <a:schemeClr val="dk1">
                <a:tint val="88500"/>
              </a:schemeClr>
            </a:solidFill>
            <a:round/>
          </a:ln>
          <a:effectLst/>
        </c:spPr>
        <c:marker>
          <c:symbol val="circle"/>
          <c:size val="5"/>
          <c:spPr>
            <a:solidFill>
              <a:schemeClr val="dk1">
                <a:tint val="88500"/>
              </a:schemeClr>
            </a:solidFill>
            <a:ln w="9525">
              <a:solidFill>
                <a:schemeClr val="dk1">
                  <a:tint val="88500"/>
                </a:schemeClr>
              </a:solidFill>
            </a:ln>
            <a:effectLst/>
          </c:spPr>
        </c:marker>
      </c:pivotFmt>
      <c:pivotFmt>
        <c:idx val="138"/>
        <c:spPr>
          <a:ln w="28575" cap="rnd">
            <a:solidFill>
              <a:schemeClr val="dk1">
                <a:tint val="88500"/>
              </a:schemeClr>
            </a:solidFill>
            <a:round/>
          </a:ln>
          <a:effectLst/>
        </c:spPr>
        <c:marker>
          <c:symbol val="circle"/>
          <c:size val="5"/>
          <c:spPr>
            <a:solidFill>
              <a:schemeClr val="dk1">
                <a:tint val="88500"/>
              </a:schemeClr>
            </a:solidFill>
            <a:ln w="9525">
              <a:solidFill>
                <a:schemeClr val="dk1">
                  <a:tint val="88500"/>
                </a:schemeClr>
              </a:solidFill>
            </a:ln>
            <a:effectLst/>
          </c:spPr>
        </c:marker>
      </c:pivotFmt>
      <c:pivotFmt>
        <c:idx val="139"/>
        <c:spPr>
          <a:ln w="28575" cap="rnd">
            <a:solidFill>
              <a:schemeClr val="dk1">
                <a:tint val="88500"/>
              </a:schemeClr>
            </a:solidFill>
            <a:round/>
          </a:ln>
          <a:effectLst/>
        </c:spPr>
        <c:marker>
          <c:symbol val="circle"/>
          <c:size val="5"/>
          <c:spPr>
            <a:solidFill>
              <a:schemeClr val="dk1">
                <a:tint val="88500"/>
              </a:schemeClr>
            </a:solidFill>
            <a:ln w="9525">
              <a:solidFill>
                <a:schemeClr val="dk1">
                  <a:tint val="88500"/>
                </a:schemeClr>
              </a:solidFill>
            </a:ln>
            <a:effectLst/>
          </c:spPr>
        </c:marker>
      </c:pivotFmt>
      <c:pivotFmt>
        <c:idx val="140"/>
        <c:spPr>
          <a:ln w="28575" cap="rnd">
            <a:solidFill>
              <a:schemeClr val="dk1">
                <a:tint val="88500"/>
              </a:schemeClr>
            </a:solidFill>
            <a:round/>
          </a:ln>
          <a:effectLst/>
        </c:spPr>
        <c:marker>
          <c:symbol val="circle"/>
          <c:size val="5"/>
          <c:spPr>
            <a:solidFill>
              <a:schemeClr val="dk1">
                <a:tint val="88500"/>
              </a:schemeClr>
            </a:solidFill>
            <a:ln w="9525">
              <a:solidFill>
                <a:schemeClr val="dk1">
                  <a:tint val="88500"/>
                </a:schemeClr>
              </a:solidFill>
            </a:ln>
            <a:effectLst/>
          </c:spPr>
        </c:marker>
      </c:pivotFmt>
      <c:pivotFmt>
        <c:idx val="141"/>
        <c:spPr>
          <a:ln w="28575" cap="rnd">
            <a:solidFill>
              <a:schemeClr val="dk1">
                <a:tint val="88500"/>
              </a:schemeClr>
            </a:solidFill>
            <a:round/>
          </a:ln>
          <a:effectLst/>
        </c:spPr>
        <c:marker>
          <c:symbol val="circle"/>
          <c:size val="5"/>
          <c:spPr>
            <a:solidFill>
              <a:schemeClr val="dk1">
                <a:tint val="88500"/>
              </a:schemeClr>
            </a:solidFill>
            <a:ln w="9525">
              <a:solidFill>
                <a:schemeClr val="dk1">
                  <a:tint val="88500"/>
                </a:schemeClr>
              </a:solidFill>
            </a:ln>
            <a:effectLst/>
          </c:spPr>
        </c:marker>
      </c:pivotFmt>
    </c:pivotFmts>
    <c:plotArea>
      <c:layout/>
      <c:lineChart>
        <c:grouping val="standard"/>
        <c:varyColors val="0"/>
        <c:ser>
          <c:idx val="0"/>
          <c:order val="0"/>
          <c:tx>
            <c:strRef>
              <c:f>'Count of Athlete Across Weight'!$B$3</c:f>
              <c:strCache>
                <c:ptCount val="1"/>
                <c:pt idx="0">
                  <c:v>Total</c:v>
                </c:pt>
              </c:strCache>
            </c:strRef>
          </c:tx>
          <c:spPr>
            <a:ln w="28575" cap="rnd">
              <a:solidFill>
                <a:schemeClr val="dk1">
                  <a:tint val="88500"/>
                </a:schemeClr>
              </a:solidFill>
              <a:round/>
            </a:ln>
            <a:effectLst/>
          </c:spPr>
          <c:marker>
            <c:symbol val="circle"/>
            <c:size val="5"/>
            <c:spPr>
              <a:solidFill>
                <a:schemeClr val="dk1">
                  <a:tint val="88500"/>
                </a:schemeClr>
              </a:solidFill>
              <a:ln w="9525">
                <a:solidFill>
                  <a:schemeClr val="dk1">
                    <a:tint val="88500"/>
                  </a:schemeClr>
                </a:solidFill>
              </a:ln>
              <a:effectLst/>
            </c:spPr>
          </c:marker>
          <c:dPt>
            <c:idx val="0"/>
            <c:marker>
              <c:symbol val="circle"/>
              <c:size val="5"/>
              <c:spPr>
                <a:solidFill>
                  <a:schemeClr val="dk1">
                    <a:tint val="88500"/>
                  </a:schemeClr>
                </a:solidFill>
                <a:ln w="9525">
                  <a:solidFill>
                    <a:schemeClr val="dk1">
                      <a:tint val="88500"/>
                    </a:schemeClr>
                  </a:solidFill>
                </a:ln>
                <a:effectLst/>
              </c:spPr>
            </c:marker>
            <c:bubble3D val="0"/>
            <c:spPr>
              <a:ln w="28575" cap="rnd">
                <a:solidFill>
                  <a:schemeClr val="dk1">
                    <a:tint val="88500"/>
                  </a:schemeClr>
                </a:solidFill>
                <a:round/>
              </a:ln>
              <a:effectLst/>
            </c:spPr>
            <c:extLst>
              <c:ext xmlns:c16="http://schemas.microsoft.com/office/drawing/2014/chart" uri="{C3380CC4-5D6E-409C-BE32-E72D297353CC}">
                <c16:uniqueId val="{00000001-FE92-44C1-938C-633A8630E85B}"/>
              </c:ext>
            </c:extLst>
          </c:dPt>
          <c:dPt>
            <c:idx val="1"/>
            <c:marker>
              <c:symbol val="circle"/>
              <c:size val="5"/>
              <c:spPr>
                <a:solidFill>
                  <a:schemeClr val="dk1">
                    <a:tint val="88500"/>
                  </a:schemeClr>
                </a:solidFill>
                <a:ln w="9525">
                  <a:solidFill>
                    <a:schemeClr val="dk1">
                      <a:tint val="88500"/>
                    </a:schemeClr>
                  </a:solidFill>
                </a:ln>
                <a:effectLst/>
              </c:spPr>
            </c:marker>
            <c:bubble3D val="0"/>
            <c:spPr>
              <a:ln w="28575" cap="rnd">
                <a:solidFill>
                  <a:schemeClr val="dk1">
                    <a:tint val="88500"/>
                  </a:schemeClr>
                </a:solidFill>
                <a:round/>
              </a:ln>
              <a:effectLst/>
            </c:spPr>
            <c:extLst>
              <c:ext xmlns:c16="http://schemas.microsoft.com/office/drawing/2014/chart" uri="{C3380CC4-5D6E-409C-BE32-E72D297353CC}">
                <c16:uniqueId val="{00000003-FE92-44C1-938C-633A8630E85B}"/>
              </c:ext>
            </c:extLst>
          </c:dPt>
          <c:dPt>
            <c:idx val="2"/>
            <c:marker>
              <c:symbol val="circle"/>
              <c:size val="5"/>
              <c:spPr>
                <a:solidFill>
                  <a:schemeClr val="dk1">
                    <a:tint val="88500"/>
                  </a:schemeClr>
                </a:solidFill>
                <a:ln w="9525">
                  <a:solidFill>
                    <a:schemeClr val="dk1">
                      <a:tint val="88500"/>
                    </a:schemeClr>
                  </a:solidFill>
                </a:ln>
                <a:effectLst/>
              </c:spPr>
            </c:marker>
            <c:bubble3D val="0"/>
            <c:spPr>
              <a:ln w="28575" cap="rnd">
                <a:solidFill>
                  <a:schemeClr val="dk1">
                    <a:tint val="88500"/>
                  </a:schemeClr>
                </a:solidFill>
                <a:round/>
              </a:ln>
              <a:effectLst/>
            </c:spPr>
            <c:extLst>
              <c:ext xmlns:c16="http://schemas.microsoft.com/office/drawing/2014/chart" uri="{C3380CC4-5D6E-409C-BE32-E72D297353CC}">
                <c16:uniqueId val="{00000005-FE92-44C1-938C-633A8630E85B}"/>
              </c:ext>
            </c:extLst>
          </c:dPt>
          <c:dPt>
            <c:idx val="3"/>
            <c:marker>
              <c:symbol val="circle"/>
              <c:size val="5"/>
              <c:spPr>
                <a:solidFill>
                  <a:schemeClr val="dk1">
                    <a:tint val="88500"/>
                  </a:schemeClr>
                </a:solidFill>
                <a:ln w="9525">
                  <a:solidFill>
                    <a:schemeClr val="dk1">
                      <a:tint val="88500"/>
                    </a:schemeClr>
                  </a:solidFill>
                </a:ln>
                <a:effectLst/>
              </c:spPr>
            </c:marker>
            <c:bubble3D val="0"/>
            <c:spPr>
              <a:ln w="28575" cap="rnd">
                <a:solidFill>
                  <a:schemeClr val="dk1">
                    <a:tint val="88500"/>
                  </a:schemeClr>
                </a:solidFill>
                <a:round/>
              </a:ln>
              <a:effectLst/>
            </c:spPr>
            <c:extLst>
              <c:ext xmlns:c16="http://schemas.microsoft.com/office/drawing/2014/chart" uri="{C3380CC4-5D6E-409C-BE32-E72D297353CC}">
                <c16:uniqueId val="{00000007-FE92-44C1-938C-633A8630E85B}"/>
              </c:ext>
            </c:extLst>
          </c:dPt>
          <c:dPt>
            <c:idx val="4"/>
            <c:marker>
              <c:symbol val="circle"/>
              <c:size val="5"/>
              <c:spPr>
                <a:solidFill>
                  <a:schemeClr val="dk1">
                    <a:tint val="88500"/>
                  </a:schemeClr>
                </a:solidFill>
                <a:ln w="9525">
                  <a:solidFill>
                    <a:schemeClr val="dk1">
                      <a:tint val="88500"/>
                    </a:schemeClr>
                  </a:solidFill>
                </a:ln>
                <a:effectLst/>
              </c:spPr>
            </c:marker>
            <c:bubble3D val="0"/>
            <c:spPr>
              <a:ln w="28575" cap="rnd">
                <a:solidFill>
                  <a:schemeClr val="dk1">
                    <a:tint val="88500"/>
                  </a:schemeClr>
                </a:solidFill>
                <a:round/>
              </a:ln>
              <a:effectLst/>
            </c:spPr>
            <c:extLst>
              <c:ext xmlns:c16="http://schemas.microsoft.com/office/drawing/2014/chart" uri="{C3380CC4-5D6E-409C-BE32-E72D297353CC}">
                <c16:uniqueId val="{00000009-FE92-44C1-938C-633A8630E85B}"/>
              </c:ext>
            </c:extLst>
          </c:dPt>
          <c:dPt>
            <c:idx val="5"/>
            <c:marker>
              <c:symbol val="circle"/>
              <c:size val="5"/>
              <c:spPr>
                <a:solidFill>
                  <a:schemeClr val="dk1">
                    <a:tint val="88500"/>
                  </a:schemeClr>
                </a:solidFill>
                <a:ln w="9525">
                  <a:solidFill>
                    <a:schemeClr val="dk1">
                      <a:tint val="88500"/>
                    </a:schemeClr>
                  </a:solidFill>
                </a:ln>
                <a:effectLst/>
              </c:spPr>
            </c:marker>
            <c:bubble3D val="0"/>
            <c:spPr>
              <a:ln w="28575" cap="rnd">
                <a:solidFill>
                  <a:schemeClr val="dk1">
                    <a:tint val="88500"/>
                  </a:schemeClr>
                </a:solidFill>
                <a:round/>
              </a:ln>
              <a:effectLst/>
            </c:spPr>
            <c:extLst>
              <c:ext xmlns:c16="http://schemas.microsoft.com/office/drawing/2014/chart" uri="{C3380CC4-5D6E-409C-BE32-E72D297353CC}">
                <c16:uniqueId val="{0000000B-FE92-44C1-938C-633A8630E85B}"/>
              </c:ext>
            </c:extLst>
          </c:dPt>
          <c:dPt>
            <c:idx val="6"/>
            <c:marker>
              <c:symbol val="circle"/>
              <c:size val="5"/>
              <c:spPr>
                <a:solidFill>
                  <a:schemeClr val="dk1">
                    <a:tint val="88500"/>
                  </a:schemeClr>
                </a:solidFill>
                <a:ln w="9525">
                  <a:solidFill>
                    <a:schemeClr val="dk1">
                      <a:tint val="88500"/>
                    </a:schemeClr>
                  </a:solidFill>
                </a:ln>
                <a:effectLst/>
              </c:spPr>
            </c:marker>
            <c:bubble3D val="0"/>
            <c:spPr>
              <a:ln w="28575" cap="rnd">
                <a:solidFill>
                  <a:schemeClr val="dk1">
                    <a:tint val="88500"/>
                  </a:schemeClr>
                </a:solidFill>
                <a:round/>
              </a:ln>
              <a:effectLst/>
            </c:spPr>
            <c:extLst>
              <c:ext xmlns:c16="http://schemas.microsoft.com/office/drawing/2014/chart" uri="{C3380CC4-5D6E-409C-BE32-E72D297353CC}">
                <c16:uniqueId val="{0000000D-FE92-44C1-938C-633A8630E85B}"/>
              </c:ext>
            </c:extLst>
          </c:dPt>
          <c:dPt>
            <c:idx val="7"/>
            <c:marker>
              <c:symbol val="circle"/>
              <c:size val="5"/>
              <c:spPr>
                <a:solidFill>
                  <a:schemeClr val="dk1">
                    <a:tint val="88500"/>
                  </a:schemeClr>
                </a:solidFill>
                <a:ln w="9525">
                  <a:solidFill>
                    <a:schemeClr val="dk1">
                      <a:tint val="88500"/>
                    </a:schemeClr>
                  </a:solidFill>
                </a:ln>
                <a:effectLst/>
              </c:spPr>
            </c:marker>
            <c:bubble3D val="0"/>
            <c:spPr>
              <a:ln w="28575" cap="rnd">
                <a:solidFill>
                  <a:schemeClr val="dk1">
                    <a:tint val="88500"/>
                  </a:schemeClr>
                </a:solidFill>
                <a:round/>
              </a:ln>
              <a:effectLst/>
            </c:spPr>
            <c:extLst>
              <c:ext xmlns:c16="http://schemas.microsoft.com/office/drawing/2014/chart" uri="{C3380CC4-5D6E-409C-BE32-E72D297353CC}">
                <c16:uniqueId val="{0000000F-FE92-44C1-938C-633A8630E85B}"/>
              </c:ext>
            </c:extLst>
          </c:dPt>
          <c:dPt>
            <c:idx val="8"/>
            <c:marker>
              <c:symbol val="circle"/>
              <c:size val="5"/>
              <c:spPr>
                <a:solidFill>
                  <a:schemeClr val="dk1">
                    <a:tint val="88500"/>
                  </a:schemeClr>
                </a:solidFill>
                <a:ln w="9525">
                  <a:solidFill>
                    <a:schemeClr val="dk1">
                      <a:tint val="88500"/>
                    </a:schemeClr>
                  </a:solidFill>
                </a:ln>
                <a:effectLst/>
              </c:spPr>
            </c:marker>
            <c:bubble3D val="0"/>
            <c:spPr>
              <a:ln w="28575" cap="rnd">
                <a:solidFill>
                  <a:schemeClr val="dk1">
                    <a:tint val="88500"/>
                  </a:schemeClr>
                </a:solidFill>
                <a:round/>
              </a:ln>
              <a:effectLst/>
            </c:spPr>
            <c:extLst>
              <c:ext xmlns:c16="http://schemas.microsoft.com/office/drawing/2014/chart" uri="{C3380CC4-5D6E-409C-BE32-E72D297353CC}">
                <c16:uniqueId val="{00000011-FE92-44C1-938C-633A8630E85B}"/>
              </c:ext>
            </c:extLst>
          </c:dPt>
          <c:dPt>
            <c:idx val="9"/>
            <c:marker>
              <c:symbol val="circle"/>
              <c:size val="5"/>
              <c:spPr>
                <a:solidFill>
                  <a:schemeClr val="dk1">
                    <a:tint val="88500"/>
                  </a:schemeClr>
                </a:solidFill>
                <a:ln w="9525">
                  <a:solidFill>
                    <a:schemeClr val="dk1">
                      <a:tint val="88500"/>
                    </a:schemeClr>
                  </a:solidFill>
                </a:ln>
                <a:effectLst/>
              </c:spPr>
            </c:marker>
            <c:bubble3D val="0"/>
            <c:spPr>
              <a:ln w="28575" cap="rnd">
                <a:solidFill>
                  <a:schemeClr val="dk1">
                    <a:tint val="88500"/>
                  </a:schemeClr>
                </a:solidFill>
                <a:round/>
              </a:ln>
              <a:effectLst/>
            </c:spPr>
            <c:extLst>
              <c:ext xmlns:c16="http://schemas.microsoft.com/office/drawing/2014/chart" uri="{C3380CC4-5D6E-409C-BE32-E72D297353CC}">
                <c16:uniqueId val="{00000013-FE92-44C1-938C-633A8630E85B}"/>
              </c:ext>
            </c:extLst>
          </c:dPt>
          <c:dPt>
            <c:idx val="10"/>
            <c:marker>
              <c:symbol val="circle"/>
              <c:size val="5"/>
              <c:spPr>
                <a:solidFill>
                  <a:schemeClr val="dk1">
                    <a:tint val="88500"/>
                  </a:schemeClr>
                </a:solidFill>
                <a:ln w="9525">
                  <a:solidFill>
                    <a:schemeClr val="dk1">
                      <a:tint val="88500"/>
                    </a:schemeClr>
                  </a:solidFill>
                </a:ln>
                <a:effectLst/>
              </c:spPr>
            </c:marker>
            <c:bubble3D val="0"/>
            <c:spPr>
              <a:ln w="28575" cap="rnd">
                <a:solidFill>
                  <a:schemeClr val="dk1">
                    <a:tint val="88500"/>
                  </a:schemeClr>
                </a:solidFill>
                <a:round/>
              </a:ln>
              <a:effectLst/>
            </c:spPr>
            <c:extLst>
              <c:ext xmlns:c16="http://schemas.microsoft.com/office/drawing/2014/chart" uri="{C3380CC4-5D6E-409C-BE32-E72D297353CC}">
                <c16:uniqueId val="{00000015-FE92-44C1-938C-633A8630E85B}"/>
              </c:ext>
            </c:extLst>
          </c:dPt>
          <c:dPt>
            <c:idx val="11"/>
            <c:marker>
              <c:symbol val="circle"/>
              <c:size val="5"/>
              <c:spPr>
                <a:solidFill>
                  <a:schemeClr val="dk1">
                    <a:tint val="88500"/>
                  </a:schemeClr>
                </a:solidFill>
                <a:ln w="9525">
                  <a:solidFill>
                    <a:schemeClr val="dk1">
                      <a:tint val="88500"/>
                    </a:schemeClr>
                  </a:solidFill>
                </a:ln>
                <a:effectLst/>
              </c:spPr>
            </c:marker>
            <c:bubble3D val="0"/>
            <c:spPr>
              <a:ln w="28575" cap="rnd">
                <a:solidFill>
                  <a:schemeClr val="dk1">
                    <a:tint val="88500"/>
                  </a:schemeClr>
                </a:solidFill>
                <a:round/>
              </a:ln>
              <a:effectLst/>
            </c:spPr>
            <c:extLst>
              <c:ext xmlns:c16="http://schemas.microsoft.com/office/drawing/2014/chart" uri="{C3380CC4-5D6E-409C-BE32-E72D297353CC}">
                <c16:uniqueId val="{00000017-FE92-44C1-938C-633A8630E85B}"/>
              </c:ext>
            </c:extLst>
          </c:dPt>
          <c:dPt>
            <c:idx val="12"/>
            <c:marker>
              <c:symbol val="circle"/>
              <c:size val="5"/>
              <c:spPr>
                <a:solidFill>
                  <a:schemeClr val="dk1">
                    <a:tint val="88500"/>
                  </a:schemeClr>
                </a:solidFill>
                <a:ln w="9525">
                  <a:solidFill>
                    <a:schemeClr val="dk1">
                      <a:tint val="88500"/>
                    </a:schemeClr>
                  </a:solidFill>
                </a:ln>
                <a:effectLst/>
              </c:spPr>
            </c:marker>
            <c:bubble3D val="0"/>
            <c:spPr>
              <a:ln w="28575" cap="rnd">
                <a:solidFill>
                  <a:schemeClr val="dk1">
                    <a:tint val="88500"/>
                  </a:schemeClr>
                </a:solidFill>
                <a:round/>
              </a:ln>
              <a:effectLst/>
            </c:spPr>
            <c:extLst>
              <c:ext xmlns:c16="http://schemas.microsoft.com/office/drawing/2014/chart" uri="{C3380CC4-5D6E-409C-BE32-E72D297353CC}">
                <c16:uniqueId val="{00000019-FE92-44C1-938C-633A8630E85B}"/>
              </c:ext>
            </c:extLst>
          </c:dPt>
          <c:dPt>
            <c:idx val="13"/>
            <c:marker>
              <c:symbol val="circle"/>
              <c:size val="5"/>
              <c:spPr>
                <a:solidFill>
                  <a:schemeClr val="dk1">
                    <a:tint val="88500"/>
                  </a:schemeClr>
                </a:solidFill>
                <a:ln w="9525">
                  <a:solidFill>
                    <a:schemeClr val="dk1">
                      <a:tint val="88500"/>
                    </a:schemeClr>
                  </a:solidFill>
                </a:ln>
                <a:effectLst/>
              </c:spPr>
            </c:marker>
            <c:bubble3D val="0"/>
            <c:spPr>
              <a:ln w="28575" cap="rnd">
                <a:solidFill>
                  <a:schemeClr val="dk1">
                    <a:tint val="88500"/>
                  </a:schemeClr>
                </a:solidFill>
                <a:round/>
              </a:ln>
              <a:effectLst/>
            </c:spPr>
            <c:extLst>
              <c:ext xmlns:c16="http://schemas.microsoft.com/office/drawing/2014/chart" uri="{C3380CC4-5D6E-409C-BE32-E72D297353CC}">
                <c16:uniqueId val="{0000001B-FE92-44C1-938C-633A8630E85B}"/>
              </c:ext>
            </c:extLst>
          </c:dPt>
          <c:dPt>
            <c:idx val="14"/>
            <c:marker>
              <c:symbol val="circle"/>
              <c:size val="5"/>
              <c:spPr>
                <a:solidFill>
                  <a:schemeClr val="dk1">
                    <a:tint val="88500"/>
                  </a:schemeClr>
                </a:solidFill>
                <a:ln w="9525">
                  <a:solidFill>
                    <a:schemeClr val="dk1">
                      <a:tint val="88500"/>
                    </a:schemeClr>
                  </a:solidFill>
                </a:ln>
                <a:effectLst/>
              </c:spPr>
            </c:marker>
            <c:bubble3D val="0"/>
            <c:spPr>
              <a:ln w="28575" cap="rnd">
                <a:solidFill>
                  <a:schemeClr val="dk1">
                    <a:tint val="88500"/>
                  </a:schemeClr>
                </a:solidFill>
                <a:round/>
              </a:ln>
              <a:effectLst/>
            </c:spPr>
            <c:extLst>
              <c:ext xmlns:c16="http://schemas.microsoft.com/office/drawing/2014/chart" uri="{C3380CC4-5D6E-409C-BE32-E72D297353CC}">
                <c16:uniqueId val="{0000001D-FE92-44C1-938C-633A8630E85B}"/>
              </c:ext>
            </c:extLst>
          </c:dPt>
          <c:dPt>
            <c:idx val="15"/>
            <c:marker>
              <c:symbol val="circle"/>
              <c:size val="5"/>
              <c:spPr>
                <a:solidFill>
                  <a:schemeClr val="dk1">
                    <a:tint val="88500"/>
                  </a:schemeClr>
                </a:solidFill>
                <a:ln w="9525">
                  <a:solidFill>
                    <a:schemeClr val="dk1">
                      <a:tint val="88500"/>
                    </a:schemeClr>
                  </a:solidFill>
                </a:ln>
                <a:effectLst/>
              </c:spPr>
            </c:marker>
            <c:bubble3D val="0"/>
            <c:spPr>
              <a:ln w="28575" cap="rnd">
                <a:solidFill>
                  <a:schemeClr val="dk1">
                    <a:tint val="88500"/>
                  </a:schemeClr>
                </a:solidFill>
                <a:round/>
              </a:ln>
              <a:effectLst/>
            </c:spPr>
            <c:extLst>
              <c:ext xmlns:c16="http://schemas.microsoft.com/office/drawing/2014/chart" uri="{C3380CC4-5D6E-409C-BE32-E72D297353CC}">
                <c16:uniqueId val="{0000001F-FE92-44C1-938C-633A8630E85B}"/>
              </c:ext>
            </c:extLst>
          </c:dPt>
          <c:dPt>
            <c:idx val="16"/>
            <c:marker>
              <c:symbol val="circle"/>
              <c:size val="5"/>
              <c:spPr>
                <a:solidFill>
                  <a:schemeClr val="dk1">
                    <a:tint val="88500"/>
                  </a:schemeClr>
                </a:solidFill>
                <a:ln w="9525">
                  <a:solidFill>
                    <a:schemeClr val="dk1">
                      <a:tint val="88500"/>
                    </a:schemeClr>
                  </a:solidFill>
                </a:ln>
                <a:effectLst/>
              </c:spPr>
            </c:marker>
            <c:bubble3D val="0"/>
            <c:spPr>
              <a:ln w="28575" cap="rnd">
                <a:solidFill>
                  <a:schemeClr val="dk1">
                    <a:tint val="88500"/>
                  </a:schemeClr>
                </a:solidFill>
                <a:round/>
              </a:ln>
              <a:effectLst/>
            </c:spPr>
            <c:extLst>
              <c:ext xmlns:c16="http://schemas.microsoft.com/office/drawing/2014/chart" uri="{C3380CC4-5D6E-409C-BE32-E72D297353CC}">
                <c16:uniqueId val="{00000021-FE92-44C1-938C-633A8630E85B}"/>
              </c:ext>
            </c:extLst>
          </c:dPt>
          <c:dPt>
            <c:idx val="17"/>
            <c:marker>
              <c:symbol val="circle"/>
              <c:size val="5"/>
              <c:spPr>
                <a:solidFill>
                  <a:schemeClr val="dk1">
                    <a:tint val="88500"/>
                  </a:schemeClr>
                </a:solidFill>
                <a:ln w="9525">
                  <a:solidFill>
                    <a:schemeClr val="dk1">
                      <a:tint val="88500"/>
                    </a:schemeClr>
                  </a:solidFill>
                </a:ln>
                <a:effectLst/>
              </c:spPr>
            </c:marker>
            <c:bubble3D val="0"/>
            <c:spPr>
              <a:ln w="28575" cap="rnd">
                <a:solidFill>
                  <a:schemeClr val="dk1">
                    <a:tint val="88500"/>
                  </a:schemeClr>
                </a:solidFill>
                <a:round/>
              </a:ln>
              <a:effectLst/>
            </c:spPr>
            <c:extLst>
              <c:ext xmlns:c16="http://schemas.microsoft.com/office/drawing/2014/chart" uri="{C3380CC4-5D6E-409C-BE32-E72D297353CC}">
                <c16:uniqueId val="{00000023-FE92-44C1-938C-633A8630E85B}"/>
              </c:ext>
            </c:extLst>
          </c:dPt>
          <c:dPt>
            <c:idx val="18"/>
            <c:marker>
              <c:symbol val="circle"/>
              <c:size val="5"/>
              <c:spPr>
                <a:solidFill>
                  <a:schemeClr val="dk1">
                    <a:tint val="88500"/>
                  </a:schemeClr>
                </a:solidFill>
                <a:ln w="9525">
                  <a:solidFill>
                    <a:schemeClr val="dk1">
                      <a:tint val="88500"/>
                    </a:schemeClr>
                  </a:solidFill>
                </a:ln>
                <a:effectLst/>
              </c:spPr>
            </c:marker>
            <c:bubble3D val="0"/>
            <c:spPr>
              <a:ln w="28575" cap="rnd">
                <a:solidFill>
                  <a:schemeClr val="dk1">
                    <a:tint val="88500"/>
                  </a:schemeClr>
                </a:solidFill>
                <a:round/>
              </a:ln>
              <a:effectLst/>
            </c:spPr>
            <c:extLst>
              <c:ext xmlns:c16="http://schemas.microsoft.com/office/drawing/2014/chart" uri="{C3380CC4-5D6E-409C-BE32-E72D297353CC}">
                <c16:uniqueId val="{00000025-FE92-44C1-938C-633A8630E85B}"/>
              </c:ext>
            </c:extLst>
          </c:dPt>
          <c:dPt>
            <c:idx val="19"/>
            <c:marker>
              <c:symbol val="circle"/>
              <c:size val="5"/>
              <c:spPr>
                <a:solidFill>
                  <a:schemeClr val="dk1">
                    <a:tint val="88500"/>
                  </a:schemeClr>
                </a:solidFill>
                <a:ln w="9525">
                  <a:solidFill>
                    <a:schemeClr val="dk1">
                      <a:tint val="88500"/>
                    </a:schemeClr>
                  </a:solidFill>
                </a:ln>
                <a:effectLst/>
              </c:spPr>
            </c:marker>
            <c:bubble3D val="0"/>
            <c:spPr>
              <a:ln w="28575" cap="rnd">
                <a:solidFill>
                  <a:schemeClr val="dk1">
                    <a:tint val="88500"/>
                  </a:schemeClr>
                </a:solidFill>
                <a:round/>
              </a:ln>
              <a:effectLst/>
            </c:spPr>
            <c:extLst>
              <c:ext xmlns:c16="http://schemas.microsoft.com/office/drawing/2014/chart" uri="{C3380CC4-5D6E-409C-BE32-E72D297353CC}">
                <c16:uniqueId val="{00000027-FE92-44C1-938C-633A8630E85B}"/>
              </c:ext>
            </c:extLst>
          </c:dPt>
          <c:dPt>
            <c:idx val="20"/>
            <c:marker>
              <c:symbol val="circle"/>
              <c:size val="5"/>
              <c:spPr>
                <a:solidFill>
                  <a:schemeClr val="dk1">
                    <a:tint val="88500"/>
                  </a:schemeClr>
                </a:solidFill>
                <a:ln w="9525">
                  <a:solidFill>
                    <a:schemeClr val="dk1">
                      <a:tint val="88500"/>
                    </a:schemeClr>
                  </a:solidFill>
                </a:ln>
                <a:effectLst/>
              </c:spPr>
            </c:marker>
            <c:bubble3D val="0"/>
            <c:spPr>
              <a:ln w="28575" cap="rnd">
                <a:solidFill>
                  <a:schemeClr val="dk1">
                    <a:tint val="88500"/>
                  </a:schemeClr>
                </a:solidFill>
                <a:round/>
              </a:ln>
              <a:effectLst/>
            </c:spPr>
            <c:extLst>
              <c:ext xmlns:c16="http://schemas.microsoft.com/office/drawing/2014/chart" uri="{C3380CC4-5D6E-409C-BE32-E72D297353CC}">
                <c16:uniqueId val="{00000029-FE92-44C1-938C-633A8630E85B}"/>
              </c:ext>
            </c:extLst>
          </c:dPt>
          <c:dPt>
            <c:idx val="21"/>
            <c:marker>
              <c:symbol val="circle"/>
              <c:size val="5"/>
              <c:spPr>
                <a:solidFill>
                  <a:schemeClr val="dk1">
                    <a:tint val="88500"/>
                  </a:schemeClr>
                </a:solidFill>
                <a:ln w="9525">
                  <a:solidFill>
                    <a:schemeClr val="dk1">
                      <a:tint val="88500"/>
                    </a:schemeClr>
                  </a:solidFill>
                </a:ln>
                <a:effectLst/>
              </c:spPr>
            </c:marker>
            <c:bubble3D val="0"/>
            <c:spPr>
              <a:ln w="28575" cap="rnd">
                <a:solidFill>
                  <a:schemeClr val="dk1">
                    <a:tint val="88500"/>
                  </a:schemeClr>
                </a:solidFill>
                <a:round/>
              </a:ln>
              <a:effectLst/>
            </c:spPr>
            <c:extLst>
              <c:ext xmlns:c16="http://schemas.microsoft.com/office/drawing/2014/chart" uri="{C3380CC4-5D6E-409C-BE32-E72D297353CC}">
                <c16:uniqueId val="{0000002B-FE92-44C1-938C-633A8630E85B}"/>
              </c:ext>
            </c:extLst>
          </c:dPt>
          <c:dPt>
            <c:idx val="22"/>
            <c:marker>
              <c:symbol val="circle"/>
              <c:size val="5"/>
              <c:spPr>
                <a:solidFill>
                  <a:schemeClr val="dk1">
                    <a:tint val="88500"/>
                  </a:schemeClr>
                </a:solidFill>
                <a:ln w="9525">
                  <a:solidFill>
                    <a:schemeClr val="dk1">
                      <a:tint val="88500"/>
                    </a:schemeClr>
                  </a:solidFill>
                </a:ln>
                <a:effectLst/>
              </c:spPr>
            </c:marker>
            <c:bubble3D val="0"/>
            <c:spPr>
              <a:ln w="28575" cap="rnd">
                <a:solidFill>
                  <a:schemeClr val="dk1">
                    <a:tint val="88500"/>
                  </a:schemeClr>
                </a:solidFill>
                <a:round/>
              </a:ln>
              <a:effectLst/>
            </c:spPr>
            <c:extLst>
              <c:ext xmlns:c16="http://schemas.microsoft.com/office/drawing/2014/chart" uri="{C3380CC4-5D6E-409C-BE32-E72D297353CC}">
                <c16:uniqueId val="{0000002D-FE92-44C1-938C-633A8630E85B}"/>
              </c:ext>
            </c:extLst>
          </c:dPt>
          <c:dPt>
            <c:idx val="23"/>
            <c:marker>
              <c:symbol val="circle"/>
              <c:size val="5"/>
              <c:spPr>
                <a:solidFill>
                  <a:schemeClr val="dk1">
                    <a:tint val="88500"/>
                  </a:schemeClr>
                </a:solidFill>
                <a:ln w="9525">
                  <a:solidFill>
                    <a:schemeClr val="dk1">
                      <a:tint val="88500"/>
                    </a:schemeClr>
                  </a:solidFill>
                </a:ln>
                <a:effectLst/>
              </c:spPr>
            </c:marker>
            <c:bubble3D val="0"/>
            <c:spPr>
              <a:ln w="28575" cap="rnd">
                <a:solidFill>
                  <a:schemeClr val="dk1">
                    <a:tint val="88500"/>
                  </a:schemeClr>
                </a:solidFill>
                <a:round/>
              </a:ln>
              <a:effectLst/>
            </c:spPr>
            <c:extLst>
              <c:ext xmlns:c16="http://schemas.microsoft.com/office/drawing/2014/chart" uri="{C3380CC4-5D6E-409C-BE32-E72D297353CC}">
                <c16:uniqueId val="{0000002F-FE92-44C1-938C-633A8630E85B}"/>
              </c:ext>
            </c:extLst>
          </c:dPt>
          <c:dPt>
            <c:idx val="24"/>
            <c:marker>
              <c:symbol val="circle"/>
              <c:size val="5"/>
              <c:spPr>
                <a:solidFill>
                  <a:schemeClr val="dk1">
                    <a:tint val="88500"/>
                  </a:schemeClr>
                </a:solidFill>
                <a:ln w="9525">
                  <a:solidFill>
                    <a:schemeClr val="dk1">
                      <a:tint val="88500"/>
                    </a:schemeClr>
                  </a:solidFill>
                </a:ln>
                <a:effectLst/>
              </c:spPr>
            </c:marker>
            <c:bubble3D val="0"/>
            <c:spPr>
              <a:ln w="28575" cap="rnd">
                <a:solidFill>
                  <a:schemeClr val="dk1">
                    <a:tint val="88500"/>
                  </a:schemeClr>
                </a:solidFill>
                <a:round/>
              </a:ln>
              <a:effectLst/>
            </c:spPr>
            <c:extLst>
              <c:ext xmlns:c16="http://schemas.microsoft.com/office/drawing/2014/chart" uri="{C3380CC4-5D6E-409C-BE32-E72D297353CC}">
                <c16:uniqueId val="{00000031-FE92-44C1-938C-633A8630E85B}"/>
              </c:ext>
            </c:extLst>
          </c:dPt>
          <c:dPt>
            <c:idx val="25"/>
            <c:marker>
              <c:symbol val="circle"/>
              <c:size val="5"/>
              <c:spPr>
                <a:solidFill>
                  <a:schemeClr val="dk1">
                    <a:tint val="88500"/>
                  </a:schemeClr>
                </a:solidFill>
                <a:ln w="9525">
                  <a:solidFill>
                    <a:schemeClr val="dk1">
                      <a:tint val="88500"/>
                    </a:schemeClr>
                  </a:solidFill>
                </a:ln>
                <a:effectLst/>
              </c:spPr>
            </c:marker>
            <c:bubble3D val="0"/>
            <c:spPr>
              <a:ln w="28575" cap="rnd">
                <a:solidFill>
                  <a:schemeClr val="dk1">
                    <a:tint val="88500"/>
                  </a:schemeClr>
                </a:solidFill>
                <a:round/>
              </a:ln>
              <a:effectLst/>
            </c:spPr>
            <c:extLst>
              <c:ext xmlns:c16="http://schemas.microsoft.com/office/drawing/2014/chart" uri="{C3380CC4-5D6E-409C-BE32-E72D297353CC}">
                <c16:uniqueId val="{00000033-FE92-44C1-938C-633A8630E85B}"/>
              </c:ext>
            </c:extLst>
          </c:dPt>
          <c:dPt>
            <c:idx val="26"/>
            <c:marker>
              <c:symbol val="circle"/>
              <c:size val="5"/>
              <c:spPr>
                <a:solidFill>
                  <a:schemeClr val="dk1">
                    <a:tint val="88500"/>
                  </a:schemeClr>
                </a:solidFill>
                <a:ln w="9525">
                  <a:solidFill>
                    <a:schemeClr val="dk1">
                      <a:tint val="88500"/>
                    </a:schemeClr>
                  </a:solidFill>
                </a:ln>
                <a:effectLst/>
              </c:spPr>
            </c:marker>
            <c:bubble3D val="0"/>
            <c:spPr>
              <a:ln w="28575" cap="rnd">
                <a:solidFill>
                  <a:schemeClr val="dk1">
                    <a:tint val="88500"/>
                  </a:schemeClr>
                </a:solidFill>
                <a:round/>
              </a:ln>
              <a:effectLst/>
            </c:spPr>
            <c:extLst>
              <c:ext xmlns:c16="http://schemas.microsoft.com/office/drawing/2014/chart" uri="{C3380CC4-5D6E-409C-BE32-E72D297353CC}">
                <c16:uniqueId val="{00000035-FE92-44C1-938C-633A8630E85B}"/>
              </c:ext>
            </c:extLst>
          </c:dPt>
          <c:dPt>
            <c:idx val="27"/>
            <c:marker>
              <c:symbol val="circle"/>
              <c:size val="5"/>
              <c:spPr>
                <a:solidFill>
                  <a:schemeClr val="dk1">
                    <a:tint val="88500"/>
                  </a:schemeClr>
                </a:solidFill>
                <a:ln w="9525">
                  <a:solidFill>
                    <a:schemeClr val="dk1">
                      <a:tint val="88500"/>
                    </a:schemeClr>
                  </a:solidFill>
                </a:ln>
                <a:effectLst/>
              </c:spPr>
            </c:marker>
            <c:bubble3D val="0"/>
            <c:spPr>
              <a:ln w="28575" cap="rnd">
                <a:solidFill>
                  <a:schemeClr val="dk1">
                    <a:tint val="88500"/>
                  </a:schemeClr>
                </a:solidFill>
                <a:round/>
              </a:ln>
              <a:effectLst/>
            </c:spPr>
            <c:extLst>
              <c:ext xmlns:c16="http://schemas.microsoft.com/office/drawing/2014/chart" uri="{C3380CC4-5D6E-409C-BE32-E72D297353CC}">
                <c16:uniqueId val="{00000037-FE92-44C1-938C-633A8630E85B}"/>
              </c:ext>
            </c:extLst>
          </c:dPt>
          <c:dPt>
            <c:idx val="28"/>
            <c:marker>
              <c:symbol val="circle"/>
              <c:size val="5"/>
              <c:spPr>
                <a:solidFill>
                  <a:schemeClr val="dk1">
                    <a:tint val="88500"/>
                  </a:schemeClr>
                </a:solidFill>
                <a:ln w="9525">
                  <a:solidFill>
                    <a:schemeClr val="dk1">
                      <a:tint val="88500"/>
                    </a:schemeClr>
                  </a:solidFill>
                </a:ln>
                <a:effectLst/>
              </c:spPr>
            </c:marker>
            <c:bubble3D val="0"/>
            <c:spPr>
              <a:ln w="28575" cap="rnd">
                <a:solidFill>
                  <a:schemeClr val="dk1">
                    <a:tint val="88500"/>
                  </a:schemeClr>
                </a:solidFill>
                <a:round/>
              </a:ln>
              <a:effectLst/>
            </c:spPr>
            <c:extLst>
              <c:ext xmlns:c16="http://schemas.microsoft.com/office/drawing/2014/chart" uri="{C3380CC4-5D6E-409C-BE32-E72D297353CC}">
                <c16:uniqueId val="{00000039-FE92-44C1-938C-633A8630E85B}"/>
              </c:ext>
            </c:extLst>
          </c:dPt>
          <c:dPt>
            <c:idx val="29"/>
            <c:marker>
              <c:symbol val="circle"/>
              <c:size val="5"/>
              <c:spPr>
                <a:solidFill>
                  <a:schemeClr val="dk1">
                    <a:tint val="88500"/>
                  </a:schemeClr>
                </a:solidFill>
                <a:ln w="9525">
                  <a:solidFill>
                    <a:schemeClr val="dk1">
                      <a:tint val="88500"/>
                    </a:schemeClr>
                  </a:solidFill>
                </a:ln>
                <a:effectLst/>
              </c:spPr>
            </c:marker>
            <c:bubble3D val="0"/>
            <c:spPr>
              <a:ln w="28575" cap="rnd">
                <a:solidFill>
                  <a:schemeClr val="dk1">
                    <a:tint val="88500"/>
                  </a:schemeClr>
                </a:solidFill>
                <a:round/>
              </a:ln>
              <a:effectLst/>
            </c:spPr>
            <c:extLst>
              <c:ext xmlns:c16="http://schemas.microsoft.com/office/drawing/2014/chart" uri="{C3380CC4-5D6E-409C-BE32-E72D297353CC}">
                <c16:uniqueId val="{0000003B-FE92-44C1-938C-633A8630E85B}"/>
              </c:ext>
            </c:extLst>
          </c:dPt>
          <c:dPt>
            <c:idx val="30"/>
            <c:marker>
              <c:symbol val="circle"/>
              <c:size val="5"/>
              <c:spPr>
                <a:solidFill>
                  <a:schemeClr val="dk1">
                    <a:tint val="88500"/>
                  </a:schemeClr>
                </a:solidFill>
                <a:ln w="9525">
                  <a:solidFill>
                    <a:schemeClr val="dk1">
                      <a:tint val="88500"/>
                    </a:schemeClr>
                  </a:solidFill>
                </a:ln>
                <a:effectLst/>
              </c:spPr>
            </c:marker>
            <c:bubble3D val="0"/>
            <c:spPr>
              <a:ln w="28575" cap="rnd">
                <a:solidFill>
                  <a:schemeClr val="dk1">
                    <a:tint val="88500"/>
                  </a:schemeClr>
                </a:solidFill>
                <a:round/>
              </a:ln>
              <a:effectLst/>
            </c:spPr>
            <c:extLst>
              <c:ext xmlns:c16="http://schemas.microsoft.com/office/drawing/2014/chart" uri="{C3380CC4-5D6E-409C-BE32-E72D297353CC}">
                <c16:uniqueId val="{0000003D-FE92-44C1-938C-633A8630E85B}"/>
              </c:ext>
            </c:extLst>
          </c:dPt>
          <c:dPt>
            <c:idx val="31"/>
            <c:marker>
              <c:symbol val="circle"/>
              <c:size val="5"/>
              <c:spPr>
                <a:solidFill>
                  <a:schemeClr val="dk1">
                    <a:tint val="88500"/>
                  </a:schemeClr>
                </a:solidFill>
                <a:ln w="9525">
                  <a:solidFill>
                    <a:schemeClr val="dk1">
                      <a:tint val="88500"/>
                    </a:schemeClr>
                  </a:solidFill>
                </a:ln>
                <a:effectLst/>
              </c:spPr>
            </c:marker>
            <c:bubble3D val="0"/>
            <c:spPr>
              <a:ln w="28575" cap="rnd">
                <a:solidFill>
                  <a:schemeClr val="dk1">
                    <a:tint val="88500"/>
                  </a:schemeClr>
                </a:solidFill>
                <a:round/>
              </a:ln>
              <a:effectLst/>
            </c:spPr>
            <c:extLst>
              <c:ext xmlns:c16="http://schemas.microsoft.com/office/drawing/2014/chart" uri="{C3380CC4-5D6E-409C-BE32-E72D297353CC}">
                <c16:uniqueId val="{0000003F-FE92-44C1-938C-633A8630E85B}"/>
              </c:ext>
            </c:extLst>
          </c:dPt>
          <c:dPt>
            <c:idx val="32"/>
            <c:marker>
              <c:symbol val="circle"/>
              <c:size val="5"/>
              <c:spPr>
                <a:solidFill>
                  <a:schemeClr val="dk1">
                    <a:tint val="88500"/>
                  </a:schemeClr>
                </a:solidFill>
                <a:ln w="9525">
                  <a:solidFill>
                    <a:schemeClr val="dk1">
                      <a:tint val="88500"/>
                    </a:schemeClr>
                  </a:solidFill>
                </a:ln>
                <a:effectLst/>
              </c:spPr>
            </c:marker>
            <c:bubble3D val="0"/>
            <c:spPr>
              <a:ln w="28575" cap="rnd">
                <a:solidFill>
                  <a:schemeClr val="dk1">
                    <a:tint val="88500"/>
                  </a:schemeClr>
                </a:solidFill>
                <a:round/>
              </a:ln>
              <a:effectLst/>
            </c:spPr>
            <c:extLst>
              <c:ext xmlns:c16="http://schemas.microsoft.com/office/drawing/2014/chart" uri="{C3380CC4-5D6E-409C-BE32-E72D297353CC}">
                <c16:uniqueId val="{00000041-FE92-44C1-938C-633A8630E85B}"/>
              </c:ext>
            </c:extLst>
          </c:dPt>
          <c:dPt>
            <c:idx val="33"/>
            <c:marker>
              <c:symbol val="circle"/>
              <c:size val="5"/>
              <c:spPr>
                <a:solidFill>
                  <a:schemeClr val="dk1">
                    <a:tint val="88500"/>
                  </a:schemeClr>
                </a:solidFill>
                <a:ln w="9525">
                  <a:solidFill>
                    <a:schemeClr val="dk1">
                      <a:tint val="88500"/>
                    </a:schemeClr>
                  </a:solidFill>
                </a:ln>
                <a:effectLst/>
              </c:spPr>
            </c:marker>
            <c:bubble3D val="0"/>
            <c:spPr>
              <a:ln w="28575" cap="rnd">
                <a:solidFill>
                  <a:schemeClr val="dk1">
                    <a:tint val="88500"/>
                  </a:schemeClr>
                </a:solidFill>
                <a:round/>
              </a:ln>
              <a:effectLst/>
            </c:spPr>
            <c:extLst>
              <c:ext xmlns:c16="http://schemas.microsoft.com/office/drawing/2014/chart" uri="{C3380CC4-5D6E-409C-BE32-E72D297353CC}">
                <c16:uniqueId val="{00000043-FE92-44C1-938C-633A8630E85B}"/>
              </c:ext>
            </c:extLst>
          </c:dPt>
          <c:dPt>
            <c:idx val="34"/>
            <c:marker>
              <c:symbol val="circle"/>
              <c:size val="5"/>
              <c:spPr>
                <a:solidFill>
                  <a:schemeClr val="dk1">
                    <a:tint val="88500"/>
                  </a:schemeClr>
                </a:solidFill>
                <a:ln w="9525">
                  <a:solidFill>
                    <a:schemeClr val="dk1">
                      <a:tint val="88500"/>
                    </a:schemeClr>
                  </a:solidFill>
                </a:ln>
                <a:effectLst/>
              </c:spPr>
            </c:marker>
            <c:bubble3D val="0"/>
            <c:spPr>
              <a:ln w="28575" cap="rnd">
                <a:solidFill>
                  <a:schemeClr val="dk1">
                    <a:tint val="88500"/>
                  </a:schemeClr>
                </a:solidFill>
                <a:round/>
              </a:ln>
              <a:effectLst/>
            </c:spPr>
            <c:extLst>
              <c:ext xmlns:c16="http://schemas.microsoft.com/office/drawing/2014/chart" uri="{C3380CC4-5D6E-409C-BE32-E72D297353CC}">
                <c16:uniqueId val="{00000045-FE92-44C1-938C-633A8630E85B}"/>
              </c:ext>
            </c:extLst>
          </c:dPt>
          <c:dPt>
            <c:idx val="35"/>
            <c:marker>
              <c:symbol val="circle"/>
              <c:size val="5"/>
              <c:spPr>
                <a:solidFill>
                  <a:schemeClr val="dk1">
                    <a:tint val="88500"/>
                  </a:schemeClr>
                </a:solidFill>
                <a:ln w="9525">
                  <a:solidFill>
                    <a:schemeClr val="dk1">
                      <a:tint val="88500"/>
                    </a:schemeClr>
                  </a:solidFill>
                </a:ln>
                <a:effectLst/>
              </c:spPr>
            </c:marker>
            <c:bubble3D val="0"/>
            <c:spPr>
              <a:ln w="28575" cap="rnd">
                <a:solidFill>
                  <a:schemeClr val="dk1">
                    <a:tint val="88500"/>
                  </a:schemeClr>
                </a:solidFill>
                <a:round/>
              </a:ln>
              <a:effectLst/>
            </c:spPr>
            <c:extLst>
              <c:ext xmlns:c16="http://schemas.microsoft.com/office/drawing/2014/chart" uri="{C3380CC4-5D6E-409C-BE32-E72D297353CC}">
                <c16:uniqueId val="{00000047-FE92-44C1-938C-633A8630E85B}"/>
              </c:ext>
            </c:extLst>
          </c:dPt>
          <c:dPt>
            <c:idx val="36"/>
            <c:marker>
              <c:symbol val="circle"/>
              <c:size val="5"/>
              <c:spPr>
                <a:solidFill>
                  <a:schemeClr val="dk1">
                    <a:tint val="88500"/>
                  </a:schemeClr>
                </a:solidFill>
                <a:ln w="9525">
                  <a:solidFill>
                    <a:schemeClr val="dk1">
                      <a:tint val="88500"/>
                    </a:schemeClr>
                  </a:solidFill>
                </a:ln>
                <a:effectLst/>
              </c:spPr>
            </c:marker>
            <c:bubble3D val="0"/>
            <c:spPr>
              <a:ln w="28575" cap="rnd">
                <a:solidFill>
                  <a:schemeClr val="dk1">
                    <a:tint val="88500"/>
                  </a:schemeClr>
                </a:solidFill>
                <a:round/>
              </a:ln>
              <a:effectLst/>
            </c:spPr>
            <c:extLst>
              <c:ext xmlns:c16="http://schemas.microsoft.com/office/drawing/2014/chart" uri="{C3380CC4-5D6E-409C-BE32-E72D297353CC}">
                <c16:uniqueId val="{00000049-FE92-44C1-938C-633A8630E85B}"/>
              </c:ext>
            </c:extLst>
          </c:dPt>
          <c:dPt>
            <c:idx val="37"/>
            <c:marker>
              <c:symbol val="circle"/>
              <c:size val="5"/>
              <c:spPr>
                <a:solidFill>
                  <a:schemeClr val="dk1">
                    <a:tint val="88500"/>
                  </a:schemeClr>
                </a:solidFill>
                <a:ln w="9525">
                  <a:solidFill>
                    <a:schemeClr val="dk1">
                      <a:tint val="88500"/>
                    </a:schemeClr>
                  </a:solidFill>
                </a:ln>
                <a:effectLst/>
              </c:spPr>
            </c:marker>
            <c:bubble3D val="0"/>
            <c:spPr>
              <a:ln w="28575" cap="rnd">
                <a:solidFill>
                  <a:schemeClr val="dk1">
                    <a:tint val="88500"/>
                  </a:schemeClr>
                </a:solidFill>
                <a:round/>
              </a:ln>
              <a:effectLst/>
            </c:spPr>
            <c:extLst>
              <c:ext xmlns:c16="http://schemas.microsoft.com/office/drawing/2014/chart" uri="{C3380CC4-5D6E-409C-BE32-E72D297353CC}">
                <c16:uniqueId val="{0000004B-FE92-44C1-938C-633A8630E85B}"/>
              </c:ext>
            </c:extLst>
          </c:dPt>
          <c:dPt>
            <c:idx val="38"/>
            <c:marker>
              <c:symbol val="circle"/>
              <c:size val="5"/>
              <c:spPr>
                <a:solidFill>
                  <a:schemeClr val="dk1">
                    <a:tint val="88500"/>
                  </a:schemeClr>
                </a:solidFill>
                <a:ln w="9525">
                  <a:solidFill>
                    <a:schemeClr val="dk1">
                      <a:tint val="88500"/>
                    </a:schemeClr>
                  </a:solidFill>
                </a:ln>
                <a:effectLst/>
              </c:spPr>
            </c:marker>
            <c:bubble3D val="0"/>
            <c:spPr>
              <a:ln w="28575" cap="rnd">
                <a:solidFill>
                  <a:schemeClr val="dk1">
                    <a:tint val="88500"/>
                  </a:schemeClr>
                </a:solidFill>
                <a:round/>
              </a:ln>
              <a:effectLst/>
            </c:spPr>
            <c:extLst>
              <c:ext xmlns:c16="http://schemas.microsoft.com/office/drawing/2014/chart" uri="{C3380CC4-5D6E-409C-BE32-E72D297353CC}">
                <c16:uniqueId val="{0000004D-FE92-44C1-938C-633A8630E85B}"/>
              </c:ext>
            </c:extLst>
          </c:dPt>
          <c:dPt>
            <c:idx val="39"/>
            <c:marker>
              <c:symbol val="circle"/>
              <c:size val="5"/>
              <c:spPr>
                <a:solidFill>
                  <a:schemeClr val="dk1">
                    <a:tint val="88500"/>
                  </a:schemeClr>
                </a:solidFill>
                <a:ln w="9525">
                  <a:solidFill>
                    <a:schemeClr val="dk1">
                      <a:tint val="88500"/>
                    </a:schemeClr>
                  </a:solidFill>
                </a:ln>
                <a:effectLst/>
              </c:spPr>
            </c:marker>
            <c:bubble3D val="0"/>
            <c:spPr>
              <a:ln w="28575" cap="rnd">
                <a:solidFill>
                  <a:schemeClr val="dk1">
                    <a:tint val="88500"/>
                  </a:schemeClr>
                </a:solidFill>
                <a:round/>
              </a:ln>
              <a:effectLst/>
            </c:spPr>
            <c:extLst>
              <c:ext xmlns:c16="http://schemas.microsoft.com/office/drawing/2014/chart" uri="{C3380CC4-5D6E-409C-BE32-E72D297353CC}">
                <c16:uniqueId val="{0000004F-FE92-44C1-938C-633A8630E85B}"/>
              </c:ext>
            </c:extLst>
          </c:dPt>
          <c:dPt>
            <c:idx val="40"/>
            <c:marker>
              <c:symbol val="circle"/>
              <c:size val="5"/>
              <c:spPr>
                <a:solidFill>
                  <a:schemeClr val="dk1">
                    <a:tint val="88500"/>
                  </a:schemeClr>
                </a:solidFill>
                <a:ln w="9525">
                  <a:solidFill>
                    <a:schemeClr val="dk1">
                      <a:tint val="88500"/>
                    </a:schemeClr>
                  </a:solidFill>
                </a:ln>
                <a:effectLst/>
              </c:spPr>
            </c:marker>
            <c:bubble3D val="0"/>
            <c:spPr>
              <a:ln w="28575" cap="rnd">
                <a:solidFill>
                  <a:schemeClr val="dk1">
                    <a:tint val="88500"/>
                  </a:schemeClr>
                </a:solidFill>
                <a:round/>
              </a:ln>
              <a:effectLst/>
            </c:spPr>
            <c:extLst>
              <c:ext xmlns:c16="http://schemas.microsoft.com/office/drawing/2014/chart" uri="{C3380CC4-5D6E-409C-BE32-E72D297353CC}">
                <c16:uniqueId val="{00000051-FE92-44C1-938C-633A8630E85B}"/>
              </c:ext>
            </c:extLst>
          </c:dPt>
          <c:dPt>
            <c:idx val="41"/>
            <c:marker>
              <c:symbol val="circle"/>
              <c:size val="5"/>
              <c:spPr>
                <a:solidFill>
                  <a:schemeClr val="dk1">
                    <a:tint val="88500"/>
                  </a:schemeClr>
                </a:solidFill>
                <a:ln w="9525">
                  <a:solidFill>
                    <a:schemeClr val="dk1">
                      <a:tint val="88500"/>
                    </a:schemeClr>
                  </a:solidFill>
                </a:ln>
                <a:effectLst/>
              </c:spPr>
            </c:marker>
            <c:bubble3D val="0"/>
            <c:spPr>
              <a:ln w="28575" cap="rnd">
                <a:solidFill>
                  <a:schemeClr val="dk1">
                    <a:tint val="88500"/>
                  </a:schemeClr>
                </a:solidFill>
                <a:round/>
              </a:ln>
              <a:effectLst/>
            </c:spPr>
            <c:extLst>
              <c:ext xmlns:c16="http://schemas.microsoft.com/office/drawing/2014/chart" uri="{C3380CC4-5D6E-409C-BE32-E72D297353CC}">
                <c16:uniqueId val="{00000053-FE92-44C1-938C-633A8630E85B}"/>
              </c:ext>
            </c:extLst>
          </c:dPt>
          <c:dPt>
            <c:idx val="42"/>
            <c:marker>
              <c:symbol val="circle"/>
              <c:size val="5"/>
              <c:spPr>
                <a:solidFill>
                  <a:schemeClr val="dk1">
                    <a:tint val="88500"/>
                  </a:schemeClr>
                </a:solidFill>
                <a:ln w="9525">
                  <a:solidFill>
                    <a:schemeClr val="dk1">
                      <a:tint val="88500"/>
                    </a:schemeClr>
                  </a:solidFill>
                </a:ln>
                <a:effectLst/>
              </c:spPr>
            </c:marker>
            <c:bubble3D val="0"/>
            <c:spPr>
              <a:ln w="28575" cap="rnd">
                <a:solidFill>
                  <a:schemeClr val="dk1">
                    <a:tint val="88500"/>
                  </a:schemeClr>
                </a:solidFill>
                <a:round/>
              </a:ln>
              <a:effectLst/>
            </c:spPr>
            <c:extLst>
              <c:ext xmlns:c16="http://schemas.microsoft.com/office/drawing/2014/chart" uri="{C3380CC4-5D6E-409C-BE32-E72D297353CC}">
                <c16:uniqueId val="{00000055-FE92-44C1-938C-633A8630E85B}"/>
              </c:ext>
            </c:extLst>
          </c:dPt>
          <c:dPt>
            <c:idx val="43"/>
            <c:marker>
              <c:symbol val="circle"/>
              <c:size val="5"/>
              <c:spPr>
                <a:solidFill>
                  <a:schemeClr val="dk1">
                    <a:tint val="88500"/>
                  </a:schemeClr>
                </a:solidFill>
                <a:ln w="9525">
                  <a:solidFill>
                    <a:schemeClr val="dk1">
                      <a:tint val="88500"/>
                    </a:schemeClr>
                  </a:solidFill>
                </a:ln>
                <a:effectLst/>
              </c:spPr>
            </c:marker>
            <c:bubble3D val="0"/>
            <c:spPr>
              <a:ln w="28575" cap="rnd">
                <a:solidFill>
                  <a:schemeClr val="dk1">
                    <a:tint val="88500"/>
                  </a:schemeClr>
                </a:solidFill>
                <a:round/>
              </a:ln>
              <a:effectLst/>
            </c:spPr>
            <c:extLst>
              <c:ext xmlns:c16="http://schemas.microsoft.com/office/drawing/2014/chart" uri="{C3380CC4-5D6E-409C-BE32-E72D297353CC}">
                <c16:uniqueId val="{00000057-FE92-44C1-938C-633A8630E85B}"/>
              </c:ext>
            </c:extLst>
          </c:dPt>
          <c:dPt>
            <c:idx val="44"/>
            <c:marker>
              <c:symbol val="circle"/>
              <c:size val="5"/>
              <c:spPr>
                <a:solidFill>
                  <a:schemeClr val="dk1">
                    <a:tint val="88500"/>
                  </a:schemeClr>
                </a:solidFill>
                <a:ln w="9525">
                  <a:solidFill>
                    <a:schemeClr val="dk1">
                      <a:tint val="88500"/>
                    </a:schemeClr>
                  </a:solidFill>
                </a:ln>
                <a:effectLst/>
              </c:spPr>
            </c:marker>
            <c:bubble3D val="0"/>
            <c:spPr>
              <a:ln w="28575" cap="rnd">
                <a:solidFill>
                  <a:schemeClr val="dk1">
                    <a:tint val="88500"/>
                  </a:schemeClr>
                </a:solidFill>
                <a:round/>
              </a:ln>
              <a:effectLst/>
            </c:spPr>
            <c:extLst>
              <c:ext xmlns:c16="http://schemas.microsoft.com/office/drawing/2014/chart" uri="{C3380CC4-5D6E-409C-BE32-E72D297353CC}">
                <c16:uniqueId val="{00000059-FE92-44C1-938C-633A8630E85B}"/>
              </c:ext>
            </c:extLst>
          </c:dPt>
          <c:dPt>
            <c:idx val="45"/>
            <c:marker>
              <c:symbol val="circle"/>
              <c:size val="5"/>
              <c:spPr>
                <a:solidFill>
                  <a:schemeClr val="dk1">
                    <a:tint val="88500"/>
                  </a:schemeClr>
                </a:solidFill>
                <a:ln w="9525">
                  <a:solidFill>
                    <a:schemeClr val="dk1">
                      <a:tint val="88500"/>
                    </a:schemeClr>
                  </a:solidFill>
                </a:ln>
                <a:effectLst/>
              </c:spPr>
            </c:marker>
            <c:bubble3D val="0"/>
            <c:spPr>
              <a:ln w="28575" cap="rnd">
                <a:solidFill>
                  <a:schemeClr val="dk1">
                    <a:tint val="88500"/>
                  </a:schemeClr>
                </a:solidFill>
                <a:round/>
              </a:ln>
              <a:effectLst/>
            </c:spPr>
            <c:extLst>
              <c:ext xmlns:c16="http://schemas.microsoft.com/office/drawing/2014/chart" uri="{C3380CC4-5D6E-409C-BE32-E72D297353CC}">
                <c16:uniqueId val="{0000005B-FE92-44C1-938C-633A8630E85B}"/>
              </c:ext>
            </c:extLst>
          </c:dPt>
          <c:dPt>
            <c:idx val="46"/>
            <c:marker>
              <c:symbol val="circle"/>
              <c:size val="5"/>
              <c:spPr>
                <a:solidFill>
                  <a:schemeClr val="dk1">
                    <a:tint val="88500"/>
                  </a:schemeClr>
                </a:solidFill>
                <a:ln w="9525">
                  <a:solidFill>
                    <a:schemeClr val="dk1">
                      <a:tint val="88500"/>
                    </a:schemeClr>
                  </a:solidFill>
                </a:ln>
                <a:effectLst/>
              </c:spPr>
            </c:marker>
            <c:bubble3D val="0"/>
            <c:spPr>
              <a:ln w="28575" cap="rnd">
                <a:solidFill>
                  <a:schemeClr val="dk1">
                    <a:tint val="88500"/>
                  </a:schemeClr>
                </a:solidFill>
                <a:round/>
              </a:ln>
              <a:effectLst/>
            </c:spPr>
            <c:extLst>
              <c:ext xmlns:c16="http://schemas.microsoft.com/office/drawing/2014/chart" uri="{C3380CC4-5D6E-409C-BE32-E72D297353CC}">
                <c16:uniqueId val="{0000005D-FE92-44C1-938C-633A8630E85B}"/>
              </c:ext>
            </c:extLst>
          </c:dPt>
          <c:dPt>
            <c:idx val="47"/>
            <c:marker>
              <c:symbol val="circle"/>
              <c:size val="5"/>
              <c:spPr>
                <a:solidFill>
                  <a:schemeClr val="dk1">
                    <a:tint val="88500"/>
                  </a:schemeClr>
                </a:solidFill>
                <a:ln w="9525">
                  <a:solidFill>
                    <a:schemeClr val="dk1">
                      <a:tint val="88500"/>
                    </a:schemeClr>
                  </a:solidFill>
                </a:ln>
                <a:effectLst/>
              </c:spPr>
            </c:marker>
            <c:bubble3D val="0"/>
            <c:spPr>
              <a:ln w="28575" cap="rnd">
                <a:solidFill>
                  <a:schemeClr val="dk1">
                    <a:tint val="88500"/>
                  </a:schemeClr>
                </a:solidFill>
                <a:round/>
              </a:ln>
              <a:effectLst/>
            </c:spPr>
            <c:extLst>
              <c:ext xmlns:c16="http://schemas.microsoft.com/office/drawing/2014/chart" uri="{C3380CC4-5D6E-409C-BE32-E72D297353CC}">
                <c16:uniqueId val="{0000005F-FE92-44C1-938C-633A8630E85B}"/>
              </c:ext>
            </c:extLst>
          </c:dPt>
          <c:dPt>
            <c:idx val="48"/>
            <c:marker>
              <c:symbol val="circle"/>
              <c:size val="5"/>
              <c:spPr>
                <a:solidFill>
                  <a:schemeClr val="dk1">
                    <a:tint val="88500"/>
                  </a:schemeClr>
                </a:solidFill>
                <a:ln w="9525">
                  <a:solidFill>
                    <a:schemeClr val="dk1">
                      <a:tint val="88500"/>
                    </a:schemeClr>
                  </a:solidFill>
                </a:ln>
                <a:effectLst/>
              </c:spPr>
            </c:marker>
            <c:bubble3D val="0"/>
            <c:spPr>
              <a:ln w="28575" cap="rnd">
                <a:solidFill>
                  <a:schemeClr val="dk1">
                    <a:tint val="88500"/>
                  </a:schemeClr>
                </a:solidFill>
                <a:round/>
              </a:ln>
              <a:effectLst/>
            </c:spPr>
            <c:extLst>
              <c:ext xmlns:c16="http://schemas.microsoft.com/office/drawing/2014/chart" uri="{C3380CC4-5D6E-409C-BE32-E72D297353CC}">
                <c16:uniqueId val="{00000061-FE92-44C1-938C-633A8630E85B}"/>
              </c:ext>
            </c:extLst>
          </c:dPt>
          <c:dPt>
            <c:idx val="49"/>
            <c:marker>
              <c:symbol val="circle"/>
              <c:size val="5"/>
              <c:spPr>
                <a:solidFill>
                  <a:schemeClr val="dk1">
                    <a:tint val="88500"/>
                  </a:schemeClr>
                </a:solidFill>
                <a:ln w="9525">
                  <a:solidFill>
                    <a:schemeClr val="dk1">
                      <a:tint val="88500"/>
                    </a:schemeClr>
                  </a:solidFill>
                </a:ln>
                <a:effectLst/>
              </c:spPr>
            </c:marker>
            <c:bubble3D val="0"/>
            <c:spPr>
              <a:ln w="28575" cap="rnd">
                <a:solidFill>
                  <a:schemeClr val="dk1">
                    <a:tint val="88500"/>
                  </a:schemeClr>
                </a:solidFill>
                <a:round/>
              </a:ln>
              <a:effectLst/>
            </c:spPr>
            <c:extLst>
              <c:ext xmlns:c16="http://schemas.microsoft.com/office/drawing/2014/chart" uri="{C3380CC4-5D6E-409C-BE32-E72D297353CC}">
                <c16:uniqueId val="{00000063-FE92-44C1-938C-633A8630E85B}"/>
              </c:ext>
            </c:extLst>
          </c:dPt>
          <c:dPt>
            <c:idx val="50"/>
            <c:marker>
              <c:symbol val="circle"/>
              <c:size val="5"/>
              <c:spPr>
                <a:solidFill>
                  <a:schemeClr val="dk1">
                    <a:tint val="88500"/>
                  </a:schemeClr>
                </a:solidFill>
                <a:ln w="9525">
                  <a:solidFill>
                    <a:schemeClr val="dk1">
                      <a:tint val="88500"/>
                    </a:schemeClr>
                  </a:solidFill>
                </a:ln>
                <a:effectLst/>
              </c:spPr>
            </c:marker>
            <c:bubble3D val="0"/>
            <c:spPr>
              <a:ln w="28575" cap="rnd">
                <a:solidFill>
                  <a:schemeClr val="dk1">
                    <a:tint val="88500"/>
                  </a:schemeClr>
                </a:solidFill>
                <a:round/>
              </a:ln>
              <a:effectLst/>
            </c:spPr>
            <c:extLst>
              <c:ext xmlns:c16="http://schemas.microsoft.com/office/drawing/2014/chart" uri="{C3380CC4-5D6E-409C-BE32-E72D297353CC}">
                <c16:uniqueId val="{00000065-FE92-44C1-938C-633A8630E85B}"/>
              </c:ext>
            </c:extLst>
          </c:dPt>
          <c:dPt>
            <c:idx val="51"/>
            <c:marker>
              <c:symbol val="circle"/>
              <c:size val="5"/>
              <c:spPr>
                <a:solidFill>
                  <a:schemeClr val="dk1">
                    <a:tint val="88500"/>
                  </a:schemeClr>
                </a:solidFill>
                <a:ln w="9525">
                  <a:solidFill>
                    <a:schemeClr val="dk1">
                      <a:tint val="88500"/>
                    </a:schemeClr>
                  </a:solidFill>
                </a:ln>
                <a:effectLst/>
              </c:spPr>
            </c:marker>
            <c:bubble3D val="0"/>
            <c:spPr>
              <a:ln w="28575" cap="rnd">
                <a:solidFill>
                  <a:schemeClr val="dk1">
                    <a:tint val="88500"/>
                  </a:schemeClr>
                </a:solidFill>
                <a:round/>
              </a:ln>
              <a:effectLst/>
            </c:spPr>
            <c:extLst>
              <c:ext xmlns:c16="http://schemas.microsoft.com/office/drawing/2014/chart" uri="{C3380CC4-5D6E-409C-BE32-E72D297353CC}">
                <c16:uniqueId val="{00000067-FE92-44C1-938C-633A8630E85B}"/>
              </c:ext>
            </c:extLst>
          </c:dPt>
          <c:dPt>
            <c:idx val="52"/>
            <c:marker>
              <c:symbol val="circle"/>
              <c:size val="5"/>
              <c:spPr>
                <a:solidFill>
                  <a:schemeClr val="dk1">
                    <a:tint val="88500"/>
                  </a:schemeClr>
                </a:solidFill>
                <a:ln w="9525">
                  <a:solidFill>
                    <a:schemeClr val="dk1">
                      <a:tint val="88500"/>
                    </a:schemeClr>
                  </a:solidFill>
                </a:ln>
                <a:effectLst/>
              </c:spPr>
            </c:marker>
            <c:bubble3D val="0"/>
            <c:spPr>
              <a:ln w="28575" cap="rnd">
                <a:solidFill>
                  <a:schemeClr val="dk1">
                    <a:tint val="88500"/>
                  </a:schemeClr>
                </a:solidFill>
                <a:round/>
              </a:ln>
              <a:effectLst/>
            </c:spPr>
            <c:extLst>
              <c:ext xmlns:c16="http://schemas.microsoft.com/office/drawing/2014/chart" uri="{C3380CC4-5D6E-409C-BE32-E72D297353CC}">
                <c16:uniqueId val="{00000069-FE92-44C1-938C-633A8630E85B}"/>
              </c:ext>
            </c:extLst>
          </c:dPt>
          <c:dPt>
            <c:idx val="53"/>
            <c:marker>
              <c:symbol val="circle"/>
              <c:size val="5"/>
              <c:spPr>
                <a:solidFill>
                  <a:schemeClr val="dk1">
                    <a:tint val="88500"/>
                  </a:schemeClr>
                </a:solidFill>
                <a:ln w="9525">
                  <a:solidFill>
                    <a:schemeClr val="dk1">
                      <a:tint val="88500"/>
                    </a:schemeClr>
                  </a:solidFill>
                </a:ln>
                <a:effectLst/>
              </c:spPr>
            </c:marker>
            <c:bubble3D val="0"/>
            <c:spPr>
              <a:ln w="28575" cap="rnd">
                <a:solidFill>
                  <a:schemeClr val="dk1">
                    <a:tint val="88500"/>
                  </a:schemeClr>
                </a:solidFill>
                <a:round/>
              </a:ln>
              <a:effectLst/>
            </c:spPr>
            <c:extLst>
              <c:ext xmlns:c16="http://schemas.microsoft.com/office/drawing/2014/chart" uri="{C3380CC4-5D6E-409C-BE32-E72D297353CC}">
                <c16:uniqueId val="{0000006B-FE92-44C1-938C-633A8630E85B}"/>
              </c:ext>
            </c:extLst>
          </c:dPt>
          <c:dPt>
            <c:idx val="54"/>
            <c:marker>
              <c:symbol val="circle"/>
              <c:size val="5"/>
              <c:spPr>
                <a:solidFill>
                  <a:schemeClr val="dk1">
                    <a:tint val="88500"/>
                  </a:schemeClr>
                </a:solidFill>
                <a:ln w="9525">
                  <a:solidFill>
                    <a:schemeClr val="dk1">
                      <a:tint val="88500"/>
                    </a:schemeClr>
                  </a:solidFill>
                </a:ln>
                <a:effectLst/>
              </c:spPr>
            </c:marker>
            <c:bubble3D val="0"/>
            <c:spPr>
              <a:ln w="28575" cap="rnd">
                <a:solidFill>
                  <a:schemeClr val="dk1">
                    <a:tint val="88500"/>
                  </a:schemeClr>
                </a:solidFill>
                <a:round/>
              </a:ln>
              <a:effectLst/>
            </c:spPr>
            <c:extLst>
              <c:ext xmlns:c16="http://schemas.microsoft.com/office/drawing/2014/chart" uri="{C3380CC4-5D6E-409C-BE32-E72D297353CC}">
                <c16:uniqueId val="{0000006D-FE92-44C1-938C-633A8630E85B}"/>
              </c:ext>
            </c:extLst>
          </c:dPt>
          <c:dPt>
            <c:idx val="55"/>
            <c:marker>
              <c:symbol val="circle"/>
              <c:size val="5"/>
              <c:spPr>
                <a:solidFill>
                  <a:schemeClr val="dk1">
                    <a:tint val="88500"/>
                  </a:schemeClr>
                </a:solidFill>
                <a:ln w="9525">
                  <a:solidFill>
                    <a:schemeClr val="dk1">
                      <a:tint val="88500"/>
                    </a:schemeClr>
                  </a:solidFill>
                </a:ln>
                <a:effectLst/>
              </c:spPr>
            </c:marker>
            <c:bubble3D val="0"/>
            <c:spPr>
              <a:ln w="28575" cap="rnd">
                <a:solidFill>
                  <a:schemeClr val="dk1">
                    <a:tint val="88500"/>
                  </a:schemeClr>
                </a:solidFill>
                <a:round/>
              </a:ln>
              <a:effectLst/>
            </c:spPr>
            <c:extLst>
              <c:ext xmlns:c16="http://schemas.microsoft.com/office/drawing/2014/chart" uri="{C3380CC4-5D6E-409C-BE32-E72D297353CC}">
                <c16:uniqueId val="{0000006F-FE92-44C1-938C-633A8630E85B}"/>
              </c:ext>
            </c:extLst>
          </c:dPt>
          <c:dPt>
            <c:idx val="56"/>
            <c:marker>
              <c:symbol val="circle"/>
              <c:size val="5"/>
              <c:spPr>
                <a:solidFill>
                  <a:schemeClr val="dk1">
                    <a:tint val="88500"/>
                  </a:schemeClr>
                </a:solidFill>
                <a:ln w="9525">
                  <a:solidFill>
                    <a:schemeClr val="dk1">
                      <a:tint val="88500"/>
                    </a:schemeClr>
                  </a:solidFill>
                </a:ln>
                <a:effectLst/>
              </c:spPr>
            </c:marker>
            <c:bubble3D val="0"/>
            <c:spPr>
              <a:ln w="28575" cap="rnd">
                <a:solidFill>
                  <a:schemeClr val="dk1">
                    <a:tint val="88500"/>
                  </a:schemeClr>
                </a:solidFill>
                <a:round/>
              </a:ln>
              <a:effectLst/>
            </c:spPr>
            <c:extLst>
              <c:ext xmlns:c16="http://schemas.microsoft.com/office/drawing/2014/chart" uri="{C3380CC4-5D6E-409C-BE32-E72D297353CC}">
                <c16:uniqueId val="{00000071-FE92-44C1-938C-633A8630E85B}"/>
              </c:ext>
            </c:extLst>
          </c:dPt>
          <c:dPt>
            <c:idx val="57"/>
            <c:marker>
              <c:symbol val="circle"/>
              <c:size val="5"/>
              <c:spPr>
                <a:solidFill>
                  <a:schemeClr val="dk1">
                    <a:tint val="88500"/>
                  </a:schemeClr>
                </a:solidFill>
                <a:ln w="9525">
                  <a:solidFill>
                    <a:schemeClr val="dk1">
                      <a:tint val="88500"/>
                    </a:schemeClr>
                  </a:solidFill>
                </a:ln>
                <a:effectLst/>
              </c:spPr>
            </c:marker>
            <c:bubble3D val="0"/>
            <c:spPr>
              <a:ln w="28575" cap="rnd">
                <a:solidFill>
                  <a:schemeClr val="dk1">
                    <a:tint val="88500"/>
                  </a:schemeClr>
                </a:solidFill>
                <a:round/>
              </a:ln>
              <a:effectLst/>
            </c:spPr>
            <c:extLst>
              <c:ext xmlns:c16="http://schemas.microsoft.com/office/drawing/2014/chart" uri="{C3380CC4-5D6E-409C-BE32-E72D297353CC}">
                <c16:uniqueId val="{00000073-FE92-44C1-938C-633A8630E85B}"/>
              </c:ext>
            </c:extLst>
          </c:dPt>
          <c:dPt>
            <c:idx val="58"/>
            <c:marker>
              <c:symbol val="circle"/>
              <c:size val="5"/>
              <c:spPr>
                <a:solidFill>
                  <a:schemeClr val="dk1">
                    <a:tint val="88500"/>
                  </a:schemeClr>
                </a:solidFill>
                <a:ln w="9525">
                  <a:solidFill>
                    <a:schemeClr val="dk1">
                      <a:tint val="88500"/>
                    </a:schemeClr>
                  </a:solidFill>
                </a:ln>
                <a:effectLst/>
              </c:spPr>
            </c:marker>
            <c:bubble3D val="0"/>
            <c:spPr>
              <a:ln w="28575" cap="rnd">
                <a:solidFill>
                  <a:schemeClr val="dk1">
                    <a:tint val="88500"/>
                  </a:schemeClr>
                </a:solidFill>
                <a:round/>
              </a:ln>
              <a:effectLst/>
            </c:spPr>
            <c:extLst>
              <c:ext xmlns:c16="http://schemas.microsoft.com/office/drawing/2014/chart" uri="{C3380CC4-5D6E-409C-BE32-E72D297353CC}">
                <c16:uniqueId val="{00000075-FE92-44C1-938C-633A8630E85B}"/>
              </c:ext>
            </c:extLst>
          </c:dPt>
          <c:dPt>
            <c:idx val="59"/>
            <c:marker>
              <c:symbol val="circle"/>
              <c:size val="5"/>
              <c:spPr>
                <a:solidFill>
                  <a:schemeClr val="dk1">
                    <a:tint val="88500"/>
                  </a:schemeClr>
                </a:solidFill>
                <a:ln w="9525">
                  <a:solidFill>
                    <a:schemeClr val="dk1">
                      <a:tint val="88500"/>
                    </a:schemeClr>
                  </a:solidFill>
                </a:ln>
                <a:effectLst/>
              </c:spPr>
            </c:marker>
            <c:bubble3D val="0"/>
            <c:spPr>
              <a:ln w="28575" cap="rnd">
                <a:solidFill>
                  <a:schemeClr val="dk1">
                    <a:tint val="88500"/>
                  </a:schemeClr>
                </a:solidFill>
                <a:round/>
              </a:ln>
              <a:effectLst/>
            </c:spPr>
            <c:extLst>
              <c:ext xmlns:c16="http://schemas.microsoft.com/office/drawing/2014/chart" uri="{C3380CC4-5D6E-409C-BE32-E72D297353CC}">
                <c16:uniqueId val="{00000077-FE92-44C1-938C-633A8630E85B}"/>
              </c:ext>
            </c:extLst>
          </c:dPt>
          <c:dPt>
            <c:idx val="60"/>
            <c:marker>
              <c:symbol val="circle"/>
              <c:size val="5"/>
              <c:spPr>
                <a:solidFill>
                  <a:schemeClr val="dk1">
                    <a:tint val="88500"/>
                  </a:schemeClr>
                </a:solidFill>
                <a:ln w="9525">
                  <a:solidFill>
                    <a:schemeClr val="dk1">
                      <a:tint val="88500"/>
                    </a:schemeClr>
                  </a:solidFill>
                </a:ln>
                <a:effectLst/>
              </c:spPr>
            </c:marker>
            <c:bubble3D val="0"/>
            <c:spPr>
              <a:ln w="28575" cap="rnd">
                <a:solidFill>
                  <a:schemeClr val="dk1">
                    <a:tint val="88500"/>
                  </a:schemeClr>
                </a:solidFill>
                <a:round/>
              </a:ln>
              <a:effectLst/>
            </c:spPr>
            <c:extLst>
              <c:ext xmlns:c16="http://schemas.microsoft.com/office/drawing/2014/chart" uri="{C3380CC4-5D6E-409C-BE32-E72D297353CC}">
                <c16:uniqueId val="{00000079-FE92-44C1-938C-633A8630E85B}"/>
              </c:ext>
            </c:extLst>
          </c:dPt>
          <c:dPt>
            <c:idx val="61"/>
            <c:marker>
              <c:symbol val="circle"/>
              <c:size val="5"/>
              <c:spPr>
                <a:solidFill>
                  <a:schemeClr val="dk1">
                    <a:tint val="88500"/>
                  </a:schemeClr>
                </a:solidFill>
                <a:ln w="9525">
                  <a:solidFill>
                    <a:schemeClr val="dk1">
                      <a:tint val="88500"/>
                    </a:schemeClr>
                  </a:solidFill>
                </a:ln>
                <a:effectLst/>
              </c:spPr>
            </c:marker>
            <c:bubble3D val="0"/>
            <c:spPr>
              <a:ln w="28575" cap="rnd">
                <a:solidFill>
                  <a:schemeClr val="dk1">
                    <a:tint val="88500"/>
                  </a:schemeClr>
                </a:solidFill>
                <a:round/>
              </a:ln>
              <a:effectLst/>
            </c:spPr>
            <c:extLst>
              <c:ext xmlns:c16="http://schemas.microsoft.com/office/drawing/2014/chart" uri="{C3380CC4-5D6E-409C-BE32-E72D297353CC}">
                <c16:uniqueId val="{0000007B-FE92-44C1-938C-633A8630E85B}"/>
              </c:ext>
            </c:extLst>
          </c:dPt>
          <c:dPt>
            <c:idx val="62"/>
            <c:marker>
              <c:symbol val="circle"/>
              <c:size val="5"/>
              <c:spPr>
                <a:solidFill>
                  <a:schemeClr val="dk1">
                    <a:tint val="88500"/>
                  </a:schemeClr>
                </a:solidFill>
                <a:ln w="9525">
                  <a:solidFill>
                    <a:schemeClr val="dk1">
                      <a:tint val="88500"/>
                    </a:schemeClr>
                  </a:solidFill>
                </a:ln>
                <a:effectLst/>
              </c:spPr>
            </c:marker>
            <c:bubble3D val="0"/>
            <c:spPr>
              <a:ln w="28575" cap="rnd">
                <a:solidFill>
                  <a:schemeClr val="dk1">
                    <a:tint val="88500"/>
                  </a:schemeClr>
                </a:solidFill>
                <a:round/>
              </a:ln>
              <a:effectLst/>
            </c:spPr>
            <c:extLst>
              <c:ext xmlns:c16="http://schemas.microsoft.com/office/drawing/2014/chart" uri="{C3380CC4-5D6E-409C-BE32-E72D297353CC}">
                <c16:uniqueId val="{0000007D-FE92-44C1-938C-633A8630E85B}"/>
              </c:ext>
            </c:extLst>
          </c:dPt>
          <c:dPt>
            <c:idx val="63"/>
            <c:marker>
              <c:symbol val="circle"/>
              <c:size val="5"/>
              <c:spPr>
                <a:solidFill>
                  <a:schemeClr val="dk1">
                    <a:tint val="88500"/>
                  </a:schemeClr>
                </a:solidFill>
                <a:ln w="9525">
                  <a:solidFill>
                    <a:schemeClr val="dk1">
                      <a:tint val="88500"/>
                    </a:schemeClr>
                  </a:solidFill>
                </a:ln>
                <a:effectLst/>
              </c:spPr>
            </c:marker>
            <c:bubble3D val="0"/>
            <c:spPr>
              <a:ln w="28575" cap="rnd">
                <a:solidFill>
                  <a:schemeClr val="dk1">
                    <a:tint val="88500"/>
                  </a:schemeClr>
                </a:solidFill>
                <a:round/>
              </a:ln>
              <a:effectLst/>
            </c:spPr>
            <c:extLst>
              <c:ext xmlns:c16="http://schemas.microsoft.com/office/drawing/2014/chart" uri="{C3380CC4-5D6E-409C-BE32-E72D297353CC}">
                <c16:uniqueId val="{0000007F-FE92-44C1-938C-633A8630E85B}"/>
              </c:ext>
            </c:extLst>
          </c:dPt>
          <c:dPt>
            <c:idx val="64"/>
            <c:marker>
              <c:symbol val="circle"/>
              <c:size val="5"/>
              <c:spPr>
                <a:solidFill>
                  <a:schemeClr val="dk1">
                    <a:tint val="88500"/>
                  </a:schemeClr>
                </a:solidFill>
                <a:ln w="9525">
                  <a:solidFill>
                    <a:schemeClr val="dk1">
                      <a:tint val="88500"/>
                    </a:schemeClr>
                  </a:solidFill>
                </a:ln>
                <a:effectLst/>
              </c:spPr>
            </c:marker>
            <c:bubble3D val="0"/>
            <c:spPr>
              <a:ln w="28575" cap="rnd">
                <a:solidFill>
                  <a:schemeClr val="dk1">
                    <a:tint val="88500"/>
                  </a:schemeClr>
                </a:solidFill>
                <a:round/>
              </a:ln>
              <a:effectLst/>
            </c:spPr>
            <c:extLst>
              <c:ext xmlns:c16="http://schemas.microsoft.com/office/drawing/2014/chart" uri="{C3380CC4-5D6E-409C-BE32-E72D297353CC}">
                <c16:uniqueId val="{00000081-FE92-44C1-938C-633A8630E85B}"/>
              </c:ext>
            </c:extLst>
          </c:dPt>
          <c:dPt>
            <c:idx val="65"/>
            <c:marker>
              <c:symbol val="circle"/>
              <c:size val="5"/>
              <c:spPr>
                <a:solidFill>
                  <a:schemeClr val="dk1">
                    <a:tint val="88500"/>
                  </a:schemeClr>
                </a:solidFill>
                <a:ln w="9525">
                  <a:solidFill>
                    <a:schemeClr val="dk1">
                      <a:tint val="88500"/>
                    </a:schemeClr>
                  </a:solidFill>
                </a:ln>
                <a:effectLst/>
              </c:spPr>
            </c:marker>
            <c:bubble3D val="0"/>
            <c:spPr>
              <a:ln w="28575" cap="rnd">
                <a:solidFill>
                  <a:schemeClr val="dk1">
                    <a:tint val="88500"/>
                  </a:schemeClr>
                </a:solidFill>
                <a:round/>
              </a:ln>
              <a:effectLst/>
            </c:spPr>
            <c:extLst>
              <c:ext xmlns:c16="http://schemas.microsoft.com/office/drawing/2014/chart" uri="{C3380CC4-5D6E-409C-BE32-E72D297353CC}">
                <c16:uniqueId val="{00000083-FE92-44C1-938C-633A8630E85B}"/>
              </c:ext>
            </c:extLst>
          </c:dPt>
          <c:dPt>
            <c:idx val="66"/>
            <c:marker>
              <c:symbol val="circle"/>
              <c:size val="5"/>
              <c:spPr>
                <a:solidFill>
                  <a:schemeClr val="dk1">
                    <a:tint val="88500"/>
                  </a:schemeClr>
                </a:solidFill>
                <a:ln w="9525">
                  <a:solidFill>
                    <a:schemeClr val="dk1">
                      <a:tint val="88500"/>
                    </a:schemeClr>
                  </a:solidFill>
                </a:ln>
                <a:effectLst/>
              </c:spPr>
            </c:marker>
            <c:bubble3D val="0"/>
            <c:spPr>
              <a:ln w="28575" cap="rnd">
                <a:solidFill>
                  <a:schemeClr val="dk1">
                    <a:tint val="88500"/>
                  </a:schemeClr>
                </a:solidFill>
                <a:round/>
              </a:ln>
              <a:effectLst/>
            </c:spPr>
            <c:extLst>
              <c:ext xmlns:c16="http://schemas.microsoft.com/office/drawing/2014/chart" uri="{C3380CC4-5D6E-409C-BE32-E72D297353CC}">
                <c16:uniqueId val="{00000085-FE92-44C1-938C-633A8630E85B}"/>
              </c:ext>
            </c:extLst>
          </c:dPt>
          <c:dPt>
            <c:idx val="67"/>
            <c:marker>
              <c:symbol val="circle"/>
              <c:size val="5"/>
              <c:spPr>
                <a:solidFill>
                  <a:schemeClr val="dk1">
                    <a:tint val="88500"/>
                  </a:schemeClr>
                </a:solidFill>
                <a:ln w="9525">
                  <a:solidFill>
                    <a:schemeClr val="dk1">
                      <a:tint val="88500"/>
                    </a:schemeClr>
                  </a:solidFill>
                </a:ln>
                <a:effectLst/>
              </c:spPr>
            </c:marker>
            <c:bubble3D val="0"/>
            <c:spPr>
              <a:ln w="28575" cap="rnd">
                <a:solidFill>
                  <a:schemeClr val="dk1">
                    <a:tint val="88500"/>
                  </a:schemeClr>
                </a:solidFill>
                <a:round/>
              </a:ln>
              <a:effectLst/>
            </c:spPr>
            <c:extLst>
              <c:ext xmlns:c16="http://schemas.microsoft.com/office/drawing/2014/chart" uri="{C3380CC4-5D6E-409C-BE32-E72D297353CC}">
                <c16:uniqueId val="{00000087-FE92-44C1-938C-633A8630E85B}"/>
              </c:ext>
            </c:extLst>
          </c:dPt>
          <c:dPt>
            <c:idx val="68"/>
            <c:marker>
              <c:symbol val="circle"/>
              <c:size val="5"/>
              <c:spPr>
                <a:solidFill>
                  <a:schemeClr val="dk1">
                    <a:tint val="88500"/>
                  </a:schemeClr>
                </a:solidFill>
                <a:ln w="9525">
                  <a:solidFill>
                    <a:schemeClr val="dk1">
                      <a:tint val="88500"/>
                    </a:schemeClr>
                  </a:solidFill>
                </a:ln>
                <a:effectLst/>
              </c:spPr>
            </c:marker>
            <c:bubble3D val="0"/>
            <c:spPr>
              <a:ln w="28575" cap="rnd">
                <a:solidFill>
                  <a:schemeClr val="dk1">
                    <a:tint val="88500"/>
                  </a:schemeClr>
                </a:solidFill>
                <a:round/>
              </a:ln>
              <a:effectLst/>
            </c:spPr>
            <c:extLst>
              <c:ext xmlns:c16="http://schemas.microsoft.com/office/drawing/2014/chart" uri="{C3380CC4-5D6E-409C-BE32-E72D297353CC}">
                <c16:uniqueId val="{00000089-FE92-44C1-938C-633A8630E85B}"/>
              </c:ext>
            </c:extLst>
          </c:dPt>
          <c:dPt>
            <c:idx val="70"/>
            <c:marker>
              <c:symbol val="circle"/>
              <c:size val="5"/>
              <c:spPr>
                <a:solidFill>
                  <a:schemeClr val="dk1">
                    <a:tint val="88500"/>
                  </a:schemeClr>
                </a:solidFill>
                <a:ln w="9525">
                  <a:solidFill>
                    <a:schemeClr val="dk1">
                      <a:tint val="88500"/>
                    </a:schemeClr>
                  </a:solidFill>
                </a:ln>
                <a:effectLst/>
              </c:spPr>
            </c:marker>
            <c:bubble3D val="0"/>
            <c:spPr>
              <a:ln w="28575" cap="rnd">
                <a:solidFill>
                  <a:schemeClr val="dk1">
                    <a:tint val="88500"/>
                  </a:schemeClr>
                </a:solidFill>
                <a:round/>
              </a:ln>
              <a:effectLst/>
            </c:spPr>
            <c:extLst>
              <c:ext xmlns:c16="http://schemas.microsoft.com/office/drawing/2014/chart" uri="{C3380CC4-5D6E-409C-BE32-E72D297353CC}">
                <c16:uniqueId val="{0000006C-5DC1-49B7-80D0-ACFE7412DD42}"/>
              </c:ext>
            </c:extLst>
          </c:dPt>
          <c:cat>
            <c:strRef>
              <c:f>'Count of Athlete Across Weight'!$A$4:$A$76</c:f>
              <c:strCache>
                <c:ptCount val="73"/>
                <c:pt idx="0">
                  <c:v>46</c:v>
                </c:pt>
                <c:pt idx="1">
                  <c:v>47</c:v>
                </c:pt>
                <c:pt idx="2">
                  <c:v>48</c:v>
                </c:pt>
                <c:pt idx="3">
                  <c:v>49</c:v>
                </c:pt>
                <c:pt idx="4">
                  <c:v>50</c:v>
                </c:pt>
                <c:pt idx="5">
                  <c:v>51</c:v>
                </c:pt>
                <c:pt idx="6">
                  <c:v>52</c:v>
                </c:pt>
                <c:pt idx="7">
                  <c:v>53</c:v>
                </c:pt>
                <c:pt idx="8">
                  <c:v>54</c:v>
                </c:pt>
                <c:pt idx="9">
                  <c:v>55</c:v>
                </c:pt>
                <c:pt idx="10">
                  <c:v>56</c:v>
                </c:pt>
                <c:pt idx="11">
                  <c:v>57</c:v>
                </c:pt>
                <c:pt idx="12">
                  <c:v>58</c:v>
                </c:pt>
                <c:pt idx="13">
                  <c:v>59</c:v>
                </c:pt>
                <c:pt idx="14">
                  <c:v>60</c:v>
                </c:pt>
                <c:pt idx="15">
                  <c:v>61</c:v>
                </c:pt>
                <c:pt idx="16">
                  <c:v>62</c:v>
                </c:pt>
                <c:pt idx="17">
                  <c:v>63</c:v>
                </c:pt>
                <c:pt idx="18">
                  <c:v>64</c:v>
                </c:pt>
                <c:pt idx="19">
                  <c:v>65</c:v>
                </c:pt>
                <c:pt idx="20">
                  <c:v>66</c:v>
                </c:pt>
                <c:pt idx="21">
                  <c:v>67</c:v>
                </c:pt>
                <c:pt idx="22">
                  <c:v>68</c:v>
                </c:pt>
                <c:pt idx="23">
                  <c:v>69</c:v>
                </c:pt>
                <c:pt idx="24">
                  <c:v>70</c:v>
                </c:pt>
                <c:pt idx="25">
                  <c:v>71</c:v>
                </c:pt>
                <c:pt idx="26">
                  <c:v>72</c:v>
                </c:pt>
                <c:pt idx="27">
                  <c:v>73</c:v>
                </c:pt>
                <c:pt idx="28">
                  <c:v>74</c:v>
                </c:pt>
                <c:pt idx="29">
                  <c:v>75</c:v>
                </c:pt>
                <c:pt idx="30">
                  <c:v>76</c:v>
                </c:pt>
                <c:pt idx="31">
                  <c:v>77</c:v>
                </c:pt>
                <c:pt idx="32">
                  <c:v>78</c:v>
                </c:pt>
                <c:pt idx="33">
                  <c:v>79</c:v>
                </c:pt>
                <c:pt idx="34">
                  <c:v>80</c:v>
                </c:pt>
                <c:pt idx="35">
                  <c:v>81</c:v>
                </c:pt>
                <c:pt idx="36">
                  <c:v>82</c:v>
                </c:pt>
                <c:pt idx="37">
                  <c:v>83</c:v>
                </c:pt>
                <c:pt idx="38">
                  <c:v>84</c:v>
                </c:pt>
                <c:pt idx="39">
                  <c:v>85</c:v>
                </c:pt>
                <c:pt idx="40">
                  <c:v>86</c:v>
                </c:pt>
                <c:pt idx="41">
                  <c:v>87</c:v>
                </c:pt>
                <c:pt idx="42">
                  <c:v>88</c:v>
                </c:pt>
                <c:pt idx="43">
                  <c:v>89</c:v>
                </c:pt>
                <c:pt idx="44">
                  <c:v>90</c:v>
                </c:pt>
                <c:pt idx="45">
                  <c:v>91</c:v>
                </c:pt>
                <c:pt idx="46">
                  <c:v>92</c:v>
                </c:pt>
                <c:pt idx="47">
                  <c:v>93</c:v>
                </c:pt>
                <c:pt idx="48">
                  <c:v>94</c:v>
                </c:pt>
                <c:pt idx="49">
                  <c:v>95</c:v>
                </c:pt>
                <c:pt idx="50">
                  <c:v>96</c:v>
                </c:pt>
                <c:pt idx="51">
                  <c:v>97</c:v>
                </c:pt>
                <c:pt idx="52">
                  <c:v>98</c:v>
                </c:pt>
                <c:pt idx="53">
                  <c:v>99</c:v>
                </c:pt>
                <c:pt idx="54">
                  <c:v>100</c:v>
                </c:pt>
                <c:pt idx="55">
                  <c:v>101</c:v>
                </c:pt>
                <c:pt idx="56">
                  <c:v>102</c:v>
                </c:pt>
                <c:pt idx="57">
                  <c:v>103</c:v>
                </c:pt>
                <c:pt idx="58">
                  <c:v>104</c:v>
                </c:pt>
                <c:pt idx="59">
                  <c:v>105</c:v>
                </c:pt>
                <c:pt idx="60">
                  <c:v>106</c:v>
                </c:pt>
                <c:pt idx="61">
                  <c:v>107</c:v>
                </c:pt>
                <c:pt idx="62">
                  <c:v>108</c:v>
                </c:pt>
                <c:pt idx="63">
                  <c:v>109</c:v>
                </c:pt>
                <c:pt idx="64">
                  <c:v>110</c:v>
                </c:pt>
                <c:pt idx="65">
                  <c:v>112</c:v>
                </c:pt>
                <c:pt idx="66">
                  <c:v>114</c:v>
                </c:pt>
                <c:pt idx="67">
                  <c:v>115</c:v>
                </c:pt>
                <c:pt idx="68">
                  <c:v>116</c:v>
                </c:pt>
                <c:pt idx="69">
                  <c:v>111</c:v>
                </c:pt>
                <c:pt idx="70">
                  <c:v>43</c:v>
                </c:pt>
                <c:pt idx="71">
                  <c:v>41</c:v>
                </c:pt>
                <c:pt idx="72">
                  <c:v>42</c:v>
                </c:pt>
              </c:strCache>
            </c:strRef>
          </c:cat>
          <c:val>
            <c:numRef>
              <c:f>'Count of Athlete Across Weight'!$B$4:$B$76</c:f>
              <c:numCache>
                <c:formatCode>General</c:formatCode>
                <c:ptCount val="73"/>
                <c:pt idx="0">
                  <c:v>10</c:v>
                </c:pt>
                <c:pt idx="1">
                  <c:v>17</c:v>
                </c:pt>
                <c:pt idx="2">
                  <c:v>14</c:v>
                </c:pt>
                <c:pt idx="3">
                  <c:v>12</c:v>
                </c:pt>
                <c:pt idx="4">
                  <c:v>11</c:v>
                </c:pt>
                <c:pt idx="5">
                  <c:v>14</c:v>
                </c:pt>
                <c:pt idx="6">
                  <c:v>28</c:v>
                </c:pt>
                <c:pt idx="7">
                  <c:v>26</c:v>
                </c:pt>
                <c:pt idx="8">
                  <c:v>43</c:v>
                </c:pt>
                <c:pt idx="9">
                  <c:v>63</c:v>
                </c:pt>
                <c:pt idx="10">
                  <c:v>42</c:v>
                </c:pt>
                <c:pt idx="11">
                  <c:v>64</c:v>
                </c:pt>
                <c:pt idx="12">
                  <c:v>69</c:v>
                </c:pt>
                <c:pt idx="13">
                  <c:v>50</c:v>
                </c:pt>
                <c:pt idx="14">
                  <c:v>107</c:v>
                </c:pt>
                <c:pt idx="15">
                  <c:v>60</c:v>
                </c:pt>
                <c:pt idx="16">
                  <c:v>67</c:v>
                </c:pt>
                <c:pt idx="17">
                  <c:v>50</c:v>
                </c:pt>
                <c:pt idx="18">
                  <c:v>45</c:v>
                </c:pt>
                <c:pt idx="19">
                  <c:v>102</c:v>
                </c:pt>
                <c:pt idx="20">
                  <c:v>48</c:v>
                </c:pt>
                <c:pt idx="21">
                  <c:v>51</c:v>
                </c:pt>
                <c:pt idx="22">
                  <c:v>65</c:v>
                </c:pt>
                <c:pt idx="23">
                  <c:v>48</c:v>
                </c:pt>
                <c:pt idx="24">
                  <c:v>102</c:v>
                </c:pt>
                <c:pt idx="25">
                  <c:v>38</c:v>
                </c:pt>
                <c:pt idx="26">
                  <c:v>70</c:v>
                </c:pt>
                <c:pt idx="27">
                  <c:v>74</c:v>
                </c:pt>
                <c:pt idx="28">
                  <c:v>43</c:v>
                </c:pt>
                <c:pt idx="29">
                  <c:v>92</c:v>
                </c:pt>
                <c:pt idx="30">
                  <c:v>36</c:v>
                </c:pt>
                <c:pt idx="31">
                  <c:v>34</c:v>
                </c:pt>
                <c:pt idx="32">
                  <c:v>68</c:v>
                </c:pt>
                <c:pt idx="33">
                  <c:v>30</c:v>
                </c:pt>
                <c:pt idx="34">
                  <c:v>80</c:v>
                </c:pt>
                <c:pt idx="35">
                  <c:v>38</c:v>
                </c:pt>
                <c:pt idx="36">
                  <c:v>51</c:v>
                </c:pt>
                <c:pt idx="37">
                  <c:v>41</c:v>
                </c:pt>
                <c:pt idx="38">
                  <c:v>42</c:v>
                </c:pt>
                <c:pt idx="39">
                  <c:v>72</c:v>
                </c:pt>
                <c:pt idx="40">
                  <c:v>34</c:v>
                </c:pt>
                <c:pt idx="41">
                  <c:v>27</c:v>
                </c:pt>
                <c:pt idx="42">
                  <c:v>45</c:v>
                </c:pt>
                <c:pt idx="43">
                  <c:v>24</c:v>
                </c:pt>
                <c:pt idx="44">
                  <c:v>69</c:v>
                </c:pt>
                <c:pt idx="45">
                  <c:v>26</c:v>
                </c:pt>
                <c:pt idx="46">
                  <c:v>26</c:v>
                </c:pt>
                <c:pt idx="47">
                  <c:v>33</c:v>
                </c:pt>
                <c:pt idx="48">
                  <c:v>22</c:v>
                </c:pt>
                <c:pt idx="49">
                  <c:v>23</c:v>
                </c:pt>
                <c:pt idx="50">
                  <c:v>19</c:v>
                </c:pt>
                <c:pt idx="51">
                  <c:v>6</c:v>
                </c:pt>
                <c:pt idx="52">
                  <c:v>32</c:v>
                </c:pt>
                <c:pt idx="53">
                  <c:v>14</c:v>
                </c:pt>
                <c:pt idx="54">
                  <c:v>40</c:v>
                </c:pt>
                <c:pt idx="55">
                  <c:v>5</c:v>
                </c:pt>
                <c:pt idx="56">
                  <c:v>27</c:v>
                </c:pt>
                <c:pt idx="57">
                  <c:v>15</c:v>
                </c:pt>
                <c:pt idx="58">
                  <c:v>4</c:v>
                </c:pt>
                <c:pt idx="59">
                  <c:v>13</c:v>
                </c:pt>
                <c:pt idx="60">
                  <c:v>2</c:v>
                </c:pt>
                <c:pt idx="61">
                  <c:v>7</c:v>
                </c:pt>
                <c:pt idx="62">
                  <c:v>1</c:v>
                </c:pt>
                <c:pt idx="63">
                  <c:v>8</c:v>
                </c:pt>
                <c:pt idx="64">
                  <c:v>8</c:v>
                </c:pt>
                <c:pt idx="65">
                  <c:v>19</c:v>
                </c:pt>
                <c:pt idx="66">
                  <c:v>1</c:v>
                </c:pt>
                <c:pt idx="67">
                  <c:v>2</c:v>
                </c:pt>
                <c:pt idx="68">
                  <c:v>1</c:v>
                </c:pt>
                <c:pt idx="69">
                  <c:v>8</c:v>
                </c:pt>
                <c:pt idx="70">
                  <c:v>17</c:v>
                </c:pt>
                <c:pt idx="71">
                  <c:v>10</c:v>
                </c:pt>
                <c:pt idx="72">
                  <c:v>1</c:v>
                </c:pt>
              </c:numCache>
            </c:numRef>
          </c:val>
          <c:smooth val="0"/>
          <c:extLst>
            <c:ext xmlns:c16="http://schemas.microsoft.com/office/drawing/2014/chart" uri="{C3380CC4-5D6E-409C-BE32-E72D297353CC}">
              <c16:uniqueId val="{00000048-FAFD-4E04-A0D4-113A549727D3}"/>
            </c:ext>
          </c:extLst>
        </c:ser>
        <c:dLbls>
          <c:showLegendKey val="0"/>
          <c:showVal val="0"/>
          <c:showCatName val="0"/>
          <c:showSerName val="0"/>
          <c:showPercent val="0"/>
          <c:showBubbleSize val="0"/>
        </c:dLbls>
        <c:marker val="1"/>
        <c:smooth val="0"/>
        <c:axId val="206282319"/>
        <c:axId val="209550783"/>
      </c:lineChart>
      <c:catAx>
        <c:axId val="20628231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9550783"/>
        <c:crosses val="autoZero"/>
        <c:auto val="1"/>
        <c:lblAlgn val="ctr"/>
        <c:lblOffset val="100"/>
        <c:noMultiLvlLbl val="0"/>
      </c:catAx>
      <c:valAx>
        <c:axId val="209550783"/>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628231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[EXCEL PROJECT.xlsx]Height Across Age!PivotTable6</c:name>
    <c:fmtId val="8"/>
  </c:pivotSource>
  <c:chart>
    <c:title>
      <c:tx>
        <c:rich>
          <a:bodyPr rot="0" spcFirstLastPara="1" vertOverflow="ellipsis" vert="horz" wrap="square" anchor="ctr" anchorCtr="1"/>
          <a:lstStyle/>
          <a:p>
            <a:pPr>
              <a:defRPr sz="2800" b="1" i="1"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sz="2800" i="1"/>
              <a:t>Height</a:t>
            </a:r>
            <a:r>
              <a:rPr lang="en-US" sz="2800" i="1" baseline="0"/>
              <a:t> Across Age</a:t>
            </a:r>
            <a:endParaRPr lang="en-US" sz="2800" i="1"/>
          </a:p>
        </c:rich>
      </c:tx>
      <c:overlay val="0"/>
      <c:spPr>
        <a:noFill/>
        <a:ln>
          <a:noFill/>
        </a:ln>
        <a:effectLst/>
      </c:spPr>
      <c:txPr>
        <a:bodyPr rot="0" spcFirstLastPara="1" vertOverflow="ellipsis" vert="horz" wrap="square" anchor="ctr" anchorCtr="1"/>
        <a:lstStyle/>
        <a:p>
          <a:pPr>
            <a:defRPr sz="2800" b="1" i="1"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'Height Across Age'!$B$2</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'Height Across Age'!$A$3:$A$37</c:f>
              <c:strCache>
                <c:ptCount val="35"/>
                <c:pt idx="0">
                  <c:v>15</c:v>
                </c:pt>
                <c:pt idx="1">
                  <c:v>16</c:v>
                </c:pt>
                <c:pt idx="2">
                  <c:v>17</c:v>
                </c:pt>
                <c:pt idx="3">
                  <c:v>18</c:v>
                </c:pt>
                <c:pt idx="4">
                  <c:v>19</c:v>
                </c:pt>
                <c:pt idx="5">
                  <c:v>20</c:v>
                </c:pt>
                <c:pt idx="6">
                  <c:v>21</c:v>
                </c:pt>
                <c:pt idx="7">
                  <c:v>22</c:v>
                </c:pt>
                <c:pt idx="8">
                  <c:v>23</c:v>
                </c:pt>
                <c:pt idx="9">
                  <c:v>24</c:v>
                </c:pt>
                <c:pt idx="10">
                  <c:v>25</c:v>
                </c:pt>
                <c:pt idx="11">
                  <c:v>26</c:v>
                </c:pt>
                <c:pt idx="12">
                  <c:v>27</c:v>
                </c:pt>
                <c:pt idx="13">
                  <c:v>28</c:v>
                </c:pt>
                <c:pt idx="14">
                  <c:v>29</c:v>
                </c:pt>
                <c:pt idx="15">
                  <c:v>30</c:v>
                </c:pt>
                <c:pt idx="16">
                  <c:v>31</c:v>
                </c:pt>
                <c:pt idx="17">
                  <c:v>32</c:v>
                </c:pt>
                <c:pt idx="18">
                  <c:v>33</c:v>
                </c:pt>
                <c:pt idx="19">
                  <c:v>34</c:v>
                </c:pt>
                <c:pt idx="20">
                  <c:v>35</c:v>
                </c:pt>
                <c:pt idx="21">
                  <c:v>36</c:v>
                </c:pt>
                <c:pt idx="22">
                  <c:v>37</c:v>
                </c:pt>
                <c:pt idx="23">
                  <c:v>38</c:v>
                </c:pt>
                <c:pt idx="24">
                  <c:v>39</c:v>
                </c:pt>
                <c:pt idx="25">
                  <c:v>40</c:v>
                </c:pt>
                <c:pt idx="26">
                  <c:v>41</c:v>
                </c:pt>
                <c:pt idx="27">
                  <c:v>42</c:v>
                </c:pt>
                <c:pt idx="28">
                  <c:v>43</c:v>
                </c:pt>
                <c:pt idx="29">
                  <c:v>44</c:v>
                </c:pt>
                <c:pt idx="30">
                  <c:v>45</c:v>
                </c:pt>
                <c:pt idx="31">
                  <c:v>46</c:v>
                </c:pt>
                <c:pt idx="32">
                  <c:v>47</c:v>
                </c:pt>
                <c:pt idx="33">
                  <c:v>48</c:v>
                </c:pt>
                <c:pt idx="34">
                  <c:v>51</c:v>
                </c:pt>
              </c:strCache>
            </c:strRef>
          </c:cat>
          <c:val>
            <c:numRef>
              <c:f>'Height Across Age'!$B$3:$B$37</c:f>
              <c:numCache>
                <c:formatCode>General</c:formatCode>
                <c:ptCount val="35"/>
                <c:pt idx="0">
                  <c:v>5</c:v>
                </c:pt>
                <c:pt idx="1">
                  <c:v>21</c:v>
                </c:pt>
                <c:pt idx="2">
                  <c:v>40</c:v>
                </c:pt>
                <c:pt idx="3">
                  <c:v>55</c:v>
                </c:pt>
                <c:pt idx="4">
                  <c:v>95</c:v>
                </c:pt>
                <c:pt idx="5">
                  <c:v>137</c:v>
                </c:pt>
                <c:pt idx="6">
                  <c:v>157</c:v>
                </c:pt>
                <c:pt idx="7">
                  <c:v>176</c:v>
                </c:pt>
                <c:pt idx="8">
                  <c:v>187</c:v>
                </c:pt>
                <c:pt idx="9">
                  <c:v>238</c:v>
                </c:pt>
                <c:pt idx="10">
                  <c:v>228</c:v>
                </c:pt>
                <c:pt idx="11">
                  <c:v>169</c:v>
                </c:pt>
                <c:pt idx="12">
                  <c:v>188</c:v>
                </c:pt>
                <c:pt idx="13">
                  <c:v>143</c:v>
                </c:pt>
                <c:pt idx="14">
                  <c:v>149</c:v>
                </c:pt>
                <c:pt idx="15">
                  <c:v>97</c:v>
                </c:pt>
                <c:pt idx="16">
                  <c:v>102</c:v>
                </c:pt>
                <c:pt idx="17">
                  <c:v>102</c:v>
                </c:pt>
                <c:pt idx="18">
                  <c:v>78</c:v>
                </c:pt>
                <c:pt idx="19">
                  <c:v>47</c:v>
                </c:pt>
                <c:pt idx="20">
                  <c:v>52</c:v>
                </c:pt>
                <c:pt idx="21">
                  <c:v>39</c:v>
                </c:pt>
                <c:pt idx="22">
                  <c:v>30</c:v>
                </c:pt>
                <c:pt idx="23">
                  <c:v>22</c:v>
                </c:pt>
                <c:pt idx="24">
                  <c:v>16</c:v>
                </c:pt>
                <c:pt idx="25">
                  <c:v>13</c:v>
                </c:pt>
                <c:pt idx="26">
                  <c:v>1</c:v>
                </c:pt>
                <c:pt idx="27">
                  <c:v>4</c:v>
                </c:pt>
                <c:pt idx="28">
                  <c:v>4</c:v>
                </c:pt>
                <c:pt idx="29">
                  <c:v>3</c:v>
                </c:pt>
                <c:pt idx="30">
                  <c:v>3</c:v>
                </c:pt>
                <c:pt idx="31">
                  <c:v>1</c:v>
                </c:pt>
                <c:pt idx="32">
                  <c:v>2</c:v>
                </c:pt>
                <c:pt idx="33">
                  <c:v>1</c:v>
                </c:pt>
                <c:pt idx="34">
                  <c:v>1</c:v>
                </c:pt>
              </c:numCache>
            </c:numRef>
          </c:val>
          <c:extLst>
            <c:ext xmlns:c16="http://schemas.microsoft.com/office/drawing/2014/chart" uri="{C3380CC4-5D6E-409C-BE32-E72D297353CC}">
              <c16:uniqueId val="{00000004-ACE5-4FEF-8D84-91C160AE2A7E}"/>
            </c:ext>
          </c:extLst>
        </c:ser>
        <c:dLbls>
          <c:showLegendKey val="0"/>
          <c:showVal val="0"/>
          <c:showCatName val="0"/>
          <c:showSerName val="0"/>
          <c:showPercent val="0"/>
          <c:showBubbleSize val="0"/>
        </c:dLbls>
        <c:gapWidth val="150"/>
        <c:overlap val="100"/>
        <c:axId val="1532077791"/>
        <c:axId val="1532076543"/>
      </c:barChart>
      <c:catAx>
        <c:axId val="1532077791"/>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532076543"/>
        <c:crosses val="autoZero"/>
        <c:auto val="1"/>
        <c:lblAlgn val="ctr"/>
        <c:lblOffset val="100"/>
        <c:noMultiLvlLbl val="0"/>
      </c:catAx>
      <c:valAx>
        <c:axId val="1532076543"/>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532077791"/>
        <c:crosses val="autoZero"/>
        <c:crossBetween val="between"/>
      </c:valAx>
      <c:dTable>
        <c:showHorzBorder val="1"/>
        <c:showVertBorder val="1"/>
        <c:showOutline val="1"/>
        <c:showKeys val="1"/>
        <c:spPr>
          <a:noFill/>
          <a:ln w="9525">
            <a:solidFill>
              <a:schemeClr val="lt1">
                <a:lumMod val="95000"/>
                <a:alpha val="54000"/>
              </a:schemeClr>
            </a:solidFill>
          </a:ln>
          <a:effectLst/>
        </c:spPr>
        <c:txPr>
          <a:bodyPr rot="0" spcFirstLastPara="1" vertOverflow="ellipsis" vert="horz" wrap="square" anchor="ctr" anchorCtr="1"/>
          <a:lstStyle/>
          <a:p>
            <a:pPr rtl="0">
              <a:defRPr sz="900" b="0" i="0" u="none" strike="noStrike" kern="1200" baseline="0">
                <a:solidFill>
                  <a:schemeClr val="lt1">
                    <a:lumMod val="85000"/>
                  </a:schemeClr>
                </a:solidFill>
                <a:latin typeface="+mn-lt"/>
                <a:ea typeface="+mn-ea"/>
                <a:cs typeface="+mn-cs"/>
              </a:defRPr>
            </a:pPr>
            <a:endParaRPr lang="en-US"/>
          </a:p>
        </c:txPr>
      </c:dTable>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[EXCEL PROJECT.xlsx]Height Acroos Height Level!PivotTable4</c:name>
    <c:fmtId val="2"/>
  </c:pivotSource>
  <c:chart>
    <c:title>
      <c:tx>
        <c:rich>
          <a:bodyPr rot="0" spcFirstLastPara="1" vertOverflow="ellipsis" vert="horz" wrap="square" anchor="ctr" anchorCtr="1"/>
          <a:lstStyle/>
          <a:p>
            <a:pPr>
              <a:defRPr sz="2800" b="1" i="1" u="none" strike="noStrike" kern="1200" baseline="0">
                <a:solidFill>
                  <a:schemeClr val="dk1">
                    <a:lumMod val="75000"/>
                    <a:lumOff val="25000"/>
                  </a:schemeClr>
                </a:solidFill>
                <a:latin typeface="+mn-lt"/>
                <a:ea typeface="+mn-ea"/>
                <a:cs typeface="+mn-cs"/>
              </a:defRPr>
            </a:pPr>
            <a:r>
              <a:rPr lang="en-US" sz="2800" i="1"/>
              <a:t>Height Across Height Level</a:t>
            </a:r>
          </a:p>
        </c:rich>
      </c:tx>
      <c:overlay val="0"/>
      <c:spPr>
        <a:noFill/>
        <a:ln>
          <a:noFill/>
        </a:ln>
        <a:effectLst/>
      </c:spPr>
      <c:txPr>
        <a:bodyPr rot="0" spcFirstLastPara="1" vertOverflow="ellipsis" vert="horz" wrap="square" anchor="ctr" anchorCtr="1"/>
        <a:lstStyle/>
        <a:p>
          <a:pPr>
            <a:defRPr sz="2800" b="1" i="1"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6">
              <a:alpha val="85000"/>
            </a:schemeClr>
          </a:solidFill>
          <a:ln w="9525" cap="flat" cmpd="sng" algn="ctr">
            <a:solidFill>
              <a:schemeClr val="lt1">
                <a:alpha val="50000"/>
              </a:schemeClr>
            </a:solidFill>
            <a:round/>
          </a:ln>
          <a:effectLst/>
        </c:spPr>
        <c:marker>
          <c:symbol val="circle"/>
          <c:size val="6"/>
          <c:spPr>
            <a:solidFill>
              <a:schemeClr val="accent6">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6">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8827537182852142"/>
          <c:y val="0.19432888597258677"/>
          <c:w val="0.6697246281714786"/>
          <c:h val="0.69827172645086033"/>
        </c:manualLayout>
      </c:layout>
      <c:barChart>
        <c:barDir val="bar"/>
        <c:grouping val="clustered"/>
        <c:varyColors val="0"/>
        <c:ser>
          <c:idx val="0"/>
          <c:order val="0"/>
          <c:tx>
            <c:strRef>
              <c:f>'Height Acroos Height Level'!$B$3</c:f>
              <c:strCache>
                <c:ptCount val="1"/>
                <c:pt idx="0">
                  <c:v>Total</c:v>
                </c:pt>
              </c:strCache>
            </c:strRef>
          </c:tx>
          <c:spPr>
            <a:solidFill>
              <a:schemeClr val="accent6">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'Height Acroos Height Level'!$A$4:$A$6</c:f>
              <c:strCache>
                <c:ptCount val="3"/>
                <c:pt idx="0">
                  <c:v>Above Average height</c:v>
                </c:pt>
                <c:pt idx="1">
                  <c:v>Average height</c:v>
                </c:pt>
                <c:pt idx="2">
                  <c:v>Below Average height</c:v>
                </c:pt>
              </c:strCache>
            </c:strRef>
          </c:cat>
          <c:val>
            <c:numRef>
              <c:f>'Height Acroos Height Level'!$B$4:$B$6</c:f>
              <c:numCache>
                <c:formatCode>General</c:formatCode>
                <c:ptCount val="3"/>
                <c:pt idx="0">
                  <c:v>2232</c:v>
                </c:pt>
                <c:pt idx="1">
                  <c:v>58</c:v>
                </c:pt>
                <c:pt idx="2">
                  <c:v>316</c:v>
                </c:pt>
              </c:numCache>
            </c:numRef>
          </c:val>
          <c:extLst>
            <c:ext xmlns:c16="http://schemas.microsoft.com/office/drawing/2014/chart" uri="{C3380CC4-5D6E-409C-BE32-E72D297353CC}">
              <c16:uniqueId val="{00000004-9269-4476-80CC-66681D854BAC}"/>
            </c:ext>
          </c:extLst>
        </c:ser>
        <c:dLbls>
          <c:dLblPos val="outEnd"/>
          <c:showLegendKey val="0"/>
          <c:showVal val="1"/>
          <c:showCatName val="0"/>
          <c:showSerName val="0"/>
          <c:showPercent val="0"/>
          <c:showBubbleSize val="0"/>
        </c:dLbls>
        <c:gapWidth val="65"/>
        <c:axId val="1791370639"/>
        <c:axId val="1791373967"/>
      </c:barChart>
      <c:catAx>
        <c:axId val="1791370639"/>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791373967"/>
        <c:crosses val="autoZero"/>
        <c:auto val="1"/>
        <c:lblAlgn val="ctr"/>
        <c:lblOffset val="100"/>
        <c:noMultiLvlLbl val="0"/>
      </c:catAx>
      <c:valAx>
        <c:axId val="1791373967"/>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179137063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[EXCEL PROJECT.xlsx]Height Across Age!PivotTable7</c:name>
    <c:fmtId val="8"/>
  </c:pivotSource>
  <c:chart>
    <c:title>
      <c:tx>
        <c:rich>
          <a:bodyPr rot="0" spcFirstLastPara="1" vertOverflow="ellipsis" vert="horz" wrap="square" anchor="ctr" anchorCtr="1"/>
          <a:lstStyle/>
          <a:p>
            <a:pPr>
              <a:defRPr sz="2800" b="1" i="1" u="none" strike="noStrike" kern="1200" baseline="0">
                <a:solidFill>
                  <a:schemeClr val="tx1">
                    <a:lumMod val="65000"/>
                    <a:lumOff val="35000"/>
                  </a:schemeClr>
                </a:solidFill>
                <a:latin typeface="+mn-lt"/>
                <a:ea typeface="+mn-ea"/>
                <a:cs typeface="+mn-cs"/>
              </a:defRPr>
            </a:pPr>
            <a:r>
              <a:rPr lang="en-US" sz="2800" i="1"/>
              <a:t>Top</a:t>
            </a:r>
            <a:r>
              <a:rPr lang="en-US" sz="2800" i="1" baseline="0"/>
              <a:t> 10 Height Across Age</a:t>
            </a:r>
            <a:endParaRPr lang="en-US" sz="2800" i="1"/>
          </a:p>
        </c:rich>
      </c:tx>
      <c:overlay val="0"/>
      <c:spPr>
        <a:noFill/>
        <a:ln>
          <a:noFill/>
        </a:ln>
        <a:effectLst/>
      </c:spPr>
      <c:txPr>
        <a:bodyPr rot="0" spcFirstLastPara="1" vertOverflow="ellipsis" vert="horz" wrap="square" anchor="ctr" anchorCtr="1"/>
        <a:lstStyle/>
        <a:p>
          <a:pPr>
            <a:defRPr sz="2800" b="1" i="1"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extLst>
        </c:dLbl>
      </c:pivotFmt>
      <c:pivotFmt>
        <c:idx val="1"/>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extLst>
        </c:dLbl>
      </c:pivotFmt>
      <c:pivotFmt>
        <c:idx val="2"/>
        <c:spPr>
          <a:gradFill rotWithShape="1">
            <a:gsLst>
              <a:gs pos="0">
                <a:schemeClr val="accent2">
                  <a:tint val="43000"/>
                  <a:satMod val="103000"/>
                  <a:lumMod val="102000"/>
                  <a:tint val="94000"/>
                </a:schemeClr>
              </a:gs>
              <a:gs pos="50000">
                <a:schemeClr val="accent2">
                  <a:tint val="43000"/>
                  <a:satMod val="110000"/>
                  <a:lumMod val="100000"/>
                  <a:shade val="100000"/>
                </a:schemeClr>
              </a:gs>
              <a:gs pos="100000">
                <a:schemeClr val="accent2">
                  <a:tint val="43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
        <c:spPr>
          <a:gradFill rotWithShape="1">
            <a:gsLst>
              <a:gs pos="0">
                <a:schemeClr val="accent2">
                  <a:tint val="56000"/>
                  <a:satMod val="103000"/>
                  <a:lumMod val="102000"/>
                  <a:tint val="94000"/>
                </a:schemeClr>
              </a:gs>
              <a:gs pos="50000">
                <a:schemeClr val="accent2">
                  <a:tint val="56000"/>
                  <a:satMod val="110000"/>
                  <a:lumMod val="100000"/>
                  <a:shade val="100000"/>
                </a:schemeClr>
              </a:gs>
              <a:gs pos="100000">
                <a:schemeClr val="accent2">
                  <a:tint val="56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
        <c:spPr>
          <a:gradFill rotWithShape="1">
            <a:gsLst>
              <a:gs pos="0">
                <a:schemeClr val="accent2">
                  <a:tint val="69000"/>
                  <a:satMod val="103000"/>
                  <a:lumMod val="102000"/>
                  <a:tint val="94000"/>
                </a:schemeClr>
              </a:gs>
              <a:gs pos="50000">
                <a:schemeClr val="accent2">
                  <a:tint val="69000"/>
                  <a:satMod val="110000"/>
                  <a:lumMod val="100000"/>
                  <a:shade val="100000"/>
                </a:schemeClr>
              </a:gs>
              <a:gs pos="100000">
                <a:schemeClr val="accent2">
                  <a:tint val="69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
        <c:spPr>
          <a:gradFill rotWithShape="1">
            <a:gsLst>
              <a:gs pos="0">
                <a:schemeClr val="accent2">
                  <a:tint val="81000"/>
                  <a:satMod val="103000"/>
                  <a:lumMod val="102000"/>
                  <a:tint val="94000"/>
                </a:schemeClr>
              </a:gs>
              <a:gs pos="50000">
                <a:schemeClr val="accent2">
                  <a:tint val="81000"/>
                  <a:satMod val="110000"/>
                  <a:lumMod val="100000"/>
                  <a:shade val="100000"/>
                </a:schemeClr>
              </a:gs>
              <a:gs pos="100000">
                <a:schemeClr val="accent2">
                  <a:tint val="81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
        <c:spPr>
          <a:gradFill rotWithShape="1">
            <a:gsLst>
              <a:gs pos="0">
                <a:schemeClr val="accent2">
                  <a:tint val="94000"/>
                  <a:satMod val="103000"/>
                  <a:lumMod val="102000"/>
                  <a:tint val="94000"/>
                </a:schemeClr>
              </a:gs>
              <a:gs pos="50000">
                <a:schemeClr val="accent2">
                  <a:tint val="94000"/>
                  <a:satMod val="110000"/>
                  <a:lumMod val="100000"/>
                  <a:shade val="100000"/>
                </a:schemeClr>
              </a:gs>
              <a:gs pos="100000">
                <a:schemeClr val="accent2">
                  <a:tint val="94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7"/>
        <c:spPr>
          <a:gradFill rotWithShape="1">
            <a:gsLst>
              <a:gs pos="0">
                <a:schemeClr val="accent2">
                  <a:shade val="93000"/>
                  <a:satMod val="103000"/>
                  <a:lumMod val="102000"/>
                  <a:tint val="94000"/>
                </a:schemeClr>
              </a:gs>
              <a:gs pos="50000">
                <a:schemeClr val="accent2">
                  <a:shade val="93000"/>
                  <a:satMod val="110000"/>
                  <a:lumMod val="100000"/>
                  <a:shade val="100000"/>
                </a:schemeClr>
              </a:gs>
              <a:gs pos="100000">
                <a:schemeClr val="accent2">
                  <a:shade val="93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8"/>
        <c:spPr>
          <a:gradFill rotWithShape="1">
            <a:gsLst>
              <a:gs pos="0">
                <a:schemeClr val="accent2">
                  <a:shade val="80000"/>
                  <a:satMod val="103000"/>
                  <a:lumMod val="102000"/>
                  <a:tint val="94000"/>
                </a:schemeClr>
              </a:gs>
              <a:gs pos="50000">
                <a:schemeClr val="accent2">
                  <a:shade val="80000"/>
                  <a:satMod val="110000"/>
                  <a:lumMod val="100000"/>
                  <a:shade val="100000"/>
                </a:schemeClr>
              </a:gs>
              <a:gs pos="100000">
                <a:schemeClr val="accent2">
                  <a:shade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9"/>
        <c:spPr>
          <a:gradFill rotWithShape="1">
            <a:gsLst>
              <a:gs pos="0">
                <a:schemeClr val="accent2">
                  <a:shade val="68000"/>
                  <a:satMod val="103000"/>
                  <a:lumMod val="102000"/>
                  <a:tint val="94000"/>
                </a:schemeClr>
              </a:gs>
              <a:gs pos="50000">
                <a:schemeClr val="accent2">
                  <a:shade val="68000"/>
                  <a:satMod val="110000"/>
                  <a:lumMod val="100000"/>
                  <a:shade val="100000"/>
                </a:schemeClr>
              </a:gs>
              <a:gs pos="100000">
                <a:schemeClr val="accent2">
                  <a:shade val="68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0"/>
        <c:spPr>
          <a:gradFill rotWithShape="1">
            <a:gsLst>
              <a:gs pos="0">
                <a:schemeClr val="accent2">
                  <a:shade val="55000"/>
                  <a:satMod val="103000"/>
                  <a:lumMod val="102000"/>
                  <a:tint val="94000"/>
                </a:schemeClr>
              </a:gs>
              <a:gs pos="50000">
                <a:schemeClr val="accent2">
                  <a:shade val="55000"/>
                  <a:satMod val="110000"/>
                  <a:lumMod val="100000"/>
                  <a:shade val="100000"/>
                </a:schemeClr>
              </a:gs>
              <a:gs pos="100000">
                <a:schemeClr val="accent2">
                  <a:shade val="55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1"/>
        <c:spPr>
          <a:gradFill rotWithShape="1">
            <a:gsLst>
              <a:gs pos="0">
                <a:schemeClr val="accent2">
                  <a:shade val="42000"/>
                  <a:satMod val="103000"/>
                  <a:lumMod val="102000"/>
                  <a:tint val="94000"/>
                </a:schemeClr>
              </a:gs>
              <a:gs pos="50000">
                <a:schemeClr val="accent2">
                  <a:shade val="42000"/>
                  <a:satMod val="110000"/>
                  <a:lumMod val="100000"/>
                  <a:shade val="100000"/>
                </a:schemeClr>
              </a:gs>
              <a:gs pos="100000">
                <a:schemeClr val="accent2">
                  <a:shade val="42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2"/>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extLst>
        </c:dLbl>
      </c:pivotFmt>
      <c:pivotFmt>
        <c:idx val="13"/>
        <c:spPr>
          <a:gradFill rotWithShape="1">
            <a:gsLst>
              <a:gs pos="0">
                <a:schemeClr val="accent2">
                  <a:tint val="43000"/>
                  <a:satMod val="103000"/>
                  <a:lumMod val="102000"/>
                  <a:tint val="94000"/>
                </a:schemeClr>
              </a:gs>
              <a:gs pos="50000">
                <a:schemeClr val="accent2">
                  <a:tint val="43000"/>
                  <a:satMod val="110000"/>
                  <a:lumMod val="100000"/>
                  <a:shade val="100000"/>
                </a:schemeClr>
              </a:gs>
              <a:gs pos="100000">
                <a:schemeClr val="accent2">
                  <a:tint val="43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4"/>
        <c:spPr>
          <a:gradFill rotWithShape="1">
            <a:gsLst>
              <a:gs pos="0">
                <a:schemeClr val="accent2">
                  <a:tint val="56000"/>
                  <a:satMod val="103000"/>
                  <a:lumMod val="102000"/>
                  <a:tint val="94000"/>
                </a:schemeClr>
              </a:gs>
              <a:gs pos="50000">
                <a:schemeClr val="accent2">
                  <a:tint val="56000"/>
                  <a:satMod val="110000"/>
                  <a:lumMod val="100000"/>
                  <a:shade val="100000"/>
                </a:schemeClr>
              </a:gs>
              <a:gs pos="100000">
                <a:schemeClr val="accent2">
                  <a:tint val="56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5"/>
        <c:spPr>
          <a:gradFill rotWithShape="1">
            <a:gsLst>
              <a:gs pos="0">
                <a:schemeClr val="accent2">
                  <a:tint val="69000"/>
                  <a:satMod val="103000"/>
                  <a:lumMod val="102000"/>
                  <a:tint val="94000"/>
                </a:schemeClr>
              </a:gs>
              <a:gs pos="50000">
                <a:schemeClr val="accent2">
                  <a:tint val="69000"/>
                  <a:satMod val="110000"/>
                  <a:lumMod val="100000"/>
                  <a:shade val="100000"/>
                </a:schemeClr>
              </a:gs>
              <a:gs pos="100000">
                <a:schemeClr val="accent2">
                  <a:tint val="69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6"/>
        <c:spPr>
          <a:gradFill rotWithShape="1">
            <a:gsLst>
              <a:gs pos="0">
                <a:schemeClr val="accent2">
                  <a:tint val="81000"/>
                  <a:satMod val="103000"/>
                  <a:lumMod val="102000"/>
                  <a:tint val="94000"/>
                </a:schemeClr>
              </a:gs>
              <a:gs pos="50000">
                <a:schemeClr val="accent2">
                  <a:tint val="81000"/>
                  <a:satMod val="110000"/>
                  <a:lumMod val="100000"/>
                  <a:shade val="100000"/>
                </a:schemeClr>
              </a:gs>
              <a:gs pos="100000">
                <a:schemeClr val="accent2">
                  <a:tint val="81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7"/>
        <c:spPr>
          <a:gradFill rotWithShape="1">
            <a:gsLst>
              <a:gs pos="0">
                <a:schemeClr val="accent2">
                  <a:tint val="94000"/>
                  <a:satMod val="103000"/>
                  <a:lumMod val="102000"/>
                  <a:tint val="94000"/>
                </a:schemeClr>
              </a:gs>
              <a:gs pos="50000">
                <a:schemeClr val="accent2">
                  <a:tint val="94000"/>
                  <a:satMod val="110000"/>
                  <a:lumMod val="100000"/>
                  <a:shade val="100000"/>
                </a:schemeClr>
              </a:gs>
              <a:gs pos="100000">
                <a:schemeClr val="accent2">
                  <a:tint val="94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8"/>
        <c:spPr>
          <a:gradFill rotWithShape="1">
            <a:gsLst>
              <a:gs pos="0">
                <a:schemeClr val="accent2">
                  <a:shade val="93000"/>
                  <a:satMod val="103000"/>
                  <a:lumMod val="102000"/>
                  <a:tint val="94000"/>
                </a:schemeClr>
              </a:gs>
              <a:gs pos="50000">
                <a:schemeClr val="accent2">
                  <a:shade val="93000"/>
                  <a:satMod val="110000"/>
                  <a:lumMod val="100000"/>
                  <a:shade val="100000"/>
                </a:schemeClr>
              </a:gs>
              <a:gs pos="100000">
                <a:schemeClr val="accent2">
                  <a:shade val="93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9"/>
        <c:spPr>
          <a:gradFill rotWithShape="1">
            <a:gsLst>
              <a:gs pos="0">
                <a:schemeClr val="accent2">
                  <a:shade val="80000"/>
                  <a:satMod val="103000"/>
                  <a:lumMod val="102000"/>
                  <a:tint val="94000"/>
                </a:schemeClr>
              </a:gs>
              <a:gs pos="50000">
                <a:schemeClr val="accent2">
                  <a:shade val="80000"/>
                  <a:satMod val="110000"/>
                  <a:lumMod val="100000"/>
                  <a:shade val="100000"/>
                </a:schemeClr>
              </a:gs>
              <a:gs pos="100000">
                <a:schemeClr val="accent2">
                  <a:shade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0"/>
        <c:spPr>
          <a:gradFill rotWithShape="1">
            <a:gsLst>
              <a:gs pos="0">
                <a:schemeClr val="accent2">
                  <a:shade val="68000"/>
                  <a:satMod val="103000"/>
                  <a:lumMod val="102000"/>
                  <a:tint val="94000"/>
                </a:schemeClr>
              </a:gs>
              <a:gs pos="50000">
                <a:schemeClr val="accent2">
                  <a:shade val="68000"/>
                  <a:satMod val="110000"/>
                  <a:lumMod val="100000"/>
                  <a:shade val="100000"/>
                </a:schemeClr>
              </a:gs>
              <a:gs pos="100000">
                <a:schemeClr val="accent2">
                  <a:shade val="68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1"/>
        <c:spPr>
          <a:gradFill rotWithShape="1">
            <a:gsLst>
              <a:gs pos="0">
                <a:schemeClr val="accent2">
                  <a:shade val="55000"/>
                  <a:satMod val="103000"/>
                  <a:lumMod val="102000"/>
                  <a:tint val="94000"/>
                </a:schemeClr>
              </a:gs>
              <a:gs pos="50000">
                <a:schemeClr val="accent2">
                  <a:shade val="55000"/>
                  <a:satMod val="110000"/>
                  <a:lumMod val="100000"/>
                  <a:shade val="100000"/>
                </a:schemeClr>
              </a:gs>
              <a:gs pos="100000">
                <a:schemeClr val="accent2">
                  <a:shade val="55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2"/>
        <c:spPr>
          <a:gradFill rotWithShape="1">
            <a:gsLst>
              <a:gs pos="0">
                <a:schemeClr val="accent2">
                  <a:shade val="42000"/>
                  <a:satMod val="103000"/>
                  <a:lumMod val="102000"/>
                  <a:tint val="94000"/>
                </a:schemeClr>
              </a:gs>
              <a:gs pos="50000">
                <a:schemeClr val="accent2">
                  <a:shade val="42000"/>
                  <a:satMod val="110000"/>
                  <a:lumMod val="100000"/>
                  <a:shade val="100000"/>
                </a:schemeClr>
              </a:gs>
              <a:gs pos="100000">
                <a:schemeClr val="accent2">
                  <a:shade val="42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3"/>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4"/>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5"/>
        <c:spPr>
          <a:gradFill rotWithShape="1">
            <a:gsLst>
              <a:gs pos="0">
                <a:schemeClr val="accent2">
                  <a:tint val="43000"/>
                  <a:satMod val="103000"/>
                  <a:lumMod val="102000"/>
                  <a:tint val="94000"/>
                </a:schemeClr>
              </a:gs>
              <a:gs pos="50000">
                <a:schemeClr val="accent2">
                  <a:tint val="43000"/>
                  <a:satMod val="110000"/>
                  <a:lumMod val="100000"/>
                  <a:shade val="100000"/>
                </a:schemeClr>
              </a:gs>
              <a:gs pos="100000">
                <a:schemeClr val="accent2">
                  <a:tint val="43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6"/>
        <c:spPr>
          <a:gradFill rotWithShape="1">
            <a:gsLst>
              <a:gs pos="0">
                <a:schemeClr val="accent2">
                  <a:tint val="56000"/>
                  <a:satMod val="103000"/>
                  <a:lumMod val="102000"/>
                  <a:tint val="94000"/>
                </a:schemeClr>
              </a:gs>
              <a:gs pos="50000">
                <a:schemeClr val="accent2">
                  <a:tint val="56000"/>
                  <a:satMod val="110000"/>
                  <a:lumMod val="100000"/>
                  <a:shade val="100000"/>
                </a:schemeClr>
              </a:gs>
              <a:gs pos="100000">
                <a:schemeClr val="accent2">
                  <a:tint val="56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7"/>
        <c:spPr>
          <a:gradFill rotWithShape="1">
            <a:gsLst>
              <a:gs pos="0">
                <a:schemeClr val="accent2">
                  <a:tint val="69000"/>
                  <a:satMod val="103000"/>
                  <a:lumMod val="102000"/>
                  <a:tint val="94000"/>
                </a:schemeClr>
              </a:gs>
              <a:gs pos="50000">
                <a:schemeClr val="accent2">
                  <a:tint val="69000"/>
                  <a:satMod val="110000"/>
                  <a:lumMod val="100000"/>
                  <a:shade val="100000"/>
                </a:schemeClr>
              </a:gs>
              <a:gs pos="100000">
                <a:schemeClr val="accent2">
                  <a:tint val="69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8"/>
        <c:spPr>
          <a:gradFill rotWithShape="1">
            <a:gsLst>
              <a:gs pos="0">
                <a:schemeClr val="accent2">
                  <a:tint val="81000"/>
                  <a:satMod val="103000"/>
                  <a:lumMod val="102000"/>
                  <a:tint val="94000"/>
                </a:schemeClr>
              </a:gs>
              <a:gs pos="50000">
                <a:schemeClr val="accent2">
                  <a:tint val="81000"/>
                  <a:satMod val="110000"/>
                  <a:lumMod val="100000"/>
                  <a:shade val="100000"/>
                </a:schemeClr>
              </a:gs>
              <a:gs pos="100000">
                <a:schemeClr val="accent2">
                  <a:tint val="81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9"/>
        <c:spPr>
          <a:gradFill rotWithShape="1">
            <a:gsLst>
              <a:gs pos="0">
                <a:schemeClr val="accent2">
                  <a:tint val="94000"/>
                  <a:satMod val="103000"/>
                  <a:lumMod val="102000"/>
                  <a:tint val="94000"/>
                </a:schemeClr>
              </a:gs>
              <a:gs pos="50000">
                <a:schemeClr val="accent2">
                  <a:tint val="94000"/>
                  <a:satMod val="110000"/>
                  <a:lumMod val="100000"/>
                  <a:shade val="100000"/>
                </a:schemeClr>
              </a:gs>
              <a:gs pos="100000">
                <a:schemeClr val="accent2">
                  <a:tint val="94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0"/>
        <c:spPr>
          <a:gradFill rotWithShape="1">
            <a:gsLst>
              <a:gs pos="0">
                <a:schemeClr val="accent2">
                  <a:shade val="93000"/>
                  <a:satMod val="103000"/>
                  <a:lumMod val="102000"/>
                  <a:tint val="94000"/>
                </a:schemeClr>
              </a:gs>
              <a:gs pos="50000">
                <a:schemeClr val="accent2">
                  <a:shade val="93000"/>
                  <a:satMod val="110000"/>
                  <a:lumMod val="100000"/>
                  <a:shade val="100000"/>
                </a:schemeClr>
              </a:gs>
              <a:gs pos="100000">
                <a:schemeClr val="accent2">
                  <a:shade val="93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1"/>
        <c:spPr>
          <a:gradFill rotWithShape="1">
            <a:gsLst>
              <a:gs pos="0">
                <a:schemeClr val="accent2">
                  <a:shade val="80000"/>
                  <a:satMod val="103000"/>
                  <a:lumMod val="102000"/>
                  <a:tint val="94000"/>
                </a:schemeClr>
              </a:gs>
              <a:gs pos="50000">
                <a:schemeClr val="accent2">
                  <a:shade val="80000"/>
                  <a:satMod val="110000"/>
                  <a:lumMod val="100000"/>
                  <a:shade val="100000"/>
                </a:schemeClr>
              </a:gs>
              <a:gs pos="100000">
                <a:schemeClr val="accent2">
                  <a:shade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2"/>
        <c:spPr>
          <a:gradFill rotWithShape="1">
            <a:gsLst>
              <a:gs pos="0">
                <a:schemeClr val="accent2">
                  <a:shade val="68000"/>
                  <a:satMod val="103000"/>
                  <a:lumMod val="102000"/>
                  <a:tint val="94000"/>
                </a:schemeClr>
              </a:gs>
              <a:gs pos="50000">
                <a:schemeClr val="accent2">
                  <a:shade val="68000"/>
                  <a:satMod val="110000"/>
                  <a:lumMod val="100000"/>
                  <a:shade val="100000"/>
                </a:schemeClr>
              </a:gs>
              <a:gs pos="100000">
                <a:schemeClr val="accent2">
                  <a:shade val="68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3"/>
        <c:spPr>
          <a:gradFill rotWithShape="1">
            <a:gsLst>
              <a:gs pos="0">
                <a:schemeClr val="accent2">
                  <a:shade val="55000"/>
                  <a:satMod val="103000"/>
                  <a:lumMod val="102000"/>
                  <a:tint val="94000"/>
                </a:schemeClr>
              </a:gs>
              <a:gs pos="50000">
                <a:schemeClr val="accent2">
                  <a:shade val="55000"/>
                  <a:satMod val="110000"/>
                  <a:lumMod val="100000"/>
                  <a:shade val="100000"/>
                </a:schemeClr>
              </a:gs>
              <a:gs pos="100000">
                <a:schemeClr val="accent2">
                  <a:shade val="55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4"/>
        <c:spPr>
          <a:gradFill rotWithShape="1">
            <a:gsLst>
              <a:gs pos="0">
                <a:schemeClr val="accent2">
                  <a:shade val="42000"/>
                  <a:satMod val="103000"/>
                  <a:lumMod val="102000"/>
                  <a:tint val="94000"/>
                </a:schemeClr>
              </a:gs>
              <a:gs pos="50000">
                <a:schemeClr val="accent2">
                  <a:shade val="42000"/>
                  <a:satMod val="110000"/>
                  <a:lumMod val="100000"/>
                  <a:shade val="100000"/>
                </a:schemeClr>
              </a:gs>
              <a:gs pos="100000">
                <a:schemeClr val="accent2">
                  <a:shade val="42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5"/>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6"/>
        <c:spPr>
          <a:gradFill rotWithShape="1">
            <a:gsLst>
              <a:gs pos="0">
                <a:schemeClr val="accent2">
                  <a:tint val="43000"/>
                  <a:satMod val="103000"/>
                  <a:lumMod val="102000"/>
                  <a:tint val="94000"/>
                </a:schemeClr>
              </a:gs>
              <a:gs pos="50000">
                <a:schemeClr val="accent2">
                  <a:tint val="43000"/>
                  <a:satMod val="110000"/>
                  <a:lumMod val="100000"/>
                  <a:shade val="100000"/>
                </a:schemeClr>
              </a:gs>
              <a:gs pos="100000">
                <a:schemeClr val="accent2">
                  <a:tint val="43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7"/>
        <c:spPr>
          <a:gradFill rotWithShape="1">
            <a:gsLst>
              <a:gs pos="0">
                <a:schemeClr val="accent2">
                  <a:tint val="43000"/>
                  <a:satMod val="103000"/>
                  <a:lumMod val="102000"/>
                  <a:tint val="94000"/>
                </a:schemeClr>
              </a:gs>
              <a:gs pos="50000">
                <a:schemeClr val="accent2">
                  <a:tint val="43000"/>
                  <a:satMod val="110000"/>
                  <a:lumMod val="100000"/>
                  <a:shade val="100000"/>
                </a:schemeClr>
              </a:gs>
              <a:gs pos="100000">
                <a:schemeClr val="accent2">
                  <a:tint val="43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8"/>
        <c:spPr>
          <a:gradFill rotWithShape="1">
            <a:gsLst>
              <a:gs pos="0">
                <a:schemeClr val="accent2">
                  <a:tint val="56000"/>
                  <a:satMod val="103000"/>
                  <a:lumMod val="102000"/>
                  <a:tint val="94000"/>
                </a:schemeClr>
              </a:gs>
              <a:gs pos="50000">
                <a:schemeClr val="accent2">
                  <a:tint val="56000"/>
                  <a:satMod val="110000"/>
                  <a:lumMod val="100000"/>
                  <a:shade val="100000"/>
                </a:schemeClr>
              </a:gs>
              <a:gs pos="100000">
                <a:schemeClr val="accent2">
                  <a:tint val="56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9"/>
        <c:spPr>
          <a:gradFill rotWithShape="1">
            <a:gsLst>
              <a:gs pos="0">
                <a:schemeClr val="accent2">
                  <a:tint val="69000"/>
                  <a:satMod val="103000"/>
                  <a:lumMod val="102000"/>
                  <a:tint val="94000"/>
                </a:schemeClr>
              </a:gs>
              <a:gs pos="50000">
                <a:schemeClr val="accent2">
                  <a:tint val="69000"/>
                  <a:satMod val="110000"/>
                  <a:lumMod val="100000"/>
                  <a:shade val="100000"/>
                </a:schemeClr>
              </a:gs>
              <a:gs pos="100000">
                <a:schemeClr val="accent2">
                  <a:tint val="69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0"/>
        <c:spPr>
          <a:gradFill rotWithShape="1">
            <a:gsLst>
              <a:gs pos="0">
                <a:schemeClr val="accent2">
                  <a:tint val="81000"/>
                  <a:satMod val="103000"/>
                  <a:lumMod val="102000"/>
                  <a:tint val="94000"/>
                </a:schemeClr>
              </a:gs>
              <a:gs pos="50000">
                <a:schemeClr val="accent2">
                  <a:tint val="81000"/>
                  <a:satMod val="110000"/>
                  <a:lumMod val="100000"/>
                  <a:shade val="100000"/>
                </a:schemeClr>
              </a:gs>
              <a:gs pos="100000">
                <a:schemeClr val="accent2">
                  <a:tint val="81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1"/>
        <c:spPr>
          <a:gradFill rotWithShape="1">
            <a:gsLst>
              <a:gs pos="0">
                <a:schemeClr val="accent2">
                  <a:tint val="94000"/>
                  <a:satMod val="103000"/>
                  <a:lumMod val="102000"/>
                  <a:tint val="94000"/>
                </a:schemeClr>
              </a:gs>
              <a:gs pos="50000">
                <a:schemeClr val="accent2">
                  <a:tint val="94000"/>
                  <a:satMod val="110000"/>
                  <a:lumMod val="100000"/>
                  <a:shade val="100000"/>
                </a:schemeClr>
              </a:gs>
              <a:gs pos="100000">
                <a:schemeClr val="accent2">
                  <a:tint val="94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2"/>
        <c:spPr>
          <a:gradFill rotWithShape="1">
            <a:gsLst>
              <a:gs pos="0">
                <a:schemeClr val="accent2">
                  <a:shade val="93000"/>
                  <a:satMod val="103000"/>
                  <a:lumMod val="102000"/>
                  <a:tint val="94000"/>
                </a:schemeClr>
              </a:gs>
              <a:gs pos="50000">
                <a:schemeClr val="accent2">
                  <a:shade val="93000"/>
                  <a:satMod val="110000"/>
                  <a:lumMod val="100000"/>
                  <a:shade val="100000"/>
                </a:schemeClr>
              </a:gs>
              <a:gs pos="100000">
                <a:schemeClr val="accent2">
                  <a:shade val="93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3"/>
        <c:spPr>
          <a:gradFill rotWithShape="1">
            <a:gsLst>
              <a:gs pos="0">
                <a:schemeClr val="accent2">
                  <a:shade val="80000"/>
                  <a:satMod val="103000"/>
                  <a:lumMod val="102000"/>
                  <a:tint val="94000"/>
                </a:schemeClr>
              </a:gs>
              <a:gs pos="50000">
                <a:schemeClr val="accent2">
                  <a:shade val="80000"/>
                  <a:satMod val="110000"/>
                  <a:lumMod val="100000"/>
                  <a:shade val="100000"/>
                </a:schemeClr>
              </a:gs>
              <a:gs pos="100000">
                <a:schemeClr val="accent2">
                  <a:shade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4"/>
        <c:spPr>
          <a:gradFill rotWithShape="1">
            <a:gsLst>
              <a:gs pos="0">
                <a:schemeClr val="accent2">
                  <a:shade val="68000"/>
                  <a:satMod val="103000"/>
                  <a:lumMod val="102000"/>
                  <a:tint val="94000"/>
                </a:schemeClr>
              </a:gs>
              <a:gs pos="50000">
                <a:schemeClr val="accent2">
                  <a:shade val="68000"/>
                  <a:satMod val="110000"/>
                  <a:lumMod val="100000"/>
                  <a:shade val="100000"/>
                </a:schemeClr>
              </a:gs>
              <a:gs pos="100000">
                <a:schemeClr val="accent2">
                  <a:shade val="68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5"/>
        <c:spPr>
          <a:gradFill rotWithShape="1">
            <a:gsLst>
              <a:gs pos="0">
                <a:schemeClr val="accent2">
                  <a:shade val="55000"/>
                  <a:satMod val="103000"/>
                  <a:lumMod val="102000"/>
                  <a:tint val="94000"/>
                </a:schemeClr>
              </a:gs>
              <a:gs pos="50000">
                <a:schemeClr val="accent2">
                  <a:shade val="55000"/>
                  <a:satMod val="110000"/>
                  <a:lumMod val="100000"/>
                  <a:shade val="100000"/>
                </a:schemeClr>
              </a:gs>
              <a:gs pos="100000">
                <a:schemeClr val="accent2">
                  <a:shade val="55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6"/>
        <c:spPr>
          <a:gradFill rotWithShape="1">
            <a:gsLst>
              <a:gs pos="0">
                <a:schemeClr val="accent2">
                  <a:shade val="42000"/>
                  <a:satMod val="103000"/>
                  <a:lumMod val="102000"/>
                  <a:tint val="94000"/>
                </a:schemeClr>
              </a:gs>
              <a:gs pos="50000">
                <a:schemeClr val="accent2">
                  <a:shade val="42000"/>
                  <a:satMod val="110000"/>
                  <a:lumMod val="100000"/>
                  <a:shade val="100000"/>
                </a:schemeClr>
              </a:gs>
              <a:gs pos="100000">
                <a:schemeClr val="accent2">
                  <a:shade val="42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pieChart>
        <c:varyColors val="1"/>
        <c:ser>
          <c:idx val="0"/>
          <c:order val="0"/>
          <c:tx>
            <c:strRef>
              <c:f>'Height Across Age'!$E$2</c:f>
              <c:strCache>
                <c:ptCount val="1"/>
                <c:pt idx="0">
                  <c:v>Total</c:v>
                </c:pt>
              </c:strCache>
            </c:strRef>
          </c:tx>
          <c:dPt>
            <c:idx val="0"/>
            <c:bubble3D val="0"/>
            <c:spPr>
              <a:gradFill rotWithShape="1">
                <a:gsLst>
                  <a:gs pos="0">
                    <a:schemeClr val="accent2">
                      <a:tint val="43000"/>
                      <a:satMod val="103000"/>
                      <a:lumMod val="102000"/>
                      <a:tint val="94000"/>
                    </a:schemeClr>
                  </a:gs>
                  <a:gs pos="50000">
                    <a:schemeClr val="accent2">
                      <a:tint val="43000"/>
                      <a:satMod val="110000"/>
                      <a:lumMod val="100000"/>
                      <a:shade val="100000"/>
                    </a:schemeClr>
                  </a:gs>
                  <a:gs pos="100000">
                    <a:schemeClr val="accent2">
                      <a:tint val="43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A679-4C4D-BB41-78EA29890205}"/>
              </c:ext>
            </c:extLst>
          </c:dPt>
          <c:dPt>
            <c:idx val="1"/>
            <c:bubble3D val="0"/>
            <c:spPr>
              <a:gradFill rotWithShape="1">
                <a:gsLst>
                  <a:gs pos="0">
                    <a:schemeClr val="accent2">
                      <a:tint val="43000"/>
                      <a:satMod val="103000"/>
                      <a:lumMod val="102000"/>
                      <a:tint val="94000"/>
                    </a:schemeClr>
                  </a:gs>
                  <a:gs pos="50000">
                    <a:schemeClr val="accent2">
                      <a:tint val="43000"/>
                      <a:satMod val="110000"/>
                      <a:lumMod val="100000"/>
                      <a:shade val="100000"/>
                    </a:schemeClr>
                  </a:gs>
                  <a:gs pos="100000">
                    <a:schemeClr val="accent2">
                      <a:tint val="43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A679-4C4D-BB41-78EA29890205}"/>
              </c:ext>
            </c:extLst>
          </c:dPt>
          <c:dPt>
            <c:idx val="2"/>
            <c:bubble3D val="0"/>
            <c:spPr>
              <a:gradFill rotWithShape="1">
                <a:gsLst>
                  <a:gs pos="0">
                    <a:schemeClr val="accent2">
                      <a:tint val="56000"/>
                      <a:satMod val="103000"/>
                      <a:lumMod val="102000"/>
                      <a:tint val="94000"/>
                    </a:schemeClr>
                  </a:gs>
                  <a:gs pos="50000">
                    <a:schemeClr val="accent2">
                      <a:tint val="56000"/>
                      <a:satMod val="110000"/>
                      <a:lumMod val="100000"/>
                      <a:shade val="100000"/>
                    </a:schemeClr>
                  </a:gs>
                  <a:gs pos="100000">
                    <a:schemeClr val="accent2">
                      <a:tint val="56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A679-4C4D-BB41-78EA29890205}"/>
              </c:ext>
            </c:extLst>
          </c:dPt>
          <c:dPt>
            <c:idx val="3"/>
            <c:bubble3D val="0"/>
            <c:spPr>
              <a:gradFill rotWithShape="1">
                <a:gsLst>
                  <a:gs pos="0">
                    <a:schemeClr val="accent2">
                      <a:tint val="69000"/>
                      <a:satMod val="103000"/>
                      <a:lumMod val="102000"/>
                      <a:tint val="94000"/>
                    </a:schemeClr>
                  </a:gs>
                  <a:gs pos="50000">
                    <a:schemeClr val="accent2">
                      <a:tint val="69000"/>
                      <a:satMod val="110000"/>
                      <a:lumMod val="100000"/>
                      <a:shade val="100000"/>
                    </a:schemeClr>
                  </a:gs>
                  <a:gs pos="100000">
                    <a:schemeClr val="accent2">
                      <a:tint val="69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A679-4C4D-BB41-78EA29890205}"/>
              </c:ext>
            </c:extLst>
          </c:dPt>
          <c:dPt>
            <c:idx val="4"/>
            <c:bubble3D val="0"/>
            <c:spPr>
              <a:gradFill rotWithShape="1">
                <a:gsLst>
                  <a:gs pos="0">
                    <a:schemeClr val="accent2">
                      <a:tint val="81000"/>
                      <a:satMod val="103000"/>
                      <a:lumMod val="102000"/>
                      <a:tint val="94000"/>
                    </a:schemeClr>
                  </a:gs>
                  <a:gs pos="50000">
                    <a:schemeClr val="accent2">
                      <a:tint val="81000"/>
                      <a:satMod val="110000"/>
                      <a:lumMod val="100000"/>
                      <a:shade val="100000"/>
                    </a:schemeClr>
                  </a:gs>
                  <a:gs pos="100000">
                    <a:schemeClr val="accent2">
                      <a:tint val="81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9-A679-4C4D-BB41-78EA29890205}"/>
              </c:ext>
            </c:extLst>
          </c:dPt>
          <c:dPt>
            <c:idx val="5"/>
            <c:bubble3D val="0"/>
            <c:spPr>
              <a:gradFill rotWithShape="1">
                <a:gsLst>
                  <a:gs pos="0">
                    <a:schemeClr val="accent2">
                      <a:tint val="94000"/>
                      <a:satMod val="103000"/>
                      <a:lumMod val="102000"/>
                      <a:tint val="94000"/>
                    </a:schemeClr>
                  </a:gs>
                  <a:gs pos="50000">
                    <a:schemeClr val="accent2">
                      <a:tint val="94000"/>
                      <a:satMod val="110000"/>
                      <a:lumMod val="100000"/>
                      <a:shade val="100000"/>
                    </a:schemeClr>
                  </a:gs>
                  <a:gs pos="100000">
                    <a:schemeClr val="accent2">
                      <a:tint val="94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B-A679-4C4D-BB41-78EA29890205}"/>
              </c:ext>
            </c:extLst>
          </c:dPt>
          <c:dPt>
            <c:idx val="6"/>
            <c:bubble3D val="0"/>
            <c:spPr>
              <a:gradFill rotWithShape="1">
                <a:gsLst>
                  <a:gs pos="0">
                    <a:schemeClr val="accent2">
                      <a:shade val="93000"/>
                      <a:satMod val="103000"/>
                      <a:lumMod val="102000"/>
                      <a:tint val="94000"/>
                    </a:schemeClr>
                  </a:gs>
                  <a:gs pos="50000">
                    <a:schemeClr val="accent2">
                      <a:shade val="93000"/>
                      <a:satMod val="110000"/>
                      <a:lumMod val="100000"/>
                      <a:shade val="100000"/>
                    </a:schemeClr>
                  </a:gs>
                  <a:gs pos="100000">
                    <a:schemeClr val="accent2">
                      <a:shade val="93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D-A679-4C4D-BB41-78EA29890205}"/>
              </c:ext>
            </c:extLst>
          </c:dPt>
          <c:dPt>
            <c:idx val="7"/>
            <c:bubble3D val="0"/>
            <c:spPr>
              <a:gradFill rotWithShape="1">
                <a:gsLst>
                  <a:gs pos="0">
                    <a:schemeClr val="accent2">
                      <a:shade val="80000"/>
                      <a:satMod val="103000"/>
                      <a:lumMod val="102000"/>
                      <a:tint val="94000"/>
                    </a:schemeClr>
                  </a:gs>
                  <a:gs pos="50000">
                    <a:schemeClr val="accent2">
                      <a:shade val="80000"/>
                      <a:satMod val="110000"/>
                      <a:lumMod val="100000"/>
                      <a:shade val="100000"/>
                    </a:schemeClr>
                  </a:gs>
                  <a:gs pos="100000">
                    <a:schemeClr val="accent2">
                      <a:shade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F-A679-4C4D-BB41-78EA29890205}"/>
              </c:ext>
            </c:extLst>
          </c:dPt>
          <c:dPt>
            <c:idx val="8"/>
            <c:bubble3D val="0"/>
            <c:spPr>
              <a:gradFill rotWithShape="1">
                <a:gsLst>
                  <a:gs pos="0">
                    <a:schemeClr val="accent2">
                      <a:shade val="68000"/>
                      <a:satMod val="103000"/>
                      <a:lumMod val="102000"/>
                      <a:tint val="94000"/>
                    </a:schemeClr>
                  </a:gs>
                  <a:gs pos="50000">
                    <a:schemeClr val="accent2">
                      <a:shade val="68000"/>
                      <a:satMod val="110000"/>
                      <a:lumMod val="100000"/>
                      <a:shade val="100000"/>
                    </a:schemeClr>
                  </a:gs>
                  <a:gs pos="100000">
                    <a:schemeClr val="accent2">
                      <a:shade val="68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1-A679-4C4D-BB41-78EA29890205}"/>
              </c:ext>
            </c:extLst>
          </c:dPt>
          <c:dPt>
            <c:idx val="9"/>
            <c:bubble3D val="0"/>
            <c:spPr>
              <a:gradFill rotWithShape="1">
                <a:gsLst>
                  <a:gs pos="0">
                    <a:schemeClr val="accent2">
                      <a:shade val="55000"/>
                      <a:satMod val="103000"/>
                      <a:lumMod val="102000"/>
                      <a:tint val="94000"/>
                    </a:schemeClr>
                  </a:gs>
                  <a:gs pos="50000">
                    <a:schemeClr val="accent2">
                      <a:shade val="55000"/>
                      <a:satMod val="110000"/>
                      <a:lumMod val="100000"/>
                      <a:shade val="100000"/>
                    </a:schemeClr>
                  </a:gs>
                  <a:gs pos="100000">
                    <a:schemeClr val="accent2">
                      <a:shade val="55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3-A679-4C4D-BB41-78EA29890205}"/>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'Height Across Age'!$D$3:$D$12</c:f>
              <c:strCache>
                <c:ptCount val="10"/>
                <c:pt idx="0">
                  <c:v>20</c:v>
                </c:pt>
                <c:pt idx="1">
                  <c:v>21</c:v>
                </c:pt>
                <c:pt idx="2">
                  <c:v>22</c:v>
                </c:pt>
                <c:pt idx="3">
                  <c:v>23</c:v>
                </c:pt>
                <c:pt idx="4">
                  <c:v>24</c:v>
                </c:pt>
                <c:pt idx="5">
                  <c:v>25</c:v>
                </c:pt>
                <c:pt idx="6">
                  <c:v>26</c:v>
                </c:pt>
                <c:pt idx="7">
                  <c:v>27</c:v>
                </c:pt>
                <c:pt idx="8">
                  <c:v>28</c:v>
                </c:pt>
                <c:pt idx="9">
                  <c:v>29</c:v>
                </c:pt>
              </c:strCache>
            </c:strRef>
          </c:cat>
          <c:val>
            <c:numRef>
              <c:f>'Height Across Age'!$E$3:$E$12</c:f>
              <c:numCache>
                <c:formatCode>General</c:formatCode>
                <c:ptCount val="10"/>
                <c:pt idx="0">
                  <c:v>137</c:v>
                </c:pt>
                <c:pt idx="1">
                  <c:v>157</c:v>
                </c:pt>
                <c:pt idx="2">
                  <c:v>176</c:v>
                </c:pt>
                <c:pt idx="3">
                  <c:v>187</c:v>
                </c:pt>
                <c:pt idx="4">
                  <c:v>238</c:v>
                </c:pt>
                <c:pt idx="5">
                  <c:v>228</c:v>
                </c:pt>
                <c:pt idx="6">
                  <c:v>169</c:v>
                </c:pt>
                <c:pt idx="7">
                  <c:v>188</c:v>
                </c:pt>
                <c:pt idx="8">
                  <c:v>143</c:v>
                </c:pt>
                <c:pt idx="9">
                  <c:v>149</c:v>
                </c:pt>
              </c:numCache>
            </c:numRef>
          </c:val>
          <c:extLst>
            <c:ext xmlns:c16="http://schemas.microsoft.com/office/drawing/2014/chart" uri="{C3380CC4-5D6E-409C-BE32-E72D297353CC}">
              <c16:uniqueId val="{00000018-A9F2-4F66-ACF0-6A068E61BEBB}"/>
            </c:ext>
          </c:extLst>
        </c:ser>
        <c:dLbls>
          <c:dLblPos val="outEnd"/>
          <c:showLegendKey val="0"/>
          <c:showVal val="1"/>
          <c:showCatName val="0"/>
          <c:showSerName val="0"/>
          <c:showPercent val="0"/>
          <c:showBubbleSize val="0"/>
          <c:showLeaderLines val="1"/>
        </c:dLbls>
        <c:firstSliceAng val="0"/>
      </c:pie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PROJECT.xlsx]Height Across Age!PivotTable8</c:name>
    <c:fmtId val="12"/>
  </c:pivotSource>
  <c:chart>
    <c:title>
      <c:tx>
        <c:rich>
          <a:bodyPr rot="0" spcFirstLastPara="1" vertOverflow="ellipsis" vert="horz" wrap="square" anchor="ctr" anchorCtr="1"/>
          <a:lstStyle/>
          <a:p>
            <a:pPr>
              <a:defRPr sz="2400" b="1" i="1" u="none" strike="noStrike" kern="1200" baseline="0">
                <a:solidFill>
                  <a:schemeClr val="tx1">
                    <a:lumMod val="65000"/>
                    <a:lumOff val="35000"/>
                  </a:schemeClr>
                </a:solidFill>
                <a:latin typeface="+mn-lt"/>
                <a:ea typeface="+mn-ea"/>
                <a:cs typeface="+mn-cs"/>
              </a:defRPr>
            </a:pPr>
            <a:r>
              <a:rPr lang="en-US" sz="2400" i="1"/>
              <a:t>Bottom 10 Height Across Age</a:t>
            </a:r>
          </a:p>
        </c:rich>
      </c:tx>
      <c:overlay val="0"/>
      <c:spPr>
        <a:noFill/>
        <a:ln>
          <a:noFill/>
        </a:ln>
        <a:effectLst/>
      </c:spPr>
      <c:txPr>
        <a:bodyPr rot="0" spcFirstLastPara="1" vertOverflow="ellipsis" vert="horz" wrap="square" anchor="ctr" anchorCtr="1"/>
        <a:lstStyle/>
        <a:p>
          <a:pPr>
            <a:defRPr sz="2400" b="1" i="1"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pivotFmt>
      <c:pivotFmt>
        <c:idx val="7"/>
      </c:pivotFmt>
      <c:pivotFmt>
        <c:idx val="8"/>
      </c:pivotFmt>
      <c:pivotFmt>
        <c:idx val="9"/>
      </c:pivotFmt>
      <c:pivotFmt>
        <c:idx val="10"/>
      </c:pivotFmt>
      <c:pivotFmt>
        <c:idx val="11"/>
      </c:pivotFmt>
      <c:pivotFmt>
        <c:idx val="12"/>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3"/>
      </c:pivotFmt>
      <c:pivotFmt>
        <c:idx val="14"/>
      </c:pivotFmt>
      <c:pivotFmt>
        <c:idx val="15"/>
      </c:pivotFmt>
      <c:pivotFmt>
        <c:idx val="16"/>
      </c:pivotFmt>
      <c:pivotFmt>
        <c:idx val="17"/>
      </c:pivotFmt>
      <c:pivotFmt>
        <c:idx val="18"/>
      </c:pivotFmt>
      <c:pivotFmt>
        <c:idx val="19"/>
      </c:pivotFmt>
      <c:pivotFmt>
        <c:idx val="20"/>
      </c:pivotFmt>
      <c:pivotFmt>
        <c:idx val="21"/>
      </c:pivotFmt>
      <c:pivotFmt>
        <c:idx val="22"/>
      </c:pivotFmt>
      <c:pivotFmt>
        <c:idx val="23"/>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4"/>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5"/>
      </c:pivotFmt>
      <c:pivotFmt>
        <c:idx val="26"/>
      </c:pivotFmt>
      <c:pivotFmt>
        <c:idx val="27"/>
      </c:pivotFmt>
      <c:pivotFmt>
        <c:idx val="28"/>
      </c:pivotFmt>
      <c:pivotFmt>
        <c:idx val="29"/>
      </c:pivotFmt>
      <c:pivotFmt>
        <c:idx val="30"/>
      </c:pivotFmt>
      <c:pivotFmt>
        <c:idx val="31"/>
      </c:pivotFmt>
      <c:pivotFmt>
        <c:idx val="32"/>
      </c:pivotFmt>
      <c:pivotFmt>
        <c:idx val="33"/>
      </c:pivotFmt>
      <c:pivotFmt>
        <c:idx val="34"/>
      </c:pivotFmt>
      <c:pivotFmt>
        <c:idx val="35"/>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7"/>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8"/>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9"/>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1"/>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2"/>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3"/>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4"/>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5"/>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7"/>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8"/>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9"/>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1"/>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2"/>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3"/>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pieChart>
        <c:varyColors val="1"/>
        <c:ser>
          <c:idx val="0"/>
          <c:order val="0"/>
          <c:tx>
            <c:strRef>
              <c:f>'Height Across Age'!$H$2</c:f>
              <c:strCache>
                <c:ptCount val="1"/>
                <c:pt idx="0">
                  <c:v>Total</c:v>
                </c:pt>
              </c:strCache>
            </c:strRef>
          </c:tx>
          <c:dPt>
            <c:idx val="0"/>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D1EC-4D18-9AC1-263131E4AA8C}"/>
              </c:ext>
            </c:extLst>
          </c:dPt>
          <c:dPt>
            <c:idx val="1"/>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D1EC-4D18-9AC1-263131E4AA8C}"/>
              </c:ext>
            </c:extLst>
          </c:dPt>
          <c:dPt>
            <c:idx val="2"/>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D1EC-4D18-9AC1-263131E4AA8C}"/>
              </c:ext>
            </c:extLst>
          </c:dPt>
          <c:dPt>
            <c:idx val="3"/>
            <c:bubble3D val="0"/>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D1EC-4D18-9AC1-263131E4AA8C}"/>
              </c:ext>
            </c:extLst>
          </c:dPt>
          <c:dPt>
            <c:idx val="4"/>
            <c:bubble3D val="0"/>
            <c:spPr>
              <a:gradFill rotWithShape="1">
                <a:gsLst>
                  <a:gs pos="0">
                    <a:schemeClr val="accent4">
                      <a:lumMod val="60000"/>
                      <a:satMod val="103000"/>
                      <a:lumMod val="102000"/>
                      <a:tint val="94000"/>
                    </a:schemeClr>
                  </a:gs>
                  <a:gs pos="50000">
                    <a:schemeClr val="accent4">
                      <a:lumMod val="60000"/>
                      <a:satMod val="110000"/>
                      <a:lumMod val="100000"/>
                      <a:shade val="100000"/>
                    </a:schemeClr>
                  </a:gs>
                  <a:gs pos="100000">
                    <a:schemeClr val="accent4">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9-D1EC-4D18-9AC1-263131E4AA8C}"/>
              </c:ext>
            </c:extLst>
          </c:dPt>
          <c:dPt>
            <c:idx val="5"/>
            <c:bubble3D val="0"/>
            <c:spPr>
              <a:gradFill rotWithShape="1">
                <a:gsLst>
                  <a:gs pos="0">
                    <a:schemeClr val="accent6">
                      <a:lumMod val="60000"/>
                      <a:satMod val="103000"/>
                      <a:lumMod val="102000"/>
                      <a:tint val="94000"/>
                    </a:schemeClr>
                  </a:gs>
                  <a:gs pos="50000">
                    <a:schemeClr val="accent6">
                      <a:lumMod val="60000"/>
                      <a:satMod val="110000"/>
                      <a:lumMod val="100000"/>
                      <a:shade val="100000"/>
                    </a:schemeClr>
                  </a:gs>
                  <a:gs pos="100000">
                    <a:schemeClr val="accent6">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B-D1EC-4D18-9AC1-263131E4AA8C}"/>
              </c:ext>
            </c:extLst>
          </c:dPt>
          <c:dPt>
            <c:idx val="6"/>
            <c:bubble3D val="0"/>
            <c:spPr>
              <a:gradFill rotWithShape="1">
                <a:gsLst>
                  <a:gs pos="0">
                    <a:schemeClr val="accent2">
                      <a:lumMod val="80000"/>
                      <a:lumOff val="20000"/>
                      <a:satMod val="103000"/>
                      <a:lumMod val="102000"/>
                      <a:tint val="94000"/>
                    </a:schemeClr>
                  </a:gs>
                  <a:gs pos="50000">
                    <a:schemeClr val="accent2">
                      <a:lumMod val="80000"/>
                      <a:lumOff val="20000"/>
                      <a:satMod val="110000"/>
                      <a:lumMod val="100000"/>
                      <a:shade val="100000"/>
                    </a:schemeClr>
                  </a:gs>
                  <a:gs pos="100000">
                    <a:schemeClr val="accent2">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D-D1EC-4D18-9AC1-263131E4AA8C}"/>
              </c:ext>
            </c:extLst>
          </c:dPt>
          <c:dPt>
            <c:idx val="7"/>
            <c:bubble3D val="0"/>
            <c:spPr>
              <a:gradFill rotWithShape="1">
                <a:gsLst>
                  <a:gs pos="0">
                    <a:schemeClr val="accent4">
                      <a:lumMod val="80000"/>
                      <a:lumOff val="20000"/>
                      <a:satMod val="103000"/>
                      <a:lumMod val="102000"/>
                      <a:tint val="94000"/>
                    </a:schemeClr>
                  </a:gs>
                  <a:gs pos="50000">
                    <a:schemeClr val="accent4">
                      <a:lumMod val="80000"/>
                      <a:lumOff val="20000"/>
                      <a:satMod val="110000"/>
                      <a:lumMod val="100000"/>
                      <a:shade val="100000"/>
                    </a:schemeClr>
                  </a:gs>
                  <a:gs pos="100000">
                    <a:schemeClr val="accent4">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F-D1EC-4D18-9AC1-263131E4AA8C}"/>
              </c:ext>
            </c:extLst>
          </c:dPt>
          <c:dPt>
            <c:idx val="8"/>
            <c:bubble3D val="0"/>
            <c:spPr>
              <a:gradFill rotWithShape="1">
                <a:gsLst>
                  <a:gs pos="0">
                    <a:schemeClr val="accent6">
                      <a:lumMod val="80000"/>
                      <a:lumOff val="20000"/>
                      <a:satMod val="103000"/>
                      <a:lumMod val="102000"/>
                      <a:tint val="94000"/>
                    </a:schemeClr>
                  </a:gs>
                  <a:gs pos="50000">
                    <a:schemeClr val="accent6">
                      <a:lumMod val="80000"/>
                      <a:lumOff val="20000"/>
                      <a:satMod val="110000"/>
                      <a:lumMod val="100000"/>
                      <a:shade val="100000"/>
                    </a:schemeClr>
                  </a:gs>
                  <a:gs pos="100000">
                    <a:schemeClr val="accent6">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1-D1EC-4D18-9AC1-263131E4AA8C}"/>
              </c:ext>
            </c:extLst>
          </c:dPt>
          <c:dPt>
            <c:idx val="9"/>
            <c:bubble3D val="0"/>
            <c:spPr>
              <a:gradFill rotWithShape="1">
                <a:gsLst>
                  <a:gs pos="0">
                    <a:schemeClr val="accent2">
                      <a:lumMod val="80000"/>
                      <a:satMod val="103000"/>
                      <a:lumMod val="102000"/>
                      <a:tint val="94000"/>
                    </a:schemeClr>
                  </a:gs>
                  <a:gs pos="50000">
                    <a:schemeClr val="accent2">
                      <a:lumMod val="80000"/>
                      <a:satMod val="110000"/>
                      <a:lumMod val="100000"/>
                      <a:shade val="100000"/>
                    </a:schemeClr>
                  </a:gs>
                  <a:gs pos="100000">
                    <a:schemeClr val="accent2">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3-D1EC-4D18-9AC1-263131E4AA8C}"/>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'Height Across Age'!$G$3:$G$12</c:f>
              <c:strCache>
                <c:ptCount val="10"/>
                <c:pt idx="0">
                  <c:v>15</c:v>
                </c:pt>
                <c:pt idx="1">
                  <c:v>41</c:v>
                </c:pt>
                <c:pt idx="2">
                  <c:v>42</c:v>
                </c:pt>
                <c:pt idx="3">
                  <c:v>43</c:v>
                </c:pt>
                <c:pt idx="4">
                  <c:v>44</c:v>
                </c:pt>
                <c:pt idx="5">
                  <c:v>45</c:v>
                </c:pt>
                <c:pt idx="6">
                  <c:v>46</c:v>
                </c:pt>
                <c:pt idx="7">
                  <c:v>47</c:v>
                </c:pt>
                <c:pt idx="8">
                  <c:v>48</c:v>
                </c:pt>
                <c:pt idx="9">
                  <c:v>51</c:v>
                </c:pt>
              </c:strCache>
            </c:strRef>
          </c:cat>
          <c:val>
            <c:numRef>
              <c:f>'Height Across Age'!$H$3:$H$12</c:f>
              <c:numCache>
                <c:formatCode>General</c:formatCode>
                <c:ptCount val="10"/>
                <c:pt idx="0">
                  <c:v>5</c:v>
                </c:pt>
                <c:pt idx="1">
                  <c:v>1</c:v>
                </c:pt>
                <c:pt idx="2">
                  <c:v>4</c:v>
                </c:pt>
                <c:pt idx="3">
                  <c:v>4</c:v>
                </c:pt>
                <c:pt idx="4">
                  <c:v>3</c:v>
                </c:pt>
                <c:pt idx="5">
                  <c:v>3</c:v>
                </c:pt>
                <c:pt idx="6">
                  <c:v>1</c:v>
                </c:pt>
                <c:pt idx="7">
                  <c:v>2</c:v>
                </c:pt>
                <c:pt idx="8">
                  <c:v>1</c:v>
                </c:pt>
                <c:pt idx="9">
                  <c:v>1</c:v>
                </c:pt>
              </c:numCache>
            </c:numRef>
          </c:val>
          <c:extLst>
            <c:ext xmlns:c16="http://schemas.microsoft.com/office/drawing/2014/chart" uri="{C3380CC4-5D6E-409C-BE32-E72D297353CC}">
              <c16:uniqueId val="{00000018-7B10-413F-8850-27EC51878CE2}"/>
            </c:ext>
          </c:extLst>
        </c:ser>
        <c:dLbls>
          <c:dLblPos val="outEnd"/>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PROJECT.xlsx]BMI Vs AVG Weight &amp; Height!PivotTable2</c:name>
    <c:fmtId val="2"/>
  </c:pivotSource>
  <c:chart>
    <c:title>
      <c:tx>
        <c:rich>
          <a:bodyPr rot="0" spcFirstLastPara="1" vertOverflow="ellipsis" vert="horz" wrap="square" anchor="ctr" anchorCtr="1"/>
          <a:lstStyle/>
          <a:p>
            <a:pPr>
              <a:defRPr sz="2400" b="1" i="1" u="none" strike="noStrike" kern="1200" baseline="0">
                <a:solidFill>
                  <a:schemeClr val="tx1">
                    <a:lumMod val="65000"/>
                    <a:lumOff val="35000"/>
                  </a:schemeClr>
                </a:solidFill>
                <a:latin typeface="+mn-lt"/>
                <a:ea typeface="+mn-ea"/>
                <a:cs typeface="+mn-cs"/>
              </a:defRPr>
            </a:pPr>
            <a:r>
              <a:rPr lang="en-US" sz="2400" i="1"/>
              <a:t>BMI</a:t>
            </a:r>
            <a:r>
              <a:rPr lang="en-US" sz="2400" i="1" baseline="0"/>
              <a:t> Vs Avg Weight &amp; Height</a:t>
            </a:r>
            <a:endParaRPr lang="en-US" sz="2400" i="1"/>
          </a:p>
        </c:rich>
      </c:tx>
      <c:overlay val="0"/>
      <c:spPr>
        <a:noFill/>
        <a:ln>
          <a:noFill/>
        </a:ln>
        <a:effectLst/>
      </c:spPr>
      <c:txPr>
        <a:bodyPr rot="0" spcFirstLastPara="1" vertOverflow="ellipsis" vert="horz" wrap="square" anchor="ctr" anchorCtr="1"/>
        <a:lstStyle/>
        <a:p>
          <a:pPr>
            <a:defRPr sz="2400" b="1" i="1"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0758258954683032E-2"/>
          <c:y val="0.15242545226300716"/>
          <c:w val="0.71606276143518655"/>
          <c:h val="0.67445292866196571"/>
        </c:manualLayout>
      </c:layout>
      <c:barChart>
        <c:barDir val="col"/>
        <c:grouping val="clustered"/>
        <c:varyColors val="0"/>
        <c:ser>
          <c:idx val="0"/>
          <c:order val="0"/>
          <c:tx>
            <c:strRef>
              <c:f>'BMI Vs AVG Weight &amp; Height'!$B$3</c:f>
              <c:strCache>
                <c:ptCount val="1"/>
                <c:pt idx="0">
                  <c:v>Average of Weight(kg)</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'BMI Vs AVG Weight &amp; Height'!$A$4:$A$23</c:f>
              <c:strCache>
                <c:ptCount val="20"/>
                <c:pt idx="0">
                  <c:v>10.04-12.04</c:v>
                </c:pt>
                <c:pt idx="1">
                  <c:v>12.04-14.04</c:v>
                </c:pt>
                <c:pt idx="2">
                  <c:v>14.04-16.04</c:v>
                </c:pt>
                <c:pt idx="3">
                  <c:v>16.04-18.04</c:v>
                </c:pt>
                <c:pt idx="4">
                  <c:v>18.04-20.04</c:v>
                </c:pt>
                <c:pt idx="5">
                  <c:v>20.04-22.04</c:v>
                </c:pt>
                <c:pt idx="6">
                  <c:v>22.04-24.04</c:v>
                </c:pt>
                <c:pt idx="7">
                  <c:v>24.04-26.04</c:v>
                </c:pt>
                <c:pt idx="8">
                  <c:v>26.04-28.04</c:v>
                </c:pt>
                <c:pt idx="9">
                  <c:v>28.04-30.04</c:v>
                </c:pt>
                <c:pt idx="10">
                  <c:v>30.04-32.04</c:v>
                </c:pt>
                <c:pt idx="11">
                  <c:v>32.04-34.04</c:v>
                </c:pt>
                <c:pt idx="12">
                  <c:v>34.04-36.04</c:v>
                </c:pt>
                <c:pt idx="13">
                  <c:v>36.04-38.04</c:v>
                </c:pt>
                <c:pt idx="14">
                  <c:v>38.04-40.04</c:v>
                </c:pt>
                <c:pt idx="15">
                  <c:v>40.04-42.04</c:v>
                </c:pt>
                <c:pt idx="16">
                  <c:v>42.04-44.04</c:v>
                </c:pt>
                <c:pt idx="17">
                  <c:v>44.04-46.04</c:v>
                </c:pt>
                <c:pt idx="18">
                  <c:v>46.04-48.04</c:v>
                </c:pt>
                <c:pt idx="19">
                  <c:v>&gt;50.04</c:v>
                </c:pt>
              </c:strCache>
            </c:strRef>
          </c:cat>
          <c:val>
            <c:numRef>
              <c:f>'BMI Vs AVG Weight &amp; Height'!$B$4:$B$23</c:f>
              <c:numCache>
                <c:formatCode>General</c:formatCode>
                <c:ptCount val="20"/>
                <c:pt idx="0">
                  <c:v>42.3</c:v>
                </c:pt>
                <c:pt idx="1">
                  <c:v>43.5</c:v>
                </c:pt>
                <c:pt idx="2">
                  <c:v>51.941176470588232</c:v>
                </c:pt>
                <c:pt idx="3">
                  <c:v>54.43333333333333</c:v>
                </c:pt>
                <c:pt idx="4">
                  <c:v>56.70192307692308</c:v>
                </c:pt>
                <c:pt idx="5">
                  <c:v>61.566727605118828</c:v>
                </c:pt>
                <c:pt idx="6">
                  <c:v>70.253218884120173</c:v>
                </c:pt>
                <c:pt idx="7">
                  <c:v>79.969199178644757</c:v>
                </c:pt>
                <c:pt idx="8">
                  <c:v>88.941368078175898</c:v>
                </c:pt>
                <c:pt idx="9">
                  <c:v>94.921259842519689</c:v>
                </c:pt>
                <c:pt idx="10">
                  <c:v>99.189655172413794</c:v>
                </c:pt>
                <c:pt idx="11">
                  <c:v>96.352941176470594</c:v>
                </c:pt>
                <c:pt idx="12">
                  <c:v>90.681818181818187</c:v>
                </c:pt>
                <c:pt idx="13">
                  <c:v>98.63636363636364</c:v>
                </c:pt>
                <c:pt idx="14">
                  <c:v>98.444444444444443</c:v>
                </c:pt>
                <c:pt idx="15">
                  <c:v>106.6</c:v>
                </c:pt>
                <c:pt idx="16">
                  <c:v>102.25</c:v>
                </c:pt>
                <c:pt idx="17">
                  <c:v>110</c:v>
                </c:pt>
                <c:pt idx="18">
                  <c:v>112</c:v>
                </c:pt>
                <c:pt idx="19">
                  <c:v>112</c:v>
                </c:pt>
              </c:numCache>
            </c:numRef>
          </c:val>
          <c:extLst>
            <c:ext xmlns:c16="http://schemas.microsoft.com/office/drawing/2014/chart" uri="{C3380CC4-5D6E-409C-BE32-E72D297353CC}">
              <c16:uniqueId val="{00000007-739B-4AB1-8DDA-973AE6A7C5E4}"/>
            </c:ext>
          </c:extLst>
        </c:ser>
        <c:ser>
          <c:idx val="1"/>
          <c:order val="1"/>
          <c:tx>
            <c:strRef>
              <c:f>'BMI Vs AVG Weight &amp; Height'!$C$3</c:f>
              <c:strCache>
                <c:ptCount val="1"/>
                <c:pt idx="0">
                  <c:v>Average of Height(cm)</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'BMI Vs AVG Weight &amp; Height'!$A$4:$A$23</c:f>
              <c:strCache>
                <c:ptCount val="20"/>
                <c:pt idx="0">
                  <c:v>10.04-12.04</c:v>
                </c:pt>
                <c:pt idx="1">
                  <c:v>12.04-14.04</c:v>
                </c:pt>
                <c:pt idx="2">
                  <c:v>14.04-16.04</c:v>
                </c:pt>
                <c:pt idx="3">
                  <c:v>16.04-18.04</c:v>
                </c:pt>
                <c:pt idx="4">
                  <c:v>18.04-20.04</c:v>
                </c:pt>
                <c:pt idx="5">
                  <c:v>20.04-22.04</c:v>
                </c:pt>
                <c:pt idx="6">
                  <c:v>22.04-24.04</c:v>
                </c:pt>
                <c:pt idx="7">
                  <c:v>24.04-26.04</c:v>
                </c:pt>
                <c:pt idx="8">
                  <c:v>26.04-28.04</c:v>
                </c:pt>
                <c:pt idx="9">
                  <c:v>28.04-30.04</c:v>
                </c:pt>
                <c:pt idx="10">
                  <c:v>30.04-32.04</c:v>
                </c:pt>
                <c:pt idx="11">
                  <c:v>32.04-34.04</c:v>
                </c:pt>
                <c:pt idx="12">
                  <c:v>34.04-36.04</c:v>
                </c:pt>
                <c:pt idx="13">
                  <c:v>36.04-38.04</c:v>
                </c:pt>
                <c:pt idx="14">
                  <c:v>38.04-40.04</c:v>
                </c:pt>
                <c:pt idx="15">
                  <c:v>40.04-42.04</c:v>
                </c:pt>
                <c:pt idx="16">
                  <c:v>42.04-44.04</c:v>
                </c:pt>
                <c:pt idx="17">
                  <c:v>44.04-46.04</c:v>
                </c:pt>
                <c:pt idx="18">
                  <c:v>46.04-48.04</c:v>
                </c:pt>
                <c:pt idx="19">
                  <c:v>&gt;50.04</c:v>
                </c:pt>
              </c:strCache>
            </c:strRef>
          </c:cat>
          <c:val>
            <c:numRef>
              <c:f>'BMI Vs AVG Weight &amp; Height'!$C$4:$C$23</c:f>
              <c:numCache>
                <c:formatCode>General</c:formatCode>
                <c:ptCount val="20"/>
                <c:pt idx="0">
                  <c:v>197.7</c:v>
                </c:pt>
                <c:pt idx="1">
                  <c:v>181.4375</c:v>
                </c:pt>
                <c:pt idx="2">
                  <c:v>186.3235294117647</c:v>
                </c:pt>
                <c:pt idx="3">
                  <c:v>177.96666666666667</c:v>
                </c:pt>
                <c:pt idx="4">
                  <c:v>171.16346153846155</c:v>
                </c:pt>
                <c:pt idx="5">
                  <c:v>170.6965265082267</c:v>
                </c:pt>
                <c:pt idx="6">
                  <c:v>174.44492131616596</c:v>
                </c:pt>
                <c:pt idx="7">
                  <c:v>178.47433264887064</c:v>
                </c:pt>
                <c:pt idx="8">
                  <c:v>181.57328990228012</c:v>
                </c:pt>
                <c:pt idx="9">
                  <c:v>180.95275590551182</c:v>
                </c:pt>
                <c:pt idx="10">
                  <c:v>178.93103448275863</c:v>
                </c:pt>
                <c:pt idx="11">
                  <c:v>169.88235294117646</c:v>
                </c:pt>
                <c:pt idx="12">
                  <c:v>159.45454545454547</c:v>
                </c:pt>
                <c:pt idx="13">
                  <c:v>163.81818181818181</c:v>
                </c:pt>
                <c:pt idx="14">
                  <c:v>159</c:v>
                </c:pt>
                <c:pt idx="15">
                  <c:v>161.66666666666666</c:v>
                </c:pt>
                <c:pt idx="16">
                  <c:v>154</c:v>
                </c:pt>
                <c:pt idx="17">
                  <c:v>155.66666666666666</c:v>
                </c:pt>
                <c:pt idx="18">
                  <c:v>154</c:v>
                </c:pt>
                <c:pt idx="19">
                  <c:v>152</c:v>
                </c:pt>
              </c:numCache>
            </c:numRef>
          </c:val>
          <c:extLst>
            <c:ext xmlns:c16="http://schemas.microsoft.com/office/drawing/2014/chart" uri="{C3380CC4-5D6E-409C-BE32-E72D297353CC}">
              <c16:uniqueId val="{00000008-739B-4AB1-8DDA-973AE6A7C5E4}"/>
            </c:ext>
          </c:extLst>
        </c:ser>
        <c:dLbls>
          <c:showLegendKey val="0"/>
          <c:showVal val="0"/>
          <c:showCatName val="0"/>
          <c:showSerName val="0"/>
          <c:showPercent val="0"/>
          <c:showBubbleSize val="0"/>
        </c:dLbls>
        <c:gapWidth val="100"/>
        <c:axId val="1466602239"/>
        <c:axId val="1466596415"/>
      </c:barChart>
      <c:catAx>
        <c:axId val="1466602239"/>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66596415"/>
        <c:crosses val="autoZero"/>
        <c:auto val="1"/>
        <c:lblAlgn val="ctr"/>
        <c:lblOffset val="100"/>
        <c:noMultiLvlLbl val="0"/>
      </c:catAx>
      <c:valAx>
        <c:axId val="1466596415"/>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66602239"/>
        <c:crosses val="autoZero"/>
        <c:crossBetween val="between"/>
      </c:valAx>
      <c:spPr>
        <a:noFill/>
        <a:ln>
          <a:noFill/>
        </a:ln>
        <a:effectLst/>
      </c:spPr>
    </c:plotArea>
    <c:legend>
      <c:legendPos val="r"/>
      <c:layout>
        <c:manualLayout>
          <c:xMode val="edge"/>
          <c:yMode val="edge"/>
          <c:x val="0.79426165205848698"/>
          <c:y val="0.39571059257884988"/>
          <c:w val="0.19085708460427853"/>
          <c:h val="0.31153033890934873"/>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pivotSource>
    <c:name>[EXCEL PROJECT.xlsx]Avg BMI Acroos Sport!PivotTable5</c:name>
    <c:fmtId val="2"/>
  </c:pivotSource>
  <c:chart>
    <c:title>
      <c:tx>
        <c:rich>
          <a:bodyPr rot="0" spcFirstLastPara="1" vertOverflow="ellipsis" vert="horz" wrap="square" anchor="ctr" anchorCtr="1"/>
          <a:lstStyle/>
          <a:p>
            <a:pPr>
              <a:defRPr sz="2800" b="1" i="1" u="none" strike="noStrike" kern="1200" spc="0" baseline="0">
                <a:solidFill>
                  <a:schemeClr val="tx1">
                    <a:lumMod val="65000"/>
                    <a:lumOff val="35000"/>
                  </a:schemeClr>
                </a:solidFill>
                <a:latin typeface="+mn-lt"/>
                <a:ea typeface="+mn-ea"/>
                <a:cs typeface="+mn-cs"/>
              </a:defRPr>
            </a:pPr>
            <a:r>
              <a:rPr lang="en-US" sz="2800" b="1" i="1"/>
              <a:t>Avg</a:t>
            </a:r>
            <a:r>
              <a:rPr lang="en-US" sz="2800" b="1" i="1" baseline="0"/>
              <a:t> BMI Across Sport</a:t>
            </a:r>
            <a:endParaRPr lang="en-US" sz="2800" b="1" i="1"/>
          </a:p>
        </c:rich>
      </c:tx>
      <c:overlay val="0"/>
      <c:spPr>
        <a:noFill/>
        <a:ln>
          <a:noFill/>
        </a:ln>
        <a:effectLst/>
      </c:spPr>
      <c:txPr>
        <a:bodyPr rot="0" spcFirstLastPara="1" vertOverflow="ellipsis" vert="horz" wrap="square" anchor="ctr" anchorCtr="1"/>
        <a:lstStyle/>
        <a:p>
          <a:pPr>
            <a:defRPr sz="2800" b="1" i="1"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dk1">
              <a:tint val="88500"/>
            </a:schemeClr>
          </a:solidFill>
          <a:ln>
            <a:noFill/>
          </a:ln>
          <a:effectLst/>
        </c:spPr>
        <c:marker>
          <c:symbol val="circle"/>
          <c:size val="5"/>
          <c:spPr>
            <a:solidFill>
              <a:schemeClr val="dk1">
                <a:tint val="88500"/>
              </a:schemeClr>
            </a:solidFill>
            <a:ln w="9525">
              <a:solidFill>
                <a:schemeClr val="dk1">
                  <a:tint val="885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dk1">
              <a:tint val="88500"/>
            </a:schemeClr>
          </a:solidFill>
          <a:ln>
            <a:noFill/>
          </a:ln>
          <a:effectLst/>
        </c:spPr>
        <c:marker>
          <c:symbol val="circle"/>
          <c:size val="5"/>
          <c:spPr>
            <a:solidFill>
              <a:schemeClr val="dk1">
                <a:tint val="88500"/>
              </a:schemeClr>
            </a:solidFill>
            <a:ln w="9525">
              <a:solidFill>
                <a:schemeClr val="dk1">
                  <a:tint val="885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dk1">
                <a:tint val="88500"/>
              </a:schemeClr>
            </a:solidFill>
            <a:round/>
          </a:ln>
          <a:effectLst/>
        </c:spPr>
        <c:marker>
          <c:symbol val="circle"/>
          <c:size val="5"/>
          <c:spPr>
            <a:solidFill>
              <a:schemeClr val="dk1">
                <a:tint val="88500"/>
              </a:schemeClr>
            </a:solidFill>
            <a:ln w="9525">
              <a:solidFill>
                <a:schemeClr val="dk1">
                  <a:tint val="885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'Avg BMI Acroos Sport'!$B$3</c:f>
              <c:strCache>
                <c:ptCount val="1"/>
                <c:pt idx="0">
                  <c:v>Total</c:v>
                </c:pt>
              </c:strCache>
            </c:strRef>
          </c:tx>
          <c:spPr>
            <a:ln w="28575" cap="rnd">
              <a:solidFill>
                <a:schemeClr val="dk1">
                  <a:tint val="88500"/>
                </a:schemeClr>
              </a:solidFill>
              <a:round/>
            </a:ln>
            <a:effectLst/>
          </c:spPr>
          <c:marker>
            <c:symbol val="circle"/>
            <c:size val="5"/>
            <c:spPr>
              <a:solidFill>
                <a:schemeClr val="dk1">
                  <a:tint val="88500"/>
                </a:schemeClr>
              </a:solidFill>
              <a:ln w="9525">
                <a:solidFill>
                  <a:schemeClr val="dk1">
                    <a:tint val="88500"/>
                  </a:schemeClr>
                </a:solidFill>
              </a:ln>
              <a:effectLst/>
            </c:spPr>
          </c:marker>
          <c:cat>
            <c:strRef>
              <c:f>'Avg BMI Acroos Sport'!$A$4:$A$20</c:f>
              <c:strCache>
                <c:ptCount val="17"/>
                <c:pt idx="0">
                  <c:v>Alpine Skiing</c:v>
                </c:pt>
                <c:pt idx="1">
                  <c:v>Biathlon</c:v>
                </c:pt>
                <c:pt idx="2">
                  <c:v>Bobsleigh</c:v>
                </c:pt>
                <c:pt idx="3">
                  <c:v>Cross-Country Skiing</c:v>
                </c:pt>
                <c:pt idx="4">
                  <c:v>Cross-Country Skiing,Biathlon</c:v>
                </c:pt>
                <c:pt idx="5">
                  <c:v>Curling</c:v>
                </c:pt>
                <c:pt idx="6">
                  <c:v>Figure Skating</c:v>
                </c:pt>
                <c:pt idx="7">
                  <c:v>Freestyle Skiing</c:v>
                </c:pt>
                <c:pt idx="8">
                  <c:v>Ice Hockey</c:v>
                </c:pt>
                <c:pt idx="9">
                  <c:v>Luge</c:v>
                </c:pt>
                <c:pt idx="10">
                  <c:v>Nordic Combined</c:v>
                </c:pt>
                <c:pt idx="11">
                  <c:v>Short Track</c:v>
                </c:pt>
                <c:pt idx="12">
                  <c:v>Skeleton</c:v>
                </c:pt>
                <c:pt idx="13">
                  <c:v>Ski Jumping</c:v>
                </c:pt>
                <c:pt idx="14">
                  <c:v>Snowboard</c:v>
                </c:pt>
                <c:pt idx="15">
                  <c:v>Speed Skating</c:v>
                </c:pt>
                <c:pt idx="16">
                  <c:v>Speed Skating,Short Track</c:v>
                </c:pt>
              </c:strCache>
            </c:strRef>
          </c:cat>
          <c:val>
            <c:numRef>
              <c:f>'Avg BMI Acroos Sport'!$B$4:$B$20</c:f>
              <c:numCache>
                <c:formatCode>General</c:formatCode>
                <c:ptCount val="17"/>
                <c:pt idx="0">
                  <c:v>24.463985922587121</c:v>
                </c:pt>
                <c:pt idx="1">
                  <c:v>21.841862313997762</c:v>
                </c:pt>
                <c:pt idx="2">
                  <c:v>27.417779969086762</c:v>
                </c:pt>
                <c:pt idx="3">
                  <c:v>22.220658766455603</c:v>
                </c:pt>
                <c:pt idx="4">
                  <c:v>18.62284924386319</c:v>
                </c:pt>
                <c:pt idx="5">
                  <c:v>23.82717218635041</c:v>
                </c:pt>
                <c:pt idx="6">
                  <c:v>26.109369770560775</c:v>
                </c:pt>
                <c:pt idx="7">
                  <c:v>23.536787960017787</c:v>
                </c:pt>
                <c:pt idx="8">
                  <c:v>25.00315935562524</c:v>
                </c:pt>
                <c:pt idx="9">
                  <c:v>25.046859148978275</c:v>
                </c:pt>
                <c:pt idx="10">
                  <c:v>21.04268088857518</c:v>
                </c:pt>
                <c:pt idx="11">
                  <c:v>21.779016077244712</c:v>
                </c:pt>
                <c:pt idx="12">
                  <c:v>23.308064026421466</c:v>
                </c:pt>
                <c:pt idx="13">
                  <c:v>20.04210938250791</c:v>
                </c:pt>
                <c:pt idx="14">
                  <c:v>23.517811223645726</c:v>
                </c:pt>
                <c:pt idx="15">
                  <c:v>22.884782077848328</c:v>
                </c:pt>
                <c:pt idx="16">
                  <c:v>23.98687034465345</c:v>
                </c:pt>
              </c:numCache>
            </c:numRef>
          </c:val>
          <c:smooth val="0"/>
          <c:extLst>
            <c:ext xmlns:c16="http://schemas.microsoft.com/office/drawing/2014/chart" uri="{C3380CC4-5D6E-409C-BE32-E72D297353CC}">
              <c16:uniqueId val="{00000004-5C68-46FF-89E0-94A8EC01C561}"/>
            </c:ext>
          </c:extLst>
        </c:ser>
        <c:dLbls>
          <c:showLegendKey val="0"/>
          <c:showVal val="0"/>
          <c:showCatName val="0"/>
          <c:showSerName val="0"/>
          <c:showPercent val="0"/>
          <c:showBubbleSize val="0"/>
        </c:dLbls>
        <c:marker val="1"/>
        <c:smooth val="0"/>
        <c:axId val="1840724111"/>
        <c:axId val="1840727439"/>
      </c:lineChart>
      <c:catAx>
        <c:axId val="184072411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40727439"/>
        <c:crosses val="autoZero"/>
        <c:auto val="1"/>
        <c:lblAlgn val="ctr"/>
        <c:lblOffset val="100"/>
        <c:noMultiLvlLbl val="0"/>
      </c:catAx>
      <c:valAx>
        <c:axId val="1840727439"/>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40724111"/>
        <c:crosses val="autoZero"/>
        <c:crossBetween val="between"/>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[EXCEL PROJECT.xlsx]Age Across BMI!PivotTable6</c:name>
    <c:fmtId val="2"/>
  </c:pivotSource>
  <c:chart>
    <c:title>
      <c:tx>
        <c:rich>
          <a:bodyPr rot="0" spcFirstLastPara="1" vertOverflow="ellipsis" vert="horz" wrap="square" anchor="ctr" anchorCtr="1"/>
          <a:lstStyle/>
          <a:p>
            <a:pPr>
              <a:defRPr sz="2800" b="1" i="1" u="none" strike="noStrike" kern="1200" baseline="0">
                <a:solidFill>
                  <a:schemeClr val="dk1">
                    <a:lumMod val="75000"/>
                    <a:lumOff val="25000"/>
                  </a:schemeClr>
                </a:solidFill>
                <a:latin typeface="+mn-lt"/>
                <a:ea typeface="+mn-ea"/>
                <a:cs typeface="+mn-cs"/>
              </a:defRPr>
            </a:pPr>
            <a:r>
              <a:rPr lang="en-US" sz="2800" i="1"/>
              <a:t>Top</a:t>
            </a:r>
            <a:r>
              <a:rPr lang="en-US" sz="2800" i="1" baseline="0"/>
              <a:t> 5 Age Across BMI</a:t>
            </a:r>
            <a:endParaRPr lang="en-US" sz="2800" i="1"/>
          </a:p>
        </c:rich>
      </c:tx>
      <c:overlay val="0"/>
      <c:spPr>
        <a:noFill/>
        <a:ln>
          <a:noFill/>
        </a:ln>
        <a:effectLst/>
      </c:spPr>
      <c:txPr>
        <a:bodyPr rot="0" spcFirstLastPara="1" vertOverflow="ellipsis" vert="horz" wrap="square" anchor="ctr" anchorCtr="1"/>
        <a:lstStyle/>
        <a:p>
          <a:pPr>
            <a:defRPr sz="2800" b="1" i="1"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2">
              <a:alpha val="85000"/>
            </a:schemeClr>
          </a:solidFill>
          <a:ln w="9525" cap="flat" cmpd="sng" algn="ctr">
            <a:solidFill>
              <a:schemeClr val="accent2">
                <a:lumMod val="75000"/>
              </a:schemeClr>
            </a:solidFill>
            <a:round/>
          </a:ln>
          <a:effectLst/>
          <a:sp3d contourW="9525">
            <a:contourClr>
              <a:schemeClr val="accent2">
                <a:lumMod val="75000"/>
              </a:schemeClr>
            </a:contourClr>
          </a:sp3d>
        </c:spPr>
        <c:marker>
          <c:symbol val="circle"/>
          <c:size val="6"/>
          <c:spPr>
            <a:solidFill>
              <a:schemeClr val="accent2">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alpha val="85000"/>
            </a:schemeClr>
          </a:solidFill>
          <a:ln w="9525" cap="flat" cmpd="sng" algn="ctr">
            <a:solidFill>
              <a:schemeClr val="accent2">
                <a:lumMod val="75000"/>
              </a:schemeClr>
            </a:solidFill>
            <a:round/>
          </a:ln>
          <a:effectLst/>
          <a:sp3d contourW="9525">
            <a:contourClr>
              <a:schemeClr val="accent2">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alpha val="85000"/>
            </a:schemeClr>
          </a:solidFill>
          <a:ln w="9525" cap="flat" cmpd="sng" algn="ctr">
            <a:solidFill>
              <a:schemeClr val="accent2">
                <a:lumMod val="75000"/>
              </a:schemeClr>
            </a:solidFill>
            <a:round/>
          </a:ln>
          <a:effectLst/>
          <a:sp3d contourW="9525">
            <a:contourClr>
              <a:schemeClr val="accent2">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0"/>
      <c:rotY val="0"/>
      <c:depthPercent val="60"/>
      <c:rAngAx val="0"/>
      <c:perspective val="100"/>
    </c:view3D>
    <c:floor>
      <c:thickness val="0"/>
      <c:spPr>
        <a:solidFill>
          <a:schemeClr val="lt1">
            <a:lumMod val="95000"/>
          </a:schemeClr>
        </a:solid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'Age Across BMI'!$B$3</c:f>
              <c:strCache>
                <c:ptCount val="1"/>
                <c:pt idx="0">
                  <c:v>Total</c:v>
                </c:pt>
              </c:strCache>
            </c:strRef>
          </c:tx>
          <c:spPr>
            <a:solidFill>
              <a:schemeClr val="accent2">
                <a:alpha val="85000"/>
              </a:schemeClr>
            </a:solidFill>
            <a:ln w="9525" cap="flat" cmpd="sng" algn="ctr">
              <a:solidFill>
                <a:schemeClr val="accent2">
                  <a:lumMod val="75000"/>
                </a:schemeClr>
              </a:solidFill>
              <a:round/>
            </a:ln>
            <a:effectLst/>
            <a:sp3d contourW="9525">
              <a:contourClr>
                <a:schemeClr val="accent2">
                  <a:lumMod val="75000"/>
                </a:schemeClr>
              </a:contourClr>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'Age Across BMI'!$A$4:$A$8</c:f>
              <c:strCache>
                <c:ptCount val="5"/>
                <c:pt idx="0">
                  <c:v>22</c:v>
                </c:pt>
                <c:pt idx="1">
                  <c:v>23</c:v>
                </c:pt>
                <c:pt idx="2">
                  <c:v>24</c:v>
                </c:pt>
                <c:pt idx="3">
                  <c:v>25</c:v>
                </c:pt>
                <c:pt idx="4">
                  <c:v>27</c:v>
                </c:pt>
              </c:strCache>
            </c:strRef>
          </c:cat>
          <c:val>
            <c:numRef>
              <c:f>'Age Across BMI'!$B$4:$B$8</c:f>
              <c:numCache>
                <c:formatCode>General</c:formatCode>
                <c:ptCount val="5"/>
                <c:pt idx="0">
                  <c:v>176</c:v>
                </c:pt>
                <c:pt idx="1">
                  <c:v>187</c:v>
                </c:pt>
                <c:pt idx="2">
                  <c:v>238</c:v>
                </c:pt>
                <c:pt idx="3">
                  <c:v>228</c:v>
                </c:pt>
                <c:pt idx="4">
                  <c:v>188</c:v>
                </c:pt>
              </c:numCache>
            </c:numRef>
          </c:val>
          <c:extLst>
            <c:ext xmlns:c16="http://schemas.microsoft.com/office/drawing/2014/chart" uri="{C3380CC4-5D6E-409C-BE32-E72D297353CC}">
              <c16:uniqueId val="{00000004-0E4D-41E6-9371-6E0E038E82B7}"/>
            </c:ext>
          </c:extLst>
        </c:ser>
        <c:dLbls>
          <c:showLegendKey val="0"/>
          <c:showVal val="1"/>
          <c:showCatName val="0"/>
          <c:showSerName val="0"/>
          <c:showPercent val="0"/>
          <c:showBubbleSize val="0"/>
        </c:dLbls>
        <c:gapWidth val="65"/>
        <c:shape val="box"/>
        <c:axId val="879394415"/>
        <c:axId val="879385679"/>
        <c:axId val="0"/>
      </c:bar3DChart>
      <c:catAx>
        <c:axId val="879394415"/>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879385679"/>
        <c:crosses val="autoZero"/>
        <c:auto val="1"/>
        <c:lblAlgn val="ctr"/>
        <c:lblOffset val="100"/>
        <c:noMultiLvlLbl val="0"/>
      </c:catAx>
      <c:valAx>
        <c:axId val="879385679"/>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87939441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PROJECT.xlsx]Age Across BMI!PivotTable7</c:name>
    <c:fmtId val="2"/>
  </c:pivotSource>
  <c:chart>
    <c:title>
      <c:tx>
        <c:rich>
          <a:bodyPr rot="0" spcFirstLastPara="1" vertOverflow="ellipsis" vert="horz" wrap="square" anchor="ctr" anchorCtr="1"/>
          <a:lstStyle/>
          <a:p>
            <a:pPr>
              <a:defRPr sz="2800" b="1" i="1" u="none" strike="noStrike" kern="1200" spc="0" baseline="0">
                <a:solidFill>
                  <a:schemeClr val="tx1">
                    <a:lumMod val="65000"/>
                    <a:lumOff val="35000"/>
                  </a:schemeClr>
                </a:solidFill>
                <a:latin typeface="+mn-lt"/>
                <a:ea typeface="+mn-ea"/>
                <a:cs typeface="+mn-cs"/>
              </a:defRPr>
            </a:pPr>
            <a:r>
              <a:rPr lang="en-US" sz="2800" b="1" i="1"/>
              <a:t>Bottom</a:t>
            </a:r>
            <a:r>
              <a:rPr lang="en-US" sz="2800" b="1" i="1" baseline="0"/>
              <a:t> 5 Age Across BMI</a:t>
            </a:r>
            <a:endParaRPr lang="en-US" sz="2800" b="1" i="1"/>
          </a:p>
        </c:rich>
      </c:tx>
      <c:layout>
        <c:manualLayout>
          <c:xMode val="edge"/>
          <c:yMode val="edge"/>
          <c:x val="0.10238219423583919"/>
          <c:y val="2.1363644556055536E-2"/>
        </c:manualLayout>
      </c:layout>
      <c:overlay val="0"/>
      <c:spPr>
        <a:noFill/>
        <a:ln>
          <a:noFill/>
        </a:ln>
        <a:effectLst/>
      </c:spPr>
      <c:txPr>
        <a:bodyPr rot="0" spcFirstLastPara="1" vertOverflow="ellipsis" vert="horz" wrap="square" anchor="ctr" anchorCtr="1"/>
        <a:lstStyle/>
        <a:p>
          <a:pPr>
            <a:defRPr sz="2800" b="1" i="1"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w="19050">
            <a:solidFill>
              <a:schemeClr val="lt1"/>
            </a:solidFill>
          </a:ln>
          <a:effectLst/>
        </c:spPr>
        <c:marker>
          <c:symbol val="circle"/>
          <c:size val="5"/>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solidFill>
          <a:ln w="19050">
            <a:solidFill>
              <a:schemeClr val="lt1"/>
            </a:solidFill>
          </a:ln>
          <a:effectLst/>
        </c:spPr>
      </c:pivotFmt>
      <c:pivotFmt>
        <c:idx val="3"/>
        <c:spPr>
          <a:solidFill>
            <a:schemeClr val="accent2"/>
          </a:solidFill>
          <a:ln w="19050">
            <a:solidFill>
              <a:schemeClr val="lt1"/>
            </a:solidFill>
          </a:ln>
          <a:effectLst/>
        </c:spPr>
      </c:pivotFmt>
      <c:pivotFmt>
        <c:idx val="4"/>
        <c:spPr>
          <a:solidFill>
            <a:schemeClr val="accent2"/>
          </a:solidFill>
          <a:ln w="19050">
            <a:solidFill>
              <a:schemeClr val="lt1"/>
            </a:solidFill>
          </a:ln>
          <a:effectLst/>
        </c:spPr>
      </c:pivotFmt>
      <c:pivotFmt>
        <c:idx val="5"/>
        <c:spPr>
          <a:solidFill>
            <a:schemeClr val="accent2"/>
          </a:solidFill>
          <a:ln w="19050">
            <a:solidFill>
              <a:schemeClr val="lt1"/>
            </a:solidFill>
          </a:ln>
          <a:effectLst/>
        </c:spPr>
      </c:pivotFmt>
      <c:pivotFmt>
        <c:idx val="6"/>
        <c:spPr>
          <a:solidFill>
            <a:schemeClr val="accent2"/>
          </a:solidFill>
          <a:ln w="19050">
            <a:solidFill>
              <a:schemeClr val="lt1"/>
            </a:solidFill>
          </a:ln>
          <a:effectLst/>
        </c:spPr>
      </c:pivotFmt>
      <c:pivotFmt>
        <c:idx val="7"/>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2"/>
          </a:solidFill>
          <a:ln w="19050">
            <a:solidFill>
              <a:schemeClr val="lt1"/>
            </a:solidFill>
          </a:ln>
          <a:effectLst/>
        </c:spPr>
      </c:pivotFmt>
      <c:pivotFmt>
        <c:idx val="9"/>
        <c:spPr>
          <a:solidFill>
            <a:schemeClr val="accent2"/>
          </a:solidFill>
          <a:ln w="19050">
            <a:solidFill>
              <a:schemeClr val="lt1"/>
            </a:solidFill>
          </a:ln>
          <a:effectLst/>
        </c:spPr>
      </c:pivotFmt>
      <c:pivotFmt>
        <c:idx val="10"/>
        <c:spPr>
          <a:solidFill>
            <a:schemeClr val="accent2"/>
          </a:solidFill>
          <a:ln w="19050">
            <a:solidFill>
              <a:schemeClr val="lt1"/>
            </a:solidFill>
          </a:ln>
          <a:effectLst/>
        </c:spPr>
      </c:pivotFmt>
      <c:pivotFmt>
        <c:idx val="11"/>
        <c:spPr>
          <a:solidFill>
            <a:schemeClr val="accent2"/>
          </a:solidFill>
          <a:ln w="19050">
            <a:solidFill>
              <a:schemeClr val="lt1"/>
            </a:solidFill>
          </a:ln>
          <a:effectLst/>
        </c:spPr>
      </c:pivotFmt>
      <c:pivotFmt>
        <c:idx val="12"/>
        <c:spPr>
          <a:solidFill>
            <a:schemeClr val="accent2"/>
          </a:solidFill>
          <a:ln w="19050">
            <a:solidFill>
              <a:schemeClr val="lt1"/>
            </a:solidFill>
          </a:ln>
          <a:effectLst/>
        </c:spPr>
      </c:pivotFmt>
      <c:pivotFmt>
        <c:idx val="13"/>
        <c:spPr>
          <a:solidFill>
            <a:schemeClr val="accent2"/>
          </a:solidFill>
          <a:ln w="19050">
            <a:solidFill>
              <a:schemeClr val="lt1"/>
            </a:solidFill>
          </a:ln>
          <a:effectLst/>
        </c:spPr>
      </c:pivotFmt>
      <c:pivotFmt>
        <c:idx val="14"/>
        <c:spPr>
          <a:solidFill>
            <a:schemeClr val="accent2"/>
          </a:solidFill>
          <a:ln w="19050">
            <a:solidFill>
              <a:schemeClr val="lt1"/>
            </a:solidFill>
          </a:ln>
          <a:effectLst/>
        </c:spPr>
      </c:pivotFmt>
      <c:pivotFmt>
        <c:idx val="15"/>
        <c:spPr>
          <a:solidFill>
            <a:schemeClr val="accent2"/>
          </a:solidFill>
          <a:ln w="19050">
            <a:solidFill>
              <a:schemeClr val="lt1"/>
            </a:solidFill>
          </a:ln>
          <a:effectLst/>
        </c:spPr>
      </c:pivotFmt>
      <c:pivotFmt>
        <c:idx val="16"/>
        <c:spPr>
          <a:solidFill>
            <a:schemeClr val="accent2"/>
          </a:solidFill>
          <a:ln w="19050">
            <a:solidFill>
              <a:schemeClr val="lt1"/>
            </a:solidFill>
          </a:ln>
          <a:effectLst/>
        </c:spPr>
      </c:pivotFmt>
      <c:pivotFmt>
        <c:idx val="17"/>
        <c:spPr>
          <a:solidFill>
            <a:schemeClr val="accent2"/>
          </a:solidFill>
          <a:ln w="19050">
            <a:solidFill>
              <a:schemeClr val="lt1"/>
            </a:solidFill>
          </a:ln>
          <a:effectLst/>
        </c:spPr>
      </c:pivotFmt>
    </c:pivotFmts>
    <c:plotArea>
      <c:layout>
        <c:manualLayout>
          <c:layoutTarget val="inner"/>
          <c:xMode val="edge"/>
          <c:yMode val="edge"/>
          <c:x val="0.10078446789064882"/>
          <c:y val="0.21316952136064066"/>
          <c:w val="0.77301864313971091"/>
          <c:h val="0.78376325904475841"/>
        </c:manualLayout>
      </c:layout>
      <c:doughnutChart>
        <c:varyColors val="1"/>
        <c:ser>
          <c:idx val="0"/>
          <c:order val="0"/>
          <c:tx>
            <c:strRef>
              <c:f>'Age Across BMI'!$E$3</c:f>
              <c:strCache>
                <c:ptCount val="1"/>
                <c:pt idx="0">
                  <c:v>Total</c:v>
                </c:pt>
              </c:strCache>
            </c:strRef>
          </c:tx>
          <c:dPt>
            <c:idx val="0"/>
            <c:bubble3D val="0"/>
            <c:spPr>
              <a:solidFill>
                <a:schemeClr val="accent2"/>
              </a:solidFill>
              <a:ln w="19050">
                <a:solidFill>
                  <a:schemeClr val="lt1"/>
                </a:solidFill>
              </a:ln>
              <a:effectLst/>
            </c:spPr>
            <c:extLst>
              <c:ext xmlns:c16="http://schemas.microsoft.com/office/drawing/2014/chart" uri="{C3380CC4-5D6E-409C-BE32-E72D297353CC}">
                <c16:uniqueId val="{00000001-F7D8-48AA-8BBD-CAD14304080C}"/>
              </c:ext>
            </c:extLst>
          </c:dPt>
          <c:dPt>
            <c:idx val="1"/>
            <c:bubble3D val="0"/>
            <c:spPr>
              <a:solidFill>
                <a:schemeClr val="accent4"/>
              </a:solidFill>
              <a:ln w="19050">
                <a:solidFill>
                  <a:schemeClr val="lt1"/>
                </a:solidFill>
              </a:ln>
              <a:effectLst/>
            </c:spPr>
            <c:extLst>
              <c:ext xmlns:c16="http://schemas.microsoft.com/office/drawing/2014/chart" uri="{C3380CC4-5D6E-409C-BE32-E72D297353CC}">
                <c16:uniqueId val="{00000003-F7D8-48AA-8BBD-CAD14304080C}"/>
              </c:ext>
            </c:extLst>
          </c:dPt>
          <c:dPt>
            <c:idx val="2"/>
            <c:bubble3D val="0"/>
            <c:spPr>
              <a:solidFill>
                <a:schemeClr val="accent6"/>
              </a:solidFill>
              <a:ln w="19050">
                <a:solidFill>
                  <a:schemeClr val="lt1"/>
                </a:solidFill>
              </a:ln>
              <a:effectLst/>
            </c:spPr>
            <c:extLst>
              <c:ext xmlns:c16="http://schemas.microsoft.com/office/drawing/2014/chart" uri="{C3380CC4-5D6E-409C-BE32-E72D297353CC}">
                <c16:uniqueId val="{00000005-F7D8-48AA-8BBD-CAD14304080C}"/>
              </c:ext>
            </c:extLst>
          </c:dPt>
          <c:dPt>
            <c:idx val="3"/>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7-F7D8-48AA-8BBD-CAD14304080C}"/>
              </c:ext>
            </c:extLst>
          </c:dPt>
          <c:dPt>
            <c:idx val="4"/>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09-F7D8-48AA-8BBD-CAD14304080C}"/>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'Age Across BMI'!$D$4:$D$8</c:f>
              <c:strCache>
                <c:ptCount val="5"/>
                <c:pt idx="0">
                  <c:v>41</c:v>
                </c:pt>
                <c:pt idx="1">
                  <c:v>46</c:v>
                </c:pt>
                <c:pt idx="2">
                  <c:v>47</c:v>
                </c:pt>
                <c:pt idx="3">
                  <c:v>48</c:v>
                </c:pt>
                <c:pt idx="4">
                  <c:v>51</c:v>
                </c:pt>
              </c:strCache>
            </c:strRef>
          </c:cat>
          <c:val>
            <c:numRef>
              <c:f>'Age Across BMI'!$E$4:$E$8</c:f>
              <c:numCache>
                <c:formatCode>General</c:formatCode>
                <c:ptCount val="5"/>
                <c:pt idx="0">
                  <c:v>1</c:v>
                </c:pt>
                <c:pt idx="1">
                  <c:v>1</c:v>
                </c:pt>
                <c:pt idx="2">
                  <c:v>2</c:v>
                </c:pt>
                <c:pt idx="3">
                  <c:v>1</c:v>
                </c:pt>
                <c:pt idx="4">
                  <c:v>1</c:v>
                </c:pt>
              </c:numCache>
            </c:numRef>
          </c:val>
          <c:extLst>
            <c:ext xmlns:c16="http://schemas.microsoft.com/office/drawing/2014/chart" uri="{C3380CC4-5D6E-409C-BE32-E72D297353CC}">
              <c16:uniqueId val="{0000000E-E29E-4EF6-BD03-A1038511EED6}"/>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PROJECT.xlsx]BMI Vs AVG Weight &amp; Height!PivotTable2</c:name>
    <c:fmtId val="0"/>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BMI</a:t>
            </a:r>
            <a:r>
              <a:rPr lang="en-US" baseline="0"/>
              <a:t> Vs AVG Weight &amp; Height</a:t>
            </a:r>
            <a:endParaRPr lang="en-US"/>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'BMI Vs AVG Weight &amp; Height'!$B$3</c:f>
              <c:strCache>
                <c:ptCount val="1"/>
                <c:pt idx="0">
                  <c:v>Average of Weight(kg)</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'BMI Vs AVG Weight &amp; Height'!$A$4:$A$23</c:f>
              <c:strCache>
                <c:ptCount val="20"/>
                <c:pt idx="0">
                  <c:v>10.04-12.04</c:v>
                </c:pt>
                <c:pt idx="1">
                  <c:v>12.04-14.04</c:v>
                </c:pt>
                <c:pt idx="2">
                  <c:v>14.04-16.04</c:v>
                </c:pt>
                <c:pt idx="3">
                  <c:v>16.04-18.04</c:v>
                </c:pt>
                <c:pt idx="4">
                  <c:v>18.04-20.04</c:v>
                </c:pt>
                <c:pt idx="5">
                  <c:v>20.04-22.04</c:v>
                </c:pt>
                <c:pt idx="6">
                  <c:v>22.04-24.04</c:v>
                </c:pt>
                <c:pt idx="7">
                  <c:v>24.04-26.04</c:v>
                </c:pt>
                <c:pt idx="8">
                  <c:v>26.04-28.04</c:v>
                </c:pt>
                <c:pt idx="9">
                  <c:v>28.04-30.04</c:v>
                </c:pt>
                <c:pt idx="10">
                  <c:v>30.04-32.04</c:v>
                </c:pt>
                <c:pt idx="11">
                  <c:v>32.04-34.04</c:v>
                </c:pt>
                <c:pt idx="12">
                  <c:v>34.04-36.04</c:v>
                </c:pt>
                <c:pt idx="13">
                  <c:v>36.04-38.04</c:v>
                </c:pt>
                <c:pt idx="14">
                  <c:v>38.04-40.04</c:v>
                </c:pt>
                <c:pt idx="15">
                  <c:v>40.04-42.04</c:v>
                </c:pt>
                <c:pt idx="16">
                  <c:v>42.04-44.04</c:v>
                </c:pt>
                <c:pt idx="17">
                  <c:v>44.04-46.04</c:v>
                </c:pt>
                <c:pt idx="18">
                  <c:v>46.04-48.04</c:v>
                </c:pt>
                <c:pt idx="19">
                  <c:v>&gt;50.04</c:v>
                </c:pt>
              </c:strCache>
            </c:strRef>
          </c:cat>
          <c:val>
            <c:numRef>
              <c:f>'BMI Vs AVG Weight &amp; Height'!$B$4:$B$23</c:f>
              <c:numCache>
                <c:formatCode>General</c:formatCode>
                <c:ptCount val="20"/>
                <c:pt idx="0">
                  <c:v>42.3</c:v>
                </c:pt>
                <c:pt idx="1">
                  <c:v>43.5</c:v>
                </c:pt>
                <c:pt idx="2">
                  <c:v>51.941176470588232</c:v>
                </c:pt>
                <c:pt idx="3">
                  <c:v>54.43333333333333</c:v>
                </c:pt>
                <c:pt idx="4">
                  <c:v>56.70192307692308</c:v>
                </c:pt>
                <c:pt idx="5">
                  <c:v>61.566727605118828</c:v>
                </c:pt>
                <c:pt idx="6">
                  <c:v>70.253218884120173</c:v>
                </c:pt>
                <c:pt idx="7">
                  <c:v>79.969199178644757</c:v>
                </c:pt>
                <c:pt idx="8">
                  <c:v>88.941368078175898</c:v>
                </c:pt>
                <c:pt idx="9">
                  <c:v>94.921259842519689</c:v>
                </c:pt>
                <c:pt idx="10">
                  <c:v>99.189655172413794</c:v>
                </c:pt>
                <c:pt idx="11">
                  <c:v>96.352941176470594</c:v>
                </c:pt>
                <c:pt idx="12">
                  <c:v>90.681818181818187</c:v>
                </c:pt>
                <c:pt idx="13">
                  <c:v>98.63636363636364</c:v>
                </c:pt>
                <c:pt idx="14">
                  <c:v>98.444444444444443</c:v>
                </c:pt>
                <c:pt idx="15">
                  <c:v>106.6</c:v>
                </c:pt>
                <c:pt idx="16">
                  <c:v>102.25</c:v>
                </c:pt>
                <c:pt idx="17">
                  <c:v>110</c:v>
                </c:pt>
                <c:pt idx="18">
                  <c:v>112</c:v>
                </c:pt>
                <c:pt idx="19">
                  <c:v>112</c:v>
                </c:pt>
              </c:numCache>
            </c:numRef>
          </c:val>
          <c:extLst>
            <c:ext xmlns:c16="http://schemas.microsoft.com/office/drawing/2014/chart" uri="{C3380CC4-5D6E-409C-BE32-E72D297353CC}">
              <c16:uniqueId val="{00000007-4163-406B-B3D7-1DA0C4961AFC}"/>
            </c:ext>
          </c:extLst>
        </c:ser>
        <c:ser>
          <c:idx val="1"/>
          <c:order val="1"/>
          <c:tx>
            <c:strRef>
              <c:f>'BMI Vs AVG Weight &amp; Height'!$C$3</c:f>
              <c:strCache>
                <c:ptCount val="1"/>
                <c:pt idx="0">
                  <c:v>Average of Height(cm)</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'BMI Vs AVG Weight &amp; Height'!$A$4:$A$23</c:f>
              <c:strCache>
                <c:ptCount val="20"/>
                <c:pt idx="0">
                  <c:v>10.04-12.04</c:v>
                </c:pt>
                <c:pt idx="1">
                  <c:v>12.04-14.04</c:v>
                </c:pt>
                <c:pt idx="2">
                  <c:v>14.04-16.04</c:v>
                </c:pt>
                <c:pt idx="3">
                  <c:v>16.04-18.04</c:v>
                </c:pt>
                <c:pt idx="4">
                  <c:v>18.04-20.04</c:v>
                </c:pt>
                <c:pt idx="5">
                  <c:v>20.04-22.04</c:v>
                </c:pt>
                <c:pt idx="6">
                  <c:v>22.04-24.04</c:v>
                </c:pt>
                <c:pt idx="7">
                  <c:v>24.04-26.04</c:v>
                </c:pt>
                <c:pt idx="8">
                  <c:v>26.04-28.04</c:v>
                </c:pt>
                <c:pt idx="9">
                  <c:v>28.04-30.04</c:v>
                </c:pt>
                <c:pt idx="10">
                  <c:v>30.04-32.04</c:v>
                </c:pt>
                <c:pt idx="11">
                  <c:v>32.04-34.04</c:v>
                </c:pt>
                <c:pt idx="12">
                  <c:v>34.04-36.04</c:v>
                </c:pt>
                <c:pt idx="13">
                  <c:v>36.04-38.04</c:v>
                </c:pt>
                <c:pt idx="14">
                  <c:v>38.04-40.04</c:v>
                </c:pt>
                <c:pt idx="15">
                  <c:v>40.04-42.04</c:v>
                </c:pt>
                <c:pt idx="16">
                  <c:v>42.04-44.04</c:v>
                </c:pt>
                <c:pt idx="17">
                  <c:v>44.04-46.04</c:v>
                </c:pt>
                <c:pt idx="18">
                  <c:v>46.04-48.04</c:v>
                </c:pt>
                <c:pt idx="19">
                  <c:v>&gt;50.04</c:v>
                </c:pt>
              </c:strCache>
            </c:strRef>
          </c:cat>
          <c:val>
            <c:numRef>
              <c:f>'BMI Vs AVG Weight &amp; Height'!$C$4:$C$23</c:f>
              <c:numCache>
                <c:formatCode>General</c:formatCode>
                <c:ptCount val="20"/>
                <c:pt idx="0">
                  <c:v>197.7</c:v>
                </c:pt>
                <c:pt idx="1">
                  <c:v>181.4375</c:v>
                </c:pt>
                <c:pt idx="2">
                  <c:v>186.3235294117647</c:v>
                </c:pt>
                <c:pt idx="3">
                  <c:v>177.96666666666667</c:v>
                </c:pt>
                <c:pt idx="4">
                  <c:v>171.16346153846155</c:v>
                </c:pt>
                <c:pt idx="5">
                  <c:v>170.6965265082267</c:v>
                </c:pt>
                <c:pt idx="6">
                  <c:v>174.44492131616596</c:v>
                </c:pt>
                <c:pt idx="7">
                  <c:v>178.47433264887064</c:v>
                </c:pt>
                <c:pt idx="8">
                  <c:v>181.57328990228012</c:v>
                </c:pt>
                <c:pt idx="9">
                  <c:v>180.95275590551182</c:v>
                </c:pt>
                <c:pt idx="10">
                  <c:v>178.93103448275863</c:v>
                </c:pt>
                <c:pt idx="11">
                  <c:v>169.88235294117646</c:v>
                </c:pt>
                <c:pt idx="12">
                  <c:v>159.45454545454547</c:v>
                </c:pt>
                <c:pt idx="13">
                  <c:v>163.81818181818181</c:v>
                </c:pt>
                <c:pt idx="14">
                  <c:v>159</c:v>
                </c:pt>
                <c:pt idx="15">
                  <c:v>161.66666666666666</c:v>
                </c:pt>
                <c:pt idx="16">
                  <c:v>154</c:v>
                </c:pt>
                <c:pt idx="17">
                  <c:v>155.66666666666666</c:v>
                </c:pt>
                <c:pt idx="18">
                  <c:v>154</c:v>
                </c:pt>
                <c:pt idx="19">
                  <c:v>152</c:v>
                </c:pt>
              </c:numCache>
            </c:numRef>
          </c:val>
          <c:extLst>
            <c:ext xmlns:c16="http://schemas.microsoft.com/office/drawing/2014/chart" uri="{C3380CC4-5D6E-409C-BE32-E72D297353CC}">
              <c16:uniqueId val="{00000008-4163-406B-B3D7-1DA0C4961AFC}"/>
            </c:ext>
          </c:extLst>
        </c:ser>
        <c:dLbls>
          <c:showLegendKey val="0"/>
          <c:showVal val="0"/>
          <c:showCatName val="0"/>
          <c:showSerName val="0"/>
          <c:showPercent val="0"/>
          <c:showBubbleSize val="0"/>
        </c:dLbls>
        <c:gapWidth val="100"/>
        <c:axId val="1466602239"/>
        <c:axId val="1466596415"/>
      </c:barChart>
      <c:catAx>
        <c:axId val="1466602239"/>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66596415"/>
        <c:crosses val="autoZero"/>
        <c:auto val="1"/>
        <c:lblAlgn val="ctr"/>
        <c:lblOffset val="100"/>
        <c:noMultiLvlLbl val="0"/>
      </c:catAx>
      <c:valAx>
        <c:axId val="1466596415"/>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6660223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 id="15">
  <a:schemeClr val="accent2"/>
</cs:colorStyle>
</file>

<file path=xl/charts/colors2.xml><?xml version="1.0" encoding="utf-8"?>
<cs:colorStyle xmlns:cs="http://schemas.microsoft.com/office/drawing/2012/chartStyle" xmlns:a="http://schemas.openxmlformats.org/drawingml/2006/main" meth="withinLinearReversed" id="26">
  <a:schemeClr val="accent6"/>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withinLinear" id="17">
  <a:schemeClr val="accent4"/>
</cs:colorStyle>
</file>

<file path=xl/charts/colors5.xml><?xml version="1.0" encoding="utf-8"?>
<cs:colorStyle xmlns:cs="http://schemas.microsoft.com/office/drawing/2012/chartStyle" xmlns:a="http://schemas.openxmlformats.org/drawingml/2006/main" meth="withinLinear" id="15">
  <a:schemeClr val="accent2"/>
</cs:colorStyle>
</file>

<file path=xl/charts/colors6.xml><?xml version="1.0" encoding="utf-8"?>
<cs:colorStyle xmlns:cs="http://schemas.microsoft.com/office/drawing/2012/chartStyle" xmlns:a="http://schemas.openxmlformats.org/drawingml/2006/main" meth="withinLinear" id="19">
  <a:schemeClr val="accent6"/>
</cs:colorStyle>
</file>

<file path=xl/charts/colors7.xml><?xml version="1.0" encoding="utf-8"?>
<cs:colorStyle xmlns:cs="http://schemas.microsoft.com/office/drawing/2012/chartStyle" xmlns:a="http://schemas.openxmlformats.org/drawingml/2006/main" meth="cycle" id="20">
  <a:schemeClr val="dk1"/>
  <cs:variation>
    <a:tint val="88500"/>
  </cs:variation>
  <cs:variation>
    <a:tint val="55000"/>
  </cs:variation>
  <cs:variation>
    <a:tint val="75000"/>
  </cs:variation>
  <cs:variation>
    <a:tint val="98500"/>
  </cs:variation>
  <cs:variation>
    <a:tint val="30000"/>
  </cs:variation>
  <cs:variation>
    <a:tint val="60000"/>
  </cs:variation>
  <cs:variation>
    <a:tint val="80000"/>
  </cs:variation>
</cs:colorStyle>
</file>

<file path=xl/charts/colors8.xml><?xml version="1.0" encoding="utf-8"?>
<cs:colorStyle xmlns:cs="http://schemas.microsoft.com/office/drawing/2012/chartStyle" xmlns:a="http://schemas.openxmlformats.org/drawingml/2006/main" meth="withinLinear" id="14">
  <a:schemeClr val="accent1"/>
</cs:colorStyle>
</file>

<file path=xl/charts/colors9.xml><?xml version="1.0" encoding="utf-8"?>
<cs:colorStyle xmlns:cs="http://schemas.microsoft.com/office/drawing/2012/chartStyle" xmlns:a="http://schemas.openxmlformats.org/drawingml/2006/main" meth="withinLinear" id="19">
  <a:schemeClr val="accent6"/>
</cs:colorStyle>
</file>

<file path=xl/charts/colors10.xml><?xml version="1.0" encoding="utf-8"?>
<cs:colorStyle xmlns:cs="http://schemas.microsoft.com/office/drawing/2012/chartStyle" xmlns:a="http://schemas.openxmlformats.org/drawingml/2006/main" meth="withinLinearReversed" id="22">
  <a:schemeClr val="accent2"/>
</cs:colorStyle>
</file>

<file path=xl/charts/colors11.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20">
  <a:schemeClr val="dk1"/>
  <cs:variation>
    <a:tint val="88500"/>
  </cs:variation>
  <cs:variation>
    <a:tint val="55000"/>
  </cs:variation>
  <cs:variation>
    <a:tint val="75000"/>
  </cs:variation>
  <cs:variation>
    <a:tint val="98500"/>
  </cs:variation>
  <cs:variation>
    <a:tint val="30000"/>
  </cs:variation>
  <cs:variation>
    <a:tint val="60000"/>
  </cs:variation>
  <cs:variation>
    <a:tint val="80000"/>
  </cs:variation>
</cs:colorStyle>
</file>

<file path=xl/charts/colors14.xml><?xml version="1.0" encoding="utf-8"?>
<cs:colorStyle xmlns:cs="http://schemas.microsoft.com/office/drawing/2012/chartStyle" xmlns:a="http://schemas.openxmlformats.org/drawingml/2006/main" meth="withinLinear" id="15">
  <a:schemeClr val="accent2"/>
</cs:colorStyle>
</file>

<file path=xl/charts/colors15.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9.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0.xml><?xml version="1.0" encoding="utf-8"?>
<cs:chartStyle xmlns:cs="http://schemas.microsoft.com/office/drawing/2012/chartStyle" xmlns:a="http://schemas.openxmlformats.org/drawingml/2006/main" id="344">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1.xml><?xml version="1.0" encoding="utf-8"?>
<cs:chartStyle xmlns:cs="http://schemas.microsoft.com/office/drawing/2012/chartStyle" xmlns:a="http://schemas.openxmlformats.org/drawingml/2006/main" id="344">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2.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8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solidFill>
        <a:schemeClr val="phClr">
          <a:alpha val="85000"/>
        </a:schemeClr>
      </a:solidFill>
      <a:ln w="9525" cap="flat" cmpd="sng" algn="ctr">
        <a:solidFill>
          <a:schemeClr val="phClr">
            <a:lumMod val="75000"/>
          </a:schemeClr>
        </a:solidFill>
        <a:round/>
      </a:ln>
    </cs:spPr>
  </cs:dataPoint>
  <cs:dataPoint3D>
    <cs:lnRef idx="0">
      <cs:styleClr val="auto"/>
    </cs:lnRef>
    <cs:fillRef idx="0">
      <cs:styleClr val="auto"/>
    </cs:fillRef>
    <cs:effectRef idx="0">
      <cs:styleClr val="auto"/>
    </cs:effectRef>
    <cs:fontRef idx="minor">
      <a:schemeClr val="dk1"/>
    </cs:fontRef>
    <cs:spPr>
      <a:solidFill>
        <a:schemeClr val="phClr">
          <a:alpha val="85000"/>
        </a:schemeClr>
      </a:solidFill>
      <a:ln w="9525" cap="flat" cmpd="sng" algn="ctr">
        <a:solidFill>
          <a:schemeClr val="phClr">
            <a:lumMod val="75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spPr>
      <a:solidFill>
        <a:schemeClr val="lt1">
          <a:lumMod val="95000"/>
        </a:schemeClr>
      </a:solidFill>
      <a:sp3d/>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4.svg"/><Relationship Id="rId3" Type="http://schemas.openxmlformats.org/officeDocument/2006/relationships/hyperlink" Target="#DASHBOARD!A1"/><Relationship Id="rId7" Type="http://schemas.openxmlformats.org/officeDocument/2006/relationships/image" Target="../media/image3.png"/><Relationship Id="rId12" Type="http://schemas.openxmlformats.org/officeDocument/2006/relationships/hyperlink" Target="#HEIGHT!A1"/><Relationship Id="rId2" Type="http://schemas.openxmlformats.org/officeDocument/2006/relationships/image" Target="../media/image2.svg"/><Relationship Id="rId1" Type="http://schemas.openxmlformats.org/officeDocument/2006/relationships/image" Target="../media/image1.png"/><Relationship Id="rId6" Type="http://schemas.openxmlformats.org/officeDocument/2006/relationships/hyperlink" Target="#ABOUT!A1"/><Relationship Id="rId11" Type="http://schemas.openxmlformats.org/officeDocument/2006/relationships/chart" Target="../charts/chart3.xml"/><Relationship Id="rId5" Type="http://schemas.openxmlformats.org/officeDocument/2006/relationships/hyperlink" Target="#BMI!A1"/><Relationship Id="rId10" Type="http://schemas.openxmlformats.org/officeDocument/2006/relationships/chart" Target="../charts/chart2.xml"/><Relationship Id="rId4" Type="http://schemas.openxmlformats.org/officeDocument/2006/relationships/hyperlink" Target="#WEIGHT!A1"/><Relationship Id="rId9" Type="http://schemas.openxmlformats.org/officeDocument/2006/relationships/chart" Target="../charts/chart1.xml"/></Relationships>
</file>

<file path=xl/drawings/_rels/drawing2.xml.rels><?xml version="1.0" encoding="UTF-8" standalone="yes"?>
<Relationships xmlns="http://schemas.openxmlformats.org/package/2006/relationships"><Relationship Id="rId8" Type="http://schemas.openxmlformats.org/officeDocument/2006/relationships/chart" Target="../charts/chart7.xml"/><Relationship Id="rId13" Type="http://schemas.openxmlformats.org/officeDocument/2006/relationships/hyperlink" Target="#ABOUT!A1"/><Relationship Id="rId3" Type="http://schemas.openxmlformats.org/officeDocument/2006/relationships/image" Target="../media/image3.png"/><Relationship Id="rId7" Type="http://schemas.openxmlformats.org/officeDocument/2006/relationships/chart" Target="../charts/chart6.xml"/><Relationship Id="rId12" Type="http://schemas.openxmlformats.org/officeDocument/2006/relationships/hyperlink" Target="#BMI!A1"/><Relationship Id="rId2" Type="http://schemas.openxmlformats.org/officeDocument/2006/relationships/image" Target="../media/image2.svg"/><Relationship Id="rId1" Type="http://schemas.openxmlformats.org/officeDocument/2006/relationships/image" Target="../media/image1.png"/><Relationship Id="rId6" Type="http://schemas.openxmlformats.org/officeDocument/2006/relationships/chart" Target="../charts/chart5.xml"/><Relationship Id="rId11" Type="http://schemas.openxmlformats.org/officeDocument/2006/relationships/hyperlink" Target="#HEIGHT!A1"/><Relationship Id="rId5" Type="http://schemas.openxmlformats.org/officeDocument/2006/relationships/chart" Target="../charts/chart4.xml"/><Relationship Id="rId10" Type="http://schemas.openxmlformats.org/officeDocument/2006/relationships/hyperlink" Target="#WEIGHT!A1"/><Relationship Id="rId4" Type="http://schemas.openxmlformats.org/officeDocument/2006/relationships/image" Target="../media/image4.svg"/><Relationship Id="rId9" Type="http://schemas.openxmlformats.org/officeDocument/2006/relationships/hyperlink" Target="#DASHBOARD!A1"/></Relationships>
</file>

<file path=xl/drawings/_rels/drawing3.xml.rels><?xml version="1.0" encoding="UTF-8" standalone="yes"?>
<Relationships xmlns="http://schemas.openxmlformats.org/package/2006/relationships"><Relationship Id="rId8" Type="http://schemas.openxmlformats.org/officeDocument/2006/relationships/chart" Target="../charts/chart11.xml"/><Relationship Id="rId13" Type="http://schemas.openxmlformats.org/officeDocument/2006/relationships/hyperlink" Target="#ABOUT!A1"/><Relationship Id="rId3" Type="http://schemas.openxmlformats.org/officeDocument/2006/relationships/image" Target="../media/image3.png"/><Relationship Id="rId7" Type="http://schemas.openxmlformats.org/officeDocument/2006/relationships/chart" Target="../charts/chart10.xml"/><Relationship Id="rId12" Type="http://schemas.openxmlformats.org/officeDocument/2006/relationships/hyperlink" Target="#BMI!A1"/><Relationship Id="rId2" Type="http://schemas.openxmlformats.org/officeDocument/2006/relationships/image" Target="../media/image2.svg"/><Relationship Id="rId1" Type="http://schemas.openxmlformats.org/officeDocument/2006/relationships/image" Target="../media/image1.png"/><Relationship Id="rId6" Type="http://schemas.openxmlformats.org/officeDocument/2006/relationships/chart" Target="../charts/chart9.xml"/><Relationship Id="rId11" Type="http://schemas.openxmlformats.org/officeDocument/2006/relationships/hyperlink" Target="#HEIGHT!A1"/><Relationship Id="rId5" Type="http://schemas.openxmlformats.org/officeDocument/2006/relationships/chart" Target="../charts/chart8.xml"/><Relationship Id="rId10" Type="http://schemas.openxmlformats.org/officeDocument/2006/relationships/hyperlink" Target="#DASHBOARD!A1"/><Relationship Id="rId4" Type="http://schemas.openxmlformats.org/officeDocument/2006/relationships/image" Target="../media/image4.svg"/><Relationship Id="rId9" Type="http://schemas.openxmlformats.org/officeDocument/2006/relationships/hyperlink" Target="#WEIGHT!A1"/></Relationships>
</file>

<file path=xl/drawings/_rels/drawing4.xml.rels><?xml version="1.0" encoding="UTF-8" standalone="yes"?>
<Relationships xmlns="http://schemas.openxmlformats.org/package/2006/relationships"><Relationship Id="rId8" Type="http://schemas.openxmlformats.org/officeDocument/2006/relationships/chart" Target="../charts/chart14.xml"/><Relationship Id="rId13" Type="http://schemas.openxmlformats.org/officeDocument/2006/relationships/hyperlink" Target="#ABOUT!A1"/><Relationship Id="rId3" Type="http://schemas.openxmlformats.org/officeDocument/2006/relationships/image" Target="../media/image2.svg"/><Relationship Id="rId7" Type="http://schemas.openxmlformats.org/officeDocument/2006/relationships/chart" Target="../charts/chart13.xml"/><Relationship Id="rId12" Type="http://schemas.openxmlformats.org/officeDocument/2006/relationships/hyperlink" Target="#BMI!A1"/><Relationship Id="rId2" Type="http://schemas.openxmlformats.org/officeDocument/2006/relationships/image" Target="../media/image1.png"/><Relationship Id="rId1" Type="http://schemas.openxmlformats.org/officeDocument/2006/relationships/hyperlink" Target="#DASHBOARD!A1"/><Relationship Id="rId6" Type="http://schemas.openxmlformats.org/officeDocument/2006/relationships/chart" Target="../charts/chart12.xml"/><Relationship Id="rId11" Type="http://schemas.openxmlformats.org/officeDocument/2006/relationships/hyperlink" Target="#HEIGHT!A1"/><Relationship Id="rId5" Type="http://schemas.openxmlformats.org/officeDocument/2006/relationships/image" Target="../media/image4.svg"/><Relationship Id="rId10" Type="http://schemas.openxmlformats.org/officeDocument/2006/relationships/hyperlink" Target="#WEIGHT!A1"/><Relationship Id="rId4" Type="http://schemas.openxmlformats.org/officeDocument/2006/relationships/image" Target="../media/image3.png"/><Relationship Id="rId9" Type="http://schemas.openxmlformats.org/officeDocument/2006/relationships/chart" Target="../charts/chart15.xml"/></Relationships>
</file>

<file path=xl/drawings/_rels/drawing5.xml.rels><?xml version="1.0" encoding="UTF-8" standalone="yes"?>
<Relationships xmlns="http://schemas.openxmlformats.org/package/2006/relationships"><Relationship Id="rId1" Type="http://schemas.openxmlformats.org/officeDocument/2006/relationships/chart" Target="../charts/chart16.xml"/></Relationships>
</file>

<file path=xl/drawings/_rels/drawing6.xml.rels><?xml version="1.0" encoding="UTF-8" standalone="yes"?>
<Relationships xmlns="http://schemas.openxmlformats.org/package/2006/relationships"><Relationship Id="rId8" Type="http://schemas.openxmlformats.org/officeDocument/2006/relationships/hyperlink" Target="#BMI!A1"/><Relationship Id="rId3" Type="http://schemas.openxmlformats.org/officeDocument/2006/relationships/image" Target="../media/image7.png"/><Relationship Id="rId7" Type="http://schemas.openxmlformats.org/officeDocument/2006/relationships/hyperlink" Target="#HEIGHT!A1"/><Relationship Id="rId2" Type="http://schemas.openxmlformats.org/officeDocument/2006/relationships/image" Target="../media/image6.svg"/><Relationship Id="rId1" Type="http://schemas.openxmlformats.org/officeDocument/2006/relationships/image" Target="../media/image5.png"/><Relationship Id="rId6" Type="http://schemas.openxmlformats.org/officeDocument/2006/relationships/hyperlink" Target="#WEIGHT!A1"/><Relationship Id="rId5" Type="http://schemas.openxmlformats.org/officeDocument/2006/relationships/hyperlink" Target="#DASHBOARD!A1"/><Relationship Id="rId4" Type="http://schemas.openxmlformats.org/officeDocument/2006/relationships/image" Target="../media/image8.svg"/><Relationship Id="rId9" Type="http://schemas.openxmlformats.org/officeDocument/2006/relationships/hyperlink" Target="#ABOUT!A1"/></Relationships>
</file>

<file path=xl/drawings/drawing1.xml><?xml version="1.0" encoding="utf-8"?>
<xdr:wsDr xmlns:xdr="http://schemas.openxmlformats.org/drawingml/2006/spreadsheetDrawing" xmlns:a="http://schemas.openxmlformats.org/drawingml/2006/main">
  <xdr:twoCellAnchor>
    <xdr:from>
      <xdr:col>0</xdr:col>
      <xdr:colOff>127000</xdr:colOff>
      <xdr:row>0</xdr:row>
      <xdr:rowOff>63500</xdr:rowOff>
    </xdr:from>
    <xdr:to>
      <xdr:col>30</xdr:col>
      <xdr:colOff>459362</xdr:colOff>
      <xdr:row>31</xdr:row>
      <xdr:rowOff>162127</xdr:rowOff>
    </xdr:to>
    <xdr:sp macro="" textlink="">
      <xdr:nvSpPr>
        <xdr:cNvPr id="2" name="Rectangle: Rounded Corners 1">
          <a:extLst>
            <a:ext uri="{FF2B5EF4-FFF2-40B4-BE49-F238E27FC236}">
              <a16:creationId xmlns:a16="http://schemas.microsoft.com/office/drawing/2014/main" id="{71F0F445-28C0-4D0C-A08E-1B27806A1B55}"/>
            </a:ext>
          </a:extLst>
        </xdr:cNvPr>
        <xdr:cNvSpPr/>
      </xdr:nvSpPr>
      <xdr:spPr>
        <a:xfrm>
          <a:off x="127000" y="63500"/>
          <a:ext cx="24651511" cy="7218733"/>
        </a:xfrm>
        <a:prstGeom prst="roundRect">
          <a:avLst>
            <a:gd name="adj" fmla="val 4415"/>
          </a:avLst>
        </a:prstGeom>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508935</xdr:colOff>
      <xdr:row>0</xdr:row>
      <xdr:rowOff>136774</xdr:rowOff>
    </xdr:from>
    <xdr:to>
      <xdr:col>30</xdr:col>
      <xdr:colOff>324257</xdr:colOff>
      <xdr:row>31</xdr:row>
      <xdr:rowOff>67554</xdr:rowOff>
    </xdr:to>
    <xdr:sp macro="" textlink="">
      <xdr:nvSpPr>
        <xdr:cNvPr id="3" name="Rectangle: Rounded Corners 2">
          <a:extLst>
            <a:ext uri="{FF2B5EF4-FFF2-40B4-BE49-F238E27FC236}">
              <a16:creationId xmlns:a16="http://schemas.microsoft.com/office/drawing/2014/main" id="{117C233C-0D1E-4F6A-9AC2-C8BDA8C0AAFD}"/>
            </a:ext>
          </a:extLst>
        </xdr:cNvPr>
        <xdr:cNvSpPr/>
      </xdr:nvSpPr>
      <xdr:spPr>
        <a:xfrm>
          <a:off x="2130212" y="136774"/>
          <a:ext cx="22513194" cy="7050886"/>
        </a:xfrm>
        <a:prstGeom prst="roundRect">
          <a:avLst>
            <a:gd name="adj" fmla="val 4317"/>
          </a:avLst>
        </a:prstGeom>
        <a:ln/>
      </xdr:spPr>
      <xdr:style>
        <a:lnRef idx="1">
          <a:schemeClr val="accent3"/>
        </a:lnRef>
        <a:fillRef idx="2">
          <a:schemeClr val="accent3"/>
        </a:fillRef>
        <a:effectRef idx="1">
          <a:schemeClr val="accent3"/>
        </a:effectRef>
        <a:fontRef idx="minor">
          <a:schemeClr val="dk1"/>
        </a:fontRef>
      </xdr:style>
      <xdr:txBody>
        <a:bodyPr vertOverflow="clip" horzOverflow="clip" rtlCol="0" anchor="t"/>
        <a:lstStyle/>
        <a:p>
          <a:pPr algn="l"/>
          <a:endParaRPr lang="en-US" sz="1100"/>
        </a:p>
      </xdr:txBody>
    </xdr:sp>
    <xdr:clientData/>
  </xdr:twoCellAnchor>
  <xdr:twoCellAnchor>
    <xdr:from>
      <xdr:col>2</xdr:col>
      <xdr:colOff>637432</xdr:colOff>
      <xdr:row>1</xdr:row>
      <xdr:rowOff>45641</xdr:rowOff>
    </xdr:from>
    <xdr:to>
      <xdr:col>30</xdr:col>
      <xdr:colOff>81064</xdr:colOff>
      <xdr:row>10</xdr:row>
      <xdr:rowOff>54042</xdr:rowOff>
    </xdr:to>
    <xdr:sp macro="" textlink="">
      <xdr:nvSpPr>
        <xdr:cNvPr id="4" name="Rectangle 3">
          <a:extLst>
            <a:ext uri="{FF2B5EF4-FFF2-40B4-BE49-F238E27FC236}">
              <a16:creationId xmlns:a16="http://schemas.microsoft.com/office/drawing/2014/main" id="{954930A8-2679-4625-9173-3D7A611B69A7}"/>
            </a:ext>
          </a:extLst>
        </xdr:cNvPr>
        <xdr:cNvSpPr/>
      </xdr:nvSpPr>
      <xdr:spPr>
        <a:xfrm>
          <a:off x="2263032" y="280591"/>
          <a:ext cx="22202032" cy="2122951"/>
        </a:xfrm>
        <a:prstGeom prst="rect">
          <a:avLst/>
        </a:prstGeom>
        <a:ln>
          <a:noFill/>
        </a:ln>
      </xdr:spPr>
      <xdr:style>
        <a:lnRef idx="2">
          <a:schemeClr val="accent5"/>
        </a:lnRef>
        <a:fillRef idx="1">
          <a:schemeClr val="lt1"/>
        </a:fillRef>
        <a:effectRef idx="0">
          <a:schemeClr val="accent5"/>
        </a:effectRef>
        <a:fontRef idx="minor">
          <a:schemeClr val="dk1"/>
        </a:fontRef>
      </xdr:style>
      <xdr:txBody>
        <a:bodyPr vertOverflow="clip" horzOverflow="clip" rtlCol="0" anchor="t"/>
        <a:lstStyle/>
        <a:p>
          <a:pPr algn="l"/>
          <a:endParaRPr lang="en-US" sz="1100"/>
        </a:p>
      </xdr:txBody>
    </xdr:sp>
    <xdr:clientData/>
  </xdr:twoCellAnchor>
  <xdr:twoCellAnchor editAs="oneCell">
    <xdr:from>
      <xdr:col>10</xdr:col>
      <xdr:colOff>557961</xdr:colOff>
      <xdr:row>6</xdr:row>
      <xdr:rowOff>25399</xdr:rowOff>
    </xdr:from>
    <xdr:to>
      <xdr:col>19</xdr:col>
      <xdr:colOff>689042</xdr:colOff>
      <xdr:row>9</xdr:row>
      <xdr:rowOff>189149</xdr:rowOff>
    </xdr:to>
    <mc:AlternateContent xmlns:mc="http://schemas.openxmlformats.org/markup-compatibility/2006" xmlns:a14="http://schemas.microsoft.com/office/drawing/2010/main">
      <mc:Choice Requires="a14">
        <xdr:graphicFrame macro="">
          <xdr:nvGraphicFramePr>
            <xdr:cNvPr id="5" name="Age Group 9">
              <a:extLst>
                <a:ext uri="{FF2B5EF4-FFF2-40B4-BE49-F238E27FC236}">
                  <a16:creationId xmlns:a16="http://schemas.microsoft.com/office/drawing/2014/main" id="{3A6E8F09-C374-4928-9D8B-5992478A276A}"/>
                </a:ext>
              </a:extLst>
            </xdr:cNvPr>
            <xdr:cNvGraphicFramePr/>
          </xdr:nvGraphicFramePr>
          <xdr:xfrm>
            <a:off x="0" y="0"/>
            <a:ext cx="0" cy="0"/>
          </xdr:xfrm>
          <a:graphic>
            <a:graphicData uri="http://schemas.microsoft.com/office/drawing/2010/slicer">
              <sle:slicer xmlns:sle="http://schemas.microsoft.com/office/drawing/2010/slicer" name="Age Group 9"/>
            </a:graphicData>
          </a:graphic>
        </xdr:graphicFrame>
      </mc:Choice>
      <mc:Fallback xmlns="">
        <xdr:sp macro="" textlink="">
          <xdr:nvSpPr>
            <xdr:cNvPr id="0" name=""/>
            <xdr:cNvSpPr>
              <a:spLocks noTextEdit="1"/>
            </xdr:cNvSpPr>
          </xdr:nvSpPr>
          <xdr:spPr>
            <a:xfrm>
              <a:off x="8664344" y="1403484"/>
              <a:ext cx="7426826" cy="85279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694532</xdr:colOff>
      <xdr:row>3</xdr:row>
      <xdr:rowOff>19845</xdr:rowOff>
    </xdr:from>
    <xdr:to>
      <xdr:col>3</xdr:col>
      <xdr:colOff>416719</xdr:colOff>
      <xdr:row>5</xdr:row>
      <xdr:rowOff>79375</xdr:rowOff>
    </xdr:to>
    <xdr:pic>
      <xdr:nvPicPr>
        <xdr:cNvPr id="6" name="Graphic 5" descr="Right pointing backhand index with solid fill">
          <a:extLst>
            <a:ext uri="{FF2B5EF4-FFF2-40B4-BE49-F238E27FC236}">
              <a16:creationId xmlns:a16="http://schemas.microsoft.com/office/drawing/2014/main" id="{AE7633F9-68EC-4C4D-9A4D-62E41A836EE1}"/>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 uri="{96DAC541-7B7A-43D3-8B79-37D633B846F1}">
              <asvg:svgBlip xmlns:asvg="http://schemas.microsoft.com/office/drawing/2016/SVG/main" r:embed="rId2"/>
            </a:ext>
          </a:extLst>
        </a:blip>
        <a:stretch>
          <a:fillRect/>
        </a:stretch>
      </xdr:blipFill>
      <xdr:spPr>
        <a:xfrm>
          <a:off x="2320132" y="724695"/>
          <a:ext cx="534987" cy="529430"/>
        </a:xfrm>
        <a:prstGeom prst="rect">
          <a:avLst/>
        </a:prstGeom>
      </xdr:spPr>
    </xdr:pic>
    <xdr:clientData/>
  </xdr:twoCellAnchor>
  <xdr:twoCellAnchor>
    <xdr:from>
      <xdr:col>3</xdr:col>
      <xdr:colOff>646245</xdr:colOff>
      <xdr:row>2</xdr:row>
      <xdr:rowOff>230187</xdr:rowOff>
    </xdr:from>
    <xdr:to>
      <xdr:col>5</xdr:col>
      <xdr:colOff>298979</xdr:colOff>
      <xdr:row>5</xdr:row>
      <xdr:rowOff>230187</xdr:rowOff>
    </xdr:to>
    <xdr:sp macro="" textlink="">
      <xdr:nvSpPr>
        <xdr:cNvPr id="7" name="Rectangle: Rounded Corners 6">
          <a:extLst>
            <a:ext uri="{FF2B5EF4-FFF2-40B4-BE49-F238E27FC236}">
              <a16:creationId xmlns:a16="http://schemas.microsoft.com/office/drawing/2014/main" id="{26CD48C8-1CF2-4021-A84D-9AFA67A46662}"/>
            </a:ext>
          </a:extLst>
        </xdr:cNvPr>
        <xdr:cNvSpPr/>
      </xdr:nvSpPr>
      <xdr:spPr>
        <a:xfrm>
          <a:off x="3084645" y="700087"/>
          <a:ext cx="1278334" cy="704850"/>
        </a:xfrm>
        <a:prstGeom prst="roundRect">
          <a:avLst>
            <a:gd name="adj" fmla="val 37500"/>
          </a:avLst>
        </a:prstGeom>
        <a:solidFill>
          <a:srgbClr val="E1E1FF"/>
        </a:solidFill>
        <a:ln>
          <a:noFill/>
        </a:ln>
      </xdr:spPr>
      <xdr:style>
        <a:lnRef idx="1">
          <a:schemeClr val="accent1"/>
        </a:lnRef>
        <a:fillRef idx="2">
          <a:schemeClr val="accent1"/>
        </a:fillRef>
        <a:effectRef idx="1">
          <a:schemeClr val="accent1"/>
        </a:effectRef>
        <a:fontRef idx="minor">
          <a:schemeClr val="dk1"/>
        </a:fontRef>
      </xdr:style>
      <xdr:txBody>
        <a:bodyPr vertOverflow="clip" horzOverflow="clip" rtlCol="0" anchor="t"/>
        <a:lstStyle/>
        <a:p>
          <a:pPr algn="ctr"/>
          <a:r>
            <a:rPr lang="en-US" sz="2800" b="1"/>
            <a:t>Slicer</a:t>
          </a:r>
        </a:p>
      </xdr:txBody>
    </xdr:sp>
    <xdr:clientData/>
  </xdr:twoCellAnchor>
  <xdr:twoCellAnchor>
    <xdr:from>
      <xdr:col>0</xdr:col>
      <xdr:colOff>243192</xdr:colOff>
      <xdr:row>2</xdr:row>
      <xdr:rowOff>178858</xdr:rowOff>
    </xdr:from>
    <xdr:to>
      <xdr:col>2</xdr:col>
      <xdr:colOff>445851</xdr:colOff>
      <xdr:row>5</xdr:row>
      <xdr:rowOff>114300</xdr:rowOff>
    </xdr:to>
    <xdr:sp macro="" textlink="">
      <xdr:nvSpPr>
        <xdr:cNvPr id="8" name="Rectangle: Rounded Corners 7">
          <a:hlinkClick xmlns:r="http://schemas.openxmlformats.org/officeDocument/2006/relationships" r:id="rId3"/>
          <a:extLst>
            <a:ext uri="{FF2B5EF4-FFF2-40B4-BE49-F238E27FC236}">
              <a16:creationId xmlns:a16="http://schemas.microsoft.com/office/drawing/2014/main" id="{9107B218-D4AD-4F9C-A3D2-091D1EF407DC}"/>
            </a:ext>
          </a:extLst>
        </xdr:cNvPr>
        <xdr:cNvSpPr/>
      </xdr:nvSpPr>
      <xdr:spPr>
        <a:xfrm>
          <a:off x="243192" y="638220"/>
          <a:ext cx="1823936" cy="624484"/>
        </a:xfrm>
        <a:prstGeom prst="roundRect">
          <a:avLst>
            <a:gd name="adj" fmla="val 50000"/>
          </a:avLst>
        </a:prstGeom>
        <a:solidFill>
          <a:schemeClr val="bg1"/>
        </a:solidFill>
        <a:ln>
          <a:noFill/>
        </a:ln>
      </xdr:spPr>
      <xdr:style>
        <a:lnRef idx="2">
          <a:schemeClr val="accent5"/>
        </a:lnRef>
        <a:fillRef idx="1">
          <a:schemeClr val="lt1"/>
        </a:fillRef>
        <a:effectRef idx="0">
          <a:schemeClr val="accent5"/>
        </a:effectRef>
        <a:fontRef idx="minor">
          <a:schemeClr val="dk1"/>
        </a:fontRef>
      </xdr:style>
      <xdr:txBody>
        <a:bodyPr vertOverflow="clip" horzOverflow="clip" rtlCol="0" anchor="t"/>
        <a:lstStyle/>
        <a:p>
          <a:pPr algn="ctr"/>
          <a:r>
            <a:rPr lang="en-US" sz="2000" b="1">
              <a:ln>
                <a:solidFill>
                  <a:schemeClr val="accent1"/>
                </a:solidFill>
              </a:ln>
              <a:solidFill>
                <a:schemeClr val="accent1"/>
              </a:solidFill>
            </a:rPr>
            <a:t>DASHBOARD</a:t>
          </a:r>
        </a:p>
      </xdr:txBody>
    </xdr:sp>
    <xdr:clientData/>
  </xdr:twoCellAnchor>
  <xdr:twoCellAnchor>
    <xdr:from>
      <xdr:col>0</xdr:col>
      <xdr:colOff>201025</xdr:colOff>
      <xdr:row>7</xdr:row>
      <xdr:rowOff>198955</xdr:rowOff>
    </xdr:from>
    <xdr:to>
      <xdr:col>2</xdr:col>
      <xdr:colOff>408548</xdr:colOff>
      <xdr:row>10</xdr:row>
      <xdr:rowOff>133423</xdr:rowOff>
    </xdr:to>
    <xdr:sp macro="" textlink="">
      <xdr:nvSpPr>
        <xdr:cNvPr id="9" name="Rectangle: Rounded Corners 8">
          <a:hlinkClick xmlns:r="http://schemas.openxmlformats.org/officeDocument/2006/relationships" r:id="rId4"/>
          <a:extLst>
            <a:ext uri="{FF2B5EF4-FFF2-40B4-BE49-F238E27FC236}">
              <a16:creationId xmlns:a16="http://schemas.microsoft.com/office/drawing/2014/main" id="{8A1B054D-A990-4AD5-AAEF-54EAEA9A2FD6}"/>
            </a:ext>
          </a:extLst>
        </xdr:cNvPr>
        <xdr:cNvSpPr/>
      </xdr:nvSpPr>
      <xdr:spPr>
        <a:xfrm>
          <a:off x="201025" y="1806721"/>
          <a:ext cx="1828800" cy="623511"/>
        </a:xfrm>
        <a:prstGeom prst="roundRect">
          <a:avLst>
            <a:gd name="adj" fmla="val 50000"/>
          </a:avLst>
        </a:prstGeom>
        <a:noFill/>
        <a:ln>
          <a:solidFill>
            <a:schemeClr val="bg1"/>
          </a:solidFill>
        </a:ln>
      </xdr:spPr>
      <xdr:style>
        <a:lnRef idx="2">
          <a:schemeClr val="accent5"/>
        </a:lnRef>
        <a:fillRef idx="1">
          <a:schemeClr val="lt1"/>
        </a:fillRef>
        <a:effectRef idx="0">
          <a:schemeClr val="accent5"/>
        </a:effectRef>
        <a:fontRef idx="minor">
          <a:schemeClr val="dk1"/>
        </a:fontRef>
      </xdr:style>
      <xdr:txBody>
        <a:bodyPr vertOverflow="clip" horzOverflow="clip" rtlCol="0" anchor="t"/>
        <a:lstStyle/>
        <a:p>
          <a:pPr algn="ctr"/>
          <a:r>
            <a:rPr lang="en-US" sz="2000" b="1">
              <a:ln>
                <a:solidFill>
                  <a:schemeClr val="bg1"/>
                </a:solidFill>
              </a:ln>
              <a:solidFill>
                <a:schemeClr val="bg1"/>
              </a:solidFill>
            </a:rPr>
            <a:t>WEIGHT</a:t>
          </a:r>
        </a:p>
      </xdr:txBody>
    </xdr:sp>
    <xdr:clientData/>
  </xdr:twoCellAnchor>
  <xdr:twoCellAnchor>
    <xdr:from>
      <xdr:col>0</xdr:col>
      <xdr:colOff>190622</xdr:colOff>
      <xdr:row>18</xdr:row>
      <xdr:rowOff>69342</xdr:rowOff>
    </xdr:from>
    <xdr:to>
      <xdr:col>2</xdr:col>
      <xdr:colOff>398145</xdr:colOff>
      <xdr:row>21</xdr:row>
      <xdr:rowOff>15429</xdr:rowOff>
    </xdr:to>
    <xdr:sp macro="" textlink="">
      <xdr:nvSpPr>
        <xdr:cNvPr id="10" name="Rectangle: Rounded Corners 9">
          <a:hlinkClick xmlns:r="http://schemas.openxmlformats.org/officeDocument/2006/relationships" r:id="rId5"/>
          <a:extLst>
            <a:ext uri="{FF2B5EF4-FFF2-40B4-BE49-F238E27FC236}">
              <a16:creationId xmlns:a16="http://schemas.microsoft.com/office/drawing/2014/main" id="{71E5E74F-2837-43B8-92E2-39BBA7285577}"/>
            </a:ext>
          </a:extLst>
        </xdr:cNvPr>
        <xdr:cNvSpPr/>
      </xdr:nvSpPr>
      <xdr:spPr>
        <a:xfrm>
          <a:off x="190622" y="4203597"/>
          <a:ext cx="1828800" cy="635130"/>
        </a:xfrm>
        <a:prstGeom prst="roundRect">
          <a:avLst>
            <a:gd name="adj" fmla="val 50000"/>
          </a:avLst>
        </a:prstGeom>
        <a:noFill/>
        <a:ln>
          <a:solidFill>
            <a:schemeClr val="bg1"/>
          </a:solidFill>
        </a:ln>
      </xdr:spPr>
      <xdr:style>
        <a:lnRef idx="2">
          <a:schemeClr val="accent5"/>
        </a:lnRef>
        <a:fillRef idx="1">
          <a:schemeClr val="lt1"/>
        </a:fillRef>
        <a:effectRef idx="0">
          <a:schemeClr val="accent5"/>
        </a:effectRef>
        <a:fontRef idx="minor">
          <a:schemeClr val="dk1"/>
        </a:fontRef>
      </xdr:style>
      <xdr:txBody>
        <a:bodyPr vertOverflow="clip" horzOverflow="clip" rtlCol="0" anchor="t"/>
        <a:lstStyle/>
        <a:p>
          <a:pPr algn="ctr"/>
          <a:r>
            <a:rPr lang="en-US" sz="2000" b="1">
              <a:ln>
                <a:solidFill>
                  <a:schemeClr val="bg1"/>
                </a:solidFill>
              </a:ln>
              <a:solidFill>
                <a:schemeClr val="bg1"/>
              </a:solidFill>
            </a:rPr>
            <a:t>BMI</a:t>
          </a:r>
        </a:p>
      </xdr:txBody>
    </xdr:sp>
    <xdr:clientData/>
  </xdr:twoCellAnchor>
  <xdr:twoCellAnchor>
    <xdr:from>
      <xdr:col>0</xdr:col>
      <xdr:colOff>179543</xdr:colOff>
      <xdr:row>23</xdr:row>
      <xdr:rowOff>158875</xdr:rowOff>
    </xdr:from>
    <xdr:to>
      <xdr:col>2</xdr:col>
      <xdr:colOff>387066</xdr:colOff>
      <xdr:row>26</xdr:row>
      <xdr:rowOff>104963</xdr:rowOff>
    </xdr:to>
    <xdr:sp macro="" textlink="">
      <xdr:nvSpPr>
        <xdr:cNvPr id="11" name="Rectangle: Rounded Corners 10">
          <a:hlinkClick xmlns:r="http://schemas.openxmlformats.org/officeDocument/2006/relationships" r:id="rId6"/>
          <a:extLst>
            <a:ext uri="{FF2B5EF4-FFF2-40B4-BE49-F238E27FC236}">
              <a16:creationId xmlns:a16="http://schemas.microsoft.com/office/drawing/2014/main" id="{93D62ABF-323E-46EA-AD5F-E209E455FF82}"/>
            </a:ext>
          </a:extLst>
        </xdr:cNvPr>
        <xdr:cNvSpPr/>
      </xdr:nvSpPr>
      <xdr:spPr>
        <a:xfrm>
          <a:off x="179543" y="5441535"/>
          <a:ext cx="1828800" cy="635130"/>
        </a:xfrm>
        <a:prstGeom prst="roundRect">
          <a:avLst>
            <a:gd name="adj" fmla="val 50000"/>
          </a:avLst>
        </a:prstGeom>
        <a:noFill/>
        <a:ln>
          <a:solidFill>
            <a:schemeClr val="bg1"/>
          </a:solidFill>
        </a:ln>
      </xdr:spPr>
      <xdr:style>
        <a:lnRef idx="2">
          <a:schemeClr val="accent5"/>
        </a:lnRef>
        <a:fillRef idx="1">
          <a:schemeClr val="lt1"/>
        </a:fillRef>
        <a:effectRef idx="0">
          <a:schemeClr val="accent5"/>
        </a:effectRef>
        <a:fontRef idx="minor">
          <a:schemeClr val="dk1"/>
        </a:fontRef>
      </xdr:style>
      <xdr:txBody>
        <a:bodyPr vertOverflow="clip" horzOverflow="clip" rtlCol="0" anchor="t"/>
        <a:lstStyle/>
        <a:p>
          <a:pPr algn="ctr"/>
          <a:r>
            <a:rPr lang="en-US" sz="2000" b="1">
              <a:ln>
                <a:solidFill>
                  <a:schemeClr val="bg1"/>
                </a:solidFill>
              </a:ln>
              <a:solidFill>
                <a:schemeClr val="bg1"/>
              </a:solidFill>
            </a:rPr>
            <a:t>ABOUT</a:t>
          </a:r>
        </a:p>
      </xdr:txBody>
    </xdr:sp>
    <xdr:clientData/>
  </xdr:twoCellAnchor>
  <xdr:twoCellAnchor editAs="oneCell">
    <xdr:from>
      <xdr:col>5</xdr:col>
      <xdr:colOff>501649</xdr:colOff>
      <xdr:row>1</xdr:row>
      <xdr:rowOff>101598</xdr:rowOff>
    </xdr:from>
    <xdr:to>
      <xdr:col>29</xdr:col>
      <xdr:colOff>67552</xdr:colOff>
      <xdr:row>5</xdr:row>
      <xdr:rowOff>203199</xdr:rowOff>
    </xdr:to>
    <mc:AlternateContent xmlns:mc="http://schemas.openxmlformats.org/markup-compatibility/2006" xmlns:a14="http://schemas.microsoft.com/office/drawing/2010/main">
      <mc:Choice Requires="a14">
        <xdr:graphicFrame macro="">
          <xdr:nvGraphicFramePr>
            <xdr:cNvPr id="12" name="Sport 8">
              <a:extLst>
                <a:ext uri="{FF2B5EF4-FFF2-40B4-BE49-F238E27FC236}">
                  <a16:creationId xmlns:a16="http://schemas.microsoft.com/office/drawing/2014/main" id="{18936EFE-3DE2-4F96-8B6A-EA0C2FBDF2C6}"/>
                </a:ext>
              </a:extLst>
            </xdr:cNvPr>
            <xdr:cNvGraphicFramePr/>
          </xdr:nvGraphicFramePr>
          <xdr:xfrm>
            <a:off x="0" y="0"/>
            <a:ext cx="0" cy="0"/>
          </xdr:xfrm>
          <a:graphic>
            <a:graphicData uri="http://schemas.microsoft.com/office/drawing/2010/slicer">
              <sle:slicer xmlns:sle="http://schemas.microsoft.com/office/drawing/2010/slicer" name="Sport 8"/>
            </a:graphicData>
          </a:graphic>
        </xdr:graphicFrame>
      </mc:Choice>
      <mc:Fallback xmlns="">
        <xdr:sp macro="" textlink="">
          <xdr:nvSpPr>
            <xdr:cNvPr id="0" name=""/>
            <xdr:cNvSpPr>
              <a:spLocks noTextEdit="1"/>
            </xdr:cNvSpPr>
          </xdr:nvSpPr>
          <xdr:spPr>
            <a:xfrm>
              <a:off x="4554840" y="331279"/>
              <a:ext cx="19021223" cy="102032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652730</xdr:colOff>
      <xdr:row>3</xdr:row>
      <xdr:rowOff>11044</xdr:rowOff>
    </xdr:from>
    <xdr:to>
      <xdr:col>5</xdr:col>
      <xdr:colOff>305464</xdr:colOff>
      <xdr:row>6</xdr:row>
      <xdr:rowOff>11044</xdr:rowOff>
    </xdr:to>
    <xdr:sp macro="" textlink="">
      <xdr:nvSpPr>
        <xdr:cNvPr id="20" name="Rectangle: Rounded Corners 19">
          <a:extLst>
            <a:ext uri="{FF2B5EF4-FFF2-40B4-BE49-F238E27FC236}">
              <a16:creationId xmlns:a16="http://schemas.microsoft.com/office/drawing/2014/main" id="{BF5ECD64-0CCA-4FC1-8ADD-08A21925C03E}"/>
            </a:ext>
          </a:extLst>
        </xdr:cNvPr>
        <xdr:cNvSpPr/>
      </xdr:nvSpPr>
      <xdr:spPr>
        <a:xfrm>
          <a:off x="3091130" y="715894"/>
          <a:ext cx="1278334" cy="704850"/>
        </a:xfrm>
        <a:prstGeom prst="roundRect">
          <a:avLst>
            <a:gd name="adj" fmla="val 37500"/>
          </a:avLst>
        </a:prstGeom>
        <a:solidFill>
          <a:srgbClr val="E1E1FF"/>
        </a:solidFill>
        <a:ln>
          <a:noFill/>
        </a:ln>
      </xdr:spPr>
      <xdr:style>
        <a:lnRef idx="1">
          <a:schemeClr val="accent1"/>
        </a:lnRef>
        <a:fillRef idx="2">
          <a:schemeClr val="accent1"/>
        </a:fillRef>
        <a:effectRef idx="1">
          <a:schemeClr val="accent1"/>
        </a:effectRef>
        <a:fontRef idx="minor">
          <a:schemeClr val="dk1"/>
        </a:fontRef>
      </xdr:style>
      <xdr:txBody>
        <a:bodyPr vertOverflow="clip" horzOverflow="clip" rtlCol="0" anchor="t"/>
        <a:lstStyle/>
        <a:p>
          <a:pPr algn="ctr"/>
          <a:r>
            <a:rPr lang="en-US" sz="2800" b="1"/>
            <a:t>Slicer</a:t>
          </a:r>
        </a:p>
      </xdr:txBody>
    </xdr:sp>
    <xdr:clientData/>
  </xdr:twoCellAnchor>
  <xdr:twoCellAnchor>
    <xdr:from>
      <xdr:col>3</xdr:col>
      <xdr:colOff>655266</xdr:colOff>
      <xdr:row>6</xdr:row>
      <xdr:rowOff>145486</xdr:rowOff>
    </xdr:from>
    <xdr:to>
      <xdr:col>5</xdr:col>
      <xdr:colOff>308000</xdr:colOff>
      <xdr:row>9</xdr:row>
      <xdr:rowOff>145485</xdr:rowOff>
    </xdr:to>
    <xdr:sp macro="" textlink="">
      <xdr:nvSpPr>
        <xdr:cNvPr id="21" name="Rectangle: Rounded Corners 20">
          <a:extLst>
            <a:ext uri="{FF2B5EF4-FFF2-40B4-BE49-F238E27FC236}">
              <a16:creationId xmlns:a16="http://schemas.microsoft.com/office/drawing/2014/main" id="{1DAE48C3-3206-4148-B37A-B3F6CA24F98C}"/>
            </a:ext>
          </a:extLst>
        </xdr:cNvPr>
        <xdr:cNvSpPr/>
      </xdr:nvSpPr>
      <xdr:spPr>
        <a:xfrm>
          <a:off x="3093666" y="1555186"/>
          <a:ext cx="1278334" cy="704849"/>
        </a:xfrm>
        <a:prstGeom prst="roundRect">
          <a:avLst>
            <a:gd name="adj" fmla="val 36274"/>
          </a:avLst>
        </a:prstGeom>
        <a:solidFill>
          <a:srgbClr val="E1E1FF"/>
        </a:solidFill>
        <a:ln>
          <a:noFill/>
        </a:ln>
      </xdr:spPr>
      <xdr:style>
        <a:lnRef idx="1">
          <a:schemeClr val="accent1"/>
        </a:lnRef>
        <a:fillRef idx="2">
          <a:schemeClr val="accent1"/>
        </a:fillRef>
        <a:effectRef idx="1">
          <a:schemeClr val="accent1"/>
        </a:effectRef>
        <a:fontRef idx="minor">
          <a:schemeClr val="dk1"/>
        </a:fontRef>
      </xdr:style>
      <xdr:txBody>
        <a:bodyPr vertOverflow="clip" horzOverflow="clip" rtlCol="0" anchor="t"/>
        <a:lstStyle/>
        <a:p>
          <a:pPr algn="ctr"/>
          <a:r>
            <a:rPr lang="en-US" sz="2000" b="1"/>
            <a:t>Analysis</a:t>
          </a:r>
        </a:p>
      </xdr:txBody>
    </xdr:sp>
    <xdr:clientData/>
  </xdr:twoCellAnchor>
  <xdr:twoCellAnchor editAs="oneCell">
    <xdr:from>
      <xdr:col>2</xdr:col>
      <xdr:colOff>622282</xdr:colOff>
      <xdr:row>6</xdr:row>
      <xdr:rowOff>77887</xdr:rowOff>
    </xdr:from>
    <xdr:to>
      <xdr:col>3</xdr:col>
      <xdr:colOff>634999</xdr:colOff>
      <xdr:row>9</xdr:row>
      <xdr:rowOff>183234</xdr:rowOff>
    </xdr:to>
    <xdr:pic>
      <xdr:nvPicPr>
        <xdr:cNvPr id="22" name="Graphic 21" descr="Arrow: Rotate left with solid fill">
          <a:extLst>
            <a:ext uri="{FF2B5EF4-FFF2-40B4-BE49-F238E27FC236}">
              <a16:creationId xmlns:a16="http://schemas.microsoft.com/office/drawing/2014/main" id="{486885AD-9B5C-44B8-9CF5-30B126E98E2C}"/>
            </a:ext>
          </a:extLst>
        </xdr:cNvPr>
        <xdr:cNvPicPr>
          <a:picLocks noChangeAspect="1"/>
        </xdr:cNvPicPr>
      </xdr:nvPicPr>
      <xdr:blipFill>
        <a:blip xmlns:r="http://schemas.openxmlformats.org/officeDocument/2006/relationships" r:embed="rId7">
          <a:extLst>
            <a:ext uri="{28A0092B-C50C-407E-A947-70E740481C1C}">
              <a14:useLocalDpi xmlns:a14="http://schemas.microsoft.com/office/drawing/2010/main" val="0"/>
            </a:ext>
            <a:ext uri="{96DAC541-7B7A-43D3-8B79-37D633B846F1}">
              <asvg:svgBlip xmlns:asvg="http://schemas.microsoft.com/office/drawing/2016/SVG/main" r:embed="rId8"/>
            </a:ext>
          </a:extLst>
        </a:blip>
        <a:stretch>
          <a:fillRect/>
        </a:stretch>
      </xdr:blipFill>
      <xdr:spPr>
        <a:xfrm>
          <a:off x="2247882" y="1487587"/>
          <a:ext cx="825517" cy="810197"/>
        </a:xfrm>
        <a:prstGeom prst="rect">
          <a:avLst/>
        </a:prstGeom>
      </xdr:spPr>
    </xdr:pic>
    <xdr:clientData/>
  </xdr:twoCellAnchor>
  <xdr:twoCellAnchor editAs="oneCell">
    <xdr:from>
      <xdr:col>5</xdr:col>
      <xdr:colOff>657428</xdr:colOff>
      <xdr:row>6</xdr:row>
      <xdr:rowOff>50124</xdr:rowOff>
    </xdr:from>
    <xdr:to>
      <xdr:col>9</xdr:col>
      <xdr:colOff>540425</xdr:colOff>
      <xdr:row>9</xdr:row>
      <xdr:rowOff>162126</xdr:rowOff>
    </xdr:to>
    <mc:AlternateContent xmlns:mc="http://schemas.openxmlformats.org/markup-compatibility/2006" xmlns:a14="http://schemas.microsoft.com/office/drawing/2010/main">
      <mc:Choice Requires="a14">
        <xdr:graphicFrame macro="">
          <xdr:nvGraphicFramePr>
            <xdr:cNvPr id="25" name="Weight level 3">
              <a:extLst>
                <a:ext uri="{FF2B5EF4-FFF2-40B4-BE49-F238E27FC236}">
                  <a16:creationId xmlns:a16="http://schemas.microsoft.com/office/drawing/2014/main" id="{80D1B551-F8B0-4064-8C3D-7C9872A23DAB}"/>
                </a:ext>
              </a:extLst>
            </xdr:cNvPr>
            <xdr:cNvGraphicFramePr/>
          </xdr:nvGraphicFramePr>
          <xdr:xfrm>
            <a:off x="0" y="0"/>
            <a:ext cx="0" cy="0"/>
          </xdr:xfrm>
          <a:graphic>
            <a:graphicData uri="http://schemas.microsoft.com/office/drawing/2010/slicer">
              <sle:slicer xmlns:sle="http://schemas.microsoft.com/office/drawing/2010/slicer" name="Weight level 3"/>
            </a:graphicData>
          </a:graphic>
        </xdr:graphicFrame>
      </mc:Choice>
      <mc:Fallback xmlns="">
        <xdr:sp macro="" textlink="">
          <xdr:nvSpPr>
            <xdr:cNvPr id="0" name=""/>
            <xdr:cNvSpPr>
              <a:spLocks noTextEdit="1"/>
            </xdr:cNvSpPr>
          </xdr:nvSpPr>
          <xdr:spPr>
            <a:xfrm>
              <a:off x="4710619" y="1428209"/>
              <a:ext cx="3125551" cy="80104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21</xdr:col>
      <xdr:colOff>144022</xdr:colOff>
      <xdr:row>6</xdr:row>
      <xdr:rowOff>23105</xdr:rowOff>
    </xdr:from>
    <xdr:to>
      <xdr:col>28</xdr:col>
      <xdr:colOff>243191</xdr:colOff>
      <xdr:row>9</xdr:row>
      <xdr:rowOff>94576</xdr:rowOff>
    </xdr:to>
    <mc:AlternateContent xmlns:mc="http://schemas.openxmlformats.org/markup-compatibility/2006" xmlns:a14="http://schemas.microsoft.com/office/drawing/2010/main">
      <mc:Choice Requires="a14">
        <xdr:graphicFrame macro="">
          <xdr:nvGraphicFramePr>
            <xdr:cNvPr id="26" name="Height level 3">
              <a:extLst>
                <a:ext uri="{FF2B5EF4-FFF2-40B4-BE49-F238E27FC236}">
                  <a16:creationId xmlns:a16="http://schemas.microsoft.com/office/drawing/2014/main" id="{DC4D8A77-9C94-4DED-8CF8-EB46440428F2}"/>
                </a:ext>
              </a:extLst>
            </xdr:cNvPr>
            <xdr:cNvGraphicFramePr/>
          </xdr:nvGraphicFramePr>
          <xdr:xfrm>
            <a:off x="0" y="0"/>
            <a:ext cx="0" cy="0"/>
          </xdr:xfrm>
          <a:graphic>
            <a:graphicData uri="http://schemas.microsoft.com/office/drawing/2010/slicer">
              <sle:slicer xmlns:sle="http://schemas.microsoft.com/office/drawing/2010/slicer" name="Height level 3"/>
            </a:graphicData>
          </a:graphic>
        </xdr:graphicFrame>
      </mc:Choice>
      <mc:Fallback xmlns="">
        <xdr:sp macro="" textlink="">
          <xdr:nvSpPr>
            <xdr:cNvPr id="0" name=""/>
            <xdr:cNvSpPr>
              <a:spLocks noTextEdit="1"/>
            </xdr:cNvSpPr>
          </xdr:nvSpPr>
          <xdr:spPr>
            <a:xfrm>
              <a:off x="17167426" y="1401190"/>
              <a:ext cx="5773637" cy="76051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634999</xdr:colOff>
      <xdr:row>11</xdr:row>
      <xdr:rowOff>54043</xdr:rowOff>
    </xdr:from>
    <xdr:to>
      <xdr:col>12</xdr:col>
      <xdr:colOff>27021</xdr:colOff>
      <xdr:row>30</xdr:row>
      <xdr:rowOff>135105</xdr:rowOff>
    </xdr:to>
    <xdr:sp macro="" textlink="">
      <xdr:nvSpPr>
        <xdr:cNvPr id="31" name="Rectangle: Rounded Corners 30">
          <a:extLst>
            <a:ext uri="{FF2B5EF4-FFF2-40B4-BE49-F238E27FC236}">
              <a16:creationId xmlns:a16="http://schemas.microsoft.com/office/drawing/2014/main" id="{71DEB90C-D01B-491B-9A83-53FA59F62B29}"/>
            </a:ext>
          </a:extLst>
        </xdr:cNvPr>
        <xdr:cNvSpPr/>
      </xdr:nvSpPr>
      <xdr:spPr>
        <a:xfrm>
          <a:off x="2256276" y="2580532"/>
          <a:ext cx="7498405" cy="4444999"/>
        </a:xfrm>
        <a:prstGeom prst="roundRect">
          <a:avLst/>
        </a:prstGeom>
      </xdr:spPr>
      <xdr:style>
        <a:lnRef idx="2">
          <a:schemeClr val="accent2">
            <a:shade val="50000"/>
          </a:schemeClr>
        </a:lnRef>
        <a:fillRef idx="1">
          <a:schemeClr val="accent2"/>
        </a:fillRef>
        <a:effectRef idx="0">
          <a:schemeClr val="accent2"/>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xdr:colOff>
      <xdr:row>10</xdr:row>
      <xdr:rowOff>189148</xdr:rowOff>
    </xdr:from>
    <xdr:to>
      <xdr:col>12</xdr:col>
      <xdr:colOff>174902</xdr:colOff>
      <xdr:row>30</xdr:row>
      <xdr:rowOff>216169</xdr:rowOff>
    </xdr:to>
    <xdr:sp macro="" textlink="">
      <xdr:nvSpPr>
        <xdr:cNvPr id="32" name="Rectangle: Rounded Corners 31">
          <a:extLst>
            <a:ext uri="{FF2B5EF4-FFF2-40B4-BE49-F238E27FC236}">
              <a16:creationId xmlns:a16="http://schemas.microsoft.com/office/drawing/2014/main" id="{AC87360C-182D-4C8A-863C-1D036A54D1A8}"/>
            </a:ext>
          </a:extLst>
        </xdr:cNvPr>
        <xdr:cNvSpPr/>
      </xdr:nvSpPr>
      <xdr:spPr>
        <a:xfrm>
          <a:off x="2431914" y="2485957"/>
          <a:ext cx="7470648" cy="4620638"/>
        </a:xfrm>
        <a:prstGeom prst="roundRect">
          <a:avLst/>
        </a:prstGeom>
        <a:ln>
          <a:noFill/>
        </a:ln>
      </xdr:spPr>
      <xdr:style>
        <a:lnRef idx="2">
          <a:schemeClr val="accent2"/>
        </a:lnRef>
        <a:fillRef idx="1">
          <a:schemeClr val="lt1"/>
        </a:fillRef>
        <a:effectRef idx="0">
          <a:schemeClr val="accent2"/>
        </a:effectRef>
        <a:fontRef idx="minor">
          <a:schemeClr val="dk1"/>
        </a:fontRef>
      </xdr:style>
      <xdr:txBody>
        <a:bodyPr vertOverflow="clip" horzOverflow="clip" rtlCol="0" anchor="t"/>
        <a:lstStyle/>
        <a:p>
          <a:pPr algn="l"/>
          <a:endParaRPr lang="en-US" sz="1100"/>
        </a:p>
      </xdr:txBody>
    </xdr:sp>
    <xdr:clientData/>
  </xdr:twoCellAnchor>
  <xdr:twoCellAnchor>
    <xdr:from>
      <xdr:col>12</xdr:col>
      <xdr:colOff>391808</xdr:colOff>
      <xdr:row>10</xdr:row>
      <xdr:rowOff>229679</xdr:rowOff>
    </xdr:from>
    <xdr:to>
      <xdr:col>20</xdr:col>
      <xdr:colOff>393196</xdr:colOff>
      <xdr:row>30</xdr:row>
      <xdr:rowOff>135105</xdr:rowOff>
    </xdr:to>
    <xdr:sp macro="" textlink="">
      <xdr:nvSpPr>
        <xdr:cNvPr id="33" name="Rectangle: Rounded Corners 32">
          <a:extLst>
            <a:ext uri="{FF2B5EF4-FFF2-40B4-BE49-F238E27FC236}">
              <a16:creationId xmlns:a16="http://schemas.microsoft.com/office/drawing/2014/main" id="{D67C056D-C166-4661-8103-ACBE06B61D2A}"/>
            </a:ext>
          </a:extLst>
        </xdr:cNvPr>
        <xdr:cNvSpPr/>
      </xdr:nvSpPr>
      <xdr:spPr>
        <a:xfrm>
          <a:off x="10119468" y="2526488"/>
          <a:ext cx="6486494" cy="4499043"/>
        </a:xfrm>
        <a:prstGeom prst="roundRect">
          <a:avLst/>
        </a:prstGeom>
      </xdr:spPr>
      <xdr:style>
        <a:lnRef idx="2">
          <a:schemeClr val="accent4">
            <a:shade val="50000"/>
          </a:schemeClr>
        </a:lnRef>
        <a:fillRef idx="1">
          <a:schemeClr val="accent4"/>
        </a:fillRef>
        <a:effectRef idx="0">
          <a:schemeClr val="accent4"/>
        </a:effectRef>
        <a:fontRef idx="minor">
          <a:schemeClr val="lt1"/>
        </a:fontRef>
      </xdr:style>
      <xdr:txBody>
        <a:bodyPr vertOverflow="clip" horzOverflow="clip" rtlCol="0" anchor="t"/>
        <a:lstStyle/>
        <a:p>
          <a:pPr algn="l"/>
          <a:endParaRPr lang="en-US" sz="1100"/>
        </a:p>
      </xdr:txBody>
    </xdr:sp>
    <xdr:clientData/>
  </xdr:twoCellAnchor>
  <xdr:twoCellAnchor>
    <xdr:from>
      <xdr:col>20</xdr:col>
      <xdr:colOff>648511</xdr:colOff>
      <xdr:row>11</xdr:row>
      <xdr:rowOff>27022</xdr:rowOff>
    </xdr:from>
    <xdr:to>
      <xdr:col>30</xdr:col>
      <xdr:colOff>13511</xdr:colOff>
      <xdr:row>30</xdr:row>
      <xdr:rowOff>54042</xdr:rowOff>
    </xdr:to>
    <xdr:sp macro="" textlink="">
      <xdr:nvSpPr>
        <xdr:cNvPr id="34" name="Rectangle: Rounded Corners 33">
          <a:extLst>
            <a:ext uri="{FF2B5EF4-FFF2-40B4-BE49-F238E27FC236}">
              <a16:creationId xmlns:a16="http://schemas.microsoft.com/office/drawing/2014/main" id="{778853D1-B293-46D1-9E6C-6E78BD3D5A68}"/>
            </a:ext>
          </a:extLst>
        </xdr:cNvPr>
        <xdr:cNvSpPr/>
      </xdr:nvSpPr>
      <xdr:spPr>
        <a:xfrm>
          <a:off x="16861277" y="2553511"/>
          <a:ext cx="7471383" cy="4390957"/>
        </a:xfrm>
        <a:prstGeom prst="roundRect">
          <a:avLst/>
        </a:prstGeom>
      </xdr:spPr>
      <xdr:style>
        <a:lnRef idx="2">
          <a:schemeClr val="accent6">
            <a:shade val="50000"/>
          </a:schemeClr>
        </a:lnRef>
        <a:fillRef idx="1">
          <a:schemeClr val="accent6"/>
        </a:fillRef>
        <a:effectRef idx="0">
          <a:schemeClr val="accent6"/>
        </a:effectRef>
        <a:fontRef idx="minor">
          <a:schemeClr val="lt1"/>
        </a:fontRef>
      </xdr:style>
      <xdr:txBody>
        <a:bodyPr vertOverflow="clip" horzOverflow="clip" rtlCol="0" anchor="t"/>
        <a:lstStyle/>
        <a:p>
          <a:pPr algn="l"/>
          <a:endParaRPr lang="en-US" sz="1100"/>
        </a:p>
      </xdr:txBody>
    </xdr:sp>
    <xdr:clientData/>
  </xdr:twoCellAnchor>
  <xdr:twoCellAnchor>
    <xdr:from>
      <xdr:col>12</xdr:col>
      <xdr:colOff>607833</xdr:colOff>
      <xdr:row>10</xdr:row>
      <xdr:rowOff>175638</xdr:rowOff>
    </xdr:from>
    <xdr:to>
      <xdr:col>20</xdr:col>
      <xdr:colOff>432341</xdr:colOff>
      <xdr:row>31</xdr:row>
      <xdr:rowOff>13511</xdr:rowOff>
    </xdr:to>
    <xdr:sp macro="" textlink="">
      <xdr:nvSpPr>
        <xdr:cNvPr id="35" name="Rectangle: Rounded Corners 34">
          <a:extLst>
            <a:ext uri="{FF2B5EF4-FFF2-40B4-BE49-F238E27FC236}">
              <a16:creationId xmlns:a16="http://schemas.microsoft.com/office/drawing/2014/main" id="{C60B3B6E-1576-4268-AC50-3454674A58B7}"/>
            </a:ext>
          </a:extLst>
        </xdr:cNvPr>
        <xdr:cNvSpPr/>
      </xdr:nvSpPr>
      <xdr:spPr>
        <a:xfrm>
          <a:off x="10335493" y="2472447"/>
          <a:ext cx="6309614" cy="4661170"/>
        </a:xfrm>
        <a:prstGeom prst="roundRect">
          <a:avLst/>
        </a:prstGeom>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1100"/>
        </a:p>
      </xdr:txBody>
    </xdr:sp>
    <xdr:clientData/>
  </xdr:twoCellAnchor>
  <xdr:twoCellAnchor>
    <xdr:from>
      <xdr:col>21</xdr:col>
      <xdr:colOff>53896</xdr:colOff>
      <xdr:row>10</xdr:row>
      <xdr:rowOff>162128</xdr:rowOff>
    </xdr:from>
    <xdr:to>
      <xdr:col>30</xdr:col>
      <xdr:colOff>135106</xdr:colOff>
      <xdr:row>30</xdr:row>
      <xdr:rowOff>202659</xdr:rowOff>
    </xdr:to>
    <xdr:sp macro="" textlink="">
      <xdr:nvSpPr>
        <xdr:cNvPr id="36" name="Rectangle: Rounded Corners 35">
          <a:extLst>
            <a:ext uri="{FF2B5EF4-FFF2-40B4-BE49-F238E27FC236}">
              <a16:creationId xmlns:a16="http://schemas.microsoft.com/office/drawing/2014/main" id="{FC54F1BE-B40E-4357-9B83-72753410EACB}"/>
            </a:ext>
          </a:extLst>
        </xdr:cNvPr>
        <xdr:cNvSpPr/>
      </xdr:nvSpPr>
      <xdr:spPr>
        <a:xfrm>
          <a:off x="17077300" y="2458937"/>
          <a:ext cx="7376955" cy="4634148"/>
        </a:xfrm>
        <a:prstGeom prst="roundRect">
          <a:avLst/>
        </a:prstGeom>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1100"/>
        </a:p>
      </xdr:txBody>
    </xdr:sp>
    <xdr:clientData/>
  </xdr:twoCellAnchor>
  <xdr:twoCellAnchor>
    <xdr:from>
      <xdr:col>3</xdr:col>
      <xdr:colOff>297234</xdr:colOff>
      <xdr:row>12</xdr:row>
      <xdr:rowOff>40532</xdr:rowOff>
    </xdr:from>
    <xdr:to>
      <xdr:col>11</xdr:col>
      <xdr:colOff>675532</xdr:colOff>
      <xdr:row>29</xdr:row>
      <xdr:rowOff>94573</xdr:rowOff>
    </xdr:to>
    <xdr:graphicFrame macro="">
      <xdr:nvGraphicFramePr>
        <xdr:cNvPr id="37" name="Chart 36">
          <a:extLst>
            <a:ext uri="{FF2B5EF4-FFF2-40B4-BE49-F238E27FC236}">
              <a16:creationId xmlns:a16="http://schemas.microsoft.com/office/drawing/2014/main" id="{8185038A-709A-44E5-AC9F-8128EAE45AE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13</xdr:col>
      <xdr:colOff>81064</xdr:colOff>
      <xdr:row>11</xdr:row>
      <xdr:rowOff>216170</xdr:rowOff>
    </xdr:from>
    <xdr:to>
      <xdr:col>20</xdr:col>
      <xdr:colOff>108086</xdr:colOff>
      <xdr:row>29</xdr:row>
      <xdr:rowOff>175637</xdr:rowOff>
    </xdr:to>
    <xdr:graphicFrame macro="">
      <xdr:nvGraphicFramePr>
        <xdr:cNvPr id="38" name="Chart 37">
          <a:extLst>
            <a:ext uri="{FF2B5EF4-FFF2-40B4-BE49-F238E27FC236}">
              <a16:creationId xmlns:a16="http://schemas.microsoft.com/office/drawing/2014/main" id="{D5B8ACD0-0ED8-45E4-8957-D31C7214EC6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21</xdr:col>
      <xdr:colOff>337619</xdr:colOff>
      <xdr:row>11</xdr:row>
      <xdr:rowOff>135107</xdr:rowOff>
    </xdr:from>
    <xdr:to>
      <xdr:col>29</xdr:col>
      <xdr:colOff>635000</xdr:colOff>
      <xdr:row>29</xdr:row>
      <xdr:rowOff>202659</xdr:rowOff>
    </xdr:to>
    <xdr:graphicFrame macro="">
      <xdr:nvGraphicFramePr>
        <xdr:cNvPr id="40" name="Chart 39">
          <a:extLst>
            <a:ext uri="{FF2B5EF4-FFF2-40B4-BE49-F238E27FC236}">
              <a16:creationId xmlns:a16="http://schemas.microsoft.com/office/drawing/2014/main" id="{B3590BA8-F05D-4201-872F-DF33253EDD1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0</xdr:col>
      <xdr:colOff>164275</xdr:colOff>
      <xdr:row>13</xdr:row>
      <xdr:rowOff>40610</xdr:rowOff>
    </xdr:from>
    <xdr:to>
      <xdr:col>2</xdr:col>
      <xdr:colOff>371798</xdr:colOff>
      <xdr:row>15</xdr:row>
      <xdr:rowOff>204759</xdr:rowOff>
    </xdr:to>
    <xdr:sp macro="" textlink="">
      <xdr:nvSpPr>
        <xdr:cNvPr id="28" name="Rectangle: Rounded Corners 27">
          <a:hlinkClick xmlns:r="http://schemas.openxmlformats.org/officeDocument/2006/relationships" r:id="rId12"/>
          <a:extLst>
            <a:ext uri="{FF2B5EF4-FFF2-40B4-BE49-F238E27FC236}">
              <a16:creationId xmlns:a16="http://schemas.microsoft.com/office/drawing/2014/main" id="{1A2FF784-05D7-4549-83DF-099F31BCDBA0}"/>
            </a:ext>
          </a:extLst>
        </xdr:cNvPr>
        <xdr:cNvSpPr/>
      </xdr:nvSpPr>
      <xdr:spPr>
        <a:xfrm>
          <a:off x="164275" y="3026461"/>
          <a:ext cx="1828800" cy="623511"/>
        </a:xfrm>
        <a:prstGeom prst="roundRect">
          <a:avLst>
            <a:gd name="adj" fmla="val 50000"/>
          </a:avLst>
        </a:prstGeom>
        <a:noFill/>
        <a:ln>
          <a:solidFill>
            <a:schemeClr val="bg1"/>
          </a:solidFill>
        </a:ln>
      </xdr:spPr>
      <xdr:style>
        <a:lnRef idx="2">
          <a:schemeClr val="accent5"/>
        </a:lnRef>
        <a:fillRef idx="1">
          <a:schemeClr val="lt1"/>
        </a:fillRef>
        <a:effectRef idx="0">
          <a:schemeClr val="accent5"/>
        </a:effectRef>
        <a:fontRef idx="minor">
          <a:schemeClr val="dk1"/>
        </a:fontRef>
      </xdr:style>
      <xdr:txBody>
        <a:bodyPr vertOverflow="clip" horzOverflow="clip" rtlCol="0" anchor="t"/>
        <a:lstStyle/>
        <a:p>
          <a:pPr algn="ctr"/>
          <a:r>
            <a:rPr lang="en-US" sz="2000" b="1">
              <a:ln>
                <a:solidFill>
                  <a:schemeClr val="bg1"/>
                </a:solidFill>
              </a:ln>
              <a:solidFill>
                <a:schemeClr val="bg1"/>
              </a:solidFill>
            </a:rPr>
            <a:t>HEIGHT</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167532</xdr:colOff>
      <xdr:row>0</xdr:row>
      <xdr:rowOff>0</xdr:rowOff>
    </xdr:from>
    <xdr:to>
      <xdr:col>30</xdr:col>
      <xdr:colOff>499894</xdr:colOff>
      <xdr:row>31</xdr:row>
      <xdr:rowOff>98627</xdr:rowOff>
    </xdr:to>
    <xdr:sp macro="" textlink="">
      <xdr:nvSpPr>
        <xdr:cNvPr id="2" name="Rectangle: Rounded Corners 1">
          <a:extLst>
            <a:ext uri="{FF2B5EF4-FFF2-40B4-BE49-F238E27FC236}">
              <a16:creationId xmlns:a16="http://schemas.microsoft.com/office/drawing/2014/main" id="{09AA558B-4389-41EE-9483-10F0F4844150}"/>
            </a:ext>
          </a:extLst>
        </xdr:cNvPr>
        <xdr:cNvSpPr/>
      </xdr:nvSpPr>
      <xdr:spPr>
        <a:xfrm>
          <a:off x="167532" y="0"/>
          <a:ext cx="24651511" cy="7218733"/>
        </a:xfrm>
        <a:prstGeom prst="roundRect">
          <a:avLst>
            <a:gd name="adj" fmla="val 4415"/>
          </a:avLst>
        </a:prstGeom>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508935</xdr:colOff>
      <xdr:row>0</xdr:row>
      <xdr:rowOff>136774</xdr:rowOff>
    </xdr:from>
    <xdr:to>
      <xdr:col>30</xdr:col>
      <xdr:colOff>324257</xdr:colOff>
      <xdr:row>31</xdr:row>
      <xdr:rowOff>81064</xdr:rowOff>
    </xdr:to>
    <xdr:sp macro="" textlink="">
      <xdr:nvSpPr>
        <xdr:cNvPr id="3" name="Rectangle: Rounded Corners 2">
          <a:extLst>
            <a:ext uri="{FF2B5EF4-FFF2-40B4-BE49-F238E27FC236}">
              <a16:creationId xmlns:a16="http://schemas.microsoft.com/office/drawing/2014/main" id="{EDC9FF71-6E36-4310-99EA-EC7DA6EB6654}"/>
            </a:ext>
          </a:extLst>
        </xdr:cNvPr>
        <xdr:cNvSpPr/>
      </xdr:nvSpPr>
      <xdr:spPr>
        <a:xfrm>
          <a:off x="2134535" y="136774"/>
          <a:ext cx="22573722" cy="7227740"/>
        </a:xfrm>
        <a:prstGeom prst="roundRect">
          <a:avLst>
            <a:gd name="adj" fmla="val 4317"/>
          </a:avLst>
        </a:prstGeom>
        <a:ln/>
      </xdr:spPr>
      <xdr:style>
        <a:lnRef idx="1">
          <a:schemeClr val="accent3"/>
        </a:lnRef>
        <a:fillRef idx="2">
          <a:schemeClr val="accent3"/>
        </a:fillRef>
        <a:effectRef idx="1">
          <a:schemeClr val="accent3"/>
        </a:effectRef>
        <a:fontRef idx="minor">
          <a:schemeClr val="dk1"/>
        </a:fontRef>
      </xdr:style>
      <xdr:txBody>
        <a:bodyPr vertOverflow="clip" horzOverflow="clip" rtlCol="0" anchor="t"/>
        <a:lstStyle/>
        <a:p>
          <a:pPr algn="l"/>
          <a:endParaRPr lang="en-US" sz="1100"/>
        </a:p>
      </xdr:txBody>
    </xdr:sp>
    <xdr:clientData/>
  </xdr:twoCellAnchor>
  <xdr:twoCellAnchor>
    <xdr:from>
      <xdr:col>2</xdr:col>
      <xdr:colOff>637432</xdr:colOff>
      <xdr:row>1</xdr:row>
      <xdr:rowOff>45641</xdr:rowOff>
    </xdr:from>
    <xdr:to>
      <xdr:col>30</xdr:col>
      <xdr:colOff>81064</xdr:colOff>
      <xdr:row>10</xdr:row>
      <xdr:rowOff>54042</xdr:rowOff>
    </xdr:to>
    <xdr:sp macro="" textlink="">
      <xdr:nvSpPr>
        <xdr:cNvPr id="4" name="Rectangle 3">
          <a:extLst>
            <a:ext uri="{FF2B5EF4-FFF2-40B4-BE49-F238E27FC236}">
              <a16:creationId xmlns:a16="http://schemas.microsoft.com/office/drawing/2014/main" id="{5B5D6757-7650-4DA6-873B-B077E08EDD78}"/>
            </a:ext>
          </a:extLst>
        </xdr:cNvPr>
        <xdr:cNvSpPr/>
      </xdr:nvSpPr>
      <xdr:spPr>
        <a:xfrm>
          <a:off x="2258709" y="275322"/>
          <a:ext cx="22141504" cy="2075529"/>
        </a:xfrm>
        <a:prstGeom prst="rect">
          <a:avLst/>
        </a:prstGeom>
        <a:ln>
          <a:noFill/>
        </a:ln>
      </xdr:spPr>
      <xdr:style>
        <a:lnRef idx="2">
          <a:schemeClr val="accent5"/>
        </a:lnRef>
        <a:fillRef idx="1">
          <a:schemeClr val="lt1"/>
        </a:fillRef>
        <a:effectRef idx="0">
          <a:schemeClr val="accent5"/>
        </a:effectRef>
        <a:fontRef idx="minor">
          <a:schemeClr val="dk1"/>
        </a:fontRef>
      </xdr:style>
      <xdr:txBody>
        <a:bodyPr vertOverflow="clip" horzOverflow="clip" rtlCol="0" anchor="t"/>
        <a:lstStyle/>
        <a:p>
          <a:pPr algn="l"/>
          <a:endParaRPr lang="en-US" sz="1100"/>
        </a:p>
      </xdr:txBody>
    </xdr:sp>
    <xdr:clientData/>
  </xdr:twoCellAnchor>
  <xdr:twoCellAnchor editAs="oneCell">
    <xdr:from>
      <xdr:col>10</xdr:col>
      <xdr:colOff>557961</xdr:colOff>
      <xdr:row>6</xdr:row>
      <xdr:rowOff>25399</xdr:rowOff>
    </xdr:from>
    <xdr:to>
      <xdr:col>19</xdr:col>
      <xdr:colOff>689042</xdr:colOff>
      <xdr:row>9</xdr:row>
      <xdr:rowOff>189149</xdr:rowOff>
    </xdr:to>
    <mc:AlternateContent xmlns:mc="http://schemas.openxmlformats.org/markup-compatibility/2006" xmlns:a14="http://schemas.microsoft.com/office/drawing/2010/main">
      <mc:Choice Requires="a14">
        <xdr:graphicFrame macro="">
          <xdr:nvGraphicFramePr>
            <xdr:cNvPr id="5" name="Age Group 5">
              <a:extLst>
                <a:ext uri="{FF2B5EF4-FFF2-40B4-BE49-F238E27FC236}">
                  <a16:creationId xmlns:a16="http://schemas.microsoft.com/office/drawing/2014/main" id="{00534120-792F-4E3A-B218-202718247AEA}"/>
                </a:ext>
              </a:extLst>
            </xdr:cNvPr>
            <xdr:cNvGraphicFramePr/>
          </xdr:nvGraphicFramePr>
          <xdr:xfrm>
            <a:off x="0" y="0"/>
            <a:ext cx="0" cy="0"/>
          </xdr:xfrm>
          <a:graphic>
            <a:graphicData uri="http://schemas.microsoft.com/office/drawing/2010/slicer">
              <sle:slicer xmlns:sle="http://schemas.microsoft.com/office/drawing/2010/slicer" name="Age Group 5"/>
            </a:graphicData>
          </a:graphic>
        </xdr:graphicFrame>
      </mc:Choice>
      <mc:Fallback xmlns="">
        <xdr:sp macro="" textlink="">
          <xdr:nvSpPr>
            <xdr:cNvPr id="0" name=""/>
            <xdr:cNvSpPr>
              <a:spLocks noTextEdit="1"/>
            </xdr:cNvSpPr>
          </xdr:nvSpPr>
          <xdr:spPr>
            <a:xfrm>
              <a:off x="8664344" y="1403484"/>
              <a:ext cx="7426826" cy="85279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694532</xdr:colOff>
      <xdr:row>3</xdr:row>
      <xdr:rowOff>19845</xdr:rowOff>
    </xdr:from>
    <xdr:to>
      <xdr:col>3</xdr:col>
      <xdr:colOff>416719</xdr:colOff>
      <xdr:row>5</xdr:row>
      <xdr:rowOff>79375</xdr:rowOff>
    </xdr:to>
    <xdr:pic>
      <xdr:nvPicPr>
        <xdr:cNvPr id="7" name="Graphic 6" descr="Right pointing backhand index with solid fill">
          <a:extLst>
            <a:ext uri="{FF2B5EF4-FFF2-40B4-BE49-F238E27FC236}">
              <a16:creationId xmlns:a16="http://schemas.microsoft.com/office/drawing/2014/main" id="{DB3AC037-9697-4188-9790-1123D22D60FE}"/>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 uri="{96DAC541-7B7A-43D3-8B79-37D633B846F1}">
              <asvg:svgBlip xmlns:asvg="http://schemas.microsoft.com/office/drawing/2016/SVG/main" r:embed="rId2"/>
            </a:ext>
          </a:extLst>
        </a:blip>
        <a:stretch>
          <a:fillRect/>
        </a:stretch>
      </xdr:blipFill>
      <xdr:spPr>
        <a:xfrm>
          <a:off x="2320132" y="724695"/>
          <a:ext cx="534987" cy="529430"/>
        </a:xfrm>
        <a:prstGeom prst="rect">
          <a:avLst/>
        </a:prstGeom>
      </xdr:spPr>
    </xdr:pic>
    <xdr:clientData/>
  </xdr:twoCellAnchor>
  <xdr:twoCellAnchor>
    <xdr:from>
      <xdr:col>3</xdr:col>
      <xdr:colOff>646245</xdr:colOff>
      <xdr:row>2</xdr:row>
      <xdr:rowOff>230187</xdr:rowOff>
    </xdr:from>
    <xdr:to>
      <xdr:col>5</xdr:col>
      <xdr:colOff>298979</xdr:colOff>
      <xdr:row>5</xdr:row>
      <xdr:rowOff>230187</xdr:rowOff>
    </xdr:to>
    <xdr:sp macro="" textlink="">
      <xdr:nvSpPr>
        <xdr:cNvPr id="8" name="Rectangle: Rounded Corners 7">
          <a:extLst>
            <a:ext uri="{FF2B5EF4-FFF2-40B4-BE49-F238E27FC236}">
              <a16:creationId xmlns:a16="http://schemas.microsoft.com/office/drawing/2014/main" id="{06081C8A-FE62-4D5A-9578-92C330AD5B05}"/>
            </a:ext>
          </a:extLst>
        </xdr:cNvPr>
        <xdr:cNvSpPr/>
      </xdr:nvSpPr>
      <xdr:spPr>
        <a:xfrm>
          <a:off x="3084645" y="700087"/>
          <a:ext cx="1278334" cy="704850"/>
        </a:xfrm>
        <a:prstGeom prst="roundRect">
          <a:avLst>
            <a:gd name="adj" fmla="val 37500"/>
          </a:avLst>
        </a:prstGeom>
        <a:solidFill>
          <a:srgbClr val="E1E1FF"/>
        </a:solidFill>
        <a:ln>
          <a:noFill/>
        </a:ln>
      </xdr:spPr>
      <xdr:style>
        <a:lnRef idx="1">
          <a:schemeClr val="accent1"/>
        </a:lnRef>
        <a:fillRef idx="2">
          <a:schemeClr val="accent1"/>
        </a:fillRef>
        <a:effectRef idx="1">
          <a:schemeClr val="accent1"/>
        </a:effectRef>
        <a:fontRef idx="minor">
          <a:schemeClr val="dk1"/>
        </a:fontRef>
      </xdr:style>
      <xdr:txBody>
        <a:bodyPr vertOverflow="clip" horzOverflow="clip" rtlCol="0" anchor="t"/>
        <a:lstStyle/>
        <a:p>
          <a:pPr algn="ctr"/>
          <a:r>
            <a:rPr lang="en-US" sz="2800" b="1"/>
            <a:t>Slicer</a:t>
          </a:r>
        </a:p>
      </xdr:txBody>
    </xdr:sp>
    <xdr:clientData/>
  </xdr:twoCellAnchor>
  <xdr:twoCellAnchor editAs="oneCell">
    <xdr:from>
      <xdr:col>5</xdr:col>
      <xdr:colOff>501649</xdr:colOff>
      <xdr:row>1</xdr:row>
      <xdr:rowOff>101598</xdr:rowOff>
    </xdr:from>
    <xdr:to>
      <xdr:col>29</xdr:col>
      <xdr:colOff>67552</xdr:colOff>
      <xdr:row>5</xdr:row>
      <xdr:rowOff>203199</xdr:rowOff>
    </xdr:to>
    <mc:AlternateContent xmlns:mc="http://schemas.openxmlformats.org/markup-compatibility/2006" xmlns:a14="http://schemas.microsoft.com/office/drawing/2010/main">
      <mc:Choice Requires="a14">
        <xdr:graphicFrame macro="">
          <xdr:nvGraphicFramePr>
            <xdr:cNvPr id="14" name="Sport 4">
              <a:extLst>
                <a:ext uri="{FF2B5EF4-FFF2-40B4-BE49-F238E27FC236}">
                  <a16:creationId xmlns:a16="http://schemas.microsoft.com/office/drawing/2014/main" id="{1CC41B23-6168-4D37-8B23-A3D5487FF1FE}"/>
                </a:ext>
              </a:extLst>
            </xdr:cNvPr>
            <xdr:cNvGraphicFramePr/>
          </xdr:nvGraphicFramePr>
          <xdr:xfrm>
            <a:off x="0" y="0"/>
            <a:ext cx="0" cy="0"/>
          </xdr:xfrm>
          <a:graphic>
            <a:graphicData uri="http://schemas.microsoft.com/office/drawing/2010/slicer">
              <sle:slicer xmlns:sle="http://schemas.microsoft.com/office/drawing/2010/slicer" name="Sport 4"/>
            </a:graphicData>
          </a:graphic>
        </xdr:graphicFrame>
      </mc:Choice>
      <mc:Fallback xmlns="">
        <xdr:sp macro="" textlink="">
          <xdr:nvSpPr>
            <xdr:cNvPr id="0" name=""/>
            <xdr:cNvSpPr>
              <a:spLocks noTextEdit="1"/>
            </xdr:cNvSpPr>
          </xdr:nvSpPr>
          <xdr:spPr>
            <a:xfrm>
              <a:off x="4554840" y="331279"/>
              <a:ext cx="19021223" cy="102032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749570</xdr:colOff>
      <xdr:row>10</xdr:row>
      <xdr:rowOff>135106</xdr:rowOff>
    </xdr:from>
    <xdr:to>
      <xdr:col>9</xdr:col>
      <xdr:colOff>797127</xdr:colOff>
      <xdr:row>30</xdr:row>
      <xdr:rowOff>94574</xdr:rowOff>
    </xdr:to>
    <xdr:sp macro="" textlink="">
      <xdr:nvSpPr>
        <xdr:cNvPr id="16" name="Rectangle: Rounded Corners 15">
          <a:extLst>
            <a:ext uri="{FF2B5EF4-FFF2-40B4-BE49-F238E27FC236}">
              <a16:creationId xmlns:a16="http://schemas.microsoft.com/office/drawing/2014/main" id="{4550ED19-CE66-4888-9D97-7C20D77FAE75}"/>
            </a:ext>
          </a:extLst>
        </xdr:cNvPr>
        <xdr:cNvSpPr/>
      </xdr:nvSpPr>
      <xdr:spPr>
        <a:xfrm>
          <a:off x="2370847" y="2431915"/>
          <a:ext cx="5722025" cy="4553085"/>
        </a:xfrm>
        <a:prstGeom prst="roundRect">
          <a:avLst/>
        </a:prstGeom>
        <a:ln>
          <a:noFill/>
        </a:ln>
      </xdr:spPr>
      <xdr:style>
        <a:lnRef idx="2">
          <a:schemeClr val="accent2">
            <a:shade val="50000"/>
          </a:schemeClr>
        </a:lnRef>
        <a:fillRef idx="1">
          <a:schemeClr val="accent2"/>
        </a:fillRef>
        <a:effectRef idx="0">
          <a:schemeClr val="accent2"/>
        </a:effectRef>
        <a:fontRef idx="minor">
          <a:schemeClr val="lt1"/>
        </a:fontRef>
      </xdr:style>
      <xdr:txBody>
        <a:bodyPr vertOverflow="clip" horzOverflow="clip" rtlCol="0" anchor="t"/>
        <a:lstStyle/>
        <a:p>
          <a:pPr algn="l"/>
          <a:endParaRPr lang="en-US" sz="1100"/>
        </a:p>
      </xdr:txBody>
    </xdr:sp>
    <xdr:clientData/>
  </xdr:twoCellAnchor>
  <xdr:twoCellAnchor>
    <xdr:from>
      <xdr:col>18</xdr:col>
      <xdr:colOff>94575</xdr:colOff>
      <xdr:row>10</xdr:row>
      <xdr:rowOff>175638</xdr:rowOff>
    </xdr:from>
    <xdr:to>
      <xdr:col>23</xdr:col>
      <xdr:colOff>743085</xdr:colOff>
      <xdr:row>30</xdr:row>
      <xdr:rowOff>135105</xdr:rowOff>
    </xdr:to>
    <xdr:sp macro="" textlink="">
      <xdr:nvSpPr>
        <xdr:cNvPr id="17" name="Rectangle: Rounded Corners 16">
          <a:extLst>
            <a:ext uri="{FF2B5EF4-FFF2-40B4-BE49-F238E27FC236}">
              <a16:creationId xmlns:a16="http://schemas.microsoft.com/office/drawing/2014/main" id="{B2E83D81-72BA-486E-BF1B-F74F8C7307E6}"/>
            </a:ext>
          </a:extLst>
        </xdr:cNvPr>
        <xdr:cNvSpPr/>
      </xdr:nvSpPr>
      <xdr:spPr>
        <a:xfrm>
          <a:off x="14686064" y="2472447"/>
          <a:ext cx="4701702" cy="4553084"/>
        </a:xfrm>
        <a:prstGeom prst="roundRect">
          <a:avLst/>
        </a:prstGeom>
        <a:ln>
          <a:noFill/>
        </a:ln>
      </xdr:spPr>
      <xdr:style>
        <a:lnRef idx="0">
          <a:schemeClr val="accent6"/>
        </a:lnRef>
        <a:fillRef idx="3">
          <a:schemeClr val="accent6"/>
        </a:fillRef>
        <a:effectRef idx="3">
          <a:schemeClr val="accent6"/>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119163</xdr:colOff>
      <xdr:row>10</xdr:row>
      <xdr:rowOff>108085</xdr:rowOff>
    </xdr:from>
    <xdr:to>
      <xdr:col>10</xdr:col>
      <xdr:colOff>205415</xdr:colOff>
      <xdr:row>31</xdr:row>
      <xdr:rowOff>25184</xdr:rowOff>
    </xdr:to>
    <xdr:sp macro="" textlink="">
      <xdr:nvSpPr>
        <xdr:cNvPr id="18" name="Rectangle: Rounded Corners 17">
          <a:extLst>
            <a:ext uri="{FF2B5EF4-FFF2-40B4-BE49-F238E27FC236}">
              <a16:creationId xmlns:a16="http://schemas.microsoft.com/office/drawing/2014/main" id="{1F02EB6D-C274-4152-AAC7-58C542715EF0}"/>
            </a:ext>
          </a:extLst>
        </xdr:cNvPr>
        <xdr:cNvSpPr/>
      </xdr:nvSpPr>
      <xdr:spPr>
        <a:xfrm>
          <a:off x="2551078" y="2404894"/>
          <a:ext cx="5760720" cy="4740396"/>
        </a:xfrm>
        <a:prstGeom prst="roundRect">
          <a:avLst/>
        </a:prstGeom>
        <a:ln>
          <a:noFill/>
        </a:ln>
      </xdr:spPr>
      <xdr:style>
        <a:lnRef idx="2">
          <a:schemeClr val="accent4"/>
        </a:lnRef>
        <a:fillRef idx="1">
          <a:schemeClr val="lt1"/>
        </a:fillRef>
        <a:effectRef idx="0">
          <a:schemeClr val="accent4"/>
        </a:effectRef>
        <a:fontRef idx="minor">
          <a:schemeClr val="dk1"/>
        </a:fontRef>
      </xdr:style>
      <xdr:txBody>
        <a:bodyPr vertOverflow="clip" horzOverflow="clip" rtlCol="0" anchor="t"/>
        <a:lstStyle/>
        <a:p>
          <a:pPr algn="l"/>
          <a:endParaRPr lang="en-US" sz="1100"/>
        </a:p>
      </xdr:txBody>
    </xdr:sp>
    <xdr:clientData/>
  </xdr:twoCellAnchor>
  <xdr:twoCellAnchor>
    <xdr:from>
      <xdr:col>24</xdr:col>
      <xdr:colOff>351276</xdr:colOff>
      <xdr:row>10</xdr:row>
      <xdr:rowOff>189148</xdr:rowOff>
    </xdr:from>
    <xdr:to>
      <xdr:col>29</xdr:col>
      <xdr:colOff>675530</xdr:colOff>
      <xdr:row>30</xdr:row>
      <xdr:rowOff>175638</xdr:rowOff>
    </xdr:to>
    <xdr:sp macro="" textlink="">
      <xdr:nvSpPr>
        <xdr:cNvPr id="19" name="Rectangle: Rounded Corners 18">
          <a:extLst>
            <a:ext uri="{FF2B5EF4-FFF2-40B4-BE49-F238E27FC236}">
              <a16:creationId xmlns:a16="http://schemas.microsoft.com/office/drawing/2014/main" id="{21E10124-DE31-436E-B9E5-73CA316CD376}"/>
            </a:ext>
          </a:extLst>
        </xdr:cNvPr>
        <xdr:cNvSpPr/>
      </xdr:nvSpPr>
      <xdr:spPr>
        <a:xfrm>
          <a:off x="19806595" y="2485957"/>
          <a:ext cx="4377446" cy="4580107"/>
        </a:xfrm>
        <a:prstGeom prst="roundRect">
          <a:avLst/>
        </a:prstGeom>
        <a:ln>
          <a:noFill/>
        </a:ln>
      </xdr:spPr>
      <xdr:style>
        <a:lnRef idx="2">
          <a:schemeClr val="accent4">
            <a:shade val="50000"/>
          </a:schemeClr>
        </a:lnRef>
        <a:fillRef idx="1">
          <a:schemeClr val="accent4"/>
        </a:fillRef>
        <a:effectRef idx="0">
          <a:schemeClr val="accent4"/>
        </a:effectRef>
        <a:fontRef idx="minor">
          <a:schemeClr val="lt1"/>
        </a:fontRef>
      </xdr:style>
      <xdr:txBody>
        <a:bodyPr vertOverflow="clip" horzOverflow="clip" rtlCol="0" anchor="t"/>
        <a:lstStyle/>
        <a:p>
          <a:pPr algn="l"/>
          <a:endParaRPr lang="en-US" sz="1100"/>
        </a:p>
      </xdr:txBody>
    </xdr:sp>
    <xdr:clientData/>
  </xdr:twoCellAnchor>
  <xdr:twoCellAnchor>
    <xdr:from>
      <xdr:col>18</xdr:col>
      <xdr:colOff>283725</xdr:colOff>
      <xdr:row>10</xdr:row>
      <xdr:rowOff>121595</xdr:rowOff>
    </xdr:from>
    <xdr:to>
      <xdr:col>24</xdr:col>
      <xdr:colOff>94575</xdr:colOff>
      <xdr:row>31</xdr:row>
      <xdr:rowOff>3612</xdr:rowOff>
    </xdr:to>
    <xdr:sp macro="" textlink="">
      <xdr:nvSpPr>
        <xdr:cNvPr id="20" name="Rectangle: Rounded Corners 19">
          <a:extLst>
            <a:ext uri="{FF2B5EF4-FFF2-40B4-BE49-F238E27FC236}">
              <a16:creationId xmlns:a16="http://schemas.microsoft.com/office/drawing/2014/main" id="{22985A34-4AF5-472F-833E-D62D8CC7B92D}"/>
            </a:ext>
          </a:extLst>
        </xdr:cNvPr>
        <xdr:cNvSpPr/>
      </xdr:nvSpPr>
      <xdr:spPr>
        <a:xfrm>
          <a:off x="14875214" y="2418404"/>
          <a:ext cx="4674680" cy="4705314"/>
        </a:xfrm>
        <a:prstGeom prst="roundRect">
          <a:avLst/>
        </a:prstGeom>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1100"/>
        </a:p>
      </xdr:txBody>
    </xdr:sp>
    <xdr:clientData/>
  </xdr:twoCellAnchor>
  <xdr:twoCellAnchor>
    <xdr:from>
      <xdr:col>24</xdr:col>
      <xdr:colOff>526915</xdr:colOff>
      <xdr:row>10</xdr:row>
      <xdr:rowOff>148617</xdr:rowOff>
    </xdr:from>
    <xdr:to>
      <xdr:col>30</xdr:col>
      <xdr:colOff>79637</xdr:colOff>
      <xdr:row>30</xdr:row>
      <xdr:rowOff>219782</xdr:rowOff>
    </xdr:to>
    <xdr:sp macro="" textlink="">
      <xdr:nvSpPr>
        <xdr:cNvPr id="21" name="Rectangle: Rounded Corners 20">
          <a:extLst>
            <a:ext uri="{FF2B5EF4-FFF2-40B4-BE49-F238E27FC236}">
              <a16:creationId xmlns:a16="http://schemas.microsoft.com/office/drawing/2014/main" id="{840FAF72-010D-4983-B436-6105242B3F97}"/>
            </a:ext>
          </a:extLst>
        </xdr:cNvPr>
        <xdr:cNvSpPr/>
      </xdr:nvSpPr>
      <xdr:spPr>
        <a:xfrm>
          <a:off x="19982234" y="2445426"/>
          <a:ext cx="4416552" cy="4664782"/>
        </a:xfrm>
        <a:prstGeom prst="roundRect">
          <a:avLst/>
        </a:prstGeom>
        <a:ln>
          <a:noFill/>
        </a:ln>
      </xdr:spPr>
      <xdr:style>
        <a:lnRef idx="2">
          <a:schemeClr val="accent4"/>
        </a:lnRef>
        <a:fillRef idx="1">
          <a:schemeClr val="lt1"/>
        </a:fillRef>
        <a:effectRef idx="0">
          <a:schemeClr val="accent4"/>
        </a:effectRef>
        <a:fontRef idx="minor">
          <a:schemeClr val="dk1"/>
        </a:fontRef>
      </xdr:style>
      <xdr:txBody>
        <a:bodyPr vertOverflow="clip" horzOverflow="clip" rtlCol="0" anchor="t"/>
        <a:lstStyle/>
        <a:p>
          <a:pPr algn="l"/>
          <a:endParaRPr lang="en-US" sz="1100"/>
        </a:p>
      </xdr:txBody>
    </xdr:sp>
    <xdr:clientData/>
  </xdr:twoCellAnchor>
  <xdr:twoCellAnchor>
    <xdr:from>
      <xdr:col>3</xdr:col>
      <xdr:colOff>652730</xdr:colOff>
      <xdr:row>3</xdr:row>
      <xdr:rowOff>11044</xdr:rowOff>
    </xdr:from>
    <xdr:to>
      <xdr:col>5</xdr:col>
      <xdr:colOff>305464</xdr:colOff>
      <xdr:row>6</xdr:row>
      <xdr:rowOff>11044</xdr:rowOff>
    </xdr:to>
    <xdr:sp macro="" textlink="">
      <xdr:nvSpPr>
        <xdr:cNvPr id="22" name="Rectangle: Rounded Corners 21">
          <a:extLst>
            <a:ext uri="{FF2B5EF4-FFF2-40B4-BE49-F238E27FC236}">
              <a16:creationId xmlns:a16="http://schemas.microsoft.com/office/drawing/2014/main" id="{10C16022-0EAB-4DB7-98EC-BB408D218092}"/>
            </a:ext>
          </a:extLst>
        </xdr:cNvPr>
        <xdr:cNvSpPr/>
      </xdr:nvSpPr>
      <xdr:spPr>
        <a:xfrm>
          <a:off x="3091130" y="715894"/>
          <a:ext cx="1278334" cy="704850"/>
        </a:xfrm>
        <a:prstGeom prst="roundRect">
          <a:avLst>
            <a:gd name="adj" fmla="val 37500"/>
          </a:avLst>
        </a:prstGeom>
        <a:solidFill>
          <a:srgbClr val="E1E1FF"/>
        </a:solidFill>
        <a:ln>
          <a:noFill/>
        </a:ln>
      </xdr:spPr>
      <xdr:style>
        <a:lnRef idx="1">
          <a:schemeClr val="accent1"/>
        </a:lnRef>
        <a:fillRef idx="2">
          <a:schemeClr val="accent1"/>
        </a:fillRef>
        <a:effectRef idx="1">
          <a:schemeClr val="accent1"/>
        </a:effectRef>
        <a:fontRef idx="minor">
          <a:schemeClr val="dk1"/>
        </a:fontRef>
      </xdr:style>
      <xdr:txBody>
        <a:bodyPr vertOverflow="clip" horzOverflow="clip" rtlCol="0" anchor="t"/>
        <a:lstStyle/>
        <a:p>
          <a:pPr algn="ctr"/>
          <a:r>
            <a:rPr lang="en-US" sz="2800" b="1"/>
            <a:t>Slicer</a:t>
          </a:r>
        </a:p>
      </xdr:txBody>
    </xdr:sp>
    <xdr:clientData/>
  </xdr:twoCellAnchor>
  <xdr:twoCellAnchor>
    <xdr:from>
      <xdr:col>3</xdr:col>
      <xdr:colOff>655266</xdr:colOff>
      <xdr:row>6</xdr:row>
      <xdr:rowOff>145486</xdr:rowOff>
    </xdr:from>
    <xdr:to>
      <xdr:col>5</xdr:col>
      <xdr:colOff>308000</xdr:colOff>
      <xdr:row>9</xdr:row>
      <xdr:rowOff>145485</xdr:rowOff>
    </xdr:to>
    <xdr:sp macro="" textlink="">
      <xdr:nvSpPr>
        <xdr:cNvPr id="23" name="Rectangle: Rounded Corners 22">
          <a:extLst>
            <a:ext uri="{FF2B5EF4-FFF2-40B4-BE49-F238E27FC236}">
              <a16:creationId xmlns:a16="http://schemas.microsoft.com/office/drawing/2014/main" id="{058DE42B-8479-4CC1-B36A-D7C7261A3268}"/>
            </a:ext>
          </a:extLst>
        </xdr:cNvPr>
        <xdr:cNvSpPr/>
      </xdr:nvSpPr>
      <xdr:spPr>
        <a:xfrm>
          <a:off x="3087181" y="1523571"/>
          <a:ext cx="1274010" cy="689042"/>
        </a:xfrm>
        <a:prstGeom prst="roundRect">
          <a:avLst>
            <a:gd name="adj" fmla="val 36274"/>
          </a:avLst>
        </a:prstGeom>
        <a:solidFill>
          <a:srgbClr val="E1E1FF"/>
        </a:solidFill>
        <a:ln>
          <a:noFill/>
        </a:ln>
      </xdr:spPr>
      <xdr:style>
        <a:lnRef idx="1">
          <a:schemeClr val="accent1"/>
        </a:lnRef>
        <a:fillRef idx="2">
          <a:schemeClr val="accent1"/>
        </a:fillRef>
        <a:effectRef idx="1">
          <a:schemeClr val="accent1"/>
        </a:effectRef>
        <a:fontRef idx="minor">
          <a:schemeClr val="dk1"/>
        </a:fontRef>
      </xdr:style>
      <xdr:txBody>
        <a:bodyPr vertOverflow="clip" horzOverflow="clip" rtlCol="0" anchor="t"/>
        <a:lstStyle/>
        <a:p>
          <a:pPr algn="ctr"/>
          <a:r>
            <a:rPr lang="en-US" sz="2000" b="1"/>
            <a:t>Analysis</a:t>
          </a:r>
        </a:p>
      </xdr:txBody>
    </xdr:sp>
    <xdr:clientData/>
  </xdr:twoCellAnchor>
  <xdr:twoCellAnchor editAs="oneCell">
    <xdr:from>
      <xdr:col>2</xdr:col>
      <xdr:colOff>622282</xdr:colOff>
      <xdr:row>6</xdr:row>
      <xdr:rowOff>77887</xdr:rowOff>
    </xdr:from>
    <xdr:to>
      <xdr:col>3</xdr:col>
      <xdr:colOff>634999</xdr:colOff>
      <xdr:row>9</xdr:row>
      <xdr:rowOff>183234</xdr:rowOff>
    </xdr:to>
    <xdr:pic>
      <xdr:nvPicPr>
        <xdr:cNvPr id="24" name="Graphic 23" descr="Arrow: Rotate left with solid fill">
          <a:extLst>
            <a:ext uri="{FF2B5EF4-FFF2-40B4-BE49-F238E27FC236}">
              <a16:creationId xmlns:a16="http://schemas.microsoft.com/office/drawing/2014/main" id="{912F3035-5F22-4E1F-AB21-EFDDACCC2EEC}"/>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 uri="{96DAC541-7B7A-43D3-8B79-37D633B846F1}">
              <asvg:svgBlip xmlns:asvg="http://schemas.microsoft.com/office/drawing/2016/SVG/main" r:embed="rId4"/>
            </a:ext>
          </a:extLst>
        </a:blip>
        <a:stretch>
          <a:fillRect/>
        </a:stretch>
      </xdr:blipFill>
      <xdr:spPr>
        <a:xfrm>
          <a:off x="2243559" y="1455972"/>
          <a:ext cx="823355" cy="794390"/>
        </a:xfrm>
        <a:prstGeom prst="rect">
          <a:avLst/>
        </a:prstGeom>
      </xdr:spPr>
    </xdr:pic>
    <xdr:clientData/>
  </xdr:twoCellAnchor>
  <xdr:twoCellAnchor>
    <xdr:from>
      <xdr:col>10</xdr:col>
      <xdr:colOff>391808</xdr:colOff>
      <xdr:row>10</xdr:row>
      <xdr:rowOff>216170</xdr:rowOff>
    </xdr:from>
    <xdr:to>
      <xdr:col>16</xdr:col>
      <xdr:colOff>733627</xdr:colOff>
      <xdr:row>30</xdr:row>
      <xdr:rowOff>138888</xdr:rowOff>
    </xdr:to>
    <xdr:sp macro="" textlink="">
      <xdr:nvSpPr>
        <xdr:cNvPr id="27" name="Rectangle: Rounded Corners 26">
          <a:extLst>
            <a:ext uri="{FF2B5EF4-FFF2-40B4-BE49-F238E27FC236}">
              <a16:creationId xmlns:a16="http://schemas.microsoft.com/office/drawing/2014/main" id="{48A892EE-A3F3-4932-841A-B8C29131D5AB}"/>
            </a:ext>
          </a:extLst>
        </xdr:cNvPr>
        <xdr:cNvSpPr/>
      </xdr:nvSpPr>
      <xdr:spPr>
        <a:xfrm>
          <a:off x="8498191" y="2512979"/>
          <a:ext cx="5205649" cy="4516335"/>
        </a:xfrm>
        <a:prstGeom prst="roundRect">
          <a:avLst/>
        </a:prstGeom>
        <a:ln/>
      </xdr:spPr>
      <xdr:style>
        <a:lnRef idx="0">
          <a:schemeClr val="accent3"/>
        </a:lnRef>
        <a:fillRef idx="3">
          <a:schemeClr val="accent3"/>
        </a:fillRef>
        <a:effectRef idx="3">
          <a:schemeClr val="accent3"/>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567446</xdr:colOff>
      <xdr:row>10</xdr:row>
      <xdr:rowOff>134608</xdr:rowOff>
    </xdr:from>
    <xdr:to>
      <xdr:col>17</xdr:col>
      <xdr:colOff>653698</xdr:colOff>
      <xdr:row>31</xdr:row>
      <xdr:rowOff>13510</xdr:rowOff>
    </xdr:to>
    <xdr:sp macro="" textlink="">
      <xdr:nvSpPr>
        <xdr:cNvPr id="28" name="Rectangle: Rounded Corners 27">
          <a:extLst>
            <a:ext uri="{FF2B5EF4-FFF2-40B4-BE49-F238E27FC236}">
              <a16:creationId xmlns:a16="http://schemas.microsoft.com/office/drawing/2014/main" id="{F30A8F91-96BC-4143-B51F-6214B8AFC555}"/>
            </a:ext>
          </a:extLst>
        </xdr:cNvPr>
        <xdr:cNvSpPr/>
      </xdr:nvSpPr>
      <xdr:spPr>
        <a:xfrm>
          <a:off x="8673829" y="2431417"/>
          <a:ext cx="5760720" cy="4702199"/>
        </a:xfrm>
        <a:prstGeom prst="roundRect">
          <a:avLst/>
        </a:prstGeom>
        <a:ln>
          <a:noFill/>
        </a:ln>
      </xdr:spPr>
      <xdr:style>
        <a:lnRef idx="2">
          <a:schemeClr val="accent3"/>
        </a:lnRef>
        <a:fillRef idx="1">
          <a:schemeClr val="lt1"/>
        </a:fillRef>
        <a:effectRef idx="0">
          <a:schemeClr val="accent3"/>
        </a:effectRef>
        <a:fontRef idx="minor">
          <a:schemeClr val="dk1"/>
        </a:fontRef>
      </xdr:style>
      <xdr:txBody>
        <a:bodyPr vertOverflow="clip" horzOverflow="clip" rtlCol="0" anchor="t"/>
        <a:lstStyle/>
        <a:p>
          <a:pPr algn="l"/>
          <a:endParaRPr lang="en-US" sz="1100"/>
        </a:p>
      </xdr:txBody>
    </xdr:sp>
    <xdr:clientData/>
  </xdr:twoCellAnchor>
  <xdr:twoCellAnchor>
    <xdr:from>
      <xdr:col>3</xdr:col>
      <xdr:colOff>472872</xdr:colOff>
      <xdr:row>11</xdr:row>
      <xdr:rowOff>108085</xdr:rowOff>
    </xdr:from>
    <xdr:to>
      <xdr:col>9</xdr:col>
      <xdr:colOff>675532</xdr:colOff>
      <xdr:row>30</xdr:row>
      <xdr:rowOff>32709</xdr:rowOff>
    </xdr:to>
    <xdr:graphicFrame macro="">
      <xdr:nvGraphicFramePr>
        <xdr:cNvPr id="31" name="Chart 30">
          <a:extLst>
            <a:ext uri="{FF2B5EF4-FFF2-40B4-BE49-F238E27FC236}">
              <a16:creationId xmlns:a16="http://schemas.microsoft.com/office/drawing/2014/main" id="{8F56064A-5B99-4B06-AACC-469AD8F3602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18</xdr:col>
      <xdr:colOff>580958</xdr:colOff>
      <xdr:row>12</xdr:row>
      <xdr:rowOff>216170</xdr:rowOff>
    </xdr:from>
    <xdr:to>
      <xdr:col>23</xdr:col>
      <xdr:colOff>716064</xdr:colOff>
      <xdr:row>29</xdr:row>
      <xdr:rowOff>162126</xdr:rowOff>
    </xdr:to>
    <xdr:graphicFrame macro="">
      <xdr:nvGraphicFramePr>
        <xdr:cNvPr id="32" name="Chart 31">
          <a:extLst>
            <a:ext uri="{FF2B5EF4-FFF2-40B4-BE49-F238E27FC236}">
              <a16:creationId xmlns:a16="http://schemas.microsoft.com/office/drawing/2014/main" id="{E4EF6AAB-F569-4982-801D-754D6D7FC83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24</xdr:col>
      <xdr:colOff>713902</xdr:colOff>
      <xdr:row>12</xdr:row>
      <xdr:rowOff>225539</xdr:rowOff>
    </xdr:from>
    <xdr:to>
      <xdr:col>29</xdr:col>
      <xdr:colOff>662021</xdr:colOff>
      <xdr:row>29</xdr:row>
      <xdr:rowOff>202659</xdr:rowOff>
    </xdr:to>
    <xdr:graphicFrame macro="">
      <xdr:nvGraphicFramePr>
        <xdr:cNvPr id="33" name="Chart 32">
          <a:extLst>
            <a:ext uri="{FF2B5EF4-FFF2-40B4-BE49-F238E27FC236}">
              <a16:creationId xmlns:a16="http://schemas.microsoft.com/office/drawing/2014/main" id="{F5CF92D4-BEB2-418F-97FC-FA07F3A7E84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10</xdr:col>
      <xdr:colOff>716064</xdr:colOff>
      <xdr:row>12</xdr:row>
      <xdr:rowOff>121595</xdr:rowOff>
    </xdr:from>
    <xdr:to>
      <xdr:col>17</xdr:col>
      <xdr:colOff>337766</xdr:colOff>
      <xdr:row>29</xdr:row>
      <xdr:rowOff>162127</xdr:rowOff>
    </xdr:to>
    <xdr:graphicFrame macro="">
      <xdr:nvGraphicFramePr>
        <xdr:cNvPr id="34" name="Chart 33">
          <a:extLst>
            <a:ext uri="{FF2B5EF4-FFF2-40B4-BE49-F238E27FC236}">
              <a16:creationId xmlns:a16="http://schemas.microsoft.com/office/drawing/2014/main" id="{FC28F9C6-33A1-42FD-93A6-1D5A60497F7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editAs="oneCell">
    <xdr:from>
      <xdr:col>5</xdr:col>
      <xdr:colOff>657428</xdr:colOff>
      <xdr:row>6</xdr:row>
      <xdr:rowOff>50124</xdr:rowOff>
    </xdr:from>
    <xdr:to>
      <xdr:col>9</xdr:col>
      <xdr:colOff>540425</xdr:colOff>
      <xdr:row>9</xdr:row>
      <xdr:rowOff>162126</xdr:rowOff>
    </xdr:to>
    <mc:AlternateContent xmlns:mc="http://schemas.openxmlformats.org/markup-compatibility/2006" xmlns:a14="http://schemas.microsoft.com/office/drawing/2010/main">
      <mc:Choice Requires="a14">
        <xdr:graphicFrame macro="">
          <xdr:nvGraphicFramePr>
            <xdr:cNvPr id="25" name="Weight level">
              <a:extLst>
                <a:ext uri="{FF2B5EF4-FFF2-40B4-BE49-F238E27FC236}">
                  <a16:creationId xmlns:a16="http://schemas.microsoft.com/office/drawing/2014/main" id="{4607FBC0-6780-4845-A6D4-133C44DBF67D}"/>
                </a:ext>
              </a:extLst>
            </xdr:cNvPr>
            <xdr:cNvGraphicFramePr/>
          </xdr:nvGraphicFramePr>
          <xdr:xfrm>
            <a:off x="0" y="0"/>
            <a:ext cx="0" cy="0"/>
          </xdr:xfrm>
          <a:graphic>
            <a:graphicData uri="http://schemas.microsoft.com/office/drawing/2010/slicer">
              <sle:slicer xmlns:sle="http://schemas.microsoft.com/office/drawing/2010/slicer" name="Weight level"/>
            </a:graphicData>
          </a:graphic>
        </xdr:graphicFrame>
      </mc:Choice>
      <mc:Fallback xmlns="">
        <xdr:sp macro="" textlink="">
          <xdr:nvSpPr>
            <xdr:cNvPr id="0" name=""/>
            <xdr:cNvSpPr>
              <a:spLocks noTextEdit="1"/>
            </xdr:cNvSpPr>
          </xdr:nvSpPr>
          <xdr:spPr>
            <a:xfrm>
              <a:off x="4710619" y="1428209"/>
              <a:ext cx="3125551" cy="80104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21</xdr:col>
      <xdr:colOff>144022</xdr:colOff>
      <xdr:row>6</xdr:row>
      <xdr:rowOff>23105</xdr:rowOff>
    </xdr:from>
    <xdr:to>
      <xdr:col>28</xdr:col>
      <xdr:colOff>243191</xdr:colOff>
      <xdr:row>9</xdr:row>
      <xdr:rowOff>94576</xdr:rowOff>
    </xdr:to>
    <mc:AlternateContent xmlns:mc="http://schemas.openxmlformats.org/markup-compatibility/2006" xmlns:a14="http://schemas.microsoft.com/office/drawing/2010/main">
      <mc:Choice Requires="a14">
        <xdr:graphicFrame macro="">
          <xdr:nvGraphicFramePr>
            <xdr:cNvPr id="26" name="Height level">
              <a:extLst>
                <a:ext uri="{FF2B5EF4-FFF2-40B4-BE49-F238E27FC236}">
                  <a16:creationId xmlns:a16="http://schemas.microsoft.com/office/drawing/2014/main" id="{35F86FF6-5B87-49CB-8ED1-5F82497FB71A}"/>
                </a:ext>
              </a:extLst>
            </xdr:cNvPr>
            <xdr:cNvGraphicFramePr/>
          </xdr:nvGraphicFramePr>
          <xdr:xfrm>
            <a:off x="0" y="0"/>
            <a:ext cx="0" cy="0"/>
          </xdr:xfrm>
          <a:graphic>
            <a:graphicData uri="http://schemas.microsoft.com/office/drawing/2010/slicer">
              <sle:slicer xmlns:sle="http://schemas.microsoft.com/office/drawing/2010/slicer" name="Height level"/>
            </a:graphicData>
          </a:graphic>
        </xdr:graphicFrame>
      </mc:Choice>
      <mc:Fallback xmlns="">
        <xdr:sp macro="" textlink="">
          <xdr:nvSpPr>
            <xdr:cNvPr id="0" name=""/>
            <xdr:cNvSpPr>
              <a:spLocks noTextEdit="1"/>
            </xdr:cNvSpPr>
          </xdr:nvSpPr>
          <xdr:spPr>
            <a:xfrm>
              <a:off x="17167426" y="1401190"/>
              <a:ext cx="5773637" cy="76051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235086</xdr:colOff>
      <xdr:row>2</xdr:row>
      <xdr:rowOff>171584</xdr:rowOff>
    </xdr:from>
    <xdr:to>
      <xdr:col>2</xdr:col>
      <xdr:colOff>437745</xdr:colOff>
      <xdr:row>5</xdr:row>
      <xdr:rowOff>107026</xdr:rowOff>
    </xdr:to>
    <xdr:sp macro="" textlink="">
      <xdr:nvSpPr>
        <xdr:cNvPr id="35" name="Rectangle: Rounded Corners 34">
          <a:hlinkClick xmlns:r="http://schemas.openxmlformats.org/officeDocument/2006/relationships" r:id="rId9"/>
          <a:extLst>
            <a:ext uri="{FF2B5EF4-FFF2-40B4-BE49-F238E27FC236}">
              <a16:creationId xmlns:a16="http://schemas.microsoft.com/office/drawing/2014/main" id="{60EDA9F9-08B7-40A4-B871-436A85830A3C}"/>
            </a:ext>
          </a:extLst>
        </xdr:cNvPr>
        <xdr:cNvSpPr/>
      </xdr:nvSpPr>
      <xdr:spPr>
        <a:xfrm>
          <a:off x="235086" y="630946"/>
          <a:ext cx="1823936" cy="624484"/>
        </a:xfrm>
        <a:prstGeom prst="roundRect">
          <a:avLst>
            <a:gd name="adj" fmla="val 50000"/>
          </a:avLst>
        </a:prstGeom>
        <a:noFill/>
        <a:ln>
          <a:solidFill>
            <a:schemeClr val="bg1"/>
          </a:solidFill>
        </a:ln>
      </xdr:spPr>
      <xdr:style>
        <a:lnRef idx="2">
          <a:schemeClr val="accent5"/>
        </a:lnRef>
        <a:fillRef idx="1">
          <a:schemeClr val="lt1"/>
        </a:fillRef>
        <a:effectRef idx="0">
          <a:schemeClr val="accent5"/>
        </a:effectRef>
        <a:fontRef idx="minor">
          <a:schemeClr val="dk1"/>
        </a:fontRef>
      </xdr:style>
      <xdr:txBody>
        <a:bodyPr vertOverflow="clip" horzOverflow="clip" rtlCol="0" anchor="t"/>
        <a:lstStyle/>
        <a:p>
          <a:pPr algn="ctr"/>
          <a:r>
            <a:rPr lang="en-US" sz="2000" b="1">
              <a:ln>
                <a:solidFill>
                  <a:schemeClr val="bg1"/>
                </a:solidFill>
              </a:ln>
              <a:solidFill>
                <a:schemeClr val="bg1"/>
              </a:solidFill>
            </a:rPr>
            <a:t>DASHBOARD</a:t>
          </a:r>
        </a:p>
      </xdr:txBody>
    </xdr:sp>
    <xdr:clientData/>
  </xdr:twoCellAnchor>
  <xdr:twoCellAnchor>
    <xdr:from>
      <xdr:col>0</xdr:col>
      <xdr:colOff>221574</xdr:colOff>
      <xdr:row>7</xdr:row>
      <xdr:rowOff>171585</xdr:rowOff>
    </xdr:from>
    <xdr:to>
      <xdr:col>2</xdr:col>
      <xdr:colOff>429097</xdr:colOff>
      <xdr:row>10</xdr:row>
      <xdr:rowOff>106053</xdr:rowOff>
    </xdr:to>
    <xdr:sp macro="" textlink="">
      <xdr:nvSpPr>
        <xdr:cNvPr id="40" name="Rectangle: Rounded Corners 39">
          <a:hlinkClick xmlns:r="http://schemas.openxmlformats.org/officeDocument/2006/relationships" r:id="rId10"/>
          <a:extLst>
            <a:ext uri="{FF2B5EF4-FFF2-40B4-BE49-F238E27FC236}">
              <a16:creationId xmlns:a16="http://schemas.microsoft.com/office/drawing/2014/main" id="{97861965-C1D4-4283-A679-719758B72EAF}"/>
            </a:ext>
          </a:extLst>
        </xdr:cNvPr>
        <xdr:cNvSpPr/>
      </xdr:nvSpPr>
      <xdr:spPr>
        <a:xfrm>
          <a:off x="221574" y="1779351"/>
          <a:ext cx="1828800" cy="623511"/>
        </a:xfrm>
        <a:prstGeom prst="roundRect">
          <a:avLst>
            <a:gd name="adj" fmla="val 50000"/>
          </a:avLst>
        </a:prstGeom>
        <a:solidFill>
          <a:sysClr val="window" lastClr="FFFFFF"/>
        </a:solidFill>
        <a:ln>
          <a:noFill/>
        </a:ln>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US" sz="2000" b="0" cap="none" spc="0">
              <a:ln w="0">
                <a:solidFill>
                  <a:schemeClr val="accent1"/>
                </a:solidFill>
              </a:ln>
              <a:solidFill>
                <a:schemeClr val="accent1"/>
              </a:solidFill>
              <a:effectLst>
                <a:outerShdw blurRad="38100" dist="19050" dir="2700000" algn="tl" rotWithShape="0">
                  <a:schemeClr val="dk1">
                    <a:alpha val="40000"/>
                  </a:schemeClr>
                </a:outerShdw>
              </a:effectLst>
            </a:rPr>
            <a:t>WEIGHT</a:t>
          </a:r>
          <a:endParaRPr lang="en-US" sz="2000" b="1">
            <a:ln w="0">
              <a:solidFill>
                <a:schemeClr val="accent1"/>
              </a:solidFill>
            </a:ln>
            <a:solidFill>
              <a:schemeClr val="accent1"/>
            </a:solidFill>
          </a:endParaRPr>
        </a:p>
      </xdr:txBody>
    </xdr:sp>
    <xdr:clientData/>
  </xdr:twoCellAnchor>
  <xdr:twoCellAnchor>
    <xdr:from>
      <xdr:col>0</xdr:col>
      <xdr:colOff>235084</xdr:colOff>
      <xdr:row>13</xdr:row>
      <xdr:rowOff>63501</xdr:rowOff>
    </xdr:from>
    <xdr:to>
      <xdr:col>2</xdr:col>
      <xdr:colOff>437743</xdr:colOff>
      <xdr:row>15</xdr:row>
      <xdr:rowOff>228623</xdr:rowOff>
    </xdr:to>
    <xdr:sp macro="" textlink="">
      <xdr:nvSpPr>
        <xdr:cNvPr id="41" name="Rectangle: Rounded Corners 40">
          <a:hlinkClick xmlns:r="http://schemas.openxmlformats.org/officeDocument/2006/relationships" r:id="rId11"/>
          <a:extLst>
            <a:ext uri="{FF2B5EF4-FFF2-40B4-BE49-F238E27FC236}">
              <a16:creationId xmlns:a16="http://schemas.microsoft.com/office/drawing/2014/main" id="{821241D9-59FB-4942-97A5-81378F9BCD5C}"/>
            </a:ext>
          </a:extLst>
        </xdr:cNvPr>
        <xdr:cNvSpPr/>
      </xdr:nvSpPr>
      <xdr:spPr>
        <a:xfrm>
          <a:off x="235084" y="3049352"/>
          <a:ext cx="1823936" cy="624484"/>
        </a:xfrm>
        <a:prstGeom prst="roundRect">
          <a:avLst>
            <a:gd name="adj" fmla="val 50000"/>
          </a:avLst>
        </a:prstGeom>
        <a:noFill/>
        <a:ln>
          <a:solidFill>
            <a:schemeClr val="bg1"/>
          </a:solidFill>
        </a:ln>
      </xdr:spPr>
      <xdr:style>
        <a:lnRef idx="2">
          <a:schemeClr val="accent5"/>
        </a:lnRef>
        <a:fillRef idx="1">
          <a:schemeClr val="lt1"/>
        </a:fillRef>
        <a:effectRef idx="0">
          <a:schemeClr val="accent5"/>
        </a:effectRef>
        <a:fontRef idx="minor">
          <a:schemeClr val="dk1"/>
        </a:fontRef>
      </xdr:style>
      <xdr:txBody>
        <a:bodyPr vertOverflow="clip" horzOverflow="clip" rtlCol="0" anchor="t"/>
        <a:lstStyle/>
        <a:p>
          <a:pPr algn="ctr"/>
          <a:r>
            <a:rPr lang="en-US" sz="2000" b="1">
              <a:ln>
                <a:solidFill>
                  <a:schemeClr val="bg1"/>
                </a:solidFill>
              </a:ln>
              <a:solidFill>
                <a:schemeClr val="bg1"/>
              </a:solidFill>
            </a:rPr>
            <a:t>HEIGHT</a:t>
          </a:r>
        </a:p>
      </xdr:txBody>
    </xdr:sp>
    <xdr:clientData/>
  </xdr:twoCellAnchor>
  <xdr:twoCellAnchor>
    <xdr:from>
      <xdr:col>0</xdr:col>
      <xdr:colOff>225355</xdr:colOff>
      <xdr:row>18</xdr:row>
      <xdr:rowOff>229413</xdr:rowOff>
    </xdr:from>
    <xdr:to>
      <xdr:col>2</xdr:col>
      <xdr:colOff>428014</xdr:colOff>
      <xdr:row>21</xdr:row>
      <xdr:rowOff>164854</xdr:rowOff>
    </xdr:to>
    <xdr:sp macro="" textlink="">
      <xdr:nvSpPr>
        <xdr:cNvPr id="42" name="Rectangle: Rounded Corners 41">
          <a:hlinkClick xmlns:r="http://schemas.openxmlformats.org/officeDocument/2006/relationships" r:id="rId12"/>
          <a:extLst>
            <a:ext uri="{FF2B5EF4-FFF2-40B4-BE49-F238E27FC236}">
              <a16:creationId xmlns:a16="http://schemas.microsoft.com/office/drawing/2014/main" id="{403C49E4-BBF7-4701-B7F1-4609428C217C}"/>
            </a:ext>
          </a:extLst>
        </xdr:cNvPr>
        <xdr:cNvSpPr/>
      </xdr:nvSpPr>
      <xdr:spPr>
        <a:xfrm>
          <a:off x="225355" y="4363668"/>
          <a:ext cx="1823936" cy="624484"/>
        </a:xfrm>
        <a:prstGeom prst="roundRect">
          <a:avLst>
            <a:gd name="adj" fmla="val 50000"/>
          </a:avLst>
        </a:prstGeom>
        <a:noFill/>
        <a:ln>
          <a:solidFill>
            <a:schemeClr val="bg1"/>
          </a:solidFill>
        </a:ln>
      </xdr:spPr>
      <xdr:style>
        <a:lnRef idx="2">
          <a:schemeClr val="accent5"/>
        </a:lnRef>
        <a:fillRef idx="1">
          <a:schemeClr val="lt1"/>
        </a:fillRef>
        <a:effectRef idx="0">
          <a:schemeClr val="accent5"/>
        </a:effectRef>
        <a:fontRef idx="minor">
          <a:schemeClr val="dk1"/>
        </a:fontRef>
      </xdr:style>
      <xdr:txBody>
        <a:bodyPr vertOverflow="clip" horzOverflow="clip" rtlCol="0" anchor="t"/>
        <a:lstStyle/>
        <a:p>
          <a:pPr algn="ctr"/>
          <a:r>
            <a:rPr lang="en-US" sz="2000" b="1">
              <a:ln>
                <a:solidFill>
                  <a:schemeClr val="bg1"/>
                </a:solidFill>
              </a:ln>
              <a:solidFill>
                <a:schemeClr val="bg1"/>
              </a:solidFill>
            </a:rPr>
            <a:t>BMI</a:t>
          </a:r>
        </a:p>
      </xdr:txBody>
    </xdr:sp>
    <xdr:clientData/>
  </xdr:twoCellAnchor>
  <xdr:twoCellAnchor>
    <xdr:from>
      <xdr:col>0</xdr:col>
      <xdr:colOff>242650</xdr:colOff>
      <xdr:row>24</xdr:row>
      <xdr:rowOff>44046</xdr:rowOff>
    </xdr:from>
    <xdr:to>
      <xdr:col>2</xdr:col>
      <xdr:colOff>445309</xdr:colOff>
      <xdr:row>26</xdr:row>
      <xdr:rowOff>209168</xdr:rowOff>
    </xdr:to>
    <xdr:sp macro="" textlink="">
      <xdr:nvSpPr>
        <xdr:cNvPr id="43" name="Rectangle: Rounded Corners 42">
          <a:hlinkClick xmlns:r="http://schemas.openxmlformats.org/officeDocument/2006/relationships" r:id="rId13"/>
          <a:extLst>
            <a:ext uri="{FF2B5EF4-FFF2-40B4-BE49-F238E27FC236}">
              <a16:creationId xmlns:a16="http://schemas.microsoft.com/office/drawing/2014/main" id="{BD46B1CA-9168-47A1-AFCC-9C8970BDB863}"/>
            </a:ext>
          </a:extLst>
        </xdr:cNvPr>
        <xdr:cNvSpPr/>
      </xdr:nvSpPr>
      <xdr:spPr>
        <a:xfrm>
          <a:off x="242650" y="5556386"/>
          <a:ext cx="1823936" cy="624484"/>
        </a:xfrm>
        <a:prstGeom prst="roundRect">
          <a:avLst>
            <a:gd name="adj" fmla="val 50000"/>
          </a:avLst>
        </a:prstGeom>
        <a:noFill/>
        <a:ln>
          <a:solidFill>
            <a:schemeClr val="bg1"/>
          </a:solidFill>
        </a:ln>
      </xdr:spPr>
      <xdr:style>
        <a:lnRef idx="2">
          <a:schemeClr val="accent5"/>
        </a:lnRef>
        <a:fillRef idx="1">
          <a:schemeClr val="lt1"/>
        </a:fillRef>
        <a:effectRef idx="0">
          <a:schemeClr val="accent5"/>
        </a:effectRef>
        <a:fontRef idx="minor">
          <a:schemeClr val="dk1"/>
        </a:fontRef>
      </xdr:style>
      <xdr:txBody>
        <a:bodyPr vertOverflow="clip" horzOverflow="clip" rtlCol="0" anchor="t"/>
        <a:lstStyle/>
        <a:p>
          <a:pPr algn="ctr"/>
          <a:r>
            <a:rPr lang="en-US" sz="2000" b="1">
              <a:ln>
                <a:solidFill>
                  <a:schemeClr val="bg1"/>
                </a:solidFill>
              </a:ln>
              <a:solidFill>
                <a:schemeClr val="bg1"/>
              </a:solidFill>
            </a:rPr>
            <a:t>ABOUT</a:t>
          </a: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0</xdr:col>
      <xdr:colOff>127000</xdr:colOff>
      <xdr:row>0</xdr:row>
      <xdr:rowOff>63500</xdr:rowOff>
    </xdr:from>
    <xdr:to>
      <xdr:col>30</xdr:col>
      <xdr:colOff>459362</xdr:colOff>
      <xdr:row>31</xdr:row>
      <xdr:rowOff>162127</xdr:rowOff>
    </xdr:to>
    <xdr:sp macro="" textlink="">
      <xdr:nvSpPr>
        <xdr:cNvPr id="2" name="Rectangle: Rounded Corners 1">
          <a:extLst>
            <a:ext uri="{FF2B5EF4-FFF2-40B4-BE49-F238E27FC236}">
              <a16:creationId xmlns:a16="http://schemas.microsoft.com/office/drawing/2014/main" id="{D506B0DC-DABB-4492-A627-B54BCCDEA84C}"/>
            </a:ext>
          </a:extLst>
        </xdr:cNvPr>
        <xdr:cNvSpPr/>
      </xdr:nvSpPr>
      <xdr:spPr>
        <a:xfrm>
          <a:off x="127000" y="63500"/>
          <a:ext cx="24651511" cy="7218733"/>
        </a:xfrm>
        <a:prstGeom prst="roundRect">
          <a:avLst>
            <a:gd name="adj" fmla="val 4415"/>
          </a:avLst>
        </a:prstGeom>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508935</xdr:colOff>
      <xdr:row>0</xdr:row>
      <xdr:rowOff>136774</xdr:rowOff>
    </xdr:from>
    <xdr:to>
      <xdr:col>30</xdr:col>
      <xdr:colOff>324257</xdr:colOff>
      <xdr:row>31</xdr:row>
      <xdr:rowOff>81064</xdr:rowOff>
    </xdr:to>
    <xdr:sp macro="" textlink="">
      <xdr:nvSpPr>
        <xdr:cNvPr id="3" name="Rectangle: Rounded Corners 2">
          <a:extLst>
            <a:ext uri="{FF2B5EF4-FFF2-40B4-BE49-F238E27FC236}">
              <a16:creationId xmlns:a16="http://schemas.microsoft.com/office/drawing/2014/main" id="{EB77AF8E-3E13-491D-A38D-DE96F9BCA65B}"/>
            </a:ext>
          </a:extLst>
        </xdr:cNvPr>
        <xdr:cNvSpPr/>
      </xdr:nvSpPr>
      <xdr:spPr>
        <a:xfrm>
          <a:off x="2134535" y="136774"/>
          <a:ext cx="22573722" cy="7227740"/>
        </a:xfrm>
        <a:prstGeom prst="roundRect">
          <a:avLst>
            <a:gd name="adj" fmla="val 4317"/>
          </a:avLst>
        </a:prstGeom>
        <a:ln/>
      </xdr:spPr>
      <xdr:style>
        <a:lnRef idx="1">
          <a:schemeClr val="accent3"/>
        </a:lnRef>
        <a:fillRef idx="2">
          <a:schemeClr val="accent3"/>
        </a:fillRef>
        <a:effectRef idx="1">
          <a:schemeClr val="accent3"/>
        </a:effectRef>
        <a:fontRef idx="minor">
          <a:schemeClr val="dk1"/>
        </a:fontRef>
      </xdr:style>
      <xdr:txBody>
        <a:bodyPr vertOverflow="clip" horzOverflow="clip" rtlCol="0" anchor="t"/>
        <a:lstStyle/>
        <a:p>
          <a:pPr algn="l"/>
          <a:endParaRPr lang="en-US" sz="1100"/>
        </a:p>
      </xdr:txBody>
    </xdr:sp>
    <xdr:clientData/>
  </xdr:twoCellAnchor>
  <xdr:twoCellAnchor>
    <xdr:from>
      <xdr:col>2</xdr:col>
      <xdr:colOff>637432</xdr:colOff>
      <xdr:row>1</xdr:row>
      <xdr:rowOff>45641</xdr:rowOff>
    </xdr:from>
    <xdr:to>
      <xdr:col>30</xdr:col>
      <xdr:colOff>81064</xdr:colOff>
      <xdr:row>10</xdr:row>
      <xdr:rowOff>54042</xdr:rowOff>
    </xdr:to>
    <xdr:sp macro="" textlink="">
      <xdr:nvSpPr>
        <xdr:cNvPr id="4" name="Rectangle 3">
          <a:extLst>
            <a:ext uri="{FF2B5EF4-FFF2-40B4-BE49-F238E27FC236}">
              <a16:creationId xmlns:a16="http://schemas.microsoft.com/office/drawing/2014/main" id="{00A8F77E-B7CD-4931-BFFE-5EFCF060B88B}"/>
            </a:ext>
          </a:extLst>
        </xdr:cNvPr>
        <xdr:cNvSpPr/>
      </xdr:nvSpPr>
      <xdr:spPr>
        <a:xfrm>
          <a:off x="2263032" y="280591"/>
          <a:ext cx="22202032" cy="2122951"/>
        </a:xfrm>
        <a:prstGeom prst="rect">
          <a:avLst/>
        </a:prstGeom>
        <a:ln>
          <a:noFill/>
        </a:ln>
      </xdr:spPr>
      <xdr:style>
        <a:lnRef idx="2">
          <a:schemeClr val="accent5"/>
        </a:lnRef>
        <a:fillRef idx="1">
          <a:schemeClr val="lt1"/>
        </a:fillRef>
        <a:effectRef idx="0">
          <a:schemeClr val="accent5"/>
        </a:effectRef>
        <a:fontRef idx="minor">
          <a:schemeClr val="dk1"/>
        </a:fontRef>
      </xdr:style>
      <xdr:txBody>
        <a:bodyPr vertOverflow="clip" horzOverflow="clip" rtlCol="0" anchor="t"/>
        <a:lstStyle/>
        <a:p>
          <a:pPr algn="l"/>
          <a:endParaRPr lang="en-US" sz="1100"/>
        </a:p>
      </xdr:txBody>
    </xdr:sp>
    <xdr:clientData/>
  </xdr:twoCellAnchor>
  <xdr:twoCellAnchor editAs="oneCell">
    <xdr:from>
      <xdr:col>10</xdr:col>
      <xdr:colOff>557961</xdr:colOff>
      <xdr:row>6</xdr:row>
      <xdr:rowOff>25399</xdr:rowOff>
    </xdr:from>
    <xdr:to>
      <xdr:col>19</xdr:col>
      <xdr:colOff>689042</xdr:colOff>
      <xdr:row>9</xdr:row>
      <xdr:rowOff>189149</xdr:rowOff>
    </xdr:to>
    <mc:AlternateContent xmlns:mc="http://schemas.openxmlformats.org/markup-compatibility/2006" xmlns:a14="http://schemas.microsoft.com/office/drawing/2010/main">
      <mc:Choice Requires="a14">
        <xdr:graphicFrame macro="">
          <xdr:nvGraphicFramePr>
            <xdr:cNvPr id="5" name="Age Group 7">
              <a:extLst>
                <a:ext uri="{FF2B5EF4-FFF2-40B4-BE49-F238E27FC236}">
                  <a16:creationId xmlns:a16="http://schemas.microsoft.com/office/drawing/2014/main" id="{38983371-6467-4099-916C-E606E81E31BB}"/>
                </a:ext>
              </a:extLst>
            </xdr:cNvPr>
            <xdr:cNvGraphicFramePr/>
          </xdr:nvGraphicFramePr>
          <xdr:xfrm>
            <a:off x="0" y="0"/>
            <a:ext cx="0" cy="0"/>
          </xdr:xfrm>
          <a:graphic>
            <a:graphicData uri="http://schemas.microsoft.com/office/drawing/2010/slicer">
              <sle:slicer xmlns:sle="http://schemas.microsoft.com/office/drawing/2010/slicer" name="Age Group 7"/>
            </a:graphicData>
          </a:graphic>
        </xdr:graphicFrame>
      </mc:Choice>
      <mc:Fallback xmlns="">
        <xdr:sp macro="" textlink="">
          <xdr:nvSpPr>
            <xdr:cNvPr id="0" name=""/>
            <xdr:cNvSpPr>
              <a:spLocks noTextEdit="1"/>
            </xdr:cNvSpPr>
          </xdr:nvSpPr>
          <xdr:spPr>
            <a:xfrm>
              <a:off x="8664344" y="1403484"/>
              <a:ext cx="7426826" cy="85279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694532</xdr:colOff>
      <xdr:row>3</xdr:row>
      <xdr:rowOff>19845</xdr:rowOff>
    </xdr:from>
    <xdr:to>
      <xdr:col>3</xdr:col>
      <xdr:colOff>416719</xdr:colOff>
      <xdr:row>5</xdr:row>
      <xdr:rowOff>79375</xdr:rowOff>
    </xdr:to>
    <xdr:pic>
      <xdr:nvPicPr>
        <xdr:cNvPr id="6" name="Graphic 5" descr="Right pointing backhand index with solid fill">
          <a:extLst>
            <a:ext uri="{FF2B5EF4-FFF2-40B4-BE49-F238E27FC236}">
              <a16:creationId xmlns:a16="http://schemas.microsoft.com/office/drawing/2014/main" id="{ED97C879-2DD2-48B4-8589-7E3ED5635ED6}"/>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 uri="{96DAC541-7B7A-43D3-8B79-37D633B846F1}">
              <asvg:svgBlip xmlns:asvg="http://schemas.microsoft.com/office/drawing/2016/SVG/main" r:embed="rId2"/>
            </a:ext>
          </a:extLst>
        </a:blip>
        <a:stretch>
          <a:fillRect/>
        </a:stretch>
      </xdr:blipFill>
      <xdr:spPr>
        <a:xfrm>
          <a:off x="2320132" y="724695"/>
          <a:ext cx="534987" cy="529430"/>
        </a:xfrm>
        <a:prstGeom prst="rect">
          <a:avLst/>
        </a:prstGeom>
      </xdr:spPr>
    </xdr:pic>
    <xdr:clientData/>
  </xdr:twoCellAnchor>
  <xdr:twoCellAnchor>
    <xdr:from>
      <xdr:col>3</xdr:col>
      <xdr:colOff>646245</xdr:colOff>
      <xdr:row>2</xdr:row>
      <xdr:rowOff>230187</xdr:rowOff>
    </xdr:from>
    <xdr:to>
      <xdr:col>5</xdr:col>
      <xdr:colOff>298979</xdr:colOff>
      <xdr:row>5</xdr:row>
      <xdr:rowOff>230187</xdr:rowOff>
    </xdr:to>
    <xdr:sp macro="" textlink="">
      <xdr:nvSpPr>
        <xdr:cNvPr id="7" name="Rectangle: Rounded Corners 6">
          <a:extLst>
            <a:ext uri="{FF2B5EF4-FFF2-40B4-BE49-F238E27FC236}">
              <a16:creationId xmlns:a16="http://schemas.microsoft.com/office/drawing/2014/main" id="{3338ECE0-04C6-44D7-B69C-B81DF177DA31}"/>
            </a:ext>
          </a:extLst>
        </xdr:cNvPr>
        <xdr:cNvSpPr/>
      </xdr:nvSpPr>
      <xdr:spPr>
        <a:xfrm>
          <a:off x="3084645" y="700087"/>
          <a:ext cx="1278334" cy="704850"/>
        </a:xfrm>
        <a:prstGeom prst="roundRect">
          <a:avLst>
            <a:gd name="adj" fmla="val 37500"/>
          </a:avLst>
        </a:prstGeom>
        <a:solidFill>
          <a:srgbClr val="E1E1FF"/>
        </a:solidFill>
        <a:ln>
          <a:noFill/>
        </a:ln>
      </xdr:spPr>
      <xdr:style>
        <a:lnRef idx="1">
          <a:schemeClr val="accent1"/>
        </a:lnRef>
        <a:fillRef idx="2">
          <a:schemeClr val="accent1"/>
        </a:fillRef>
        <a:effectRef idx="1">
          <a:schemeClr val="accent1"/>
        </a:effectRef>
        <a:fontRef idx="minor">
          <a:schemeClr val="dk1"/>
        </a:fontRef>
      </xdr:style>
      <xdr:txBody>
        <a:bodyPr vertOverflow="clip" horzOverflow="clip" rtlCol="0" anchor="t"/>
        <a:lstStyle/>
        <a:p>
          <a:pPr algn="ctr"/>
          <a:r>
            <a:rPr lang="en-US" sz="2800" b="1"/>
            <a:t>Slicer</a:t>
          </a:r>
        </a:p>
      </xdr:txBody>
    </xdr:sp>
    <xdr:clientData/>
  </xdr:twoCellAnchor>
  <xdr:twoCellAnchor editAs="oneCell">
    <xdr:from>
      <xdr:col>5</xdr:col>
      <xdr:colOff>501649</xdr:colOff>
      <xdr:row>1</xdr:row>
      <xdr:rowOff>101598</xdr:rowOff>
    </xdr:from>
    <xdr:to>
      <xdr:col>29</xdr:col>
      <xdr:colOff>67552</xdr:colOff>
      <xdr:row>5</xdr:row>
      <xdr:rowOff>203199</xdr:rowOff>
    </xdr:to>
    <mc:AlternateContent xmlns:mc="http://schemas.openxmlformats.org/markup-compatibility/2006" xmlns:a14="http://schemas.microsoft.com/office/drawing/2010/main">
      <mc:Choice Requires="a14">
        <xdr:graphicFrame macro="">
          <xdr:nvGraphicFramePr>
            <xdr:cNvPr id="12" name="Sport 6">
              <a:extLst>
                <a:ext uri="{FF2B5EF4-FFF2-40B4-BE49-F238E27FC236}">
                  <a16:creationId xmlns:a16="http://schemas.microsoft.com/office/drawing/2014/main" id="{5ABD881F-6E66-4DCF-A851-D4B2EA9291CE}"/>
                </a:ext>
              </a:extLst>
            </xdr:cNvPr>
            <xdr:cNvGraphicFramePr/>
          </xdr:nvGraphicFramePr>
          <xdr:xfrm>
            <a:off x="0" y="0"/>
            <a:ext cx="0" cy="0"/>
          </xdr:xfrm>
          <a:graphic>
            <a:graphicData uri="http://schemas.microsoft.com/office/drawing/2010/slicer">
              <sle:slicer xmlns:sle="http://schemas.microsoft.com/office/drawing/2010/slicer" name="Sport 6"/>
            </a:graphicData>
          </a:graphic>
        </xdr:graphicFrame>
      </mc:Choice>
      <mc:Fallback xmlns="">
        <xdr:sp macro="" textlink="">
          <xdr:nvSpPr>
            <xdr:cNvPr id="0" name=""/>
            <xdr:cNvSpPr>
              <a:spLocks noTextEdit="1"/>
            </xdr:cNvSpPr>
          </xdr:nvSpPr>
          <xdr:spPr>
            <a:xfrm>
              <a:off x="4554840" y="331279"/>
              <a:ext cx="19021223" cy="102032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749570</xdr:colOff>
      <xdr:row>10</xdr:row>
      <xdr:rowOff>135106</xdr:rowOff>
    </xdr:from>
    <xdr:to>
      <xdr:col>9</xdr:col>
      <xdr:colOff>797127</xdr:colOff>
      <xdr:row>30</xdr:row>
      <xdr:rowOff>94574</xdr:rowOff>
    </xdr:to>
    <xdr:sp macro="" textlink="">
      <xdr:nvSpPr>
        <xdr:cNvPr id="14" name="Rectangle: Rounded Corners 13">
          <a:extLst>
            <a:ext uri="{FF2B5EF4-FFF2-40B4-BE49-F238E27FC236}">
              <a16:creationId xmlns:a16="http://schemas.microsoft.com/office/drawing/2014/main" id="{ABFAD493-E17E-4B66-A00D-442497B25E15}"/>
            </a:ext>
          </a:extLst>
        </xdr:cNvPr>
        <xdr:cNvSpPr/>
      </xdr:nvSpPr>
      <xdr:spPr>
        <a:xfrm>
          <a:off x="2375170" y="2484606"/>
          <a:ext cx="5737157" cy="4658468"/>
        </a:xfrm>
        <a:prstGeom prst="roundRect">
          <a:avLst/>
        </a:prstGeom>
        <a:ln>
          <a:noFill/>
        </a:ln>
      </xdr:spPr>
      <xdr:style>
        <a:lnRef idx="2">
          <a:schemeClr val="accent2">
            <a:shade val="50000"/>
          </a:schemeClr>
        </a:lnRef>
        <a:fillRef idx="1">
          <a:schemeClr val="accent2"/>
        </a:fillRef>
        <a:effectRef idx="0">
          <a:schemeClr val="accent2"/>
        </a:effectRef>
        <a:fontRef idx="minor">
          <a:schemeClr val="lt1"/>
        </a:fontRef>
      </xdr:style>
      <xdr:txBody>
        <a:bodyPr vertOverflow="clip" horzOverflow="clip" rtlCol="0" anchor="t"/>
        <a:lstStyle/>
        <a:p>
          <a:pPr algn="l"/>
          <a:endParaRPr lang="en-US" sz="1100"/>
        </a:p>
      </xdr:txBody>
    </xdr:sp>
    <xdr:clientData/>
  </xdr:twoCellAnchor>
  <xdr:twoCellAnchor>
    <xdr:from>
      <xdr:col>18</xdr:col>
      <xdr:colOff>94575</xdr:colOff>
      <xdr:row>10</xdr:row>
      <xdr:rowOff>175638</xdr:rowOff>
    </xdr:from>
    <xdr:to>
      <xdr:col>23</xdr:col>
      <xdr:colOff>743085</xdr:colOff>
      <xdr:row>30</xdr:row>
      <xdr:rowOff>135105</xdr:rowOff>
    </xdr:to>
    <xdr:sp macro="" textlink="">
      <xdr:nvSpPr>
        <xdr:cNvPr id="15" name="Rectangle: Rounded Corners 14">
          <a:extLst>
            <a:ext uri="{FF2B5EF4-FFF2-40B4-BE49-F238E27FC236}">
              <a16:creationId xmlns:a16="http://schemas.microsoft.com/office/drawing/2014/main" id="{51E8EE75-2EF2-4E42-B96D-9D954BCA7947}"/>
            </a:ext>
          </a:extLst>
        </xdr:cNvPr>
        <xdr:cNvSpPr/>
      </xdr:nvSpPr>
      <xdr:spPr>
        <a:xfrm>
          <a:off x="14724975" y="2525138"/>
          <a:ext cx="4712510" cy="4658467"/>
        </a:xfrm>
        <a:prstGeom prst="roundRect">
          <a:avLst/>
        </a:prstGeom>
        <a:ln>
          <a:noFill/>
        </a:ln>
      </xdr:spPr>
      <xdr:style>
        <a:lnRef idx="0">
          <a:schemeClr val="accent6"/>
        </a:lnRef>
        <a:fillRef idx="3">
          <a:schemeClr val="accent6"/>
        </a:fillRef>
        <a:effectRef idx="3">
          <a:schemeClr val="accent6"/>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119163</xdr:colOff>
      <xdr:row>10</xdr:row>
      <xdr:rowOff>108085</xdr:rowOff>
    </xdr:from>
    <xdr:to>
      <xdr:col>10</xdr:col>
      <xdr:colOff>205415</xdr:colOff>
      <xdr:row>31</xdr:row>
      <xdr:rowOff>25184</xdr:rowOff>
    </xdr:to>
    <xdr:sp macro="" textlink="">
      <xdr:nvSpPr>
        <xdr:cNvPr id="16" name="Rectangle: Rounded Corners 15">
          <a:extLst>
            <a:ext uri="{FF2B5EF4-FFF2-40B4-BE49-F238E27FC236}">
              <a16:creationId xmlns:a16="http://schemas.microsoft.com/office/drawing/2014/main" id="{B5024917-98B6-44D2-82C9-4887CCAB7B1D}"/>
            </a:ext>
          </a:extLst>
        </xdr:cNvPr>
        <xdr:cNvSpPr/>
      </xdr:nvSpPr>
      <xdr:spPr>
        <a:xfrm>
          <a:off x="2557563" y="2457585"/>
          <a:ext cx="5775852" cy="4851049"/>
        </a:xfrm>
        <a:prstGeom prst="roundRect">
          <a:avLst/>
        </a:prstGeom>
        <a:ln>
          <a:noFill/>
        </a:ln>
      </xdr:spPr>
      <xdr:style>
        <a:lnRef idx="2">
          <a:schemeClr val="accent4"/>
        </a:lnRef>
        <a:fillRef idx="1">
          <a:schemeClr val="lt1"/>
        </a:fillRef>
        <a:effectRef idx="0">
          <a:schemeClr val="accent4"/>
        </a:effectRef>
        <a:fontRef idx="minor">
          <a:schemeClr val="dk1"/>
        </a:fontRef>
      </xdr:style>
      <xdr:txBody>
        <a:bodyPr vertOverflow="clip" horzOverflow="clip" rtlCol="0" anchor="t"/>
        <a:lstStyle/>
        <a:p>
          <a:pPr algn="l"/>
          <a:endParaRPr lang="en-US" sz="1100"/>
        </a:p>
      </xdr:txBody>
    </xdr:sp>
    <xdr:clientData/>
  </xdr:twoCellAnchor>
  <xdr:twoCellAnchor>
    <xdr:from>
      <xdr:col>24</xdr:col>
      <xdr:colOff>351276</xdr:colOff>
      <xdr:row>10</xdr:row>
      <xdr:rowOff>189148</xdr:rowOff>
    </xdr:from>
    <xdr:to>
      <xdr:col>29</xdr:col>
      <xdr:colOff>675530</xdr:colOff>
      <xdr:row>30</xdr:row>
      <xdr:rowOff>175638</xdr:rowOff>
    </xdr:to>
    <xdr:sp macro="" textlink="">
      <xdr:nvSpPr>
        <xdr:cNvPr id="17" name="Rectangle: Rounded Corners 16">
          <a:extLst>
            <a:ext uri="{FF2B5EF4-FFF2-40B4-BE49-F238E27FC236}">
              <a16:creationId xmlns:a16="http://schemas.microsoft.com/office/drawing/2014/main" id="{924B390A-5A4A-432A-8C6C-0DA790E7A7AE}"/>
            </a:ext>
          </a:extLst>
        </xdr:cNvPr>
        <xdr:cNvSpPr/>
      </xdr:nvSpPr>
      <xdr:spPr>
        <a:xfrm>
          <a:off x="19858476" y="2538648"/>
          <a:ext cx="4388254" cy="4685490"/>
        </a:xfrm>
        <a:prstGeom prst="roundRect">
          <a:avLst/>
        </a:prstGeom>
        <a:ln>
          <a:noFill/>
        </a:ln>
      </xdr:spPr>
      <xdr:style>
        <a:lnRef idx="2">
          <a:schemeClr val="accent4">
            <a:shade val="50000"/>
          </a:schemeClr>
        </a:lnRef>
        <a:fillRef idx="1">
          <a:schemeClr val="accent4"/>
        </a:fillRef>
        <a:effectRef idx="0">
          <a:schemeClr val="accent4"/>
        </a:effectRef>
        <a:fontRef idx="minor">
          <a:schemeClr val="lt1"/>
        </a:fontRef>
      </xdr:style>
      <xdr:txBody>
        <a:bodyPr vertOverflow="clip" horzOverflow="clip" rtlCol="0" anchor="t"/>
        <a:lstStyle/>
        <a:p>
          <a:pPr algn="l"/>
          <a:endParaRPr lang="en-US" sz="1100"/>
        </a:p>
      </xdr:txBody>
    </xdr:sp>
    <xdr:clientData/>
  </xdr:twoCellAnchor>
  <xdr:twoCellAnchor>
    <xdr:from>
      <xdr:col>18</xdr:col>
      <xdr:colOff>283725</xdr:colOff>
      <xdr:row>10</xdr:row>
      <xdr:rowOff>121595</xdr:rowOff>
    </xdr:from>
    <xdr:to>
      <xdr:col>24</xdr:col>
      <xdr:colOff>94575</xdr:colOff>
      <xdr:row>31</xdr:row>
      <xdr:rowOff>3612</xdr:rowOff>
    </xdr:to>
    <xdr:sp macro="" textlink="">
      <xdr:nvSpPr>
        <xdr:cNvPr id="18" name="Rectangle: Rounded Corners 17">
          <a:extLst>
            <a:ext uri="{FF2B5EF4-FFF2-40B4-BE49-F238E27FC236}">
              <a16:creationId xmlns:a16="http://schemas.microsoft.com/office/drawing/2014/main" id="{0014FBA6-9854-4484-9614-9E7FE4DA3F74}"/>
            </a:ext>
          </a:extLst>
        </xdr:cNvPr>
        <xdr:cNvSpPr/>
      </xdr:nvSpPr>
      <xdr:spPr>
        <a:xfrm>
          <a:off x="14914125" y="2471095"/>
          <a:ext cx="4687650" cy="4815967"/>
        </a:xfrm>
        <a:prstGeom prst="roundRect">
          <a:avLst/>
        </a:prstGeom>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1100"/>
        </a:p>
      </xdr:txBody>
    </xdr:sp>
    <xdr:clientData/>
  </xdr:twoCellAnchor>
  <xdr:twoCellAnchor>
    <xdr:from>
      <xdr:col>24</xdr:col>
      <xdr:colOff>526915</xdr:colOff>
      <xdr:row>10</xdr:row>
      <xdr:rowOff>148617</xdr:rowOff>
    </xdr:from>
    <xdr:to>
      <xdr:col>30</xdr:col>
      <xdr:colOff>79637</xdr:colOff>
      <xdr:row>30</xdr:row>
      <xdr:rowOff>219782</xdr:rowOff>
    </xdr:to>
    <xdr:sp macro="" textlink="">
      <xdr:nvSpPr>
        <xdr:cNvPr id="19" name="Rectangle: Rounded Corners 18">
          <a:extLst>
            <a:ext uri="{FF2B5EF4-FFF2-40B4-BE49-F238E27FC236}">
              <a16:creationId xmlns:a16="http://schemas.microsoft.com/office/drawing/2014/main" id="{3FCD63F3-490F-421B-8252-D71EF308D8CB}"/>
            </a:ext>
          </a:extLst>
        </xdr:cNvPr>
        <xdr:cNvSpPr/>
      </xdr:nvSpPr>
      <xdr:spPr>
        <a:xfrm>
          <a:off x="20034115" y="2498117"/>
          <a:ext cx="4429522" cy="4770165"/>
        </a:xfrm>
        <a:prstGeom prst="roundRect">
          <a:avLst/>
        </a:prstGeom>
        <a:ln>
          <a:noFill/>
        </a:ln>
      </xdr:spPr>
      <xdr:style>
        <a:lnRef idx="2">
          <a:schemeClr val="accent4"/>
        </a:lnRef>
        <a:fillRef idx="1">
          <a:schemeClr val="lt1"/>
        </a:fillRef>
        <a:effectRef idx="0">
          <a:schemeClr val="accent4"/>
        </a:effectRef>
        <a:fontRef idx="minor">
          <a:schemeClr val="dk1"/>
        </a:fontRef>
      </xdr:style>
      <xdr:txBody>
        <a:bodyPr vertOverflow="clip" horzOverflow="clip" rtlCol="0" anchor="t"/>
        <a:lstStyle/>
        <a:p>
          <a:pPr algn="l"/>
          <a:endParaRPr lang="en-US" sz="1100"/>
        </a:p>
      </xdr:txBody>
    </xdr:sp>
    <xdr:clientData/>
  </xdr:twoCellAnchor>
  <xdr:twoCellAnchor>
    <xdr:from>
      <xdr:col>3</xdr:col>
      <xdr:colOff>652730</xdr:colOff>
      <xdr:row>3</xdr:row>
      <xdr:rowOff>11044</xdr:rowOff>
    </xdr:from>
    <xdr:to>
      <xdr:col>5</xdr:col>
      <xdr:colOff>305464</xdr:colOff>
      <xdr:row>6</xdr:row>
      <xdr:rowOff>11044</xdr:rowOff>
    </xdr:to>
    <xdr:sp macro="" textlink="">
      <xdr:nvSpPr>
        <xdr:cNvPr id="20" name="Rectangle: Rounded Corners 19">
          <a:extLst>
            <a:ext uri="{FF2B5EF4-FFF2-40B4-BE49-F238E27FC236}">
              <a16:creationId xmlns:a16="http://schemas.microsoft.com/office/drawing/2014/main" id="{BF710303-64AA-42FC-80F6-1FA23DFFA956}"/>
            </a:ext>
          </a:extLst>
        </xdr:cNvPr>
        <xdr:cNvSpPr/>
      </xdr:nvSpPr>
      <xdr:spPr>
        <a:xfrm>
          <a:off x="3091130" y="715894"/>
          <a:ext cx="1278334" cy="704850"/>
        </a:xfrm>
        <a:prstGeom prst="roundRect">
          <a:avLst>
            <a:gd name="adj" fmla="val 37500"/>
          </a:avLst>
        </a:prstGeom>
        <a:solidFill>
          <a:srgbClr val="E1E1FF"/>
        </a:solidFill>
        <a:ln>
          <a:noFill/>
        </a:ln>
      </xdr:spPr>
      <xdr:style>
        <a:lnRef idx="1">
          <a:schemeClr val="accent1"/>
        </a:lnRef>
        <a:fillRef idx="2">
          <a:schemeClr val="accent1"/>
        </a:fillRef>
        <a:effectRef idx="1">
          <a:schemeClr val="accent1"/>
        </a:effectRef>
        <a:fontRef idx="minor">
          <a:schemeClr val="dk1"/>
        </a:fontRef>
      </xdr:style>
      <xdr:txBody>
        <a:bodyPr vertOverflow="clip" horzOverflow="clip" rtlCol="0" anchor="t"/>
        <a:lstStyle/>
        <a:p>
          <a:pPr algn="ctr"/>
          <a:r>
            <a:rPr lang="en-US" sz="2800" b="1"/>
            <a:t>Slicer</a:t>
          </a:r>
        </a:p>
      </xdr:txBody>
    </xdr:sp>
    <xdr:clientData/>
  </xdr:twoCellAnchor>
  <xdr:twoCellAnchor>
    <xdr:from>
      <xdr:col>3</xdr:col>
      <xdr:colOff>655266</xdr:colOff>
      <xdr:row>6</xdr:row>
      <xdr:rowOff>145486</xdr:rowOff>
    </xdr:from>
    <xdr:to>
      <xdr:col>5</xdr:col>
      <xdr:colOff>308000</xdr:colOff>
      <xdr:row>9</xdr:row>
      <xdr:rowOff>145485</xdr:rowOff>
    </xdr:to>
    <xdr:sp macro="" textlink="">
      <xdr:nvSpPr>
        <xdr:cNvPr id="21" name="Rectangle: Rounded Corners 20">
          <a:extLst>
            <a:ext uri="{FF2B5EF4-FFF2-40B4-BE49-F238E27FC236}">
              <a16:creationId xmlns:a16="http://schemas.microsoft.com/office/drawing/2014/main" id="{A7E886A8-4C73-4AB2-99D6-63A7CD0188D3}"/>
            </a:ext>
          </a:extLst>
        </xdr:cNvPr>
        <xdr:cNvSpPr/>
      </xdr:nvSpPr>
      <xdr:spPr>
        <a:xfrm>
          <a:off x="3093666" y="1555186"/>
          <a:ext cx="1278334" cy="704849"/>
        </a:xfrm>
        <a:prstGeom prst="roundRect">
          <a:avLst>
            <a:gd name="adj" fmla="val 36274"/>
          </a:avLst>
        </a:prstGeom>
        <a:solidFill>
          <a:srgbClr val="E1E1FF"/>
        </a:solidFill>
        <a:ln>
          <a:noFill/>
        </a:ln>
      </xdr:spPr>
      <xdr:style>
        <a:lnRef idx="1">
          <a:schemeClr val="accent1"/>
        </a:lnRef>
        <a:fillRef idx="2">
          <a:schemeClr val="accent1"/>
        </a:fillRef>
        <a:effectRef idx="1">
          <a:schemeClr val="accent1"/>
        </a:effectRef>
        <a:fontRef idx="minor">
          <a:schemeClr val="dk1"/>
        </a:fontRef>
      </xdr:style>
      <xdr:txBody>
        <a:bodyPr vertOverflow="clip" horzOverflow="clip" rtlCol="0" anchor="t"/>
        <a:lstStyle/>
        <a:p>
          <a:pPr algn="ctr"/>
          <a:r>
            <a:rPr lang="en-US" sz="2000" b="1"/>
            <a:t>Analysis</a:t>
          </a:r>
        </a:p>
      </xdr:txBody>
    </xdr:sp>
    <xdr:clientData/>
  </xdr:twoCellAnchor>
  <xdr:twoCellAnchor editAs="oneCell">
    <xdr:from>
      <xdr:col>2</xdr:col>
      <xdr:colOff>622282</xdr:colOff>
      <xdr:row>6</xdr:row>
      <xdr:rowOff>77887</xdr:rowOff>
    </xdr:from>
    <xdr:to>
      <xdr:col>3</xdr:col>
      <xdr:colOff>634999</xdr:colOff>
      <xdr:row>9</xdr:row>
      <xdr:rowOff>183234</xdr:rowOff>
    </xdr:to>
    <xdr:pic>
      <xdr:nvPicPr>
        <xdr:cNvPr id="22" name="Graphic 21" descr="Arrow: Rotate left with solid fill">
          <a:extLst>
            <a:ext uri="{FF2B5EF4-FFF2-40B4-BE49-F238E27FC236}">
              <a16:creationId xmlns:a16="http://schemas.microsoft.com/office/drawing/2014/main" id="{5EC84269-23D8-4D22-81DE-C65B93EEFF9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 uri="{96DAC541-7B7A-43D3-8B79-37D633B846F1}">
              <asvg:svgBlip xmlns:asvg="http://schemas.microsoft.com/office/drawing/2016/SVG/main" r:embed="rId4"/>
            </a:ext>
          </a:extLst>
        </a:blip>
        <a:stretch>
          <a:fillRect/>
        </a:stretch>
      </xdr:blipFill>
      <xdr:spPr>
        <a:xfrm>
          <a:off x="2247882" y="1487587"/>
          <a:ext cx="825517" cy="810197"/>
        </a:xfrm>
        <a:prstGeom prst="rect">
          <a:avLst/>
        </a:prstGeom>
      </xdr:spPr>
    </xdr:pic>
    <xdr:clientData/>
  </xdr:twoCellAnchor>
  <xdr:twoCellAnchor>
    <xdr:from>
      <xdr:col>10</xdr:col>
      <xdr:colOff>391808</xdr:colOff>
      <xdr:row>10</xdr:row>
      <xdr:rowOff>216170</xdr:rowOff>
    </xdr:from>
    <xdr:to>
      <xdr:col>16</xdr:col>
      <xdr:colOff>733627</xdr:colOff>
      <xdr:row>30</xdr:row>
      <xdr:rowOff>138888</xdr:rowOff>
    </xdr:to>
    <xdr:sp macro="" textlink="">
      <xdr:nvSpPr>
        <xdr:cNvPr id="23" name="Rectangle: Rounded Corners 22">
          <a:extLst>
            <a:ext uri="{FF2B5EF4-FFF2-40B4-BE49-F238E27FC236}">
              <a16:creationId xmlns:a16="http://schemas.microsoft.com/office/drawing/2014/main" id="{6E042B72-102C-4C73-B94D-7B14514BB701}"/>
            </a:ext>
          </a:extLst>
        </xdr:cNvPr>
        <xdr:cNvSpPr/>
      </xdr:nvSpPr>
      <xdr:spPr>
        <a:xfrm>
          <a:off x="8519808" y="2565670"/>
          <a:ext cx="5218619" cy="4621718"/>
        </a:xfrm>
        <a:prstGeom prst="roundRect">
          <a:avLst/>
        </a:prstGeom>
        <a:ln/>
      </xdr:spPr>
      <xdr:style>
        <a:lnRef idx="0">
          <a:schemeClr val="accent3"/>
        </a:lnRef>
        <a:fillRef idx="3">
          <a:schemeClr val="accent3"/>
        </a:fillRef>
        <a:effectRef idx="3">
          <a:schemeClr val="accent3"/>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567446</xdr:colOff>
      <xdr:row>10</xdr:row>
      <xdr:rowOff>134608</xdr:rowOff>
    </xdr:from>
    <xdr:to>
      <xdr:col>17</xdr:col>
      <xdr:colOff>653698</xdr:colOff>
      <xdr:row>31</xdr:row>
      <xdr:rowOff>13510</xdr:rowOff>
    </xdr:to>
    <xdr:sp macro="" textlink="">
      <xdr:nvSpPr>
        <xdr:cNvPr id="24" name="Rectangle: Rounded Corners 23">
          <a:extLst>
            <a:ext uri="{FF2B5EF4-FFF2-40B4-BE49-F238E27FC236}">
              <a16:creationId xmlns:a16="http://schemas.microsoft.com/office/drawing/2014/main" id="{46D0C5C8-E3DA-4D59-B87B-7A9FA4657698}"/>
            </a:ext>
          </a:extLst>
        </xdr:cNvPr>
        <xdr:cNvSpPr/>
      </xdr:nvSpPr>
      <xdr:spPr>
        <a:xfrm>
          <a:off x="8695446" y="2484108"/>
          <a:ext cx="5775852" cy="4812852"/>
        </a:xfrm>
        <a:prstGeom prst="roundRect">
          <a:avLst/>
        </a:prstGeom>
        <a:ln>
          <a:noFill/>
        </a:ln>
      </xdr:spPr>
      <xdr:style>
        <a:lnRef idx="2">
          <a:schemeClr val="accent3"/>
        </a:lnRef>
        <a:fillRef idx="1">
          <a:schemeClr val="lt1"/>
        </a:fillRef>
        <a:effectRef idx="0">
          <a:schemeClr val="accent3"/>
        </a:effectRef>
        <a:fontRef idx="minor">
          <a:schemeClr val="dk1"/>
        </a:fontRef>
      </xdr:style>
      <xdr:txBody>
        <a:bodyPr vertOverflow="clip" horzOverflow="clip" rtlCol="0" anchor="t"/>
        <a:lstStyle/>
        <a:p>
          <a:pPr algn="l"/>
          <a:endParaRPr lang="en-US" sz="1100"/>
        </a:p>
      </xdr:txBody>
    </xdr:sp>
    <xdr:clientData/>
  </xdr:twoCellAnchor>
  <xdr:twoCellAnchor editAs="oneCell">
    <xdr:from>
      <xdr:col>5</xdr:col>
      <xdr:colOff>657428</xdr:colOff>
      <xdr:row>6</xdr:row>
      <xdr:rowOff>50124</xdr:rowOff>
    </xdr:from>
    <xdr:to>
      <xdr:col>9</xdr:col>
      <xdr:colOff>540425</xdr:colOff>
      <xdr:row>9</xdr:row>
      <xdr:rowOff>162126</xdr:rowOff>
    </xdr:to>
    <mc:AlternateContent xmlns:mc="http://schemas.openxmlformats.org/markup-compatibility/2006" xmlns:a14="http://schemas.microsoft.com/office/drawing/2010/main">
      <mc:Choice Requires="a14">
        <xdr:graphicFrame macro="">
          <xdr:nvGraphicFramePr>
            <xdr:cNvPr id="29" name="Weight level 1">
              <a:extLst>
                <a:ext uri="{FF2B5EF4-FFF2-40B4-BE49-F238E27FC236}">
                  <a16:creationId xmlns:a16="http://schemas.microsoft.com/office/drawing/2014/main" id="{60E72488-20C4-4482-BCE4-4DB57B77CE8B}"/>
                </a:ext>
              </a:extLst>
            </xdr:cNvPr>
            <xdr:cNvGraphicFramePr/>
          </xdr:nvGraphicFramePr>
          <xdr:xfrm>
            <a:off x="0" y="0"/>
            <a:ext cx="0" cy="0"/>
          </xdr:xfrm>
          <a:graphic>
            <a:graphicData uri="http://schemas.microsoft.com/office/drawing/2010/slicer">
              <sle:slicer xmlns:sle="http://schemas.microsoft.com/office/drawing/2010/slicer" name="Weight level 1"/>
            </a:graphicData>
          </a:graphic>
        </xdr:graphicFrame>
      </mc:Choice>
      <mc:Fallback xmlns="">
        <xdr:sp macro="" textlink="">
          <xdr:nvSpPr>
            <xdr:cNvPr id="0" name=""/>
            <xdr:cNvSpPr>
              <a:spLocks noTextEdit="1"/>
            </xdr:cNvSpPr>
          </xdr:nvSpPr>
          <xdr:spPr>
            <a:xfrm>
              <a:off x="4710619" y="1428209"/>
              <a:ext cx="3125551" cy="80104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21</xdr:col>
      <xdr:colOff>144022</xdr:colOff>
      <xdr:row>6</xdr:row>
      <xdr:rowOff>23105</xdr:rowOff>
    </xdr:from>
    <xdr:to>
      <xdr:col>28</xdr:col>
      <xdr:colOff>243191</xdr:colOff>
      <xdr:row>9</xdr:row>
      <xdr:rowOff>94576</xdr:rowOff>
    </xdr:to>
    <mc:AlternateContent xmlns:mc="http://schemas.openxmlformats.org/markup-compatibility/2006" xmlns:a14="http://schemas.microsoft.com/office/drawing/2010/main">
      <mc:Choice Requires="a14">
        <xdr:graphicFrame macro="">
          <xdr:nvGraphicFramePr>
            <xdr:cNvPr id="30" name="Height level 1">
              <a:extLst>
                <a:ext uri="{FF2B5EF4-FFF2-40B4-BE49-F238E27FC236}">
                  <a16:creationId xmlns:a16="http://schemas.microsoft.com/office/drawing/2014/main" id="{BC25E2CA-20FE-4B58-9CA1-442F97B239E8}"/>
                </a:ext>
              </a:extLst>
            </xdr:cNvPr>
            <xdr:cNvGraphicFramePr/>
          </xdr:nvGraphicFramePr>
          <xdr:xfrm>
            <a:off x="0" y="0"/>
            <a:ext cx="0" cy="0"/>
          </xdr:xfrm>
          <a:graphic>
            <a:graphicData uri="http://schemas.microsoft.com/office/drawing/2010/slicer">
              <sle:slicer xmlns:sle="http://schemas.microsoft.com/office/drawing/2010/slicer" name="Height level 1"/>
            </a:graphicData>
          </a:graphic>
        </xdr:graphicFrame>
      </mc:Choice>
      <mc:Fallback xmlns="">
        <xdr:sp macro="" textlink="">
          <xdr:nvSpPr>
            <xdr:cNvPr id="0" name=""/>
            <xdr:cNvSpPr>
              <a:spLocks noTextEdit="1"/>
            </xdr:cNvSpPr>
          </xdr:nvSpPr>
          <xdr:spPr>
            <a:xfrm>
              <a:off x="17167426" y="1401190"/>
              <a:ext cx="5773637" cy="76051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364787</xdr:colOff>
      <xdr:row>11</xdr:row>
      <xdr:rowOff>162129</xdr:rowOff>
    </xdr:from>
    <xdr:to>
      <xdr:col>9</xdr:col>
      <xdr:colOff>689042</xdr:colOff>
      <xdr:row>29</xdr:row>
      <xdr:rowOff>40533</xdr:rowOff>
    </xdr:to>
    <xdr:graphicFrame macro="">
      <xdr:nvGraphicFramePr>
        <xdr:cNvPr id="31" name="Chart 30">
          <a:extLst>
            <a:ext uri="{FF2B5EF4-FFF2-40B4-BE49-F238E27FC236}">
              <a16:creationId xmlns:a16="http://schemas.microsoft.com/office/drawing/2014/main" id="{E3032816-1C95-46B1-A502-B0BF06813C6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10</xdr:col>
      <xdr:colOff>783618</xdr:colOff>
      <xdr:row>11</xdr:row>
      <xdr:rowOff>202660</xdr:rowOff>
    </xdr:from>
    <xdr:to>
      <xdr:col>17</xdr:col>
      <xdr:colOff>405319</xdr:colOff>
      <xdr:row>29</xdr:row>
      <xdr:rowOff>108085</xdr:rowOff>
    </xdr:to>
    <xdr:graphicFrame macro="">
      <xdr:nvGraphicFramePr>
        <xdr:cNvPr id="32" name="Chart 31">
          <a:extLst>
            <a:ext uri="{FF2B5EF4-FFF2-40B4-BE49-F238E27FC236}">
              <a16:creationId xmlns:a16="http://schemas.microsoft.com/office/drawing/2014/main" id="{EB7E9686-2F54-4A55-9506-4425C36028F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18</xdr:col>
      <xdr:colOff>486382</xdr:colOff>
      <xdr:row>12</xdr:row>
      <xdr:rowOff>27022</xdr:rowOff>
    </xdr:from>
    <xdr:to>
      <xdr:col>23</xdr:col>
      <xdr:colOff>689041</xdr:colOff>
      <xdr:row>29</xdr:row>
      <xdr:rowOff>81065</xdr:rowOff>
    </xdr:to>
    <xdr:graphicFrame macro="">
      <xdr:nvGraphicFramePr>
        <xdr:cNvPr id="33" name="Chart 32">
          <a:extLst>
            <a:ext uri="{FF2B5EF4-FFF2-40B4-BE49-F238E27FC236}">
              <a16:creationId xmlns:a16="http://schemas.microsoft.com/office/drawing/2014/main" id="{BED4E9F0-686A-46C4-96A0-F7D86C35EA9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24</xdr:col>
      <xdr:colOff>689044</xdr:colOff>
      <xdr:row>12</xdr:row>
      <xdr:rowOff>13511</xdr:rowOff>
    </xdr:from>
    <xdr:to>
      <xdr:col>29</xdr:col>
      <xdr:colOff>742940</xdr:colOff>
      <xdr:row>29</xdr:row>
      <xdr:rowOff>94573</xdr:rowOff>
    </xdr:to>
    <xdr:graphicFrame macro="">
      <xdr:nvGraphicFramePr>
        <xdr:cNvPr id="34" name="Chart 33">
          <a:extLst>
            <a:ext uri="{FF2B5EF4-FFF2-40B4-BE49-F238E27FC236}">
              <a16:creationId xmlns:a16="http://schemas.microsoft.com/office/drawing/2014/main" id="{0B3394C6-D3AB-4EA2-BAE1-619A049D680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0</xdr:col>
      <xdr:colOff>202659</xdr:colOff>
      <xdr:row>7</xdr:row>
      <xdr:rowOff>175637</xdr:rowOff>
    </xdr:from>
    <xdr:to>
      <xdr:col>2</xdr:col>
      <xdr:colOff>410182</xdr:colOff>
      <xdr:row>10</xdr:row>
      <xdr:rowOff>110105</xdr:rowOff>
    </xdr:to>
    <xdr:sp macro="" textlink="">
      <xdr:nvSpPr>
        <xdr:cNvPr id="35" name="Rectangle: Rounded Corners 34">
          <a:hlinkClick xmlns:r="http://schemas.openxmlformats.org/officeDocument/2006/relationships" r:id="rId9"/>
          <a:extLst>
            <a:ext uri="{FF2B5EF4-FFF2-40B4-BE49-F238E27FC236}">
              <a16:creationId xmlns:a16="http://schemas.microsoft.com/office/drawing/2014/main" id="{F0E125D3-5939-4DAD-8D4F-846A89DD4EBA}"/>
            </a:ext>
          </a:extLst>
        </xdr:cNvPr>
        <xdr:cNvSpPr/>
      </xdr:nvSpPr>
      <xdr:spPr>
        <a:xfrm>
          <a:off x="202659" y="1783403"/>
          <a:ext cx="1828800" cy="623511"/>
        </a:xfrm>
        <a:prstGeom prst="roundRect">
          <a:avLst>
            <a:gd name="adj" fmla="val 50000"/>
          </a:avLst>
        </a:prstGeom>
        <a:noFill/>
        <a:ln>
          <a:solidFill>
            <a:schemeClr val="bg1"/>
          </a:solidFill>
        </a:ln>
      </xdr:spPr>
      <xdr:style>
        <a:lnRef idx="2">
          <a:schemeClr val="accent5"/>
        </a:lnRef>
        <a:fillRef idx="1">
          <a:schemeClr val="lt1"/>
        </a:fillRef>
        <a:effectRef idx="0">
          <a:schemeClr val="accent5"/>
        </a:effectRef>
        <a:fontRef idx="minor">
          <a:schemeClr val="dk1"/>
        </a:fontRef>
      </xdr:style>
      <xdr:txBody>
        <a:bodyPr vertOverflow="clip" horzOverflow="clip" rtlCol="0" anchor="t"/>
        <a:lstStyle/>
        <a:p>
          <a:pPr algn="ctr"/>
          <a:r>
            <a:rPr lang="en-US" sz="2000" b="1">
              <a:ln>
                <a:solidFill>
                  <a:schemeClr val="bg1"/>
                </a:solidFill>
              </a:ln>
              <a:solidFill>
                <a:schemeClr val="bg1"/>
              </a:solidFill>
            </a:rPr>
            <a:t>WEIGHT</a:t>
          </a:r>
        </a:p>
      </xdr:txBody>
    </xdr:sp>
    <xdr:clientData/>
  </xdr:twoCellAnchor>
  <xdr:twoCellAnchor>
    <xdr:from>
      <xdr:col>0</xdr:col>
      <xdr:colOff>208065</xdr:colOff>
      <xdr:row>2</xdr:row>
      <xdr:rowOff>158074</xdr:rowOff>
    </xdr:from>
    <xdr:to>
      <xdr:col>2</xdr:col>
      <xdr:colOff>410724</xdr:colOff>
      <xdr:row>5</xdr:row>
      <xdr:rowOff>93516</xdr:rowOff>
    </xdr:to>
    <xdr:sp macro="" textlink="">
      <xdr:nvSpPr>
        <xdr:cNvPr id="36" name="Rectangle: Rounded Corners 35">
          <a:hlinkClick xmlns:r="http://schemas.openxmlformats.org/officeDocument/2006/relationships" r:id="rId10"/>
          <a:extLst>
            <a:ext uri="{FF2B5EF4-FFF2-40B4-BE49-F238E27FC236}">
              <a16:creationId xmlns:a16="http://schemas.microsoft.com/office/drawing/2014/main" id="{5E717B07-AC8B-4091-AD9D-F39CACC9725F}"/>
            </a:ext>
          </a:extLst>
        </xdr:cNvPr>
        <xdr:cNvSpPr/>
      </xdr:nvSpPr>
      <xdr:spPr>
        <a:xfrm>
          <a:off x="208065" y="617436"/>
          <a:ext cx="1823936" cy="624484"/>
        </a:xfrm>
        <a:prstGeom prst="roundRect">
          <a:avLst>
            <a:gd name="adj" fmla="val 50000"/>
          </a:avLst>
        </a:prstGeom>
        <a:noFill/>
        <a:ln>
          <a:solidFill>
            <a:schemeClr val="bg1"/>
          </a:solidFill>
        </a:ln>
      </xdr:spPr>
      <xdr:style>
        <a:lnRef idx="2">
          <a:schemeClr val="accent5"/>
        </a:lnRef>
        <a:fillRef idx="1">
          <a:schemeClr val="lt1"/>
        </a:fillRef>
        <a:effectRef idx="0">
          <a:schemeClr val="accent5"/>
        </a:effectRef>
        <a:fontRef idx="minor">
          <a:schemeClr val="dk1"/>
        </a:fontRef>
      </xdr:style>
      <xdr:txBody>
        <a:bodyPr vertOverflow="clip" horzOverflow="clip" rtlCol="0" anchor="t"/>
        <a:lstStyle/>
        <a:p>
          <a:pPr algn="ctr"/>
          <a:r>
            <a:rPr lang="en-US" sz="2000" b="1">
              <a:ln>
                <a:solidFill>
                  <a:schemeClr val="bg1"/>
                </a:solidFill>
              </a:ln>
              <a:solidFill>
                <a:schemeClr val="bg1"/>
              </a:solidFill>
            </a:rPr>
            <a:t>DASHBOARD</a:t>
          </a:r>
        </a:p>
      </xdr:txBody>
    </xdr:sp>
    <xdr:clientData/>
  </xdr:twoCellAnchor>
  <xdr:twoCellAnchor>
    <xdr:from>
      <xdr:col>0</xdr:col>
      <xdr:colOff>184826</xdr:colOff>
      <xdr:row>13</xdr:row>
      <xdr:rowOff>13240</xdr:rowOff>
    </xdr:from>
    <xdr:to>
      <xdr:col>2</xdr:col>
      <xdr:colOff>387485</xdr:colOff>
      <xdr:row>15</xdr:row>
      <xdr:rowOff>178362</xdr:rowOff>
    </xdr:to>
    <xdr:sp macro="" textlink="">
      <xdr:nvSpPr>
        <xdr:cNvPr id="37" name="Rectangle: Rounded Corners 36">
          <a:hlinkClick xmlns:r="http://schemas.openxmlformats.org/officeDocument/2006/relationships" r:id="rId11"/>
          <a:extLst>
            <a:ext uri="{FF2B5EF4-FFF2-40B4-BE49-F238E27FC236}">
              <a16:creationId xmlns:a16="http://schemas.microsoft.com/office/drawing/2014/main" id="{14459EF8-54A3-40DF-9ED4-B2D18805A83B}"/>
            </a:ext>
          </a:extLst>
        </xdr:cNvPr>
        <xdr:cNvSpPr/>
      </xdr:nvSpPr>
      <xdr:spPr>
        <a:xfrm>
          <a:off x="184826" y="2999091"/>
          <a:ext cx="1823936" cy="624484"/>
        </a:xfrm>
        <a:prstGeom prst="roundRect">
          <a:avLst>
            <a:gd name="adj" fmla="val 50000"/>
          </a:avLst>
        </a:prstGeom>
        <a:solidFill>
          <a:schemeClr val="bg1"/>
        </a:solidFill>
        <a:ln>
          <a:solidFill>
            <a:schemeClr val="bg1"/>
          </a:solidFill>
        </a:ln>
      </xdr:spPr>
      <xdr:style>
        <a:lnRef idx="2">
          <a:schemeClr val="accent5"/>
        </a:lnRef>
        <a:fillRef idx="1">
          <a:schemeClr val="lt1"/>
        </a:fillRef>
        <a:effectRef idx="0">
          <a:schemeClr val="accent5"/>
        </a:effectRef>
        <a:fontRef idx="minor">
          <a:schemeClr val="dk1"/>
        </a:fontRef>
      </xdr:style>
      <xdr:txBody>
        <a:bodyPr vertOverflow="clip" horzOverflow="clip" rtlCol="0" anchor="t"/>
        <a:lstStyle/>
        <a:p>
          <a:pPr algn="ctr"/>
          <a:r>
            <a:rPr lang="en-US" sz="2000" b="1">
              <a:ln>
                <a:solidFill>
                  <a:schemeClr val="accent1"/>
                </a:solidFill>
              </a:ln>
              <a:solidFill>
                <a:schemeClr val="accent1"/>
              </a:solidFill>
            </a:rPr>
            <a:t>HEIGHT</a:t>
          </a:r>
        </a:p>
      </xdr:txBody>
    </xdr:sp>
    <xdr:clientData/>
  </xdr:twoCellAnchor>
  <xdr:twoCellAnchor>
    <xdr:from>
      <xdr:col>0</xdr:col>
      <xdr:colOff>202120</xdr:colOff>
      <xdr:row>18</xdr:row>
      <xdr:rowOff>219682</xdr:rowOff>
    </xdr:from>
    <xdr:to>
      <xdr:col>2</xdr:col>
      <xdr:colOff>404779</xdr:colOff>
      <xdr:row>21</xdr:row>
      <xdr:rowOff>155123</xdr:rowOff>
    </xdr:to>
    <xdr:sp macro="" textlink="">
      <xdr:nvSpPr>
        <xdr:cNvPr id="38" name="Rectangle: Rounded Corners 37">
          <a:hlinkClick xmlns:r="http://schemas.openxmlformats.org/officeDocument/2006/relationships" r:id="rId12"/>
          <a:extLst>
            <a:ext uri="{FF2B5EF4-FFF2-40B4-BE49-F238E27FC236}">
              <a16:creationId xmlns:a16="http://schemas.microsoft.com/office/drawing/2014/main" id="{0C20A18B-8148-4AB1-A83F-30A55C4CCBE3}"/>
            </a:ext>
          </a:extLst>
        </xdr:cNvPr>
        <xdr:cNvSpPr/>
      </xdr:nvSpPr>
      <xdr:spPr>
        <a:xfrm>
          <a:off x="202120" y="4353937"/>
          <a:ext cx="1823936" cy="624484"/>
        </a:xfrm>
        <a:prstGeom prst="roundRect">
          <a:avLst>
            <a:gd name="adj" fmla="val 50000"/>
          </a:avLst>
        </a:prstGeom>
        <a:noFill/>
        <a:ln>
          <a:solidFill>
            <a:schemeClr val="bg1"/>
          </a:solidFill>
        </a:ln>
      </xdr:spPr>
      <xdr:style>
        <a:lnRef idx="2">
          <a:schemeClr val="accent5"/>
        </a:lnRef>
        <a:fillRef idx="1">
          <a:schemeClr val="lt1"/>
        </a:fillRef>
        <a:effectRef idx="0">
          <a:schemeClr val="accent5"/>
        </a:effectRef>
        <a:fontRef idx="minor">
          <a:schemeClr val="dk1"/>
        </a:fontRef>
      </xdr:style>
      <xdr:txBody>
        <a:bodyPr vertOverflow="clip" horzOverflow="clip" rtlCol="0" anchor="t"/>
        <a:lstStyle/>
        <a:p>
          <a:pPr algn="ctr"/>
          <a:r>
            <a:rPr lang="en-US" sz="2000" b="1">
              <a:ln>
                <a:solidFill>
                  <a:schemeClr val="bg1"/>
                </a:solidFill>
              </a:ln>
              <a:solidFill>
                <a:schemeClr val="bg1"/>
              </a:solidFill>
            </a:rPr>
            <a:t>BMI</a:t>
          </a:r>
        </a:p>
      </xdr:txBody>
    </xdr:sp>
    <xdr:clientData/>
  </xdr:twoCellAnchor>
  <xdr:twoCellAnchor>
    <xdr:from>
      <xdr:col>0</xdr:col>
      <xdr:colOff>219413</xdr:colOff>
      <xdr:row>23</xdr:row>
      <xdr:rowOff>209954</xdr:rowOff>
    </xdr:from>
    <xdr:to>
      <xdr:col>2</xdr:col>
      <xdr:colOff>422072</xdr:colOff>
      <xdr:row>26</xdr:row>
      <xdr:rowOff>145396</xdr:rowOff>
    </xdr:to>
    <xdr:sp macro="" textlink="">
      <xdr:nvSpPr>
        <xdr:cNvPr id="39" name="Rectangle: Rounded Corners 38">
          <a:hlinkClick xmlns:r="http://schemas.openxmlformats.org/officeDocument/2006/relationships" r:id="rId13"/>
          <a:extLst>
            <a:ext uri="{FF2B5EF4-FFF2-40B4-BE49-F238E27FC236}">
              <a16:creationId xmlns:a16="http://schemas.microsoft.com/office/drawing/2014/main" id="{18EA151D-009A-4174-A8A0-373D7D5872C1}"/>
            </a:ext>
          </a:extLst>
        </xdr:cNvPr>
        <xdr:cNvSpPr/>
      </xdr:nvSpPr>
      <xdr:spPr>
        <a:xfrm>
          <a:off x="219413" y="5492614"/>
          <a:ext cx="1823936" cy="624484"/>
        </a:xfrm>
        <a:prstGeom prst="roundRect">
          <a:avLst>
            <a:gd name="adj" fmla="val 50000"/>
          </a:avLst>
        </a:prstGeom>
        <a:noFill/>
        <a:ln>
          <a:solidFill>
            <a:schemeClr val="bg1"/>
          </a:solidFill>
        </a:ln>
      </xdr:spPr>
      <xdr:style>
        <a:lnRef idx="2">
          <a:schemeClr val="accent5"/>
        </a:lnRef>
        <a:fillRef idx="1">
          <a:schemeClr val="lt1"/>
        </a:fillRef>
        <a:effectRef idx="0">
          <a:schemeClr val="accent5"/>
        </a:effectRef>
        <a:fontRef idx="minor">
          <a:schemeClr val="dk1"/>
        </a:fontRef>
      </xdr:style>
      <xdr:txBody>
        <a:bodyPr vertOverflow="clip" horzOverflow="clip" rtlCol="0" anchor="t"/>
        <a:lstStyle/>
        <a:p>
          <a:pPr algn="ctr"/>
          <a:r>
            <a:rPr lang="en-US" sz="2000" b="1">
              <a:ln>
                <a:solidFill>
                  <a:schemeClr val="bg1"/>
                </a:solidFill>
              </a:ln>
              <a:solidFill>
                <a:schemeClr val="bg1"/>
              </a:solidFill>
            </a:rPr>
            <a:t>ABOUT</a:t>
          </a: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0</xdr:col>
      <xdr:colOff>127000</xdr:colOff>
      <xdr:row>0</xdr:row>
      <xdr:rowOff>63500</xdr:rowOff>
    </xdr:from>
    <xdr:to>
      <xdr:col>30</xdr:col>
      <xdr:colOff>459362</xdr:colOff>
      <xdr:row>31</xdr:row>
      <xdr:rowOff>162127</xdr:rowOff>
    </xdr:to>
    <xdr:sp macro="" textlink="">
      <xdr:nvSpPr>
        <xdr:cNvPr id="2" name="Rectangle: Rounded Corners 1">
          <a:hlinkClick xmlns:r="http://schemas.openxmlformats.org/officeDocument/2006/relationships" r:id="rId1"/>
          <a:extLst>
            <a:ext uri="{FF2B5EF4-FFF2-40B4-BE49-F238E27FC236}">
              <a16:creationId xmlns:a16="http://schemas.microsoft.com/office/drawing/2014/main" id="{7CAADF82-5918-4004-9CA2-564DCF6C3934}"/>
            </a:ext>
          </a:extLst>
        </xdr:cNvPr>
        <xdr:cNvSpPr/>
      </xdr:nvSpPr>
      <xdr:spPr>
        <a:xfrm>
          <a:off x="127000" y="63500"/>
          <a:ext cx="24651511" cy="7218733"/>
        </a:xfrm>
        <a:prstGeom prst="roundRect">
          <a:avLst>
            <a:gd name="adj" fmla="val 4415"/>
          </a:avLst>
        </a:prstGeom>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508935</xdr:colOff>
      <xdr:row>0</xdr:row>
      <xdr:rowOff>136774</xdr:rowOff>
    </xdr:from>
    <xdr:to>
      <xdr:col>30</xdr:col>
      <xdr:colOff>324257</xdr:colOff>
      <xdr:row>31</xdr:row>
      <xdr:rowOff>81064</xdr:rowOff>
    </xdr:to>
    <xdr:sp macro="" textlink="">
      <xdr:nvSpPr>
        <xdr:cNvPr id="3" name="Rectangle: Rounded Corners 2">
          <a:extLst>
            <a:ext uri="{FF2B5EF4-FFF2-40B4-BE49-F238E27FC236}">
              <a16:creationId xmlns:a16="http://schemas.microsoft.com/office/drawing/2014/main" id="{DAB9C338-6BD0-4197-B918-E3AECDBAC1B0}"/>
            </a:ext>
          </a:extLst>
        </xdr:cNvPr>
        <xdr:cNvSpPr/>
      </xdr:nvSpPr>
      <xdr:spPr>
        <a:xfrm>
          <a:off x="2134535" y="136774"/>
          <a:ext cx="22573722" cy="7227740"/>
        </a:xfrm>
        <a:prstGeom prst="roundRect">
          <a:avLst>
            <a:gd name="adj" fmla="val 4317"/>
          </a:avLst>
        </a:prstGeom>
        <a:ln/>
      </xdr:spPr>
      <xdr:style>
        <a:lnRef idx="1">
          <a:schemeClr val="accent3"/>
        </a:lnRef>
        <a:fillRef idx="2">
          <a:schemeClr val="accent3"/>
        </a:fillRef>
        <a:effectRef idx="1">
          <a:schemeClr val="accent3"/>
        </a:effectRef>
        <a:fontRef idx="minor">
          <a:schemeClr val="dk1"/>
        </a:fontRef>
      </xdr:style>
      <xdr:txBody>
        <a:bodyPr vertOverflow="clip" horzOverflow="clip" rtlCol="0" anchor="t"/>
        <a:lstStyle/>
        <a:p>
          <a:pPr algn="l"/>
          <a:endParaRPr lang="en-US" sz="1100"/>
        </a:p>
      </xdr:txBody>
    </xdr:sp>
    <xdr:clientData/>
  </xdr:twoCellAnchor>
  <xdr:twoCellAnchor>
    <xdr:from>
      <xdr:col>2</xdr:col>
      <xdr:colOff>637432</xdr:colOff>
      <xdr:row>1</xdr:row>
      <xdr:rowOff>45641</xdr:rowOff>
    </xdr:from>
    <xdr:to>
      <xdr:col>30</xdr:col>
      <xdr:colOff>81064</xdr:colOff>
      <xdr:row>10</xdr:row>
      <xdr:rowOff>54042</xdr:rowOff>
    </xdr:to>
    <xdr:sp macro="" textlink="">
      <xdr:nvSpPr>
        <xdr:cNvPr id="4" name="Rectangle 3">
          <a:extLst>
            <a:ext uri="{FF2B5EF4-FFF2-40B4-BE49-F238E27FC236}">
              <a16:creationId xmlns:a16="http://schemas.microsoft.com/office/drawing/2014/main" id="{2EB1F408-8E56-42C3-90AB-2F9A2E92A5C5}"/>
            </a:ext>
          </a:extLst>
        </xdr:cNvPr>
        <xdr:cNvSpPr/>
      </xdr:nvSpPr>
      <xdr:spPr>
        <a:xfrm>
          <a:off x="2263032" y="280591"/>
          <a:ext cx="22202032" cy="2122951"/>
        </a:xfrm>
        <a:prstGeom prst="rect">
          <a:avLst/>
        </a:prstGeom>
        <a:ln>
          <a:noFill/>
        </a:ln>
      </xdr:spPr>
      <xdr:style>
        <a:lnRef idx="2">
          <a:schemeClr val="accent5"/>
        </a:lnRef>
        <a:fillRef idx="1">
          <a:schemeClr val="lt1"/>
        </a:fillRef>
        <a:effectRef idx="0">
          <a:schemeClr val="accent5"/>
        </a:effectRef>
        <a:fontRef idx="minor">
          <a:schemeClr val="dk1"/>
        </a:fontRef>
      </xdr:style>
      <xdr:txBody>
        <a:bodyPr vertOverflow="clip" horzOverflow="clip" rtlCol="0" anchor="t"/>
        <a:lstStyle/>
        <a:p>
          <a:pPr algn="l"/>
          <a:endParaRPr lang="en-US" sz="1100"/>
        </a:p>
      </xdr:txBody>
    </xdr:sp>
    <xdr:clientData/>
  </xdr:twoCellAnchor>
  <xdr:twoCellAnchor editAs="oneCell">
    <xdr:from>
      <xdr:col>10</xdr:col>
      <xdr:colOff>557961</xdr:colOff>
      <xdr:row>6</xdr:row>
      <xdr:rowOff>25399</xdr:rowOff>
    </xdr:from>
    <xdr:to>
      <xdr:col>19</xdr:col>
      <xdr:colOff>689042</xdr:colOff>
      <xdr:row>9</xdr:row>
      <xdr:rowOff>189149</xdr:rowOff>
    </xdr:to>
    <mc:AlternateContent xmlns:mc="http://schemas.openxmlformats.org/markup-compatibility/2006" xmlns:a14="http://schemas.microsoft.com/office/drawing/2010/main">
      <mc:Choice Requires="a14">
        <xdr:graphicFrame macro="">
          <xdr:nvGraphicFramePr>
            <xdr:cNvPr id="5" name="Age Group 8">
              <a:extLst>
                <a:ext uri="{FF2B5EF4-FFF2-40B4-BE49-F238E27FC236}">
                  <a16:creationId xmlns:a16="http://schemas.microsoft.com/office/drawing/2014/main" id="{F96299A1-078D-4B2F-9F32-DD67B4263456}"/>
                </a:ext>
              </a:extLst>
            </xdr:cNvPr>
            <xdr:cNvGraphicFramePr/>
          </xdr:nvGraphicFramePr>
          <xdr:xfrm>
            <a:off x="0" y="0"/>
            <a:ext cx="0" cy="0"/>
          </xdr:xfrm>
          <a:graphic>
            <a:graphicData uri="http://schemas.microsoft.com/office/drawing/2010/slicer">
              <sle:slicer xmlns:sle="http://schemas.microsoft.com/office/drawing/2010/slicer" name="Age Group 8"/>
            </a:graphicData>
          </a:graphic>
        </xdr:graphicFrame>
      </mc:Choice>
      <mc:Fallback xmlns="">
        <xdr:sp macro="" textlink="">
          <xdr:nvSpPr>
            <xdr:cNvPr id="0" name=""/>
            <xdr:cNvSpPr>
              <a:spLocks noTextEdit="1"/>
            </xdr:cNvSpPr>
          </xdr:nvSpPr>
          <xdr:spPr>
            <a:xfrm>
              <a:off x="8664344" y="1403484"/>
              <a:ext cx="7426826" cy="85279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694532</xdr:colOff>
      <xdr:row>3</xdr:row>
      <xdr:rowOff>19845</xdr:rowOff>
    </xdr:from>
    <xdr:to>
      <xdr:col>3</xdr:col>
      <xdr:colOff>416719</xdr:colOff>
      <xdr:row>5</xdr:row>
      <xdr:rowOff>79375</xdr:rowOff>
    </xdr:to>
    <xdr:pic>
      <xdr:nvPicPr>
        <xdr:cNvPr id="6" name="Graphic 5" descr="Right pointing backhand index with solid fill">
          <a:extLst>
            <a:ext uri="{FF2B5EF4-FFF2-40B4-BE49-F238E27FC236}">
              <a16:creationId xmlns:a16="http://schemas.microsoft.com/office/drawing/2014/main" id="{105B6583-A0B9-41A5-82BE-8FBB477F880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2320132" y="724695"/>
          <a:ext cx="534987" cy="529430"/>
        </a:xfrm>
        <a:prstGeom prst="rect">
          <a:avLst/>
        </a:prstGeom>
      </xdr:spPr>
    </xdr:pic>
    <xdr:clientData/>
  </xdr:twoCellAnchor>
  <xdr:twoCellAnchor>
    <xdr:from>
      <xdr:col>3</xdr:col>
      <xdr:colOff>646245</xdr:colOff>
      <xdr:row>2</xdr:row>
      <xdr:rowOff>230187</xdr:rowOff>
    </xdr:from>
    <xdr:to>
      <xdr:col>5</xdr:col>
      <xdr:colOff>298979</xdr:colOff>
      <xdr:row>5</xdr:row>
      <xdr:rowOff>230187</xdr:rowOff>
    </xdr:to>
    <xdr:sp macro="" textlink="">
      <xdr:nvSpPr>
        <xdr:cNvPr id="7" name="Rectangle: Rounded Corners 6">
          <a:extLst>
            <a:ext uri="{FF2B5EF4-FFF2-40B4-BE49-F238E27FC236}">
              <a16:creationId xmlns:a16="http://schemas.microsoft.com/office/drawing/2014/main" id="{22FB307E-AC10-426A-B001-4CE25630E920}"/>
            </a:ext>
          </a:extLst>
        </xdr:cNvPr>
        <xdr:cNvSpPr/>
      </xdr:nvSpPr>
      <xdr:spPr>
        <a:xfrm>
          <a:off x="3084645" y="700087"/>
          <a:ext cx="1278334" cy="704850"/>
        </a:xfrm>
        <a:prstGeom prst="roundRect">
          <a:avLst>
            <a:gd name="adj" fmla="val 37500"/>
          </a:avLst>
        </a:prstGeom>
        <a:solidFill>
          <a:srgbClr val="E1E1FF"/>
        </a:solidFill>
        <a:ln>
          <a:noFill/>
        </a:ln>
      </xdr:spPr>
      <xdr:style>
        <a:lnRef idx="1">
          <a:schemeClr val="accent1"/>
        </a:lnRef>
        <a:fillRef idx="2">
          <a:schemeClr val="accent1"/>
        </a:fillRef>
        <a:effectRef idx="1">
          <a:schemeClr val="accent1"/>
        </a:effectRef>
        <a:fontRef idx="minor">
          <a:schemeClr val="dk1"/>
        </a:fontRef>
      </xdr:style>
      <xdr:txBody>
        <a:bodyPr vertOverflow="clip" horzOverflow="clip" rtlCol="0" anchor="t"/>
        <a:lstStyle/>
        <a:p>
          <a:pPr algn="ctr"/>
          <a:r>
            <a:rPr lang="en-US" sz="2800" b="1"/>
            <a:t>Slicer</a:t>
          </a:r>
        </a:p>
      </xdr:txBody>
    </xdr:sp>
    <xdr:clientData/>
  </xdr:twoCellAnchor>
  <xdr:twoCellAnchor editAs="oneCell">
    <xdr:from>
      <xdr:col>5</xdr:col>
      <xdr:colOff>501649</xdr:colOff>
      <xdr:row>1</xdr:row>
      <xdr:rowOff>101598</xdr:rowOff>
    </xdr:from>
    <xdr:to>
      <xdr:col>29</xdr:col>
      <xdr:colOff>67552</xdr:colOff>
      <xdr:row>5</xdr:row>
      <xdr:rowOff>203199</xdr:rowOff>
    </xdr:to>
    <mc:AlternateContent xmlns:mc="http://schemas.openxmlformats.org/markup-compatibility/2006" xmlns:a14="http://schemas.microsoft.com/office/drawing/2010/main">
      <mc:Choice Requires="a14">
        <xdr:graphicFrame macro="">
          <xdr:nvGraphicFramePr>
            <xdr:cNvPr id="12" name="Sport 7">
              <a:extLst>
                <a:ext uri="{FF2B5EF4-FFF2-40B4-BE49-F238E27FC236}">
                  <a16:creationId xmlns:a16="http://schemas.microsoft.com/office/drawing/2014/main" id="{8428EBBB-0E55-4E35-B854-F6D049C07C26}"/>
                </a:ext>
              </a:extLst>
            </xdr:cNvPr>
            <xdr:cNvGraphicFramePr/>
          </xdr:nvGraphicFramePr>
          <xdr:xfrm>
            <a:off x="0" y="0"/>
            <a:ext cx="0" cy="0"/>
          </xdr:xfrm>
          <a:graphic>
            <a:graphicData uri="http://schemas.microsoft.com/office/drawing/2010/slicer">
              <sle:slicer xmlns:sle="http://schemas.microsoft.com/office/drawing/2010/slicer" name="Sport 7"/>
            </a:graphicData>
          </a:graphic>
        </xdr:graphicFrame>
      </mc:Choice>
      <mc:Fallback xmlns="">
        <xdr:sp macro="" textlink="">
          <xdr:nvSpPr>
            <xdr:cNvPr id="0" name=""/>
            <xdr:cNvSpPr>
              <a:spLocks noTextEdit="1"/>
            </xdr:cNvSpPr>
          </xdr:nvSpPr>
          <xdr:spPr>
            <a:xfrm>
              <a:off x="4554840" y="331279"/>
              <a:ext cx="19021223" cy="102032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749570</xdr:colOff>
      <xdr:row>10</xdr:row>
      <xdr:rowOff>135106</xdr:rowOff>
    </xdr:from>
    <xdr:to>
      <xdr:col>9</xdr:col>
      <xdr:colOff>797127</xdr:colOff>
      <xdr:row>30</xdr:row>
      <xdr:rowOff>94574</xdr:rowOff>
    </xdr:to>
    <xdr:sp macro="" textlink="">
      <xdr:nvSpPr>
        <xdr:cNvPr id="14" name="Rectangle: Rounded Corners 13">
          <a:extLst>
            <a:ext uri="{FF2B5EF4-FFF2-40B4-BE49-F238E27FC236}">
              <a16:creationId xmlns:a16="http://schemas.microsoft.com/office/drawing/2014/main" id="{176E480A-85E8-4552-AAF8-09FC3587B185}"/>
            </a:ext>
          </a:extLst>
        </xdr:cNvPr>
        <xdr:cNvSpPr/>
      </xdr:nvSpPr>
      <xdr:spPr>
        <a:xfrm>
          <a:off x="2375170" y="2484606"/>
          <a:ext cx="5737157" cy="4658468"/>
        </a:xfrm>
        <a:prstGeom prst="roundRect">
          <a:avLst/>
        </a:prstGeom>
        <a:ln>
          <a:noFill/>
        </a:ln>
      </xdr:spPr>
      <xdr:style>
        <a:lnRef idx="2">
          <a:schemeClr val="accent2">
            <a:shade val="50000"/>
          </a:schemeClr>
        </a:lnRef>
        <a:fillRef idx="1">
          <a:schemeClr val="accent2"/>
        </a:fillRef>
        <a:effectRef idx="0">
          <a:schemeClr val="accent2"/>
        </a:effectRef>
        <a:fontRef idx="minor">
          <a:schemeClr val="lt1"/>
        </a:fontRef>
      </xdr:style>
      <xdr:txBody>
        <a:bodyPr vertOverflow="clip" horzOverflow="clip" rtlCol="0" anchor="t"/>
        <a:lstStyle/>
        <a:p>
          <a:pPr algn="l"/>
          <a:endParaRPr lang="en-US" sz="1100"/>
        </a:p>
      </xdr:txBody>
    </xdr:sp>
    <xdr:clientData/>
  </xdr:twoCellAnchor>
  <xdr:twoCellAnchor>
    <xdr:from>
      <xdr:col>18</xdr:col>
      <xdr:colOff>94575</xdr:colOff>
      <xdr:row>10</xdr:row>
      <xdr:rowOff>175638</xdr:rowOff>
    </xdr:from>
    <xdr:to>
      <xdr:col>23</xdr:col>
      <xdr:colOff>743085</xdr:colOff>
      <xdr:row>30</xdr:row>
      <xdr:rowOff>135105</xdr:rowOff>
    </xdr:to>
    <xdr:sp macro="" textlink="">
      <xdr:nvSpPr>
        <xdr:cNvPr id="15" name="Rectangle: Rounded Corners 14">
          <a:extLst>
            <a:ext uri="{FF2B5EF4-FFF2-40B4-BE49-F238E27FC236}">
              <a16:creationId xmlns:a16="http://schemas.microsoft.com/office/drawing/2014/main" id="{97E41AAF-06CF-41C9-A490-A2F21524690D}"/>
            </a:ext>
          </a:extLst>
        </xdr:cNvPr>
        <xdr:cNvSpPr/>
      </xdr:nvSpPr>
      <xdr:spPr>
        <a:xfrm>
          <a:off x="14724975" y="2525138"/>
          <a:ext cx="4712510" cy="4658467"/>
        </a:xfrm>
        <a:prstGeom prst="roundRect">
          <a:avLst/>
        </a:prstGeom>
        <a:ln>
          <a:noFill/>
        </a:ln>
      </xdr:spPr>
      <xdr:style>
        <a:lnRef idx="0">
          <a:schemeClr val="accent6"/>
        </a:lnRef>
        <a:fillRef idx="3">
          <a:schemeClr val="accent6"/>
        </a:fillRef>
        <a:effectRef idx="3">
          <a:schemeClr val="accent6"/>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119163</xdr:colOff>
      <xdr:row>10</xdr:row>
      <xdr:rowOff>108085</xdr:rowOff>
    </xdr:from>
    <xdr:to>
      <xdr:col>10</xdr:col>
      <xdr:colOff>205415</xdr:colOff>
      <xdr:row>31</xdr:row>
      <xdr:rowOff>25184</xdr:rowOff>
    </xdr:to>
    <xdr:sp macro="" textlink="">
      <xdr:nvSpPr>
        <xdr:cNvPr id="16" name="Rectangle: Rounded Corners 15">
          <a:extLst>
            <a:ext uri="{FF2B5EF4-FFF2-40B4-BE49-F238E27FC236}">
              <a16:creationId xmlns:a16="http://schemas.microsoft.com/office/drawing/2014/main" id="{6F9F7603-F0F2-4C18-B087-6F99DB6E5FEB}"/>
            </a:ext>
          </a:extLst>
        </xdr:cNvPr>
        <xdr:cNvSpPr/>
      </xdr:nvSpPr>
      <xdr:spPr>
        <a:xfrm>
          <a:off x="2551078" y="2404894"/>
          <a:ext cx="5760720" cy="4740396"/>
        </a:xfrm>
        <a:prstGeom prst="roundRect">
          <a:avLst/>
        </a:prstGeom>
        <a:ln>
          <a:noFill/>
        </a:ln>
      </xdr:spPr>
      <xdr:style>
        <a:lnRef idx="2">
          <a:schemeClr val="accent4"/>
        </a:lnRef>
        <a:fillRef idx="1">
          <a:schemeClr val="lt1"/>
        </a:fillRef>
        <a:effectRef idx="0">
          <a:schemeClr val="accent4"/>
        </a:effectRef>
        <a:fontRef idx="minor">
          <a:schemeClr val="dk1"/>
        </a:fontRef>
      </xdr:style>
      <xdr:txBody>
        <a:bodyPr vertOverflow="clip" horzOverflow="clip" rtlCol="0" anchor="t"/>
        <a:lstStyle/>
        <a:p>
          <a:pPr algn="l"/>
          <a:endParaRPr lang="en-US" sz="1100"/>
        </a:p>
      </xdr:txBody>
    </xdr:sp>
    <xdr:clientData/>
  </xdr:twoCellAnchor>
  <xdr:twoCellAnchor>
    <xdr:from>
      <xdr:col>24</xdr:col>
      <xdr:colOff>351276</xdr:colOff>
      <xdr:row>10</xdr:row>
      <xdr:rowOff>189148</xdr:rowOff>
    </xdr:from>
    <xdr:to>
      <xdr:col>29</xdr:col>
      <xdr:colOff>675530</xdr:colOff>
      <xdr:row>30</xdr:row>
      <xdr:rowOff>175638</xdr:rowOff>
    </xdr:to>
    <xdr:sp macro="" textlink="">
      <xdr:nvSpPr>
        <xdr:cNvPr id="17" name="Rectangle: Rounded Corners 16">
          <a:extLst>
            <a:ext uri="{FF2B5EF4-FFF2-40B4-BE49-F238E27FC236}">
              <a16:creationId xmlns:a16="http://schemas.microsoft.com/office/drawing/2014/main" id="{71D3565C-84C7-46E7-B928-DED3D53DE61F}"/>
            </a:ext>
          </a:extLst>
        </xdr:cNvPr>
        <xdr:cNvSpPr/>
      </xdr:nvSpPr>
      <xdr:spPr>
        <a:xfrm>
          <a:off x="19858476" y="2538648"/>
          <a:ext cx="4388254" cy="4685490"/>
        </a:xfrm>
        <a:prstGeom prst="roundRect">
          <a:avLst/>
        </a:prstGeom>
        <a:ln>
          <a:noFill/>
        </a:ln>
      </xdr:spPr>
      <xdr:style>
        <a:lnRef idx="2">
          <a:schemeClr val="accent4">
            <a:shade val="50000"/>
          </a:schemeClr>
        </a:lnRef>
        <a:fillRef idx="1">
          <a:schemeClr val="accent4"/>
        </a:fillRef>
        <a:effectRef idx="0">
          <a:schemeClr val="accent4"/>
        </a:effectRef>
        <a:fontRef idx="minor">
          <a:schemeClr val="lt1"/>
        </a:fontRef>
      </xdr:style>
      <xdr:txBody>
        <a:bodyPr vertOverflow="clip" horzOverflow="clip" rtlCol="0" anchor="t"/>
        <a:lstStyle/>
        <a:p>
          <a:pPr algn="l"/>
          <a:endParaRPr lang="en-US" sz="1100"/>
        </a:p>
      </xdr:txBody>
    </xdr:sp>
    <xdr:clientData/>
  </xdr:twoCellAnchor>
  <xdr:twoCellAnchor>
    <xdr:from>
      <xdr:col>18</xdr:col>
      <xdr:colOff>283725</xdr:colOff>
      <xdr:row>10</xdr:row>
      <xdr:rowOff>121595</xdr:rowOff>
    </xdr:from>
    <xdr:to>
      <xdr:col>24</xdr:col>
      <xdr:colOff>94575</xdr:colOff>
      <xdr:row>31</xdr:row>
      <xdr:rowOff>3612</xdr:rowOff>
    </xdr:to>
    <xdr:sp macro="" textlink="">
      <xdr:nvSpPr>
        <xdr:cNvPr id="18" name="Rectangle: Rounded Corners 17">
          <a:extLst>
            <a:ext uri="{FF2B5EF4-FFF2-40B4-BE49-F238E27FC236}">
              <a16:creationId xmlns:a16="http://schemas.microsoft.com/office/drawing/2014/main" id="{CFC32391-0BA0-42A4-9DE8-D6CC4E7A3E9E}"/>
            </a:ext>
          </a:extLst>
        </xdr:cNvPr>
        <xdr:cNvSpPr/>
      </xdr:nvSpPr>
      <xdr:spPr>
        <a:xfrm>
          <a:off x="14914125" y="2471095"/>
          <a:ext cx="4687650" cy="4815967"/>
        </a:xfrm>
        <a:prstGeom prst="roundRect">
          <a:avLst/>
        </a:prstGeom>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1100"/>
        </a:p>
      </xdr:txBody>
    </xdr:sp>
    <xdr:clientData/>
  </xdr:twoCellAnchor>
  <xdr:twoCellAnchor>
    <xdr:from>
      <xdr:col>24</xdr:col>
      <xdr:colOff>526915</xdr:colOff>
      <xdr:row>10</xdr:row>
      <xdr:rowOff>148617</xdr:rowOff>
    </xdr:from>
    <xdr:to>
      <xdr:col>30</xdr:col>
      <xdr:colOff>79637</xdr:colOff>
      <xdr:row>30</xdr:row>
      <xdr:rowOff>219782</xdr:rowOff>
    </xdr:to>
    <xdr:sp macro="" textlink="">
      <xdr:nvSpPr>
        <xdr:cNvPr id="19" name="Rectangle: Rounded Corners 18">
          <a:extLst>
            <a:ext uri="{FF2B5EF4-FFF2-40B4-BE49-F238E27FC236}">
              <a16:creationId xmlns:a16="http://schemas.microsoft.com/office/drawing/2014/main" id="{AE625DF8-BF67-4FC4-BBC4-BFE7F687ED90}"/>
            </a:ext>
          </a:extLst>
        </xdr:cNvPr>
        <xdr:cNvSpPr/>
      </xdr:nvSpPr>
      <xdr:spPr>
        <a:xfrm>
          <a:off x="20034115" y="2498117"/>
          <a:ext cx="4429522" cy="4770165"/>
        </a:xfrm>
        <a:prstGeom prst="roundRect">
          <a:avLst/>
        </a:prstGeom>
        <a:ln>
          <a:noFill/>
        </a:ln>
      </xdr:spPr>
      <xdr:style>
        <a:lnRef idx="2">
          <a:schemeClr val="accent4"/>
        </a:lnRef>
        <a:fillRef idx="1">
          <a:schemeClr val="lt1"/>
        </a:fillRef>
        <a:effectRef idx="0">
          <a:schemeClr val="accent4"/>
        </a:effectRef>
        <a:fontRef idx="minor">
          <a:schemeClr val="dk1"/>
        </a:fontRef>
      </xdr:style>
      <xdr:txBody>
        <a:bodyPr vertOverflow="clip" horzOverflow="clip" rtlCol="0" anchor="t"/>
        <a:lstStyle/>
        <a:p>
          <a:pPr algn="l"/>
          <a:endParaRPr lang="en-US" sz="1100"/>
        </a:p>
      </xdr:txBody>
    </xdr:sp>
    <xdr:clientData/>
  </xdr:twoCellAnchor>
  <xdr:twoCellAnchor>
    <xdr:from>
      <xdr:col>3</xdr:col>
      <xdr:colOff>652730</xdr:colOff>
      <xdr:row>3</xdr:row>
      <xdr:rowOff>11044</xdr:rowOff>
    </xdr:from>
    <xdr:to>
      <xdr:col>5</xdr:col>
      <xdr:colOff>305464</xdr:colOff>
      <xdr:row>6</xdr:row>
      <xdr:rowOff>11044</xdr:rowOff>
    </xdr:to>
    <xdr:sp macro="" textlink="">
      <xdr:nvSpPr>
        <xdr:cNvPr id="20" name="Rectangle: Rounded Corners 19">
          <a:extLst>
            <a:ext uri="{FF2B5EF4-FFF2-40B4-BE49-F238E27FC236}">
              <a16:creationId xmlns:a16="http://schemas.microsoft.com/office/drawing/2014/main" id="{20079672-B99F-46A0-857D-5E36813F0C7C}"/>
            </a:ext>
          </a:extLst>
        </xdr:cNvPr>
        <xdr:cNvSpPr/>
      </xdr:nvSpPr>
      <xdr:spPr>
        <a:xfrm>
          <a:off x="3091130" y="715894"/>
          <a:ext cx="1278334" cy="704850"/>
        </a:xfrm>
        <a:prstGeom prst="roundRect">
          <a:avLst>
            <a:gd name="adj" fmla="val 37500"/>
          </a:avLst>
        </a:prstGeom>
        <a:solidFill>
          <a:srgbClr val="E1E1FF"/>
        </a:solidFill>
        <a:ln>
          <a:noFill/>
        </a:ln>
      </xdr:spPr>
      <xdr:style>
        <a:lnRef idx="1">
          <a:schemeClr val="accent1"/>
        </a:lnRef>
        <a:fillRef idx="2">
          <a:schemeClr val="accent1"/>
        </a:fillRef>
        <a:effectRef idx="1">
          <a:schemeClr val="accent1"/>
        </a:effectRef>
        <a:fontRef idx="minor">
          <a:schemeClr val="dk1"/>
        </a:fontRef>
      </xdr:style>
      <xdr:txBody>
        <a:bodyPr vertOverflow="clip" horzOverflow="clip" rtlCol="0" anchor="t"/>
        <a:lstStyle/>
        <a:p>
          <a:pPr algn="ctr"/>
          <a:r>
            <a:rPr lang="en-US" sz="2800" b="1"/>
            <a:t>Slicer</a:t>
          </a:r>
        </a:p>
      </xdr:txBody>
    </xdr:sp>
    <xdr:clientData/>
  </xdr:twoCellAnchor>
  <xdr:twoCellAnchor>
    <xdr:from>
      <xdr:col>3</xdr:col>
      <xdr:colOff>655266</xdr:colOff>
      <xdr:row>6</xdr:row>
      <xdr:rowOff>145486</xdr:rowOff>
    </xdr:from>
    <xdr:to>
      <xdr:col>5</xdr:col>
      <xdr:colOff>308000</xdr:colOff>
      <xdr:row>9</xdr:row>
      <xdr:rowOff>145485</xdr:rowOff>
    </xdr:to>
    <xdr:sp macro="" textlink="">
      <xdr:nvSpPr>
        <xdr:cNvPr id="21" name="Rectangle: Rounded Corners 20">
          <a:extLst>
            <a:ext uri="{FF2B5EF4-FFF2-40B4-BE49-F238E27FC236}">
              <a16:creationId xmlns:a16="http://schemas.microsoft.com/office/drawing/2014/main" id="{FFBAA59A-5956-46EB-BA32-7C1503B7FA0B}"/>
            </a:ext>
          </a:extLst>
        </xdr:cNvPr>
        <xdr:cNvSpPr/>
      </xdr:nvSpPr>
      <xdr:spPr>
        <a:xfrm>
          <a:off x="3093666" y="1555186"/>
          <a:ext cx="1278334" cy="704849"/>
        </a:xfrm>
        <a:prstGeom prst="roundRect">
          <a:avLst>
            <a:gd name="adj" fmla="val 36274"/>
          </a:avLst>
        </a:prstGeom>
        <a:solidFill>
          <a:srgbClr val="E1E1FF"/>
        </a:solidFill>
        <a:ln>
          <a:noFill/>
        </a:ln>
      </xdr:spPr>
      <xdr:style>
        <a:lnRef idx="1">
          <a:schemeClr val="accent1"/>
        </a:lnRef>
        <a:fillRef idx="2">
          <a:schemeClr val="accent1"/>
        </a:fillRef>
        <a:effectRef idx="1">
          <a:schemeClr val="accent1"/>
        </a:effectRef>
        <a:fontRef idx="minor">
          <a:schemeClr val="dk1"/>
        </a:fontRef>
      </xdr:style>
      <xdr:txBody>
        <a:bodyPr vertOverflow="clip" horzOverflow="clip" rtlCol="0" anchor="t"/>
        <a:lstStyle/>
        <a:p>
          <a:pPr algn="ctr"/>
          <a:r>
            <a:rPr lang="en-US" sz="2000" b="1"/>
            <a:t>Analysis</a:t>
          </a:r>
        </a:p>
      </xdr:txBody>
    </xdr:sp>
    <xdr:clientData/>
  </xdr:twoCellAnchor>
  <xdr:twoCellAnchor editAs="oneCell">
    <xdr:from>
      <xdr:col>2</xdr:col>
      <xdr:colOff>622282</xdr:colOff>
      <xdr:row>6</xdr:row>
      <xdr:rowOff>77887</xdr:rowOff>
    </xdr:from>
    <xdr:to>
      <xdr:col>3</xdr:col>
      <xdr:colOff>634999</xdr:colOff>
      <xdr:row>9</xdr:row>
      <xdr:rowOff>183234</xdr:rowOff>
    </xdr:to>
    <xdr:pic>
      <xdr:nvPicPr>
        <xdr:cNvPr id="22" name="Graphic 21" descr="Arrow: Rotate left with solid fill">
          <a:extLst>
            <a:ext uri="{FF2B5EF4-FFF2-40B4-BE49-F238E27FC236}">
              <a16:creationId xmlns:a16="http://schemas.microsoft.com/office/drawing/2014/main" id="{280BD76B-64BE-4AD0-9D47-6510FA52F3EA}"/>
            </a:ext>
          </a:extLst>
        </xdr:cNvPr>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 uri="{96DAC541-7B7A-43D3-8B79-37D633B846F1}">
              <asvg:svgBlip xmlns:asvg="http://schemas.microsoft.com/office/drawing/2016/SVG/main" r:embed="rId5"/>
            </a:ext>
          </a:extLst>
        </a:blip>
        <a:stretch>
          <a:fillRect/>
        </a:stretch>
      </xdr:blipFill>
      <xdr:spPr>
        <a:xfrm>
          <a:off x="2247882" y="1487587"/>
          <a:ext cx="825517" cy="810197"/>
        </a:xfrm>
        <a:prstGeom prst="rect">
          <a:avLst/>
        </a:prstGeom>
      </xdr:spPr>
    </xdr:pic>
    <xdr:clientData/>
  </xdr:twoCellAnchor>
  <xdr:twoCellAnchor>
    <xdr:from>
      <xdr:col>10</xdr:col>
      <xdr:colOff>391808</xdr:colOff>
      <xdr:row>10</xdr:row>
      <xdr:rowOff>216170</xdr:rowOff>
    </xdr:from>
    <xdr:to>
      <xdr:col>16</xdr:col>
      <xdr:colOff>733627</xdr:colOff>
      <xdr:row>30</xdr:row>
      <xdr:rowOff>138888</xdr:rowOff>
    </xdr:to>
    <xdr:sp macro="" textlink="">
      <xdr:nvSpPr>
        <xdr:cNvPr id="23" name="Rectangle: Rounded Corners 22">
          <a:extLst>
            <a:ext uri="{FF2B5EF4-FFF2-40B4-BE49-F238E27FC236}">
              <a16:creationId xmlns:a16="http://schemas.microsoft.com/office/drawing/2014/main" id="{717BF71F-708A-44C0-94D5-DA341B9C882F}"/>
            </a:ext>
          </a:extLst>
        </xdr:cNvPr>
        <xdr:cNvSpPr/>
      </xdr:nvSpPr>
      <xdr:spPr>
        <a:xfrm>
          <a:off x="8519808" y="2565670"/>
          <a:ext cx="5218619" cy="4621718"/>
        </a:xfrm>
        <a:prstGeom prst="roundRect">
          <a:avLst/>
        </a:prstGeom>
        <a:ln/>
      </xdr:spPr>
      <xdr:style>
        <a:lnRef idx="0">
          <a:schemeClr val="accent3"/>
        </a:lnRef>
        <a:fillRef idx="3">
          <a:schemeClr val="accent3"/>
        </a:fillRef>
        <a:effectRef idx="3">
          <a:schemeClr val="accent3"/>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567446</xdr:colOff>
      <xdr:row>10</xdr:row>
      <xdr:rowOff>134608</xdr:rowOff>
    </xdr:from>
    <xdr:to>
      <xdr:col>17</xdr:col>
      <xdr:colOff>653698</xdr:colOff>
      <xdr:row>31</xdr:row>
      <xdr:rowOff>13510</xdr:rowOff>
    </xdr:to>
    <xdr:sp macro="" textlink="">
      <xdr:nvSpPr>
        <xdr:cNvPr id="24" name="Rectangle: Rounded Corners 23">
          <a:extLst>
            <a:ext uri="{FF2B5EF4-FFF2-40B4-BE49-F238E27FC236}">
              <a16:creationId xmlns:a16="http://schemas.microsoft.com/office/drawing/2014/main" id="{1914741D-5233-42E7-BB5F-45ED93146EE4}"/>
            </a:ext>
          </a:extLst>
        </xdr:cNvPr>
        <xdr:cNvSpPr/>
      </xdr:nvSpPr>
      <xdr:spPr>
        <a:xfrm>
          <a:off x="8695446" y="2484108"/>
          <a:ext cx="5775852" cy="4812852"/>
        </a:xfrm>
        <a:prstGeom prst="roundRect">
          <a:avLst/>
        </a:prstGeom>
        <a:ln>
          <a:noFill/>
        </a:ln>
      </xdr:spPr>
      <xdr:style>
        <a:lnRef idx="2">
          <a:schemeClr val="accent3"/>
        </a:lnRef>
        <a:fillRef idx="1">
          <a:schemeClr val="lt1"/>
        </a:fillRef>
        <a:effectRef idx="0">
          <a:schemeClr val="accent3"/>
        </a:effectRef>
        <a:fontRef idx="minor">
          <a:schemeClr val="dk1"/>
        </a:fontRef>
      </xdr:style>
      <xdr:txBody>
        <a:bodyPr vertOverflow="clip" horzOverflow="clip" rtlCol="0" anchor="t"/>
        <a:lstStyle/>
        <a:p>
          <a:pPr algn="l"/>
          <a:endParaRPr lang="en-US" sz="1100"/>
        </a:p>
      </xdr:txBody>
    </xdr:sp>
    <xdr:clientData/>
  </xdr:twoCellAnchor>
  <xdr:twoCellAnchor editAs="oneCell">
    <xdr:from>
      <xdr:col>5</xdr:col>
      <xdr:colOff>657428</xdr:colOff>
      <xdr:row>6</xdr:row>
      <xdr:rowOff>50124</xdr:rowOff>
    </xdr:from>
    <xdr:to>
      <xdr:col>9</xdr:col>
      <xdr:colOff>540425</xdr:colOff>
      <xdr:row>9</xdr:row>
      <xdr:rowOff>162126</xdr:rowOff>
    </xdr:to>
    <mc:AlternateContent xmlns:mc="http://schemas.openxmlformats.org/markup-compatibility/2006" xmlns:a14="http://schemas.microsoft.com/office/drawing/2010/main">
      <mc:Choice Requires="a14">
        <xdr:graphicFrame macro="">
          <xdr:nvGraphicFramePr>
            <xdr:cNvPr id="25" name="Weight level 2">
              <a:extLst>
                <a:ext uri="{FF2B5EF4-FFF2-40B4-BE49-F238E27FC236}">
                  <a16:creationId xmlns:a16="http://schemas.microsoft.com/office/drawing/2014/main" id="{4EA1AE40-4F4A-4C0D-AD0E-978E539A2A45}"/>
                </a:ext>
              </a:extLst>
            </xdr:cNvPr>
            <xdr:cNvGraphicFramePr/>
          </xdr:nvGraphicFramePr>
          <xdr:xfrm>
            <a:off x="0" y="0"/>
            <a:ext cx="0" cy="0"/>
          </xdr:xfrm>
          <a:graphic>
            <a:graphicData uri="http://schemas.microsoft.com/office/drawing/2010/slicer">
              <sle:slicer xmlns:sle="http://schemas.microsoft.com/office/drawing/2010/slicer" name="Weight level 2"/>
            </a:graphicData>
          </a:graphic>
        </xdr:graphicFrame>
      </mc:Choice>
      <mc:Fallback xmlns="">
        <xdr:sp macro="" textlink="">
          <xdr:nvSpPr>
            <xdr:cNvPr id="0" name=""/>
            <xdr:cNvSpPr>
              <a:spLocks noTextEdit="1"/>
            </xdr:cNvSpPr>
          </xdr:nvSpPr>
          <xdr:spPr>
            <a:xfrm>
              <a:off x="4710619" y="1428209"/>
              <a:ext cx="3125551" cy="80104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21</xdr:col>
      <xdr:colOff>144022</xdr:colOff>
      <xdr:row>6</xdr:row>
      <xdr:rowOff>23105</xdr:rowOff>
    </xdr:from>
    <xdr:to>
      <xdr:col>28</xdr:col>
      <xdr:colOff>243191</xdr:colOff>
      <xdr:row>9</xdr:row>
      <xdr:rowOff>94576</xdr:rowOff>
    </xdr:to>
    <mc:AlternateContent xmlns:mc="http://schemas.openxmlformats.org/markup-compatibility/2006" xmlns:a14="http://schemas.microsoft.com/office/drawing/2010/main">
      <mc:Choice Requires="a14">
        <xdr:graphicFrame macro="">
          <xdr:nvGraphicFramePr>
            <xdr:cNvPr id="26" name="Height level 2">
              <a:extLst>
                <a:ext uri="{FF2B5EF4-FFF2-40B4-BE49-F238E27FC236}">
                  <a16:creationId xmlns:a16="http://schemas.microsoft.com/office/drawing/2014/main" id="{B4E51688-79A3-48CD-81BD-CF05910ACB0F}"/>
                </a:ext>
              </a:extLst>
            </xdr:cNvPr>
            <xdr:cNvGraphicFramePr/>
          </xdr:nvGraphicFramePr>
          <xdr:xfrm>
            <a:off x="0" y="0"/>
            <a:ext cx="0" cy="0"/>
          </xdr:xfrm>
          <a:graphic>
            <a:graphicData uri="http://schemas.microsoft.com/office/drawing/2010/slicer">
              <sle:slicer xmlns:sle="http://schemas.microsoft.com/office/drawing/2010/slicer" name="Height level 2"/>
            </a:graphicData>
          </a:graphic>
        </xdr:graphicFrame>
      </mc:Choice>
      <mc:Fallback xmlns="">
        <xdr:sp macro="" textlink="">
          <xdr:nvSpPr>
            <xdr:cNvPr id="0" name=""/>
            <xdr:cNvSpPr>
              <a:spLocks noTextEdit="1"/>
            </xdr:cNvSpPr>
          </xdr:nvSpPr>
          <xdr:spPr>
            <a:xfrm>
              <a:off x="17167426" y="1401190"/>
              <a:ext cx="5773637" cy="76051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11</xdr:col>
      <xdr:colOff>81063</xdr:colOff>
      <xdr:row>11</xdr:row>
      <xdr:rowOff>162128</xdr:rowOff>
    </xdr:from>
    <xdr:to>
      <xdr:col>17</xdr:col>
      <xdr:colOff>337766</xdr:colOff>
      <xdr:row>29</xdr:row>
      <xdr:rowOff>135106</xdr:rowOff>
    </xdr:to>
    <xdr:graphicFrame macro="">
      <xdr:nvGraphicFramePr>
        <xdr:cNvPr id="31" name="Chart 30">
          <a:extLst>
            <a:ext uri="{FF2B5EF4-FFF2-40B4-BE49-F238E27FC236}">
              <a16:creationId xmlns:a16="http://schemas.microsoft.com/office/drawing/2014/main" id="{3EEC381D-8726-40C4-968E-C5FBF181368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3</xdr:col>
      <xdr:colOff>405319</xdr:colOff>
      <xdr:row>11</xdr:row>
      <xdr:rowOff>121596</xdr:rowOff>
    </xdr:from>
    <xdr:to>
      <xdr:col>9</xdr:col>
      <xdr:colOff>743085</xdr:colOff>
      <xdr:row>29</xdr:row>
      <xdr:rowOff>135105</xdr:rowOff>
    </xdr:to>
    <xdr:graphicFrame macro="">
      <xdr:nvGraphicFramePr>
        <xdr:cNvPr id="32" name="Chart 31">
          <a:extLst>
            <a:ext uri="{FF2B5EF4-FFF2-40B4-BE49-F238E27FC236}">
              <a16:creationId xmlns:a16="http://schemas.microsoft.com/office/drawing/2014/main" id="{0C5C11BB-2388-4CD5-996A-047C87D2E35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18</xdr:col>
      <xdr:colOff>553937</xdr:colOff>
      <xdr:row>11</xdr:row>
      <xdr:rowOff>216170</xdr:rowOff>
    </xdr:from>
    <xdr:to>
      <xdr:col>23</xdr:col>
      <xdr:colOff>567447</xdr:colOff>
      <xdr:row>29</xdr:row>
      <xdr:rowOff>135105</xdr:rowOff>
    </xdr:to>
    <xdr:graphicFrame macro="">
      <xdr:nvGraphicFramePr>
        <xdr:cNvPr id="33" name="Chart 32">
          <a:extLst>
            <a:ext uri="{FF2B5EF4-FFF2-40B4-BE49-F238E27FC236}">
              <a16:creationId xmlns:a16="http://schemas.microsoft.com/office/drawing/2014/main" id="{0C666A36-6337-4B0B-AB3E-249D2F10A4A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24</xdr:col>
      <xdr:colOff>808476</xdr:colOff>
      <xdr:row>11</xdr:row>
      <xdr:rowOff>162128</xdr:rowOff>
    </xdr:from>
    <xdr:to>
      <xdr:col>29</xdr:col>
      <xdr:colOff>756595</xdr:colOff>
      <xdr:row>29</xdr:row>
      <xdr:rowOff>189147</xdr:rowOff>
    </xdr:to>
    <xdr:graphicFrame macro="">
      <xdr:nvGraphicFramePr>
        <xdr:cNvPr id="34" name="Chart 33">
          <a:extLst>
            <a:ext uri="{FF2B5EF4-FFF2-40B4-BE49-F238E27FC236}">
              <a16:creationId xmlns:a16="http://schemas.microsoft.com/office/drawing/2014/main" id="{E788BDA2-AC7C-4366-8BB8-B8D6C6A6212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0</xdr:col>
      <xdr:colOff>216170</xdr:colOff>
      <xdr:row>2</xdr:row>
      <xdr:rowOff>202659</xdr:rowOff>
    </xdr:from>
    <xdr:to>
      <xdr:col>2</xdr:col>
      <xdr:colOff>418829</xdr:colOff>
      <xdr:row>5</xdr:row>
      <xdr:rowOff>138101</xdr:rowOff>
    </xdr:to>
    <xdr:sp macro="" textlink="">
      <xdr:nvSpPr>
        <xdr:cNvPr id="37" name="Rectangle: Rounded Corners 36">
          <a:extLst>
            <a:ext uri="{FF2B5EF4-FFF2-40B4-BE49-F238E27FC236}">
              <a16:creationId xmlns:a16="http://schemas.microsoft.com/office/drawing/2014/main" id="{7DA0421E-E500-437C-B9ED-D37755DAEAD6}"/>
            </a:ext>
          </a:extLst>
        </xdr:cNvPr>
        <xdr:cNvSpPr/>
      </xdr:nvSpPr>
      <xdr:spPr>
        <a:xfrm>
          <a:off x="216170" y="662021"/>
          <a:ext cx="1823936" cy="624484"/>
        </a:xfrm>
        <a:prstGeom prst="roundRect">
          <a:avLst>
            <a:gd name="adj" fmla="val 50000"/>
          </a:avLst>
        </a:prstGeom>
        <a:noFill/>
        <a:ln>
          <a:solidFill>
            <a:schemeClr val="bg1"/>
          </a:solidFill>
        </a:ln>
      </xdr:spPr>
      <xdr:style>
        <a:lnRef idx="2">
          <a:schemeClr val="accent5"/>
        </a:lnRef>
        <a:fillRef idx="1">
          <a:schemeClr val="lt1"/>
        </a:fillRef>
        <a:effectRef idx="0">
          <a:schemeClr val="accent5"/>
        </a:effectRef>
        <a:fontRef idx="minor">
          <a:schemeClr val="dk1"/>
        </a:fontRef>
      </xdr:style>
      <xdr:txBody>
        <a:bodyPr vertOverflow="clip" horzOverflow="clip" rtlCol="0" anchor="t"/>
        <a:lstStyle/>
        <a:p>
          <a:pPr algn="ctr"/>
          <a:r>
            <a:rPr lang="en-US" sz="2000" b="1">
              <a:ln>
                <a:solidFill>
                  <a:schemeClr val="bg1"/>
                </a:solidFill>
              </a:ln>
              <a:solidFill>
                <a:schemeClr val="bg1"/>
              </a:solidFill>
            </a:rPr>
            <a:t>DASHBOARD</a:t>
          </a:r>
        </a:p>
      </xdr:txBody>
    </xdr:sp>
    <xdr:clientData/>
  </xdr:twoCellAnchor>
  <xdr:twoCellAnchor>
    <xdr:from>
      <xdr:col>0</xdr:col>
      <xdr:colOff>192931</xdr:colOff>
      <xdr:row>8</xdr:row>
      <xdr:rowOff>30803</xdr:rowOff>
    </xdr:from>
    <xdr:to>
      <xdr:col>2</xdr:col>
      <xdr:colOff>395590</xdr:colOff>
      <xdr:row>10</xdr:row>
      <xdr:rowOff>195925</xdr:rowOff>
    </xdr:to>
    <xdr:sp macro="" textlink="">
      <xdr:nvSpPr>
        <xdr:cNvPr id="38" name="Rectangle: Rounded Corners 37">
          <a:hlinkClick xmlns:r="http://schemas.openxmlformats.org/officeDocument/2006/relationships" r:id="rId10"/>
          <a:extLst>
            <a:ext uri="{FF2B5EF4-FFF2-40B4-BE49-F238E27FC236}">
              <a16:creationId xmlns:a16="http://schemas.microsoft.com/office/drawing/2014/main" id="{C6C70901-95E7-4925-8C96-1691A6550871}"/>
            </a:ext>
          </a:extLst>
        </xdr:cNvPr>
        <xdr:cNvSpPr/>
      </xdr:nvSpPr>
      <xdr:spPr>
        <a:xfrm>
          <a:off x="192931" y="1868250"/>
          <a:ext cx="1823936" cy="624484"/>
        </a:xfrm>
        <a:prstGeom prst="roundRect">
          <a:avLst>
            <a:gd name="adj" fmla="val 50000"/>
          </a:avLst>
        </a:prstGeom>
        <a:noFill/>
        <a:ln>
          <a:solidFill>
            <a:schemeClr val="bg1"/>
          </a:solidFill>
        </a:ln>
      </xdr:spPr>
      <xdr:style>
        <a:lnRef idx="2">
          <a:schemeClr val="accent5"/>
        </a:lnRef>
        <a:fillRef idx="1">
          <a:schemeClr val="lt1"/>
        </a:fillRef>
        <a:effectRef idx="0">
          <a:schemeClr val="accent5"/>
        </a:effectRef>
        <a:fontRef idx="minor">
          <a:schemeClr val="dk1"/>
        </a:fontRef>
      </xdr:style>
      <xdr:txBody>
        <a:bodyPr vertOverflow="clip" horzOverflow="clip" rtlCol="0" anchor="t"/>
        <a:lstStyle/>
        <a:p>
          <a:pPr algn="ctr"/>
          <a:r>
            <a:rPr lang="en-US" sz="2000" b="1">
              <a:ln>
                <a:solidFill>
                  <a:schemeClr val="bg1"/>
                </a:solidFill>
              </a:ln>
              <a:solidFill>
                <a:schemeClr val="bg1"/>
              </a:solidFill>
            </a:rPr>
            <a:t>WEIGHT</a:t>
          </a:r>
        </a:p>
      </xdr:txBody>
    </xdr:sp>
    <xdr:clientData/>
  </xdr:twoCellAnchor>
  <xdr:twoCellAnchor>
    <xdr:from>
      <xdr:col>0</xdr:col>
      <xdr:colOff>183204</xdr:colOff>
      <xdr:row>13</xdr:row>
      <xdr:rowOff>102140</xdr:rowOff>
    </xdr:from>
    <xdr:to>
      <xdr:col>2</xdr:col>
      <xdr:colOff>385863</xdr:colOff>
      <xdr:row>16</xdr:row>
      <xdr:rowOff>37581</xdr:rowOff>
    </xdr:to>
    <xdr:sp macro="" textlink="">
      <xdr:nvSpPr>
        <xdr:cNvPr id="39" name="Rectangle: Rounded Corners 38">
          <a:hlinkClick xmlns:r="http://schemas.openxmlformats.org/officeDocument/2006/relationships" r:id="rId11"/>
          <a:extLst>
            <a:ext uri="{FF2B5EF4-FFF2-40B4-BE49-F238E27FC236}">
              <a16:creationId xmlns:a16="http://schemas.microsoft.com/office/drawing/2014/main" id="{F93568D4-35F3-4421-80FF-A30C89010365}"/>
            </a:ext>
          </a:extLst>
        </xdr:cNvPr>
        <xdr:cNvSpPr/>
      </xdr:nvSpPr>
      <xdr:spPr>
        <a:xfrm>
          <a:off x="183204" y="3087991"/>
          <a:ext cx="1823936" cy="624484"/>
        </a:xfrm>
        <a:prstGeom prst="roundRect">
          <a:avLst>
            <a:gd name="adj" fmla="val 50000"/>
          </a:avLst>
        </a:prstGeom>
        <a:noFill/>
        <a:ln>
          <a:solidFill>
            <a:schemeClr val="bg1"/>
          </a:solidFill>
        </a:ln>
      </xdr:spPr>
      <xdr:style>
        <a:lnRef idx="2">
          <a:schemeClr val="accent5"/>
        </a:lnRef>
        <a:fillRef idx="1">
          <a:schemeClr val="lt1"/>
        </a:fillRef>
        <a:effectRef idx="0">
          <a:schemeClr val="accent5"/>
        </a:effectRef>
        <a:fontRef idx="minor">
          <a:schemeClr val="dk1"/>
        </a:fontRef>
      </xdr:style>
      <xdr:txBody>
        <a:bodyPr vertOverflow="clip" horzOverflow="clip" rtlCol="0" anchor="t"/>
        <a:lstStyle/>
        <a:p>
          <a:pPr algn="ctr"/>
          <a:r>
            <a:rPr lang="en-US" sz="2000" b="1">
              <a:ln>
                <a:solidFill>
                  <a:schemeClr val="bg1"/>
                </a:solidFill>
              </a:ln>
              <a:solidFill>
                <a:schemeClr val="bg1"/>
              </a:solidFill>
            </a:rPr>
            <a:t>HEIGHT</a:t>
          </a:r>
        </a:p>
      </xdr:txBody>
    </xdr:sp>
    <xdr:clientData/>
  </xdr:twoCellAnchor>
  <xdr:twoCellAnchor>
    <xdr:from>
      <xdr:col>0</xdr:col>
      <xdr:colOff>186987</xdr:colOff>
      <xdr:row>18</xdr:row>
      <xdr:rowOff>173478</xdr:rowOff>
    </xdr:from>
    <xdr:to>
      <xdr:col>2</xdr:col>
      <xdr:colOff>389646</xdr:colOff>
      <xdr:row>21</xdr:row>
      <xdr:rowOff>108919</xdr:rowOff>
    </xdr:to>
    <xdr:sp macro="" textlink="">
      <xdr:nvSpPr>
        <xdr:cNvPr id="40" name="Rectangle: Rounded Corners 39">
          <a:hlinkClick xmlns:r="http://schemas.openxmlformats.org/officeDocument/2006/relationships" r:id="rId12"/>
          <a:extLst>
            <a:ext uri="{FF2B5EF4-FFF2-40B4-BE49-F238E27FC236}">
              <a16:creationId xmlns:a16="http://schemas.microsoft.com/office/drawing/2014/main" id="{2DD0B211-5430-4C0A-8B6D-D85E63ED464F}"/>
            </a:ext>
          </a:extLst>
        </xdr:cNvPr>
        <xdr:cNvSpPr/>
      </xdr:nvSpPr>
      <xdr:spPr>
        <a:xfrm>
          <a:off x="186987" y="4307733"/>
          <a:ext cx="1823936" cy="624484"/>
        </a:xfrm>
        <a:prstGeom prst="roundRect">
          <a:avLst>
            <a:gd name="adj" fmla="val 50000"/>
          </a:avLst>
        </a:prstGeom>
        <a:solidFill>
          <a:schemeClr val="bg1"/>
        </a:solidFill>
        <a:ln>
          <a:solidFill>
            <a:schemeClr val="bg1"/>
          </a:solidFill>
        </a:ln>
      </xdr:spPr>
      <xdr:style>
        <a:lnRef idx="2">
          <a:schemeClr val="accent5"/>
        </a:lnRef>
        <a:fillRef idx="1">
          <a:schemeClr val="lt1"/>
        </a:fillRef>
        <a:effectRef idx="0">
          <a:schemeClr val="accent5"/>
        </a:effectRef>
        <a:fontRef idx="minor">
          <a:schemeClr val="dk1"/>
        </a:fontRef>
      </xdr:style>
      <xdr:txBody>
        <a:bodyPr vertOverflow="clip" horzOverflow="clip" rtlCol="0" anchor="t"/>
        <a:lstStyle/>
        <a:p>
          <a:pPr algn="ctr"/>
          <a:r>
            <a:rPr lang="en-US" sz="2000" b="1">
              <a:ln>
                <a:solidFill>
                  <a:schemeClr val="accent1"/>
                </a:solidFill>
              </a:ln>
              <a:solidFill>
                <a:schemeClr val="accent1"/>
              </a:solidFill>
            </a:rPr>
            <a:t>BMI</a:t>
          </a:r>
        </a:p>
      </xdr:txBody>
    </xdr:sp>
    <xdr:clientData/>
  </xdr:twoCellAnchor>
  <xdr:twoCellAnchor>
    <xdr:from>
      <xdr:col>0</xdr:col>
      <xdr:colOff>217793</xdr:colOff>
      <xdr:row>24</xdr:row>
      <xdr:rowOff>28642</xdr:rowOff>
    </xdr:from>
    <xdr:to>
      <xdr:col>2</xdr:col>
      <xdr:colOff>420452</xdr:colOff>
      <xdr:row>26</xdr:row>
      <xdr:rowOff>193764</xdr:rowOff>
    </xdr:to>
    <xdr:sp macro="" textlink="">
      <xdr:nvSpPr>
        <xdr:cNvPr id="41" name="Rectangle: Rounded Corners 40">
          <a:hlinkClick xmlns:r="http://schemas.openxmlformats.org/officeDocument/2006/relationships" r:id="rId13"/>
          <a:extLst>
            <a:ext uri="{FF2B5EF4-FFF2-40B4-BE49-F238E27FC236}">
              <a16:creationId xmlns:a16="http://schemas.microsoft.com/office/drawing/2014/main" id="{FBFE36A0-2C45-4C05-8EE1-C6F77DE806BB}"/>
            </a:ext>
          </a:extLst>
        </xdr:cNvPr>
        <xdr:cNvSpPr/>
      </xdr:nvSpPr>
      <xdr:spPr>
        <a:xfrm>
          <a:off x="217793" y="5540982"/>
          <a:ext cx="1823936" cy="624484"/>
        </a:xfrm>
        <a:prstGeom prst="roundRect">
          <a:avLst>
            <a:gd name="adj" fmla="val 50000"/>
          </a:avLst>
        </a:prstGeom>
        <a:noFill/>
        <a:ln>
          <a:solidFill>
            <a:schemeClr val="bg1"/>
          </a:solidFill>
        </a:ln>
      </xdr:spPr>
      <xdr:style>
        <a:lnRef idx="2">
          <a:schemeClr val="accent5"/>
        </a:lnRef>
        <a:fillRef idx="1">
          <a:schemeClr val="lt1"/>
        </a:fillRef>
        <a:effectRef idx="0">
          <a:schemeClr val="accent5"/>
        </a:effectRef>
        <a:fontRef idx="minor">
          <a:schemeClr val="dk1"/>
        </a:fontRef>
      </xdr:style>
      <xdr:txBody>
        <a:bodyPr vertOverflow="clip" horzOverflow="clip" rtlCol="0" anchor="t"/>
        <a:lstStyle/>
        <a:p>
          <a:pPr algn="ctr"/>
          <a:r>
            <a:rPr lang="en-US" sz="2000" b="1">
              <a:ln>
                <a:solidFill>
                  <a:schemeClr val="bg1"/>
                </a:solidFill>
              </a:ln>
              <a:solidFill>
                <a:schemeClr val="bg1"/>
              </a:solidFill>
            </a:rPr>
            <a:t>ABOUT</a:t>
          </a: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3</xdr:col>
      <xdr:colOff>136525</xdr:colOff>
      <xdr:row>2</xdr:row>
      <xdr:rowOff>15875</xdr:rowOff>
    </xdr:from>
    <xdr:to>
      <xdr:col>8</xdr:col>
      <xdr:colOff>644525</xdr:colOff>
      <xdr:row>13</xdr:row>
      <xdr:rowOff>174625</xdr:rowOff>
    </xdr:to>
    <xdr:graphicFrame macro="">
      <xdr:nvGraphicFramePr>
        <xdr:cNvPr id="2" name="Chart 1">
          <a:extLst>
            <a:ext uri="{FF2B5EF4-FFF2-40B4-BE49-F238E27FC236}">
              <a16:creationId xmlns:a16="http://schemas.microsoft.com/office/drawing/2014/main" id="{ED5A9354-FC49-48CA-8A69-894DCF1AB86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0</xdr:col>
      <xdr:colOff>127000</xdr:colOff>
      <xdr:row>0</xdr:row>
      <xdr:rowOff>63500</xdr:rowOff>
    </xdr:from>
    <xdr:to>
      <xdr:col>30</xdr:col>
      <xdr:colOff>459362</xdr:colOff>
      <xdr:row>31</xdr:row>
      <xdr:rowOff>162127</xdr:rowOff>
    </xdr:to>
    <xdr:sp macro="" textlink="">
      <xdr:nvSpPr>
        <xdr:cNvPr id="2" name="Rectangle: Rounded Corners 1">
          <a:extLst>
            <a:ext uri="{FF2B5EF4-FFF2-40B4-BE49-F238E27FC236}">
              <a16:creationId xmlns:a16="http://schemas.microsoft.com/office/drawing/2014/main" id="{90ED671C-99C4-4947-A62A-D403B736E2EE}"/>
            </a:ext>
          </a:extLst>
        </xdr:cNvPr>
        <xdr:cNvSpPr/>
      </xdr:nvSpPr>
      <xdr:spPr>
        <a:xfrm>
          <a:off x="127000" y="63500"/>
          <a:ext cx="24716362" cy="7382077"/>
        </a:xfrm>
        <a:prstGeom prst="roundRect">
          <a:avLst>
            <a:gd name="adj" fmla="val 4415"/>
          </a:avLst>
        </a:prstGeom>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508935</xdr:colOff>
      <xdr:row>0</xdr:row>
      <xdr:rowOff>136774</xdr:rowOff>
    </xdr:from>
    <xdr:to>
      <xdr:col>30</xdr:col>
      <xdr:colOff>324257</xdr:colOff>
      <xdr:row>31</xdr:row>
      <xdr:rowOff>67554</xdr:rowOff>
    </xdr:to>
    <xdr:sp macro="" textlink="">
      <xdr:nvSpPr>
        <xdr:cNvPr id="3" name="Rectangle: Rounded Corners 2">
          <a:extLst>
            <a:ext uri="{FF2B5EF4-FFF2-40B4-BE49-F238E27FC236}">
              <a16:creationId xmlns:a16="http://schemas.microsoft.com/office/drawing/2014/main" id="{85E4A4F9-C8AD-4C12-98AD-3C1BCDC748A4}"/>
            </a:ext>
          </a:extLst>
        </xdr:cNvPr>
        <xdr:cNvSpPr/>
      </xdr:nvSpPr>
      <xdr:spPr>
        <a:xfrm>
          <a:off x="2134535" y="136774"/>
          <a:ext cx="22573722" cy="7214230"/>
        </a:xfrm>
        <a:prstGeom prst="roundRect">
          <a:avLst>
            <a:gd name="adj" fmla="val 4317"/>
          </a:avLst>
        </a:prstGeom>
        <a:ln/>
      </xdr:spPr>
      <xdr:style>
        <a:lnRef idx="1">
          <a:schemeClr val="accent3"/>
        </a:lnRef>
        <a:fillRef idx="2">
          <a:schemeClr val="accent3"/>
        </a:fillRef>
        <a:effectRef idx="1">
          <a:schemeClr val="accent3"/>
        </a:effectRef>
        <a:fontRef idx="minor">
          <a:schemeClr val="dk1"/>
        </a:fontRef>
      </xdr:style>
      <xdr:txBody>
        <a:bodyPr vertOverflow="clip" horzOverflow="clip" rtlCol="0" anchor="t"/>
        <a:lstStyle/>
        <a:p>
          <a:pPr algn="l"/>
          <a:endParaRPr lang="en-US" sz="1100"/>
        </a:p>
      </xdr:txBody>
    </xdr:sp>
    <xdr:clientData/>
  </xdr:twoCellAnchor>
  <xdr:twoCellAnchor>
    <xdr:from>
      <xdr:col>3</xdr:col>
      <xdr:colOff>499894</xdr:colOff>
      <xdr:row>2</xdr:row>
      <xdr:rowOff>13510</xdr:rowOff>
    </xdr:from>
    <xdr:to>
      <xdr:col>29</xdr:col>
      <xdr:colOff>54042</xdr:colOff>
      <xdr:row>29</xdr:row>
      <xdr:rowOff>189149</xdr:rowOff>
    </xdr:to>
    <xdr:sp macro="" textlink="">
      <xdr:nvSpPr>
        <xdr:cNvPr id="30" name="Rectangle: Rounded Corners 29">
          <a:extLst>
            <a:ext uri="{FF2B5EF4-FFF2-40B4-BE49-F238E27FC236}">
              <a16:creationId xmlns:a16="http://schemas.microsoft.com/office/drawing/2014/main" id="{1AF7C347-82A1-40A4-AD17-56ADA3304FAD}"/>
            </a:ext>
          </a:extLst>
        </xdr:cNvPr>
        <xdr:cNvSpPr/>
      </xdr:nvSpPr>
      <xdr:spPr>
        <a:xfrm>
          <a:off x="2931809" y="472872"/>
          <a:ext cx="20630744" cy="6377022"/>
        </a:xfrm>
        <a:prstGeom prst="roundRect">
          <a:avLst>
            <a:gd name="adj" fmla="val 10735"/>
          </a:avLst>
        </a:prstGeom>
        <a:ln/>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editAs="oneCell">
    <xdr:from>
      <xdr:col>3</xdr:col>
      <xdr:colOff>662021</xdr:colOff>
      <xdr:row>2</xdr:row>
      <xdr:rowOff>202658</xdr:rowOff>
    </xdr:from>
    <xdr:to>
      <xdr:col>5</xdr:col>
      <xdr:colOff>337767</xdr:colOff>
      <xdr:row>7</xdr:row>
      <xdr:rowOff>216170</xdr:rowOff>
    </xdr:to>
    <xdr:pic>
      <xdr:nvPicPr>
        <xdr:cNvPr id="32" name="Graphic 31" descr="Pin with solid fill">
          <a:extLst>
            <a:ext uri="{FF2B5EF4-FFF2-40B4-BE49-F238E27FC236}">
              <a16:creationId xmlns:a16="http://schemas.microsoft.com/office/drawing/2014/main" id="{3E911ABA-69B7-430D-96B1-9AB6D53FD4E8}"/>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 uri="{96DAC541-7B7A-43D3-8B79-37D633B846F1}">
              <asvg:svgBlip xmlns:asvg="http://schemas.microsoft.com/office/drawing/2016/SVG/main" r:embed="rId2"/>
            </a:ext>
          </a:extLst>
        </a:blip>
        <a:stretch>
          <a:fillRect/>
        </a:stretch>
      </xdr:blipFill>
      <xdr:spPr>
        <a:xfrm>
          <a:off x="3093936" y="662020"/>
          <a:ext cx="1297022" cy="1161916"/>
        </a:xfrm>
        <a:prstGeom prst="rect">
          <a:avLst/>
        </a:prstGeom>
      </xdr:spPr>
    </xdr:pic>
    <xdr:clientData/>
  </xdr:twoCellAnchor>
  <xdr:twoCellAnchor>
    <xdr:from>
      <xdr:col>5</xdr:col>
      <xdr:colOff>567447</xdr:colOff>
      <xdr:row>3</xdr:row>
      <xdr:rowOff>135106</xdr:rowOff>
    </xdr:from>
    <xdr:to>
      <xdr:col>8</xdr:col>
      <xdr:colOff>0</xdr:colOff>
      <xdr:row>7</xdr:row>
      <xdr:rowOff>81064</xdr:rowOff>
    </xdr:to>
    <xdr:sp macro="" textlink="">
      <xdr:nvSpPr>
        <xdr:cNvPr id="34" name="Rectangle: Rounded Corners 33">
          <a:extLst>
            <a:ext uri="{FF2B5EF4-FFF2-40B4-BE49-F238E27FC236}">
              <a16:creationId xmlns:a16="http://schemas.microsoft.com/office/drawing/2014/main" id="{930DAB58-2842-47F2-92CE-FC0C93EDED0F}"/>
            </a:ext>
          </a:extLst>
        </xdr:cNvPr>
        <xdr:cNvSpPr/>
      </xdr:nvSpPr>
      <xdr:spPr>
        <a:xfrm>
          <a:off x="4620638" y="824149"/>
          <a:ext cx="1864468" cy="864681"/>
        </a:xfrm>
        <a:prstGeom prst="roundRect">
          <a:avLst/>
        </a:prstGeom>
      </xdr:spPr>
      <xdr:style>
        <a:lnRef idx="1">
          <a:schemeClr val="accent3"/>
        </a:lnRef>
        <a:fillRef idx="2">
          <a:schemeClr val="accent3"/>
        </a:fillRef>
        <a:effectRef idx="1">
          <a:schemeClr val="accent3"/>
        </a:effectRef>
        <a:fontRef idx="minor">
          <a:schemeClr val="dk1"/>
        </a:fontRef>
      </xdr:style>
      <xdr:txBody>
        <a:bodyPr vertOverflow="clip" horzOverflow="clip" rtlCol="0" anchor="t"/>
        <a:lstStyle/>
        <a:p>
          <a:pPr algn="l"/>
          <a:r>
            <a:rPr lang="en-US" sz="4000" b="1" i="1">
              <a:solidFill>
                <a:sysClr val="windowText" lastClr="000000"/>
              </a:solidFill>
            </a:rPr>
            <a:t>ABOUT</a:t>
          </a:r>
        </a:p>
      </xdr:txBody>
    </xdr:sp>
    <xdr:clientData/>
  </xdr:twoCellAnchor>
  <xdr:twoCellAnchor>
    <xdr:from>
      <xdr:col>5</xdr:col>
      <xdr:colOff>648512</xdr:colOff>
      <xdr:row>9</xdr:row>
      <xdr:rowOff>216170</xdr:rowOff>
    </xdr:from>
    <xdr:to>
      <xdr:col>26</xdr:col>
      <xdr:colOff>783617</xdr:colOff>
      <xdr:row>28</xdr:row>
      <xdr:rowOff>27021</xdr:rowOff>
    </xdr:to>
    <xdr:sp macro="" textlink="">
      <xdr:nvSpPr>
        <xdr:cNvPr id="36" name="Flowchart: Alternate Process 35">
          <a:extLst>
            <a:ext uri="{FF2B5EF4-FFF2-40B4-BE49-F238E27FC236}">
              <a16:creationId xmlns:a16="http://schemas.microsoft.com/office/drawing/2014/main" id="{0E66F56E-8518-46D5-A8F2-716B0E28149C}"/>
            </a:ext>
          </a:extLst>
        </xdr:cNvPr>
        <xdr:cNvSpPr/>
      </xdr:nvSpPr>
      <xdr:spPr>
        <a:xfrm>
          <a:off x="4701703" y="2283298"/>
          <a:ext cx="17158510" cy="4174787"/>
        </a:xfrm>
        <a:prstGeom prst="flowChartAlternateProcess">
          <a:avLst/>
        </a:prstGeom>
      </xdr:spPr>
      <xdr:style>
        <a:lnRef idx="1">
          <a:schemeClr val="accent5"/>
        </a:lnRef>
        <a:fillRef idx="2">
          <a:schemeClr val="accent5"/>
        </a:fillRef>
        <a:effectRef idx="1">
          <a:schemeClr val="accent5"/>
        </a:effectRef>
        <a:fontRef idx="minor">
          <a:schemeClr val="dk1"/>
        </a:fontRef>
      </xdr:style>
      <xdr:txBody>
        <a:bodyPr vertOverflow="clip" horzOverflow="clip" rtlCol="0" anchor="t"/>
        <a:lstStyle/>
        <a:p>
          <a:pPr algn="l"/>
          <a:r>
            <a:rPr lang="en-US" sz="4400" b="1"/>
            <a:t>Winter Athelete Dashboard: Nationality,Sports &amp;  Physical attributes</a:t>
          </a:r>
        </a:p>
        <a:p>
          <a:pPr algn="l"/>
          <a:r>
            <a:rPr lang="en-US" sz="3600" b="1"/>
            <a:t>Prepared by: Tushal</a:t>
          </a:r>
          <a:r>
            <a:rPr lang="en-US" sz="3600" b="1" baseline="0"/>
            <a:t> </a:t>
          </a:r>
          <a:endParaRPr lang="en-US" sz="3600" b="1"/>
        </a:p>
        <a:p>
          <a:pPr algn="l"/>
          <a:r>
            <a:rPr lang="en-US" sz="3200" b="0"/>
            <a:t>This project presents a detailed analysis of athlete data with a focus on physical and demographic attributes such as height, weight, age, and BMI (Body Mass Index). The data is visualized through interactive dashboards and comparative charts, enabling insightful observations across various sports categories and groups.</a:t>
          </a:r>
        </a:p>
      </xdr:txBody>
    </xdr:sp>
    <xdr:clientData/>
  </xdr:twoCellAnchor>
  <xdr:twoCellAnchor editAs="oneCell">
    <xdr:from>
      <xdr:col>12</xdr:col>
      <xdr:colOff>189148</xdr:colOff>
      <xdr:row>23</xdr:row>
      <xdr:rowOff>40532</xdr:rowOff>
    </xdr:from>
    <xdr:to>
      <xdr:col>13</xdr:col>
      <xdr:colOff>292910</xdr:colOff>
      <xdr:row>27</xdr:row>
      <xdr:rowOff>36209</xdr:rowOff>
    </xdr:to>
    <xdr:pic>
      <xdr:nvPicPr>
        <xdr:cNvPr id="5" name="Graphic 4" descr="Rocket with solid fill">
          <a:extLst>
            <a:ext uri="{FF2B5EF4-FFF2-40B4-BE49-F238E27FC236}">
              <a16:creationId xmlns:a16="http://schemas.microsoft.com/office/drawing/2014/main" id="{211101C4-B4A4-41CB-9628-1B831820372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 uri="{96DAC541-7B7A-43D3-8B79-37D633B846F1}">
              <asvg:svgBlip xmlns:asvg="http://schemas.microsoft.com/office/drawing/2016/SVG/main" r:embed="rId4"/>
            </a:ext>
          </a:extLst>
        </a:blip>
        <a:stretch>
          <a:fillRect/>
        </a:stretch>
      </xdr:blipFill>
      <xdr:spPr>
        <a:xfrm>
          <a:off x="9916808" y="5323192"/>
          <a:ext cx="914400" cy="914400"/>
        </a:xfrm>
        <a:prstGeom prst="rect">
          <a:avLst/>
        </a:prstGeom>
      </xdr:spPr>
    </xdr:pic>
    <xdr:clientData/>
  </xdr:twoCellAnchor>
  <xdr:twoCellAnchor>
    <xdr:from>
      <xdr:col>0</xdr:col>
      <xdr:colOff>208065</xdr:colOff>
      <xdr:row>2</xdr:row>
      <xdr:rowOff>212116</xdr:rowOff>
    </xdr:from>
    <xdr:to>
      <xdr:col>2</xdr:col>
      <xdr:colOff>410724</xdr:colOff>
      <xdr:row>5</xdr:row>
      <xdr:rowOff>147558</xdr:rowOff>
    </xdr:to>
    <xdr:sp macro="" textlink="">
      <xdr:nvSpPr>
        <xdr:cNvPr id="17" name="Rectangle: Rounded Corners 16">
          <a:hlinkClick xmlns:r="http://schemas.openxmlformats.org/officeDocument/2006/relationships" r:id="rId5"/>
          <a:extLst>
            <a:ext uri="{FF2B5EF4-FFF2-40B4-BE49-F238E27FC236}">
              <a16:creationId xmlns:a16="http://schemas.microsoft.com/office/drawing/2014/main" id="{77A153F7-D9E9-40F1-89A8-A1BACC0495C3}"/>
            </a:ext>
          </a:extLst>
        </xdr:cNvPr>
        <xdr:cNvSpPr/>
      </xdr:nvSpPr>
      <xdr:spPr>
        <a:xfrm>
          <a:off x="208065" y="671478"/>
          <a:ext cx="1823936" cy="624484"/>
        </a:xfrm>
        <a:prstGeom prst="roundRect">
          <a:avLst>
            <a:gd name="adj" fmla="val 50000"/>
          </a:avLst>
        </a:prstGeom>
        <a:noFill/>
        <a:ln>
          <a:solidFill>
            <a:schemeClr val="bg1"/>
          </a:solidFill>
        </a:ln>
      </xdr:spPr>
      <xdr:style>
        <a:lnRef idx="2">
          <a:schemeClr val="accent5"/>
        </a:lnRef>
        <a:fillRef idx="1">
          <a:schemeClr val="lt1"/>
        </a:fillRef>
        <a:effectRef idx="0">
          <a:schemeClr val="accent5"/>
        </a:effectRef>
        <a:fontRef idx="minor">
          <a:schemeClr val="dk1"/>
        </a:fontRef>
      </xdr:style>
      <xdr:txBody>
        <a:bodyPr vertOverflow="clip" horzOverflow="clip" rtlCol="0" anchor="t"/>
        <a:lstStyle/>
        <a:p>
          <a:pPr algn="ctr"/>
          <a:r>
            <a:rPr lang="en-US" sz="2000" b="1">
              <a:ln>
                <a:solidFill>
                  <a:schemeClr val="bg1"/>
                </a:solidFill>
              </a:ln>
              <a:solidFill>
                <a:schemeClr val="bg1"/>
              </a:solidFill>
            </a:rPr>
            <a:t>DASHBOARD</a:t>
          </a:r>
        </a:p>
      </xdr:txBody>
    </xdr:sp>
    <xdr:clientData/>
  </xdr:twoCellAnchor>
  <xdr:twoCellAnchor>
    <xdr:from>
      <xdr:col>0</xdr:col>
      <xdr:colOff>171316</xdr:colOff>
      <xdr:row>7</xdr:row>
      <xdr:rowOff>202390</xdr:rowOff>
    </xdr:from>
    <xdr:to>
      <xdr:col>2</xdr:col>
      <xdr:colOff>373975</xdr:colOff>
      <xdr:row>10</xdr:row>
      <xdr:rowOff>137831</xdr:rowOff>
    </xdr:to>
    <xdr:sp macro="" textlink="">
      <xdr:nvSpPr>
        <xdr:cNvPr id="18" name="Rectangle: Rounded Corners 17">
          <a:hlinkClick xmlns:r="http://schemas.openxmlformats.org/officeDocument/2006/relationships" r:id="rId6"/>
          <a:extLst>
            <a:ext uri="{FF2B5EF4-FFF2-40B4-BE49-F238E27FC236}">
              <a16:creationId xmlns:a16="http://schemas.microsoft.com/office/drawing/2014/main" id="{B3B1B177-5D89-48BD-99D4-C29FDDC65C7D}"/>
            </a:ext>
          </a:extLst>
        </xdr:cNvPr>
        <xdr:cNvSpPr/>
      </xdr:nvSpPr>
      <xdr:spPr>
        <a:xfrm>
          <a:off x="171316" y="1810156"/>
          <a:ext cx="1823936" cy="624484"/>
        </a:xfrm>
        <a:prstGeom prst="roundRect">
          <a:avLst>
            <a:gd name="adj" fmla="val 50000"/>
          </a:avLst>
        </a:prstGeom>
        <a:noFill/>
        <a:ln>
          <a:solidFill>
            <a:schemeClr val="bg1"/>
          </a:solidFill>
        </a:ln>
      </xdr:spPr>
      <xdr:style>
        <a:lnRef idx="2">
          <a:schemeClr val="accent5"/>
        </a:lnRef>
        <a:fillRef idx="1">
          <a:schemeClr val="lt1"/>
        </a:fillRef>
        <a:effectRef idx="0">
          <a:schemeClr val="accent5"/>
        </a:effectRef>
        <a:fontRef idx="minor">
          <a:schemeClr val="dk1"/>
        </a:fontRef>
      </xdr:style>
      <xdr:txBody>
        <a:bodyPr vertOverflow="clip" horzOverflow="clip" rtlCol="0" anchor="t"/>
        <a:lstStyle/>
        <a:p>
          <a:pPr algn="ctr"/>
          <a:r>
            <a:rPr lang="en-US" sz="2000" b="1">
              <a:ln>
                <a:solidFill>
                  <a:schemeClr val="bg1"/>
                </a:solidFill>
              </a:ln>
              <a:solidFill>
                <a:schemeClr val="bg1"/>
              </a:solidFill>
            </a:rPr>
            <a:t>WEIGHT</a:t>
          </a:r>
        </a:p>
      </xdr:txBody>
    </xdr:sp>
    <xdr:clientData/>
  </xdr:twoCellAnchor>
  <xdr:twoCellAnchor>
    <xdr:from>
      <xdr:col>0</xdr:col>
      <xdr:colOff>188609</xdr:colOff>
      <xdr:row>13</xdr:row>
      <xdr:rowOff>71066</xdr:rowOff>
    </xdr:from>
    <xdr:to>
      <xdr:col>2</xdr:col>
      <xdr:colOff>391268</xdr:colOff>
      <xdr:row>16</xdr:row>
      <xdr:rowOff>6507</xdr:rowOff>
    </xdr:to>
    <xdr:sp macro="" textlink="">
      <xdr:nvSpPr>
        <xdr:cNvPr id="19" name="Rectangle: Rounded Corners 18">
          <a:hlinkClick xmlns:r="http://schemas.openxmlformats.org/officeDocument/2006/relationships" r:id="rId7"/>
          <a:extLst>
            <a:ext uri="{FF2B5EF4-FFF2-40B4-BE49-F238E27FC236}">
              <a16:creationId xmlns:a16="http://schemas.microsoft.com/office/drawing/2014/main" id="{5AA73A2A-05E3-4534-8884-5D78438600C7}"/>
            </a:ext>
          </a:extLst>
        </xdr:cNvPr>
        <xdr:cNvSpPr/>
      </xdr:nvSpPr>
      <xdr:spPr>
        <a:xfrm>
          <a:off x="188609" y="3056917"/>
          <a:ext cx="1823936" cy="624484"/>
        </a:xfrm>
        <a:prstGeom prst="roundRect">
          <a:avLst>
            <a:gd name="adj" fmla="val 50000"/>
          </a:avLst>
        </a:prstGeom>
        <a:noFill/>
        <a:ln>
          <a:solidFill>
            <a:schemeClr val="bg1"/>
          </a:solidFill>
        </a:ln>
      </xdr:spPr>
      <xdr:style>
        <a:lnRef idx="2">
          <a:schemeClr val="accent5"/>
        </a:lnRef>
        <a:fillRef idx="1">
          <a:schemeClr val="lt1"/>
        </a:fillRef>
        <a:effectRef idx="0">
          <a:schemeClr val="accent5"/>
        </a:effectRef>
        <a:fontRef idx="minor">
          <a:schemeClr val="dk1"/>
        </a:fontRef>
      </xdr:style>
      <xdr:txBody>
        <a:bodyPr vertOverflow="clip" horzOverflow="clip" rtlCol="0" anchor="t"/>
        <a:lstStyle/>
        <a:p>
          <a:pPr algn="ctr"/>
          <a:r>
            <a:rPr lang="en-US" sz="2000" b="1">
              <a:ln>
                <a:solidFill>
                  <a:schemeClr val="bg1"/>
                </a:solidFill>
              </a:ln>
              <a:solidFill>
                <a:schemeClr val="bg1"/>
              </a:solidFill>
            </a:rPr>
            <a:t>HEIGHT</a:t>
          </a:r>
        </a:p>
      </xdr:txBody>
    </xdr:sp>
    <xdr:clientData/>
  </xdr:twoCellAnchor>
  <xdr:twoCellAnchor>
    <xdr:from>
      <xdr:col>0</xdr:col>
      <xdr:colOff>205903</xdr:colOff>
      <xdr:row>19</xdr:row>
      <xdr:rowOff>61338</xdr:rowOff>
    </xdr:from>
    <xdr:to>
      <xdr:col>2</xdr:col>
      <xdr:colOff>408562</xdr:colOff>
      <xdr:row>21</xdr:row>
      <xdr:rowOff>226460</xdr:rowOff>
    </xdr:to>
    <xdr:sp macro="" textlink="">
      <xdr:nvSpPr>
        <xdr:cNvPr id="20" name="Rectangle: Rounded Corners 19">
          <a:hlinkClick xmlns:r="http://schemas.openxmlformats.org/officeDocument/2006/relationships" r:id="rId8"/>
          <a:extLst>
            <a:ext uri="{FF2B5EF4-FFF2-40B4-BE49-F238E27FC236}">
              <a16:creationId xmlns:a16="http://schemas.microsoft.com/office/drawing/2014/main" id="{8FA5B448-13CF-4EF5-AD78-36EBD875FF19}"/>
            </a:ext>
          </a:extLst>
        </xdr:cNvPr>
        <xdr:cNvSpPr/>
      </xdr:nvSpPr>
      <xdr:spPr>
        <a:xfrm>
          <a:off x="205903" y="4425274"/>
          <a:ext cx="1823936" cy="624484"/>
        </a:xfrm>
        <a:prstGeom prst="roundRect">
          <a:avLst>
            <a:gd name="adj" fmla="val 50000"/>
          </a:avLst>
        </a:prstGeom>
        <a:noFill/>
        <a:ln>
          <a:solidFill>
            <a:schemeClr val="bg1"/>
          </a:solidFill>
        </a:ln>
      </xdr:spPr>
      <xdr:style>
        <a:lnRef idx="2">
          <a:schemeClr val="accent5"/>
        </a:lnRef>
        <a:fillRef idx="1">
          <a:schemeClr val="lt1"/>
        </a:fillRef>
        <a:effectRef idx="0">
          <a:schemeClr val="accent5"/>
        </a:effectRef>
        <a:fontRef idx="minor">
          <a:schemeClr val="dk1"/>
        </a:fontRef>
      </xdr:style>
      <xdr:txBody>
        <a:bodyPr vertOverflow="clip" horzOverflow="clip" rtlCol="0" anchor="t"/>
        <a:lstStyle/>
        <a:p>
          <a:pPr algn="ctr"/>
          <a:r>
            <a:rPr lang="en-US" sz="2000" b="1">
              <a:ln>
                <a:solidFill>
                  <a:schemeClr val="bg1"/>
                </a:solidFill>
              </a:ln>
              <a:solidFill>
                <a:schemeClr val="bg1"/>
              </a:solidFill>
            </a:rPr>
            <a:t>BMI</a:t>
          </a:r>
        </a:p>
      </xdr:txBody>
    </xdr:sp>
    <xdr:clientData/>
  </xdr:twoCellAnchor>
  <xdr:twoCellAnchor>
    <xdr:from>
      <xdr:col>0</xdr:col>
      <xdr:colOff>196176</xdr:colOff>
      <xdr:row>24</xdr:row>
      <xdr:rowOff>132675</xdr:rowOff>
    </xdr:from>
    <xdr:to>
      <xdr:col>2</xdr:col>
      <xdr:colOff>398835</xdr:colOff>
      <xdr:row>27</xdr:row>
      <xdr:rowOff>68116</xdr:rowOff>
    </xdr:to>
    <xdr:sp macro="" textlink="">
      <xdr:nvSpPr>
        <xdr:cNvPr id="21" name="Rectangle: Rounded Corners 20">
          <a:hlinkClick xmlns:r="http://schemas.openxmlformats.org/officeDocument/2006/relationships" r:id="rId9"/>
          <a:extLst>
            <a:ext uri="{FF2B5EF4-FFF2-40B4-BE49-F238E27FC236}">
              <a16:creationId xmlns:a16="http://schemas.microsoft.com/office/drawing/2014/main" id="{B2EEDCA5-0192-43DB-ADFB-330F11C2B897}"/>
            </a:ext>
          </a:extLst>
        </xdr:cNvPr>
        <xdr:cNvSpPr/>
      </xdr:nvSpPr>
      <xdr:spPr>
        <a:xfrm>
          <a:off x="196176" y="5645015"/>
          <a:ext cx="1823936" cy="624484"/>
        </a:xfrm>
        <a:prstGeom prst="roundRect">
          <a:avLst>
            <a:gd name="adj" fmla="val 50000"/>
          </a:avLst>
        </a:prstGeom>
        <a:solidFill>
          <a:schemeClr val="bg1"/>
        </a:solidFill>
        <a:ln>
          <a:solidFill>
            <a:schemeClr val="bg1"/>
          </a:solidFill>
        </a:ln>
      </xdr:spPr>
      <xdr:style>
        <a:lnRef idx="2">
          <a:schemeClr val="accent5"/>
        </a:lnRef>
        <a:fillRef idx="1">
          <a:schemeClr val="lt1"/>
        </a:fillRef>
        <a:effectRef idx="0">
          <a:schemeClr val="accent5"/>
        </a:effectRef>
        <a:fontRef idx="minor">
          <a:schemeClr val="dk1"/>
        </a:fontRef>
      </xdr:style>
      <xdr:txBody>
        <a:bodyPr vertOverflow="clip" horzOverflow="clip" rtlCol="0" anchor="t"/>
        <a:lstStyle/>
        <a:p>
          <a:pPr algn="ctr"/>
          <a:r>
            <a:rPr lang="en-US" sz="2000" b="1">
              <a:ln>
                <a:solidFill>
                  <a:schemeClr val="accent1"/>
                </a:solidFill>
              </a:ln>
              <a:solidFill>
                <a:schemeClr val="accent1"/>
              </a:solidFill>
            </a:rPr>
            <a:t>ABOUT</a:t>
          </a: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LL" refreshedDate="45872.42095590278" createdVersion="7" refreshedVersion="7" minRefreshableVersion="3" recordCount="2606" xr:uid="{514B4CC2-70E7-4E8D-B015-FCF14A1B66B3}">
  <cacheSource type="worksheet">
    <worksheetSource ref="A1:K2607" sheet="DATA"/>
  </cacheSource>
  <cacheFields count="11">
    <cacheField name="Sr. No." numFmtId="0">
      <sharedItems containsSemiMixedTypes="0" containsString="0" containsNumber="1" containsInteger="1" minValue="1" maxValue="2606"/>
    </cacheField>
    <cacheField name="Athlete Name" numFmtId="0">
      <sharedItems/>
    </cacheField>
    <cacheField name="Sport" numFmtId="0">
      <sharedItems count="17">
        <s v="Alpine Skiing"/>
        <s v="Figure Skating"/>
        <s v="Freestyle Skiing"/>
        <s v="Biathlon"/>
        <s v="Speed Skating"/>
        <s v="Bobsleigh"/>
        <s v="Ice Hockey"/>
        <s v="Ski Jumping"/>
        <s v="Snowboard"/>
        <s v="Cross-Country Skiing"/>
        <s v="Luge"/>
        <s v="Curling"/>
        <s v="Nordic Combined"/>
        <s v="Short Track"/>
        <s v="Cross-Country Skiing,Biathlon"/>
        <s v="Skeleton"/>
        <s v="Speed Skating,Short Track"/>
      </sharedItems>
    </cacheField>
    <cacheField name="Nationality" numFmtId="0">
      <sharedItems count="83">
        <s v="Pakistan"/>
        <s v="United States"/>
        <s v="Ukraine"/>
        <s v="Georgia"/>
        <s v="Belarus"/>
        <s v="Russia"/>
        <s v="Lebanon"/>
        <s v="Canada"/>
        <s v="Germany"/>
        <s v="Switzerland"/>
        <s v="Finland"/>
        <s v="Great Britain"/>
        <s v="Denmark"/>
        <s v="Bulgaria"/>
        <s v="Sweden"/>
        <s v="Australia"/>
        <s v="France"/>
        <s v="Norway"/>
        <s v="Romania"/>
        <s v="Italy"/>
        <s v="Latvia"/>
        <s v="Kazakhstan"/>
        <s v="Japan"/>
        <s v="Morocco"/>
        <s v="Slovakia"/>
        <s v="Poland"/>
        <s v="Czech Republic"/>
        <s v="Moldova"/>
        <s v="Chile"/>
        <s v="Ireland"/>
        <s v="Azerbaijan"/>
        <s v="Slovenia"/>
        <s v="Austria"/>
        <s v="Netherlands"/>
        <s v="Hungary"/>
        <s v="Liechtenstein"/>
        <s v="Iceland"/>
        <s v="Kenya"/>
        <s v="New Zealand"/>
        <s v="Croatia"/>
        <s v="Peru"/>
        <s v="San Marino"/>
        <s v="South Korea"/>
        <s v="Brazil"/>
        <s v="China"/>
        <s v="Macedonia"/>
        <s v="Greece"/>
        <s v="Turkey"/>
        <s v="Spain"/>
        <s v="Estonia"/>
        <s v="Andorra"/>
        <s v="Serbia"/>
        <s v="Argentina"/>
        <s v="Monaco"/>
        <s v="Uzbekistan"/>
        <s v="Belgium"/>
        <s v="Hong Kong"/>
        <s v="India"/>
        <s v="Iran"/>
        <s v="Bosnia and Herzegovina"/>
        <s v="Jamaica"/>
        <s v="Algeria"/>
        <s v="Mongolia"/>
        <s v="Montenegro"/>
        <s v="South Africa"/>
        <s v="Chinese Taipei"/>
        <s v="Armenia"/>
        <s v="Bermuda"/>
        <s v="Ghana"/>
        <s v="Lithuania"/>
        <s v="Cyprus"/>
        <s v="Israel"/>
        <s v="Kyrgyzstan"/>
        <s v="North Korea"/>
        <s v="Senegal"/>
        <s v="Nepal"/>
        <s v="Portugal"/>
        <s v="Ethiopia"/>
        <s v="Albania"/>
        <s v="Cayman Islands"/>
        <s v="Mexico"/>
        <s v="Colombia"/>
        <s v="Tajikistan"/>
      </sharedItems>
    </cacheField>
    <cacheField name="Age" numFmtId="0">
      <sharedItems containsSemiMixedTypes="0" containsString="0" containsNumber="1" containsInteger="1" minValue="15" maxValue="51" count="35">
        <n v="23"/>
        <n v="24"/>
        <n v="30"/>
        <n v="21"/>
        <n v="22"/>
        <n v="27"/>
        <n v="16"/>
        <n v="31"/>
        <n v="28"/>
        <n v="32"/>
        <n v="36"/>
        <n v="37"/>
        <n v="19"/>
        <n v="26"/>
        <n v="18"/>
        <n v="34"/>
        <n v="25"/>
        <n v="20"/>
        <n v="35"/>
        <n v="29"/>
        <n v="38"/>
        <n v="33"/>
        <n v="40"/>
        <n v="17"/>
        <n v="39"/>
        <n v="41"/>
        <n v="42"/>
        <n v="47"/>
        <n v="43"/>
        <n v="15"/>
        <n v="45"/>
        <n v="44"/>
        <n v="48"/>
        <n v="51"/>
        <n v="46"/>
      </sharedItems>
    </cacheField>
    <cacheField name="Weight(kg)" numFmtId="0">
      <sharedItems containsSemiMixedTypes="0" containsString="0" containsNumber="1" containsInteger="1" minValue="41" maxValue="116" count="73">
        <n v="55"/>
        <n v="85"/>
        <n v="68"/>
        <n v="82"/>
        <n v="81"/>
        <n v="74"/>
        <n v="65"/>
        <n v="96"/>
        <n v="60"/>
        <n v="63"/>
        <n v="110"/>
        <n v="97"/>
        <n v="88"/>
        <n v="66"/>
        <n v="61"/>
        <n v="87"/>
        <n v="72"/>
        <n v="70"/>
        <n v="90"/>
        <n v="71"/>
        <n v="84"/>
        <n v="58"/>
        <n v="62"/>
        <n v="80"/>
        <n v="73"/>
        <n v="69"/>
        <n v="67"/>
        <n v="107"/>
        <n v="79"/>
        <n v="99"/>
        <n v="52"/>
        <n v="92"/>
        <n v="95"/>
        <n v="64"/>
        <n v="102"/>
        <n v="77"/>
        <n v="86"/>
        <n v="75"/>
        <n v="91"/>
        <n v="94"/>
        <n v="100"/>
        <n v="93"/>
        <n v="54"/>
        <n v="59"/>
        <n v="57"/>
        <n v="104"/>
        <n v="98"/>
        <n v="76"/>
        <n v="78"/>
        <n v="83"/>
        <n v="56"/>
        <n v="89"/>
        <n v="49"/>
        <n v="115"/>
        <n v="53"/>
        <n v="105"/>
        <n v="46"/>
        <n v="103"/>
        <n v="48"/>
        <n v="112"/>
        <n v="101"/>
        <n v="108"/>
        <n v="109"/>
        <n v="111"/>
        <n v="106"/>
        <n v="116"/>
        <n v="51"/>
        <n v="47"/>
        <n v="114"/>
        <n v="50"/>
        <n v="43"/>
        <n v="41"/>
        <n v="42"/>
      </sharedItems>
    </cacheField>
    <cacheField name="Height(cm)" numFmtId="0">
      <sharedItems containsSemiMixedTypes="0" containsString="0" containsNumber="1" containsInteger="1" minValue="143" maxValue="205"/>
    </cacheField>
    <cacheField name="BMI" numFmtId="164">
      <sharedItems containsSemiMixedTypes="0" containsString="0" containsNumber="1" minValue="10.048034506420938" maxValue="48.476454293628805" count="1053">
        <n v="19.486961451247168"/>
        <n v="27.755102040816325"/>
        <n v="23.808690171912751"/>
        <n v="26.472107438016529"/>
        <n v="25"/>
        <n v="23.095409007209515"/>
        <n v="23.306680053067517"/>
        <n v="28.982007003985025"/>
        <n v="21.258503401360546"/>
        <n v="22.589551436050055"/>
        <n v="30.470914127423825"/>
        <n v="29.938271604938269"/>
        <n v="26.277285078682549"/>
        <n v="23.384353741496604"/>
        <n v="26.82742078020452"/>
        <n v="19.494328922495274"/>
        <n v="21.107266435986162"/>
        <n v="29.75274443418488"/>
        <n v="21.977351118708221"/>
        <n v="24.221453287197235"/>
        <n v="18.827160493827158"/>
        <n v="27.170631566235961"/>
        <n v="21.200991370300692"/>
        <n v="27.117768595041323"/>
        <n v="19.379197433926961"/>
        <n v="31.221303948576679"/>
        <n v="20.957274202271499"/>
        <n v="25.10633270321361"/>
        <n v="25.249337204898371"/>
        <n v="23.836734693877553"/>
        <n v="24.158817968558527"/>
        <n v="20.679012345679013"/>
        <n v="28.725603371902601"/>
        <n v="23.334120982986768"/>
        <n v="24.391058839252899"/>
        <n v="28.616024973985429"/>
        <n v="22.471208763771418"/>
        <n v="23.183673469387756"/>
        <n v="25.605536332179934"/>
        <n v="27.13141179099237"/>
        <n v="25.436466643542602"/>
        <n v="22.77318640955005"/>
        <n v="25.013520822065985"/>
        <n v="19.100091827364558"/>
        <n v="22.920971074380166"/>
        <n v="26.309016557522373"/>
        <n v="20.015495867768596"/>
        <n v="21.773842357381334"/>
        <n v="23.888440980620498"/>
        <n v="20.626562158751735"/>
        <n v="28.367523664486843"/>
        <n v="20.715693808680545"/>
        <n v="24.675500270416443"/>
        <n v="20.145905192149201"/>
        <n v="26.395803401383272"/>
        <n v="26.693198087796361"/>
        <n v="20.675803402646501"/>
        <n v="21.545090797168363"/>
        <n v="23.323418063818284"/>
        <n v="26.511804065143288"/>
        <n v="38.514057631035335"/>
        <n v="22.145328719723185"/>
        <n v="19.409358296754156"/>
        <n v="27.959759875003428"/>
        <n v="25.992438563327031"/>
        <n v="25.308641975308639"/>
        <n v="22.99262444384723"/>
        <n v="24.508945765204302"/>
        <n v="23.848030481620569"/>
        <n v="26.59279778393352"/>
        <n v="22.222222222222221"/>
        <n v="27.763429752066116"/>
        <n v="25.059307026629689"/>
        <n v="25.746944318696244"/>
        <n v="31.795583304428252"/>
        <n v="23.255018638213471"/>
        <n v="35.918367346938773"/>
        <n v="23.120623596247853"/>
        <n v="25.680074054167036"/>
        <n v="40.404040404040408"/>
        <n v="21.513858510523864"/>
        <n v="25.14741588622962"/>
        <n v="28.692652849424622"/>
        <n v="26.038781163434905"/>
        <n v="22.598140495867771"/>
        <n v="25.95155709342561"/>
        <n v="31.122679945676779"/>
        <n v="23.20054323223178"/>
        <n v="21.799445105033691"/>
        <n v="22.282592106468055"/>
        <n v="30.864197530864196"/>
        <n v="26.878544423440452"/>
        <n v="27.77031263997133"/>
        <n v="21.79930795847751"/>
        <n v="21.718066089745729"/>
        <n v="19.596458121643199"/>
        <n v="27.769797950780426"/>
        <n v="22.152646502835537"/>
        <n v="22.839506172839506"/>
        <n v="23.959094229364496"/>
        <n v="21.678806798473808"/>
        <n v="22.491349480968861"/>
        <n v="21.971335857220122"/>
        <n v="23.030045351473927"/>
        <n v="19.047004132231404"/>
        <n v="25.697069943289225"/>
        <n v="24.337479718766904"/>
        <n v="26.588750913075234"/>
        <n v="18.991964937910883"/>
        <n v="19.723183391003463"/>
        <n v="24.725182932941294"/>
        <n v="15.773253415516033"/>
        <n v="23.243801652892564"/>
        <n v="14.074595355383536"/>
        <n v="24.898143956541425"/>
        <n v="24.092970521541954"/>
        <n v="25.737081414967538"/>
        <n v="19.835162956123252"/>
        <n v="27.072053311120367"/>
        <n v="29.26334020126011"/>
        <n v="30.127599243856331"/>
        <n v="26.234567901234566"/>
        <n v="24.4140625"/>
        <n v="27.714789619551524"/>
        <n v="22.093170054286073"/>
        <n v="21.132713440405748"/>
        <n v="22.694018931589476"/>
        <n v="25.393431120318084"/>
        <n v="31.834212415342844"/>
        <n v="25.469387755102041"/>
        <n v="26.543209876543209"/>
        <n v="14.559926229707107"/>
        <n v="20.613775155247495"/>
        <n v="27.041644131963228"/>
        <n v="24.515595463137995"/>
        <n v="20.936639118457304"/>
        <n v="27.160493827160494"/>
        <n v="23.92485822306238"/>
        <n v="20.685150239512268"/>
        <n v="22.03856749311295"/>
        <n v="27.732299776136855"/>
        <n v="23.719609250647608"/>
        <n v="18.724173553719009"/>
        <n v="18.68512110726644"/>
        <n v="21.736505252988767"/>
        <n v="28.703703703703702"/>
        <n v="24.489795918367346"/>
        <n v="23.507805325987146"/>
        <n v="17.916330735465376"/>
        <n v="25.617283950617281"/>
        <n v="31.919307989402789"/>
        <n v="21.469150482230148"/>
        <n v="23.545706371191137"/>
        <n v="19.377162629757787"/>
        <n v="20.796729893506402"/>
        <n v="22.136739730004358"/>
        <n v="19.607156612163443"/>
        <n v="29.860551225775623"/>
        <n v="18.903591682419659"/>
        <n v="26.555965935105768"/>
        <n v="26.296566837107374"/>
        <n v="21.604938271604937"/>
        <n v="27.102040816326532"/>
        <n v="26.004382761139514"/>
        <n v="20.428357113217785"/>
        <n v="27.450604870886398"/>
        <n v="25.099501595611173"/>
        <n v="24.485652005136011"/>
        <n v="33.802055164954034"/>
        <n v="22.395413419331717"/>
        <n v="20.195578231292519"/>
        <n v="27.727478497057493"/>
        <n v="25.082863029651524"/>
        <n v="26.584201388888889"/>
        <n v="24.302487059714682"/>
        <n v="21.9671201814059"/>
        <n v="28.068918152229088"/>
        <n v="30.189590629151066"/>
        <n v="25.909456951787405"/>
        <n v="21.224489795918366"/>
        <n v="19.834710743801654"/>
        <n v="27.471688898385274"/>
        <n v="24.930747922437675"/>
        <n v="21.146319909102385"/>
        <n v="21.453287197231838"/>
        <n v="26.881720430107524"/>
        <n v="22.634676324128566"/>
        <n v="20.987654320987652"/>
        <n v="25.711662075298442"/>
        <n v="22.530864197530864"/>
        <n v="24.187046492878256"/>
        <n v="26.041666666666668"/>
        <n v="33.412409368839583"/>
        <n v="21.872422819032593"/>
        <n v="26.061679307694877"/>
        <n v="24.419279020786909"/>
        <n v="22.837370242214536"/>
        <n v="23.620287912158062"/>
        <n v="21.155294202015131"/>
        <n v="24.913494809688583"/>
        <n v="24.772096710265558"/>
        <n v="23.148148148148145"/>
        <n v="22.321428571428577"/>
        <n v="22.720438370810918"/>
        <n v="21.383941996057334"/>
        <n v="25.945483959586092"/>
        <n v="18.92915089237426"/>
        <n v="17.361111111111114"/>
        <n v="22.058051188683873"/>
        <n v="27.364663890541348"/>
        <n v="23.875114784205696"/>
        <n v="23.040020199469762"/>
        <n v="19.78969754253308"/>
        <n v="21.061628155428711"/>
        <n v="24.691358024691358"/>
        <n v="23.1084345786212"/>
        <n v="25.661152034778407"/>
        <n v="20.07960127648894"/>
        <n v="23.735308416025617"/>
        <n v="23.808797045267237"/>
        <n v="19.362472659471475"/>
        <n v="20.603780345785182"/>
        <n v="20.478266613819528"/>
        <n v="20.43816558499767"/>
        <n v="26.575890590940304"/>
        <n v="15.123456790123456"/>
        <n v="22.129739727837229"/>
        <n v="20.415224913494811"/>
        <n v="20.322252866889244"/>
        <n v="21.534908398614277"/>
        <n v="25.712198685171657"/>
        <n v="19.369834710743802"/>
        <n v="25.029760996306585"/>
        <n v="21.138855859426609"/>
        <n v="26.863298703434666"/>
        <n v="21.612811791383223"/>
        <n v="22.857142857142858"/>
        <n v="22.204081632653061"/>
        <n v="27.16644791062544"/>
        <n v="23.566632231404959"/>
        <n v="20.983987603305785"/>
        <n v="18.339100346020764"/>
        <n v="15.465219038000251"/>
        <n v="14.956808400231983"/>
        <n v="22.03840115928028"/>
        <n v="23.388686558187711"/>
        <n v="24.897060231734173"/>
        <n v="22.229061933586404"/>
        <n v="30.071168431955627"/>
        <n v="27.173119065010955"/>
        <n v="23.529411764705884"/>
        <n v="20.147971991015986"/>
        <n v="27.776929886145112"/>
        <n v="29.396221429515126"/>
        <n v="21.385936352899868"/>
        <n v="20.244897959183675"/>
        <n v="20.549886621315196"/>
        <n v="30.246913580246911"/>
        <n v="19.817677368212443"/>
        <n v="22.275309917355372"/>
        <n v="26.448979591836736"/>
        <n v="27.170771187420506"/>
        <n v="19.151191819705211"/>
        <n v="30.026594984128796"/>
        <n v="18.424036281179141"/>
        <n v="23.991212856977683"/>
        <n v="20.061728395061728"/>
        <n v="23.589835468362743"/>
        <n v="25.195263290501387"/>
        <n v="23.140495867768596"/>
        <n v="26.566839753652939"/>
        <n v="23.025684602944001"/>
        <n v="13.735853563856788"/>
        <n v="28.086260330578511"/>
        <n v="22.052190183434128"/>
        <n v="25.826446280991735"/>
        <n v="20.808561236623067"/>
        <n v="26.287807183364837"/>
        <n v="28.049671292914532"/>
        <n v="20.902385858042937"/>
        <n v="27.173101615455817"/>
        <n v="20.598608033457133"/>
        <n v="30.42296786389414"/>
        <n v="27.335640138408309"/>
        <n v="20.569329660238754"/>
        <n v="24.858365128916635"/>
        <n v="22.068809416025353"/>
        <n v="26.446280991735541"/>
        <n v="23.183391003460208"/>
        <n v="26.753864447086801"/>
        <n v="23.515579071134628"/>
        <n v="26.861206922865602"/>
        <n v="28.089887640449437"/>
        <n v="27.428571428571427"/>
        <n v="23.93948099205209"/>
        <n v="22.724403484408533"/>
        <n v="23.671253629592222"/>
        <n v="13.88721168940949"/>
        <n v="21.30394857667585"/>
        <n v="26.26494384736143"/>
        <n v="15.854141894569956"/>
        <n v="19.841269841269845"/>
        <n v="14.333064588372299"/>
        <n v="22.981901752370007"/>
        <n v="26.365603028664147"/>
        <n v="28.905075731298414"/>
        <n v="27.77442337881898"/>
        <n v="24.635368550712467"/>
        <n v="20.861119660750319"/>
        <n v="24.618103774775911"/>
        <n v="27.143037495265748"/>
        <n v="16.037956497043002"/>
        <n v="20.904195011337873"/>
        <n v="24.535123966942148"/>
        <n v="27.101711127643746"/>
        <n v="25.880570635020831"/>
        <n v="22.4058769513315"/>
        <n v="24.163265306122447"/>
        <n v="23.40750912892856"/>
        <n v="24.280263614290668"/>
        <n v="22.014013799028163"/>
        <n v="16.806134238997235"/>
        <n v="19.713321527615356"/>
        <n v="22.408786769347305"/>
        <n v="22.862534475250399"/>
        <n v="19.396322669784251"/>
        <n v="21.329437545653761"/>
        <n v="22.835009827725745"/>
        <n v="26.878678134902671"/>
        <n v="30.930438076000502"/>
        <n v="18.413907181423802"/>
        <n v="25.464010864644639"/>
        <n v="23.963513617975213"/>
        <n v="25.402816083611555"/>
        <n v="28.089010954714272"/>
        <n v="18.621386188612547"/>
        <n v="23.951226593119468"/>
        <n v="24.755464315903875"/>
        <n v="21.306818181818183"/>
        <n v="24.251278305332356"/>
        <n v="18.832391713747644"/>
        <n v="34.955213632533315"/>
        <n v="35.349072086857717"/>
        <n v="21.707923392038097"/>
        <n v="22.395789591556788"/>
        <n v="23.76543209876543"/>
        <n v="40.644505733778487"/>
        <n v="25.755158030290307"/>
        <n v="26.595000139973685"/>
        <n v="20.381569714992146"/>
        <n v="23.225431847873423"/>
        <n v="20.305174833527424"/>
        <n v="21.6712580348944"/>
        <n v="38.302383639410422"/>
        <n v="21.787650122223404"/>
        <n v="26.122448979591837"/>
        <n v="20.761245674740486"/>
        <n v="27.423822714681442"/>
        <n v="27.776910832995224"/>
        <n v="19.591836734693878"/>
        <n v="25.359256128486894"/>
        <n v="22.386314277122523"/>
        <n v="24.56931437160365"/>
        <n v="24.382372978593711"/>
        <n v="25.420014609203797"/>
        <n v="28.997893837184456"/>
        <n v="25.381468541909282"/>
        <n v="33.690051525961159"/>
        <n v="22.991689750692522"/>
        <n v="23.702162099664697"/>
        <n v="21.913805697589478"/>
        <n v="25.559329155141629"/>
        <n v="33.306122448979593"/>
        <n v="23.738662131519277"/>
        <n v="24.382716049382715"/>
        <n v="21.629648760330578"/>
        <n v="18.937002903673779"/>
        <n v="19.26530612244898"/>
        <n v="24.784257517393769"/>
        <n v="22.408178985329648"/>
        <n v="25.401701323251416"/>
        <n v="25.725517400855587"/>
        <n v="21.777553339224845"/>
        <n v="35.294117647058826"/>
        <n v="23.661438615467823"/>
        <n v="20.775623268698062"/>
        <n v="22.230987127541326"/>
        <n v="29.320987654320987"/>
        <n v="26.729927495071667"/>
        <n v="24.968009737523797"/>
        <n v="21.63331530557058"/>
        <n v="27.114821874412737"/>
        <n v="31.481481481481481"/>
        <n v="25.057360222195385"/>
        <n v="22.985397512168742"/>
        <n v="31.134580751503311"/>
        <n v="33.057851239669425"/>
        <n v="24.677021338365513"/>
        <n v="23.98687034465345"/>
        <n v="27.465303140978815"/>
        <n v="26.874496103198062"/>
        <n v="25.280109859242845"/>
        <n v="23.938989774631512"/>
        <n v="25.33500198406642"/>
        <n v="24.567474048442911"/>
        <n v="27.994736989445986"/>
        <n v="21.49959688255845"/>
        <n v="19.493177387914233"/>
        <n v="31.887755102040821"/>
        <n v="26.880934989043094"/>
        <n v="25.640242971826257"/>
        <n v="18.518518518518519"/>
        <n v="23.889462809917354"/>
        <n v="24.332277048438208"/>
        <n v="21.551020408163264"/>
        <n v="20.74506939371804"/>
        <n v="27.777777777777775"/>
        <n v="25.535446391522228"/>
        <n v="23.588329220496444"/>
        <n v="22.790328973444311"/>
        <n v="29.025311319871417"/>
        <n v="22.477454017159619"/>
        <n v="19.605191995673341"/>
        <n v="20.747550193111813"/>
        <n v="22.351742870076958"/>
        <n v="26.583175803402646"/>
        <n v="31.141868512110729"/>
        <n v="22.944088878154812"/>
        <n v="23.458562375266975"/>
        <n v="24.685329861111111"/>
        <n v="23.450918219051392"/>
        <n v="23.510204081632654"/>
        <n v="21.461936624163616"/>
        <n v="23.291229956104985"/>
        <n v="25.351541373715524"/>
        <n v="17.632653061224488"/>
        <n v="27.748872702046476"/>
        <n v="26.309431125667803"/>
        <n v="30.778701138811947"/>
        <n v="19.444444444444443"/>
        <n v="30.457762250291136"/>
        <n v="23.355636914530994"/>
        <n v="30.556813037573566"/>
        <n v="21.447567845806283"/>
        <n v="24.220226843100189"/>
        <n v="23.849776597029344"/>
        <n v="26.846358291497758"/>
        <n v="28.027681660899656"/>
        <n v="24.074074074074073"/>
        <n v="30.756367762548894"/>
        <n v="28.698979591836739"/>
        <n v="24.724520008546747"/>
        <n v="21.266540642722116"/>
        <n v="20.202020202020204"/>
        <n v="24.879178701135288"/>
        <n v="18.924941241109856"/>
        <n v="20.61925365062196"/>
        <n v="29.411764705882355"/>
        <n v="19.927728770326283"/>
        <n v="26.794938016528928"/>
        <n v="22.15910864205237"/>
        <n v="21.877551020408163"/>
        <n v="27.379664683612766"/>
        <n v="31.561671506122963"/>
        <n v="27.774270925388208"/>
        <n v="21.621621621621621"/>
        <n v="25.592209980961893"/>
        <n v="26.040952824758094"/>
        <n v="25.925925925925924"/>
        <n v="24.835646457268076"/>
        <n v="28.596757127741711"/>
        <n v="21.357795595392322"/>
        <n v="28.650137741046834"/>
        <n v="21.203105228959341"/>
        <n v="20.233553011908889"/>
        <n v="18.826793499801823"/>
        <n v="26.643598615916957"/>
        <n v="22.955684331345708"/>
        <n v="25.165146272412706"/>
        <n v="21.798202394816204"/>
        <n v="30.023243801652892"/>
        <n v="28.666129176744597"/>
        <n v="22.460034350640772"/>
        <n v="23.374726077428779"/>
        <n v="19.151584793641671"/>
        <n v="24.114038033027075"/>
        <n v="26.989619377162633"/>
        <n v="26.493025631204315"/>
        <n v="28.305995064595734"/>
        <n v="24.023808670084982"/>
        <n v="23.054562464499313"/>
        <n v="24.111507464658473"/>
        <n v="23.999459167117362"/>
        <n v="25.762980578676178"/>
        <n v="32.146312537061888"/>
        <n v="29.114526469023826"/>
        <n v="18.778344671201818"/>
        <n v="28.400547963513649"/>
        <n v="17.374452871796585"/>
        <n v="18.726007303142847"/>
        <n v="25.127830533235937"/>
        <n v="26.514481957526325"/>
        <n v="21.835894851767868"/>
        <n v="22.67573696145125"/>
        <n v="23.038752362948959"/>
        <n v="22.024322512687924"/>
        <n v="19.257028815517668"/>
        <n v="17.959183673469386"/>
        <n v="16.245274102079396"/>
        <n v="26.014568158168572"/>
        <n v="28.73469387755102"/>
        <n v="23.26869806094183"/>
        <n v="24.933720489837143"/>
        <n v="21.04981790236894"/>
        <n v="15.397105344195293"/>
        <n v="20.436158002295571"/>
        <n v="29.561945713517868"/>
        <n v="26.029877772747852"/>
        <n v="19.721036967980208"/>
        <n v="19.943212547322879"/>
        <n v="17.165506694547613"/>
        <n v="25.259515570934258"/>
        <n v="28.928336620644316"/>
        <n v="24.307243558580453"/>
        <n v="20.830703194041156"/>
        <n v="26.874947509868147"/>
        <n v="26.297577854671282"/>
        <n v="25.564953919959599"/>
        <n v="24.543462381300216"/>
        <n v="26.854405574103644"/>
        <n v="30.853994490358129"/>
        <n v="19.038107424861895"/>
        <n v="22.877405702193368"/>
        <n v="21.97265625"/>
        <n v="19.97440779001904"/>
        <n v="25.039918710988534"/>
        <n v="20.65754000210077"/>
        <n v="22.587833094227893"/>
        <n v="24.021275987303035"/>
        <n v="21.389756041160826"/>
        <n v="19.031141868512112"/>
        <n v="29.065743944636683"/>
        <n v="33.641975308641975"/>
        <n v="30.839746491625171"/>
        <n v="27.471707127713575"/>
        <n v="31.020408163265305"/>
        <n v="36.419526212035152"/>
        <n v="38.619614512471664"/>
        <n v="23.456790123456788"/>
        <n v="25.510204081632658"/>
        <n v="21.913580246913579"/>
        <n v="28.685144680698485"/>
        <n v="32.785916824196597"/>
        <n v="23.781212841854934"/>
        <n v="33.145211860610942"/>
        <n v="31.074158058285043"/>
        <n v="21.007667798746546"/>
        <n v="20.571428571428573"/>
        <n v="22.647376960519203"/>
        <n v="26.303618915481554"/>
        <n v="29.483177245924381"/>
        <n v="19.944502254595903"/>
        <n v="20.281233098972418"/>
        <n v="36.244897959183675"/>
        <n v="19.753086419753085"/>
        <n v="32.084634061741241"/>
        <n v="27.383285457327716"/>
        <n v="24.69864962817794"/>
        <n v="25.18107741059303"/>
        <n v="23.766410140334994"/>
        <n v="24.944491653189331"/>
        <n v="18.619700253350018"/>
        <n v="19.662307668299992"/>
        <n v="39.32823129251701"/>
        <n v="27.398175682448461"/>
        <n v="28.378215191402003"/>
        <n v="26.880951700077208"/>
        <n v="20.069204152249139"/>
        <n v="28.293345405160707"/>
        <n v="28.010411951109102"/>
        <n v="20.307412205454995"/>
        <n v="20.047445621303751"/>
        <n v="24.242424242424246"/>
        <n v="22.790357925493058"/>
        <n v="27.876397107166341"/>
        <n v="23.547880690737831"/>
        <n v="17.319119710949863"/>
        <n v="23.301094832264035"/>
        <n v="19.157088122605362"/>
        <n v="16.23694745387867"/>
        <n v="21.857277882797732"/>
        <n v="24.031709372366656"/>
        <n v="27.459821944733491"/>
        <n v="25.978679566424791"/>
        <n v="19.233560749020178"/>
        <n v="19.019442096365172"/>
        <n v="26.868735659944448"/>
        <n v="23.299799895836188"/>
        <n v="29.283902910276534"/>
        <n v="30.506245890861276"/>
        <n v="23.629489603024574"/>
        <n v="23.087868130688072"/>
        <n v="29.036737785633125"/>
        <n v="22.1606648199446"/>
        <n v="18.305769473551319"/>
        <n v="22.498173849525198"/>
        <n v="24.967113211092915"/>
        <n v="21.296296296296294"/>
        <n v="24.801587301587304"/>
        <n v="21.22000905387053"/>
        <n v="20.811654526534856"/>
        <n v="28.859212313263921"/>
        <n v="20.156210632401109"/>
        <n v="19.487382745408905"/>
        <n v="19.576333089846603"/>
        <n v="21.222808276895229"/>
        <n v="22.340297065571789"/>
        <n v="22.662708672475979"/>
        <n v="22.343515592581952"/>
        <n v="21.887076365377382"/>
        <n v="29.726516052318669"/>
        <n v="18.125235115078144"/>
        <n v="26.851851851851851"/>
        <n v="22.758306781975424"/>
        <n v="25.142857142857142"/>
        <n v="24.099722991689752"/>
        <n v="30.585811928466654"/>
        <n v="23.12406058503873"/>
        <n v="29.639889196675902"/>
        <n v="24.151672503320853"/>
        <n v="33.910034602076131"/>
        <n v="22.530612244897959"/>
        <n v="35.996326905417817"/>
        <n v="31.637396694214878"/>
        <n v="27.434842249657066"/>
        <n v="16.516894823773132"/>
        <n v="24.20866305705956"/>
        <n v="29.536862003780715"/>
        <n v="29.194126488611396"/>
        <n v="27.45288684263204"/>
        <n v="25.766837531865903"/>
        <n v="16.693073789044817"/>
        <n v="30.067921286477489"/>
        <n v="22.913033070004449"/>
        <n v="22.743383742911153"/>
        <n v="21.066743273005841"/>
        <n v="23.23563170124017"/>
        <n v="18.732782369146008"/>
        <n v="27.173913043478258"/>
        <n v="27.180899908172638"/>
        <n v="17.238860482103725"/>
        <n v="25.102391333069097"/>
        <n v="28.39506172839506"/>
        <n v="19.957284408809219"/>
        <n v="25.795918367346939"/>
        <n v="27.126736111111111"/>
        <n v="31.652184299322162"/>
        <n v="24.447278911564631"/>
        <n v="19.188070502453332"/>
        <n v="28.082170873904946"/>
        <n v="26.869806094182827"/>
        <n v="18.591130340724717"/>
        <n v="22.309356408869661"/>
        <n v="29.402920244578837"/>
        <n v="29.384756657483933"/>
        <n v="30.793382441734089"/>
        <n v="23.666910153396639"/>
        <n v="18.496498876998281"/>
        <n v="29.802775748721693"/>
        <n v="16.343490304709142"/>
        <n v="22.75"/>
        <n v="24.343809494085704"/>
        <n v="22.499637102627378"/>
        <n v="16.65249433106576"/>
        <n v="26.594984128799791"/>
        <n v="15.703832403354605"/>
        <n v="13.440475850038604"/>
        <n v="13.297872340425533"/>
        <n v="13.882325141776937"/>
        <n v="19.467401285583104"/>
        <n v="22.448015122873343"/>
        <n v="14.833985607877793"/>
        <n v="21.745550216113184"/>
        <n v="29.878566925248762"/>
        <n v="24.049343594386603"/>
        <n v="26.315052770079227"/>
        <n v="20.528921627822726"/>
        <n v="27.411529289219047"/>
        <n v="26.577894708582782"/>
        <n v="24.655909615804749"/>
        <n v="24.964946479258579"/>
        <n v="19.840664204389366"/>
        <n v="19.883853048857468"/>
        <n v="24.577867151840145"/>
        <n v="15.523847271766416"/>
        <n v="31.249143389709712"/>
        <n v="25.50404037692287"/>
        <n v="25.306932047467601"/>
        <n v="18.938775510204081"/>
        <n v="29.14214576731553"/>
        <n v="29.168692270296543"/>
        <n v="20.109164033323754"/>
        <n v="25.432685955872639"/>
        <n v="18.376825152861773"/>
        <n v="28.373702422145332"/>
        <n v="25.904310102680942"/>
        <n v="24.212293388429753"/>
        <n v="29.085872576177287"/>
        <n v="24.314123965742489"/>
        <n v="28.719723183391007"/>
        <n v="23.722810651876106"/>
        <n v="22.917609778180175"/>
        <n v="28.405337561104506"/>
        <n v="25.864512471655331"/>
        <n v="22.59143813091595"/>
        <n v="26.927437641723358"/>
        <n v="25.218606946081522"/>
        <n v="21.037253469685901"/>
        <n v="27.146814404432135"/>
        <n v="29.745808545159548"/>
        <n v="30.350329517863333"/>
        <n v="30.524098775983639"/>
        <n v="26.813590449954088"/>
        <n v="18.365472910927458"/>
        <n v="22.642192971863299"/>
        <n v="17.674536043428859"/>
        <n v="24.742373227221712"/>
        <n v="29.394473838918284"/>
        <n v="29.352354500694357"/>
        <n v="29.510591672753833"/>
        <n v="26.775510204081634"/>
        <n v="22.096807907073963"/>
        <n v="26.592669672794539"/>
        <n v="21.366869143188548"/>
        <n v="24.977043158861342"/>
        <n v="25.207756232686982"/>
        <n v="20.193431820597301"/>
        <n v="28.408184110568481"/>
        <n v="24.615210502489816"/>
        <n v="19.802517361111111"/>
        <n v="25.209201358495854"/>
        <n v="24.453568409612362"/>
        <n v="21.672110130948383"/>
        <n v="23.87543252595156"/>
        <n v="18.078512396694215"/>
        <n v="27.609451755172291"/>
        <n v="20.830817534114235"/>
        <n v="23.795526441029089"/>
        <n v="28.926223520818112"/>
        <n v="28.081632653061224"/>
        <n v="17.25"/>
        <n v="19.045073340238563"/>
        <n v="25.727555214006482"/>
        <n v="19.692665289256198"/>
        <n v="26.595744680851066"/>
        <n v="27.764650283553873"/>
        <n v="26.035105400184765"/>
        <n v="29.218407596785973"/>
        <n v="21.048047612135289"/>
        <n v="18.467220683287167"/>
        <n v="28.355387523629489"/>
        <n v="25.770399305555557"/>
        <n v="26.023048986244955"/>
        <n v="25.235576794007894"/>
        <n v="21.410944984758313"/>
        <n v="26.312811226799457"/>
        <n v="25.854639471416256"/>
        <n v="22.474179944950883"/>
        <n v="28.554631729234906"/>
        <n v="25.772503959837849"/>
        <n v="25.246548323471401"/>
        <n v="19.623233908948194"/>
        <n v="24.266543716178511"/>
        <n v="24.857954545454547"/>
        <n v="19.568236333796236"/>
        <n v="19.267171444023798"/>
        <n v="14.25"/>
        <n v="26.25072494734593"/>
        <n v="21.847008520333322"/>
        <n v="17.208066658616108"/>
        <n v="17.020514198692105"/>
        <n v="27.152710589557131"/>
        <n v="27.08415906989034"/>
        <n v="20.99605274208449"/>
        <n v="19.350207546580943"/>
        <n v="20.910708155176181"/>
        <n v="17.592592592592592"/>
        <n v="15.957000083984212"/>
        <n v="25.48476454293629"/>
        <n v="12.700850661625708"/>
        <n v="20.085066162570886"/>
        <n v="28.405504355510669"/>
        <n v="28.060018903591683"/>
        <n v="20.006569321269669"/>
        <n v="30.829339763743477"/>
        <n v="23.913274524391539"/>
        <n v="25.492722238973712"/>
        <n v="27.350427350427353"/>
        <n v="25.761772853185597"/>
        <n v="24.161722462347985"/>
        <n v="10.75"/>
        <n v="20.303697560696612"/>
        <n v="23.057725694444446"/>
        <n v="24.37673130193906"/>
        <n v="17.70857696548498"/>
        <n v="13.881714876033058"/>
        <n v="26.315068117650284"/>
        <n v="28.387411861664784"/>
        <n v="13.125362473672965"/>
        <n v="27.70083102493075"/>
        <n v="28.634039444850252"/>
        <n v="23.483476686283389"/>
        <n v="20.515086478979924"/>
        <n v="14.040816326530612"/>
        <n v="15.794306703397615"/>
        <n v="19.918367346938776"/>
        <n v="13.725302435443199"/>
        <n v="31.69907016060862"/>
        <n v="28.086419753086417"/>
        <n v="21.561909262759922"/>
        <n v="27.16161158895428"/>
        <n v="13.271604938271604"/>
        <n v="24.622960911049557"/>
        <n v="11.851081049832349"/>
        <n v="27.940538194444446"/>
        <n v="30.061278760550348"/>
        <n v="24.609733700642796"/>
        <n v="18.809206251496189"/>
        <n v="20.227025721531216"/>
        <n v="10.048034506420938"/>
        <n v="13.086916275655144"/>
        <n v="23.448169239094025"/>
        <n v="26.216410224399986"/>
        <n v="29.330336339464381"/>
        <n v="28.310789556464293"/>
        <n v="10.148263656840181"/>
        <n v="14.701136648857974"/>
        <n v="24.178977574662557"/>
        <n v="22.893074081987731"/>
        <n v="21.967857555786793"/>
        <n v="18.206645425580341"/>
        <n v="12.377732157951938"/>
        <n v="12.654320987654319"/>
        <n v="14.186851211072666"/>
        <n v="12.110113421550095"/>
        <n v="28.531855955678672"/>
        <n v="30.555850781166971"/>
        <n v="35.640138408304502"/>
        <n v="27.398003472222221"/>
        <n v="26.173832551310287"/>
        <n v="37.832874196510566"/>
        <n v="31.79012345679012"/>
        <n v="28.188676206072646"/>
        <n v="33.632653061224488"/>
        <n v="31.439821739263149"/>
        <n v="31.354105428179505"/>
        <n v="21.295294753921041"/>
        <n v="23.082542001460919"/>
        <n v="26.196187350082059"/>
        <n v="27.744748315497421"/>
        <n v="24.670376360297141"/>
        <n v="28.964734689002356"/>
        <n v="26.423569824283259"/>
        <n v="22.282477381943139"/>
        <n v="41.138659320477508"/>
        <n v="26.149276859504134"/>
        <n v="28.024821985186875"/>
        <n v="36.571428571428569"/>
        <n v="34.567901234567898"/>
        <n v="40.159202552977881"/>
        <n v="34.186990629101679"/>
        <n v="19.959355494266223"/>
        <n v="35.749624948131121"/>
        <n v="11.883205070167497"/>
        <n v="19.159827275586945"/>
        <n v="26.026174895895306"/>
        <n v="20.449137418203453"/>
        <n v="21.192742415229034"/>
        <n v="22.308149910767405"/>
        <n v="18.590124925639504"/>
        <n v="23.051754907792983"/>
        <n v="22.679952409280194"/>
        <n v="20.077334919690664"/>
        <n v="23.795359904818564"/>
        <n v="25.654372397382513"/>
        <n v="21.564544913741823"/>
        <n v="24.538964901844146"/>
        <n v="18.961927424152293"/>
        <n v="25.282569898869724"/>
        <n v="20.820939916716245"/>
        <n v="21.936347412254616"/>
        <n v="40.52647233789412"/>
        <n v="36.43664485425343"/>
        <n v="27.141582391433676"/>
        <n v="15.987507436049974"/>
        <n v="41.64187983343249"/>
        <n v="19.571681282697881"/>
        <n v="32.38835543362292"/>
        <n v="20.832529609197174"/>
        <n v="19.948059768903612"/>
        <n v="31.992171327486922"/>
        <n v="21.829952199932254"/>
        <n v="21.093749999999996"/>
        <n v="22.265624999999996"/>
        <n v="25.390624999999996"/>
        <n v="20.5456936226167"/>
        <n v="20.700816741315069"/>
        <n v="21.631148854350261"/>
        <n v="21.367521367521366"/>
        <n v="24.464601603372351"/>
        <n v="40.057683063611591"/>
        <n v="19.531249999999996"/>
        <n v="19.433013260173752"/>
        <n v="19.650561749754367"/>
        <n v="22.10028959000152"/>
        <n v="25.59373706198954"/>
        <n v="21.218317194552675"/>
        <n v="19.227687870533565"/>
        <n v="18.442545824080696"/>
        <n v="20.195092211553114"/>
        <n v="19.62826470116968"/>
        <n v="22.959087658549439"/>
        <n v="26.346494034400994"/>
        <n v="19.909972299168974"/>
        <n v="17.968749999999996"/>
        <n v="20.429418362441915"/>
        <n v="19.146722164412068"/>
        <n v="17.313410365463511"/>
        <n v="20.060954438486167"/>
        <n v="20.957171162932475"/>
        <n v="22.718974400584202"/>
        <n v="21.453573713726524"/>
        <n v="21.333333333333332"/>
        <n v="23.533042706685695"/>
        <n v="23.634033007530842"/>
        <n v="48.476454293628805"/>
        <n v="44.864605031244984"/>
        <n v="23.733238400379729"/>
        <n v="22.600262984878366"/>
        <n v="40.85883672488383"/>
        <n v="41.380989086778364"/>
        <n v="19.814052735863431"/>
        <n v="21.484374999999996"/>
        <n v="20.964360587002094"/>
        <n v="24.767565919829291"/>
        <n v="22.313278429145196"/>
        <n v="22.942130453700404"/>
        <n v="42.45577523413111"/>
        <n v="23.337684427040067"/>
        <n v="30.078124999999993"/>
        <n v="36.051914757250437"/>
        <n v="24.973985431841829"/>
        <n v="22.862368541380881"/>
        <n v="21.75546853368142"/>
        <n v="42.806183115338882"/>
        <n v="20.446742023841672"/>
        <n v="35.6718192627824"/>
        <n v="31.624219935908247"/>
        <n v="20.028841531805796"/>
        <n v="21.230572023714146"/>
        <n v="21.644120707596251"/>
        <n v="23.147255121330193"/>
        <n v="23.437499999999996"/>
        <n v="38.525564803804997"/>
        <n v="22.582709172343712"/>
        <n v="21.989892365263682"/>
        <n v="22.546576480360741"/>
        <n v="24.341758286340216"/>
        <n v="37.098692033293695"/>
        <n v="30.853209920493647"/>
        <n v="23.233456176894723"/>
        <n v="20.576131687242793"/>
        <n v="34.963579604578563"/>
        <n v="20.703124999999996"/>
        <n v="34.078461600876302"/>
        <n v="23.624447492760247"/>
        <n v="45.960532973519989"/>
        <n v="45.369406867845989"/>
        <n v="18.749999999999996"/>
        <n v="21.7784352399737"/>
        <n v="19.675166853130666"/>
        <n v="20.568806613662431"/>
        <n v="24.005486968449926"/>
        <n v="41.778011968835862"/>
        <n v="27.434842249657059"/>
        <n v="21.874999999999996"/>
        <n v="32.430971577856852"/>
        <n v="21.907582457706194"/>
        <n v="25.536703601108034"/>
        <n v="20.239500758981279"/>
        <n v="30.359251138471919"/>
        <n v="19.396188227357058"/>
        <n v="39.256529402339361"/>
        <n v="20.312499999999996"/>
        <n v="18.066167337874969"/>
        <n v="36.885091648161392"/>
        <n v="37.341868617588773"/>
        <n v="22.481329065691202"/>
        <n v="20.82999519307803"/>
        <n v="20.28479857195018"/>
        <n v="24.034609838166958"/>
        <n v="22.656249999999996"/>
        <n v="28.85226661450438"/>
        <n v="22.031725684986377"/>
        <n v="22.206330686137981"/>
        <n v="20.077747874749029"/>
        <n v="18.132016511708652"/>
        <n v="18.359374999999996"/>
        <n v="21.051708258409718"/>
        <n v="22.984008997995016"/>
        <n v="19.473406629072173"/>
        <n v="22.375679950619187"/>
        <n v="23.046874999999996"/>
        <n v="21.719250114311837"/>
        <n v="23.828124999999996"/>
        <n v="19.051973784484069"/>
        <n v="29.830309550589273"/>
        <n v="21.359914560341757"/>
        <n v="22.761467535974688"/>
        <n v="27.475629493018182"/>
        <n v="35.698567167098638"/>
        <n v="24.840980089578082"/>
        <n v="30.38501560874089"/>
        <n v="25.14860539551897"/>
        <n v="21.077195227520797"/>
        <n v="23.335466144755166"/>
        <n v="23.124670372023203"/>
        <n v="21.208448753462605"/>
        <n v="19.140624999999996"/>
        <n v="26.953124999999996"/>
        <n v="33.742481294928851"/>
        <n v="25.970115548195267"/>
        <n v="20.324438255109339"/>
        <n v="29.475842624631554"/>
        <n v="26.291723822588015"/>
        <n v="23.936062314901211"/>
        <n v="20.690494543389182"/>
        <n v="22.832879346258608"/>
        <n v="20.956607495069033"/>
        <n v="25.781249999999996"/>
        <n v="28.604764951635367"/>
        <n v="22.07409972299169"/>
        <n v="21.096190514828187"/>
        <n v="16.588866170286639"/>
        <n v="25.529644871208653"/>
        <n v="22.64086462471699"/>
        <n v="24.088223117166624"/>
        <n v="39.247065996037179"/>
        <n v="40.234374999999993"/>
        <n v="47.225501770956321"/>
        <n v="21.338210638622158"/>
        <n v="43.749999999999993"/>
        <n v="43.145956607495066"/>
      </sharedItems>
      <fieldGroup base="7">
        <rangePr autoStart="0" autoEnd="0" startNum="10.039999999999999" endNum="48.47" groupInterval="2"/>
        <groupItems count="22">
          <s v="&lt;10.04"/>
          <s v="10.04-12.04"/>
          <s v="12.04-14.04"/>
          <s v="14.04-16.04"/>
          <s v="16.04-18.04"/>
          <s v="18.04-20.04"/>
          <s v="20.04-22.04"/>
          <s v="22.04-24.04"/>
          <s v="24.04-26.04"/>
          <s v="26.04-28.04"/>
          <s v="28.04-30.04"/>
          <s v="30.04-32.04"/>
          <s v="32.04-34.04"/>
          <s v="34.04-36.04"/>
          <s v="36.04-38.04"/>
          <s v="38.04-40.04"/>
          <s v="40.04-42.04"/>
          <s v="42.04-44.04"/>
          <s v="44.04-46.04"/>
          <s v="46.04-48.04"/>
          <s v="48.04-50.04"/>
          <s v="&gt;50.04"/>
        </groupItems>
      </fieldGroup>
    </cacheField>
    <cacheField name="Weight level" numFmtId="0">
      <sharedItems count="3">
        <s v="Average weight"/>
        <s v="Over weight"/>
        <s v="NA" u="1"/>
      </sharedItems>
    </cacheField>
    <cacheField name="Height level" numFmtId="0">
      <sharedItems count="4">
        <s v="Above Average height"/>
        <s v="Average height"/>
        <s v="Below Average height"/>
        <s v="NA" u="1"/>
      </sharedItems>
    </cacheField>
    <cacheField name="Age Group" numFmtId="0">
      <sharedItems count="4">
        <s v="Young Adults"/>
        <s v="Children"/>
        <s v="Middle-aged Adults"/>
        <s v="Old Adults"/>
      </sharedItems>
    </cacheField>
  </cacheFields>
  <extLst>
    <ext xmlns:x14="http://schemas.microsoft.com/office/spreadsheetml/2009/9/main" uri="{725AE2AE-9491-48be-B2B4-4EB974FC3084}">
      <x14:pivotCacheDefinition pivotCacheId="212884941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606">
  <r>
    <n v="1"/>
    <s v="Abbas Muhammad"/>
    <x v="0"/>
    <x v="0"/>
    <x v="0"/>
    <x v="0"/>
    <n v="168"/>
    <x v="0"/>
    <x v="0"/>
    <x v="0"/>
    <x v="0"/>
  </r>
  <r>
    <n v="2"/>
    <s v="Abbott Jeremy"/>
    <x v="1"/>
    <x v="1"/>
    <x v="1"/>
    <x v="1"/>
    <n v="175"/>
    <x v="1"/>
    <x v="0"/>
    <x v="0"/>
    <x v="0"/>
  </r>
  <r>
    <n v="3"/>
    <s v="Ablaev Enver"/>
    <x v="2"/>
    <x v="2"/>
    <x v="2"/>
    <x v="2"/>
    <n v="169"/>
    <x v="2"/>
    <x v="0"/>
    <x v="0"/>
    <x v="0"/>
  </r>
  <r>
    <n v="4"/>
    <s v="Abramashvili Iason"/>
    <x v="0"/>
    <x v="3"/>
    <x v="3"/>
    <x v="3"/>
    <n v="176"/>
    <x v="3"/>
    <x v="0"/>
    <x v="0"/>
    <x v="0"/>
  </r>
  <r>
    <n v="5"/>
    <s v="Abramenko Evgeny"/>
    <x v="3"/>
    <x v="4"/>
    <x v="4"/>
    <x v="4"/>
    <n v="180"/>
    <x v="4"/>
    <x v="0"/>
    <x v="0"/>
    <x v="0"/>
  </r>
  <r>
    <n v="6"/>
    <s v="Abramenko Oleksandr"/>
    <x v="2"/>
    <x v="2"/>
    <x v="3"/>
    <x v="5"/>
    <n v="179"/>
    <x v="5"/>
    <x v="0"/>
    <x v="0"/>
    <x v="0"/>
  </r>
  <r>
    <n v="7"/>
    <s v="Abramova Yekaterina"/>
    <x v="4"/>
    <x v="5"/>
    <x v="5"/>
    <x v="6"/>
    <n v="167"/>
    <x v="6"/>
    <x v="0"/>
    <x v="0"/>
    <x v="0"/>
  </r>
  <r>
    <n v="8"/>
    <s v="Abramovitch Dmitry"/>
    <x v="5"/>
    <x v="5"/>
    <x v="5"/>
    <x v="7"/>
    <n v="182"/>
    <x v="7"/>
    <x v="0"/>
    <x v="0"/>
    <x v="0"/>
  </r>
  <r>
    <n v="9"/>
    <s v="Achi Ghassan"/>
    <x v="0"/>
    <x v="6"/>
    <x v="6"/>
    <x v="8"/>
    <n v="168"/>
    <x v="8"/>
    <x v="0"/>
    <x v="0"/>
    <x v="1"/>
  </r>
  <r>
    <n v="10"/>
    <s v="Acton Brigitte"/>
    <x v="0"/>
    <x v="7"/>
    <x v="1"/>
    <x v="9"/>
    <n v="167"/>
    <x v="9"/>
    <x v="0"/>
    <x v="0"/>
    <x v="0"/>
  </r>
  <r>
    <n v="11"/>
    <s v="Adjei Richard"/>
    <x v="5"/>
    <x v="8"/>
    <x v="5"/>
    <x v="10"/>
    <n v="190"/>
    <x v="10"/>
    <x v="1"/>
    <x v="0"/>
    <x v="0"/>
  </r>
  <r>
    <n v="12"/>
    <s v="Aebli Christian"/>
    <x v="5"/>
    <x v="9"/>
    <x v="7"/>
    <x v="11"/>
    <n v="180"/>
    <x v="11"/>
    <x v="0"/>
    <x v="0"/>
    <x v="2"/>
  </r>
  <r>
    <n v="13"/>
    <s v="Afinogenov Maxim"/>
    <x v="6"/>
    <x v="5"/>
    <x v="2"/>
    <x v="12"/>
    <n v="183"/>
    <x v="12"/>
    <x v="0"/>
    <x v="0"/>
    <x v="0"/>
  </r>
  <r>
    <n v="14"/>
    <s v="Agosta Meghan"/>
    <x v="6"/>
    <x v="7"/>
    <x v="0"/>
    <x v="13"/>
    <n v="168"/>
    <x v="13"/>
    <x v="0"/>
    <x v="0"/>
    <x v="0"/>
  </r>
  <r>
    <n v="15"/>
    <s v="Agosto Benjamin"/>
    <x v="1"/>
    <x v="1"/>
    <x v="8"/>
    <x v="1"/>
    <n v="178"/>
    <x v="14"/>
    <x v="0"/>
    <x v="0"/>
    <x v="0"/>
  </r>
  <r>
    <n v="17"/>
    <s v="Ahonen Janne"/>
    <x v="7"/>
    <x v="10"/>
    <x v="9"/>
    <x v="13"/>
    <n v="184"/>
    <x v="15"/>
    <x v="0"/>
    <x v="0"/>
    <x v="2"/>
  </r>
  <r>
    <n v="18"/>
    <s v="Ainsworth Sarah"/>
    <x v="2"/>
    <x v="11"/>
    <x v="1"/>
    <x v="14"/>
    <n v="170"/>
    <x v="16"/>
    <x v="0"/>
    <x v="0"/>
    <x v="0"/>
  </r>
  <r>
    <n v="19"/>
    <s v="Albertsen Johnny"/>
    <x v="0"/>
    <x v="12"/>
    <x v="9"/>
    <x v="15"/>
    <n v="171"/>
    <x v="17"/>
    <x v="0"/>
    <x v="0"/>
    <x v="2"/>
  </r>
  <r>
    <n v="20"/>
    <s v="Albrecht Kilian"/>
    <x v="0"/>
    <x v="13"/>
    <x v="10"/>
    <x v="16"/>
    <n v="181"/>
    <x v="18"/>
    <x v="0"/>
    <x v="0"/>
    <x v="2"/>
  </r>
  <r>
    <n v="21"/>
    <s v="Alcott Chemmy"/>
    <x v="0"/>
    <x v="11"/>
    <x v="5"/>
    <x v="17"/>
    <n v="170"/>
    <x v="19"/>
    <x v="0"/>
    <x v="0"/>
    <x v="0"/>
  </r>
  <r>
    <n v="22"/>
    <s v="Alexander Nicholas"/>
    <x v="7"/>
    <x v="1"/>
    <x v="3"/>
    <x v="14"/>
    <n v="180"/>
    <x v="20"/>
    <x v="0"/>
    <x v="0"/>
    <x v="0"/>
  </r>
  <r>
    <n v="23"/>
    <s v="Alfredsson Daniel"/>
    <x v="6"/>
    <x v="14"/>
    <x v="11"/>
    <x v="18"/>
    <n v="182"/>
    <x v="21"/>
    <x v="0"/>
    <x v="0"/>
    <x v="2"/>
  </r>
  <r>
    <n v="24"/>
    <s v="Almoukov Alexei"/>
    <x v="3"/>
    <x v="15"/>
    <x v="12"/>
    <x v="19"/>
    <n v="183"/>
    <x v="22"/>
    <x v="0"/>
    <x v="0"/>
    <x v="0"/>
  </r>
  <r>
    <n v="25"/>
    <s v="Ambuhl Andres"/>
    <x v="6"/>
    <x v="9"/>
    <x v="13"/>
    <x v="20"/>
    <n v="176"/>
    <x v="23"/>
    <x v="0"/>
    <x v="0"/>
    <x v="0"/>
  </r>
  <r>
    <n v="26"/>
    <s v="Ammann Simon"/>
    <x v="7"/>
    <x v="9"/>
    <x v="8"/>
    <x v="21"/>
    <n v="173"/>
    <x v="24"/>
    <x v="0"/>
    <x v="0"/>
    <x v="0"/>
  </r>
  <r>
    <n v="27"/>
    <s v="Amodio Florent"/>
    <x v="1"/>
    <x v="16"/>
    <x v="12"/>
    <x v="1"/>
    <n v="165"/>
    <x v="25"/>
    <x v="0"/>
    <x v="0"/>
    <x v="0"/>
  </r>
  <r>
    <n v="28"/>
    <s v="Ananina Ekaterina"/>
    <x v="6"/>
    <x v="5"/>
    <x v="14"/>
    <x v="22"/>
    <n v="172"/>
    <x v="26"/>
    <x v="0"/>
    <x v="0"/>
    <x v="0"/>
  </r>
  <r>
    <n v="29"/>
    <s v="Andersen Jonas"/>
    <x v="6"/>
    <x v="17"/>
    <x v="8"/>
    <x v="1"/>
    <n v="184"/>
    <x v="27"/>
    <x v="0"/>
    <x v="0"/>
    <x v="0"/>
  </r>
  <r>
    <n v="30"/>
    <s v="Anderson Jasey Jay"/>
    <x v="8"/>
    <x v="7"/>
    <x v="15"/>
    <x v="23"/>
    <n v="178"/>
    <x v="28"/>
    <x v="0"/>
    <x v="0"/>
    <x v="2"/>
  </r>
  <r>
    <n v="31"/>
    <s v="Andersson Emilia"/>
    <x v="6"/>
    <x v="14"/>
    <x v="3"/>
    <x v="24"/>
    <n v="175"/>
    <x v="29"/>
    <x v="0"/>
    <x v="0"/>
    <x v="0"/>
  </r>
  <r>
    <n v="32"/>
    <s v="Andersson Gunilla"/>
    <x v="6"/>
    <x v="14"/>
    <x v="15"/>
    <x v="25"/>
    <n v="169"/>
    <x v="30"/>
    <x v="0"/>
    <x v="0"/>
    <x v="2"/>
  </r>
  <r>
    <n v="33"/>
    <s v="Andersson Lina"/>
    <x v="9"/>
    <x v="14"/>
    <x v="8"/>
    <x v="26"/>
    <n v="180"/>
    <x v="31"/>
    <x v="0"/>
    <x v="0"/>
    <x v="0"/>
  </r>
  <r>
    <n v="35"/>
    <s v="Andrei Ionut"/>
    <x v="5"/>
    <x v="18"/>
    <x v="1"/>
    <x v="27"/>
    <n v="193"/>
    <x v="32"/>
    <x v="1"/>
    <x v="0"/>
    <x v="0"/>
  </r>
  <r>
    <n v="36"/>
    <s v="Anesi Matteo"/>
    <x v="4"/>
    <x v="19"/>
    <x v="16"/>
    <x v="28"/>
    <n v="184"/>
    <x v="33"/>
    <x v="0"/>
    <x v="0"/>
    <x v="0"/>
  </r>
  <r>
    <n v="37"/>
    <s v="Anev Krasimir"/>
    <x v="3"/>
    <x v="13"/>
    <x v="4"/>
    <x v="24"/>
    <n v="173"/>
    <x v="34"/>
    <x v="0"/>
    <x v="0"/>
    <x v="0"/>
  </r>
  <r>
    <n v="38"/>
    <s v="Angerer Karl"/>
    <x v="5"/>
    <x v="8"/>
    <x v="2"/>
    <x v="29"/>
    <n v="186"/>
    <x v="35"/>
    <x v="0"/>
    <x v="0"/>
    <x v="0"/>
  </r>
  <r>
    <n v="39"/>
    <s v="Angerer Tobias"/>
    <x v="9"/>
    <x v="8"/>
    <x v="9"/>
    <x v="16"/>
    <n v="179"/>
    <x v="36"/>
    <x v="0"/>
    <x v="0"/>
    <x v="2"/>
  </r>
  <r>
    <n v="40"/>
    <s v="Angermuller Monique"/>
    <x v="4"/>
    <x v="8"/>
    <x v="13"/>
    <x v="19"/>
    <n v="175"/>
    <x v="37"/>
    <x v="0"/>
    <x v="0"/>
    <x v="0"/>
  </r>
  <r>
    <n v="41"/>
    <s v="Anghel Andrei"/>
    <x v="10"/>
    <x v="18"/>
    <x v="17"/>
    <x v="5"/>
    <n v="170"/>
    <x v="38"/>
    <x v="0"/>
    <x v="0"/>
    <x v="0"/>
  </r>
  <r>
    <n v="42"/>
    <s v="Angiboust Tony"/>
    <x v="11"/>
    <x v="16"/>
    <x v="13"/>
    <x v="1"/>
    <n v="177"/>
    <x v="39"/>
    <x v="0"/>
    <x v="0"/>
    <x v="0"/>
  </r>
  <r>
    <n v="43"/>
    <s v="Ankipans Girts"/>
    <x v="6"/>
    <x v="20"/>
    <x v="15"/>
    <x v="12"/>
    <n v="186"/>
    <x v="40"/>
    <x v="0"/>
    <x v="0"/>
    <x v="2"/>
  </r>
  <r>
    <n v="44"/>
    <s v="Anschutz Thoms Daniela"/>
    <x v="4"/>
    <x v="8"/>
    <x v="18"/>
    <x v="22"/>
    <n v="165"/>
    <x v="41"/>
    <x v="0"/>
    <x v="0"/>
    <x v="2"/>
  </r>
  <r>
    <n v="45"/>
    <s v="Anthamatten Sophie"/>
    <x v="6"/>
    <x v="9"/>
    <x v="14"/>
    <x v="5"/>
    <n v="172"/>
    <x v="42"/>
    <x v="0"/>
    <x v="0"/>
    <x v="0"/>
  </r>
  <r>
    <n v="46"/>
    <s v="Anthonioz Deborah"/>
    <x v="8"/>
    <x v="16"/>
    <x v="7"/>
    <x v="30"/>
    <n v="165"/>
    <x v="43"/>
    <x v="0"/>
    <x v="0"/>
    <x v="2"/>
  </r>
  <r>
    <n v="47"/>
    <s v="Antila Timo"/>
    <x v="3"/>
    <x v="10"/>
    <x v="19"/>
    <x v="19"/>
    <n v="176"/>
    <x v="44"/>
    <x v="0"/>
    <x v="0"/>
    <x v="0"/>
  </r>
  <r>
    <n v="48"/>
    <s v="Antonenko Oleg"/>
    <x v="6"/>
    <x v="4"/>
    <x v="20"/>
    <x v="31"/>
    <n v="187"/>
    <x v="45"/>
    <x v="0"/>
    <x v="0"/>
    <x v="2"/>
  </r>
  <r>
    <n v="49"/>
    <s v="Antonova Elena"/>
    <x v="9"/>
    <x v="21"/>
    <x v="20"/>
    <x v="22"/>
    <n v="176"/>
    <x v="46"/>
    <x v="0"/>
    <x v="0"/>
    <x v="2"/>
  </r>
  <r>
    <n v="51"/>
    <s v="Aono Ryo"/>
    <x v="8"/>
    <x v="22"/>
    <x v="12"/>
    <x v="8"/>
    <n v="166"/>
    <x v="47"/>
    <x v="0"/>
    <x v="0"/>
    <x v="0"/>
  </r>
  <r>
    <n v="52"/>
    <s v="Apps Gillian"/>
    <x v="6"/>
    <x v="7"/>
    <x v="13"/>
    <x v="23"/>
    <n v="183"/>
    <x v="48"/>
    <x v="0"/>
    <x v="0"/>
    <x v="0"/>
  </r>
  <r>
    <n v="53"/>
    <s v="Arapbayeva Zhibek"/>
    <x v="2"/>
    <x v="21"/>
    <x v="14"/>
    <x v="1"/>
    <n v="203"/>
    <x v="49"/>
    <x v="0"/>
    <x v="0"/>
    <x v="0"/>
  </r>
  <r>
    <n v="54"/>
    <s v="Arhipovs Mihails"/>
    <x v="5"/>
    <x v="20"/>
    <x v="16"/>
    <x v="32"/>
    <n v="183"/>
    <x v="50"/>
    <x v="0"/>
    <x v="0"/>
    <x v="0"/>
  </r>
  <r>
    <n v="57"/>
    <s v="Asazu Konomi"/>
    <x v="5"/>
    <x v="22"/>
    <x v="0"/>
    <x v="19"/>
    <n v="175"/>
    <x v="37"/>
    <x v="0"/>
    <x v="0"/>
    <x v="0"/>
  </r>
  <r>
    <n v="58"/>
    <s v="Asikainen Lauri"/>
    <x v="12"/>
    <x v="10"/>
    <x v="17"/>
    <x v="22"/>
    <n v="173"/>
    <x v="51"/>
    <x v="0"/>
    <x v="0"/>
    <x v="0"/>
  </r>
  <r>
    <n v="59"/>
    <s v="Asserholt Jenni"/>
    <x v="6"/>
    <x v="14"/>
    <x v="3"/>
    <x v="24"/>
    <n v="172"/>
    <x v="52"/>
    <x v="0"/>
    <x v="0"/>
    <x v="0"/>
  </r>
  <r>
    <n v="60"/>
    <s v="Aubert Sandrine"/>
    <x v="0"/>
    <x v="16"/>
    <x v="5"/>
    <x v="13"/>
    <n v="181"/>
    <x v="53"/>
    <x v="0"/>
    <x v="0"/>
    <x v="0"/>
  </r>
  <r>
    <n v="61"/>
    <s v="Austbo Fredrik"/>
    <x v="8"/>
    <x v="17"/>
    <x v="3"/>
    <x v="1"/>
    <n v="203"/>
    <x v="49"/>
    <x v="0"/>
    <x v="0"/>
    <x v="0"/>
  </r>
  <r>
    <n v="63"/>
    <s v="Azevedo Emily"/>
    <x v="5"/>
    <x v="1"/>
    <x v="13"/>
    <x v="28"/>
    <n v="173"/>
    <x v="54"/>
    <x v="0"/>
    <x v="0"/>
    <x v="0"/>
  </r>
  <r>
    <n v="64"/>
    <s v="Azzimani Samir"/>
    <x v="0"/>
    <x v="23"/>
    <x v="9"/>
    <x v="10"/>
    <n v="203"/>
    <x v="55"/>
    <x v="1"/>
    <x v="0"/>
    <x v="2"/>
  </r>
  <r>
    <n v="65"/>
    <s v="Babenko Dmitry"/>
    <x v="4"/>
    <x v="21"/>
    <x v="1"/>
    <x v="17"/>
    <n v="184"/>
    <x v="56"/>
    <x v="0"/>
    <x v="0"/>
    <x v="0"/>
  </r>
  <r>
    <n v="66"/>
    <s v="Babiakova Petra"/>
    <x v="6"/>
    <x v="24"/>
    <x v="9"/>
    <x v="9"/>
    <n v="171"/>
    <x v="57"/>
    <x v="0"/>
    <x v="0"/>
    <x v="2"/>
  </r>
  <r>
    <n v="67"/>
    <s v="Babikov Ivan"/>
    <x v="9"/>
    <x v="7"/>
    <x v="19"/>
    <x v="25"/>
    <n v="172"/>
    <x v="58"/>
    <x v="0"/>
    <x v="0"/>
    <x v="0"/>
  </r>
  <r>
    <n v="69"/>
    <s v="Babusiak Jaroslav"/>
    <x v="0"/>
    <x v="24"/>
    <x v="16"/>
    <x v="20"/>
    <n v="178"/>
    <x v="59"/>
    <x v="0"/>
    <x v="0"/>
    <x v="0"/>
  </r>
  <r>
    <n v="70"/>
    <s v="Bacchini Paolo"/>
    <x v="1"/>
    <x v="19"/>
    <x v="1"/>
    <x v="10"/>
    <n v="169"/>
    <x v="60"/>
    <x v="1"/>
    <x v="0"/>
    <x v="0"/>
  </r>
  <r>
    <n v="71"/>
    <s v="Bachleda-Curus Katarzyna"/>
    <x v="4"/>
    <x v="25"/>
    <x v="2"/>
    <x v="33"/>
    <n v="170"/>
    <x v="61"/>
    <x v="0"/>
    <x v="0"/>
    <x v="0"/>
  </r>
  <r>
    <n v="72"/>
    <s v="Bachmann Tina"/>
    <x v="3"/>
    <x v="8"/>
    <x v="0"/>
    <x v="6"/>
    <n v="183"/>
    <x v="62"/>
    <x v="0"/>
    <x v="0"/>
    <x v="0"/>
  </r>
  <r>
    <n v="73"/>
    <s v="Backes David"/>
    <x v="6"/>
    <x v="1"/>
    <x v="16"/>
    <x v="34"/>
    <n v="191"/>
    <x v="63"/>
    <x v="1"/>
    <x v="0"/>
    <x v="0"/>
  </r>
  <r>
    <n v="74"/>
    <s v="Backstrom Nicklas"/>
    <x v="6"/>
    <x v="14"/>
    <x v="4"/>
    <x v="1"/>
    <n v="184"/>
    <x v="27"/>
    <x v="0"/>
    <x v="0"/>
    <x v="0"/>
  </r>
  <r>
    <n v="75"/>
    <s v="Backstrom Niklas"/>
    <x v="6"/>
    <x v="10"/>
    <x v="9"/>
    <x v="12"/>
    <n v="184"/>
    <x v="64"/>
    <x v="0"/>
    <x v="0"/>
    <x v="2"/>
  </r>
  <r>
    <n v="76"/>
    <s v="Baeck Axel"/>
    <x v="0"/>
    <x v="14"/>
    <x v="4"/>
    <x v="3"/>
    <n v="180"/>
    <x v="65"/>
    <x v="0"/>
    <x v="0"/>
    <x v="0"/>
  </r>
  <r>
    <n v="78"/>
    <s v="Bailey Lowell"/>
    <x v="3"/>
    <x v="1"/>
    <x v="8"/>
    <x v="35"/>
    <n v="183"/>
    <x v="66"/>
    <x v="0"/>
    <x v="0"/>
    <x v="0"/>
  </r>
  <r>
    <n v="79"/>
    <s v="Bailly Sandrine"/>
    <x v="3"/>
    <x v="16"/>
    <x v="2"/>
    <x v="21"/>
    <n v="173"/>
    <x v="24"/>
    <x v="0"/>
    <x v="0"/>
    <x v="0"/>
  </r>
  <r>
    <n v="80"/>
    <s v="Bajcicak Martin"/>
    <x v="9"/>
    <x v="24"/>
    <x v="21"/>
    <x v="17"/>
    <n v="169"/>
    <x v="67"/>
    <x v="0"/>
    <x v="0"/>
    <x v="2"/>
  </r>
  <r>
    <n v="81"/>
    <s v="Bakes David"/>
    <x v="8"/>
    <x v="26"/>
    <x v="5"/>
    <x v="15"/>
    <n v="191"/>
    <x v="68"/>
    <x v="0"/>
    <x v="0"/>
    <x v="0"/>
  </r>
  <r>
    <n v="82"/>
    <s v="Bakos Michael"/>
    <x v="6"/>
    <x v="8"/>
    <x v="2"/>
    <x v="7"/>
    <n v="190"/>
    <x v="69"/>
    <x v="0"/>
    <x v="0"/>
    <x v="0"/>
  </r>
  <r>
    <n v="83"/>
    <s v="Balan Serghei"/>
    <x v="9"/>
    <x v="27"/>
    <x v="4"/>
    <x v="16"/>
    <n v="180"/>
    <x v="70"/>
    <x v="0"/>
    <x v="0"/>
    <x v="0"/>
  </r>
  <r>
    <n v="84"/>
    <s v="Bank Ondrej"/>
    <x v="0"/>
    <x v="26"/>
    <x v="19"/>
    <x v="36"/>
    <n v="176"/>
    <x v="71"/>
    <x v="0"/>
    <x v="0"/>
    <x v="0"/>
  </r>
  <r>
    <n v="85"/>
    <s v="Barahona Noelle"/>
    <x v="0"/>
    <x v="28"/>
    <x v="12"/>
    <x v="37"/>
    <n v="173"/>
    <x v="72"/>
    <x v="0"/>
    <x v="0"/>
    <x v="0"/>
  </r>
  <r>
    <n v="86"/>
    <s v="Baranka Ivan"/>
    <x v="6"/>
    <x v="24"/>
    <x v="1"/>
    <x v="38"/>
    <n v="188"/>
    <x v="73"/>
    <x v="0"/>
    <x v="0"/>
    <x v="0"/>
  </r>
  <r>
    <n v="87"/>
    <s v="Bardal Anders"/>
    <x v="7"/>
    <x v="17"/>
    <x v="5"/>
    <x v="10"/>
    <n v="186"/>
    <x v="74"/>
    <x v="1"/>
    <x v="0"/>
    <x v="0"/>
  </r>
  <r>
    <n v="89"/>
    <s v="Barmashov Dmitriy"/>
    <x v="2"/>
    <x v="21"/>
    <x v="1"/>
    <x v="2"/>
    <n v="171"/>
    <x v="75"/>
    <x v="0"/>
    <x v="0"/>
    <x v="0"/>
  </r>
  <r>
    <n v="91"/>
    <s v="Barrett Jeremy"/>
    <x v="1"/>
    <x v="1"/>
    <x v="16"/>
    <x v="10"/>
    <n v="175"/>
    <x v="76"/>
    <x v="1"/>
    <x v="0"/>
    <x v="0"/>
  </r>
  <r>
    <n v="92"/>
    <s v="Barron Peter-James"/>
    <x v="9"/>
    <x v="29"/>
    <x v="17"/>
    <x v="17"/>
    <n v="174"/>
    <x v="77"/>
    <x v="0"/>
    <x v="0"/>
    <x v="0"/>
  </r>
  <r>
    <n v="93"/>
    <s v="Bartecko Lubos"/>
    <x v="6"/>
    <x v="24"/>
    <x v="21"/>
    <x v="36"/>
    <n v="183"/>
    <x v="78"/>
    <x v="0"/>
    <x v="0"/>
    <x v="2"/>
  </r>
  <r>
    <n v="94"/>
    <s v="Bartel Cori"/>
    <x v="11"/>
    <x v="7"/>
    <x v="20"/>
    <x v="10"/>
    <n v="165"/>
    <x v="79"/>
    <x v="1"/>
    <x v="0"/>
    <x v="2"/>
  </r>
  <r>
    <n v="95"/>
    <s v="Barthelemy Laure"/>
    <x v="9"/>
    <x v="16"/>
    <x v="3"/>
    <x v="8"/>
    <n v="167"/>
    <x v="80"/>
    <x v="0"/>
    <x v="0"/>
    <x v="0"/>
  </r>
  <r>
    <n v="96"/>
    <s v="Barthet Anne-Sophie"/>
    <x v="0"/>
    <x v="16"/>
    <x v="3"/>
    <x v="17"/>
    <n v="170"/>
    <x v="19"/>
    <x v="0"/>
    <x v="0"/>
    <x v="0"/>
  </r>
  <r>
    <n v="97"/>
    <s v="Bartulis Oskars"/>
    <x v="6"/>
    <x v="20"/>
    <x v="0"/>
    <x v="15"/>
    <n v="186"/>
    <x v="81"/>
    <x v="0"/>
    <x v="0"/>
    <x v="0"/>
  </r>
  <r>
    <n v="98"/>
    <s v="Barucha Andreas"/>
    <x v="5"/>
    <x v="8"/>
    <x v="2"/>
    <x v="39"/>
    <n v="181"/>
    <x v="82"/>
    <x v="0"/>
    <x v="0"/>
    <x v="0"/>
  </r>
  <r>
    <n v="99"/>
    <s v="Bassani Antivari Gaia"/>
    <x v="0"/>
    <x v="30"/>
    <x v="7"/>
    <x v="8"/>
    <n v="167"/>
    <x v="80"/>
    <x v="0"/>
    <x v="0"/>
    <x v="2"/>
  </r>
  <r>
    <n v="100"/>
    <s v="Bastiansen Anders"/>
    <x v="6"/>
    <x v="17"/>
    <x v="19"/>
    <x v="39"/>
    <n v="190"/>
    <x v="83"/>
    <x v="0"/>
    <x v="0"/>
    <x v="0"/>
  </r>
  <r>
    <n v="101"/>
    <s v="Bastille Guillaume"/>
    <x v="13"/>
    <x v="7"/>
    <x v="1"/>
    <x v="17"/>
    <n v="176"/>
    <x v="84"/>
    <x v="0"/>
    <x v="0"/>
    <x v="0"/>
  </r>
  <r>
    <n v="102"/>
    <s v="Batchelor Jeff"/>
    <x v="8"/>
    <x v="7"/>
    <x v="3"/>
    <x v="37"/>
    <n v="170"/>
    <x v="85"/>
    <x v="0"/>
    <x v="0"/>
    <x v="0"/>
  </r>
  <r>
    <n v="103"/>
    <s v="Bates Evan"/>
    <x v="1"/>
    <x v="1"/>
    <x v="17"/>
    <x v="10"/>
    <n v="188"/>
    <x v="86"/>
    <x v="1"/>
    <x v="0"/>
    <x v="0"/>
  </r>
  <r>
    <n v="104"/>
    <s v="Batory Ivan"/>
    <x v="9"/>
    <x v="24"/>
    <x v="15"/>
    <x v="3"/>
    <n v="188"/>
    <x v="87"/>
    <x v="0"/>
    <x v="0"/>
    <x v="2"/>
  </r>
  <r>
    <n v="105"/>
    <s v="Bauer Armin"/>
    <x v="12"/>
    <x v="19"/>
    <x v="12"/>
    <x v="13"/>
    <n v="174"/>
    <x v="88"/>
    <x v="0"/>
    <x v="0"/>
    <x v="0"/>
  </r>
  <r>
    <n v="106"/>
    <s v="Bauer Klemen"/>
    <x v="3"/>
    <x v="31"/>
    <x v="1"/>
    <x v="35"/>
    <n v="183"/>
    <x v="66"/>
    <x v="0"/>
    <x v="0"/>
    <x v="0"/>
  </r>
  <r>
    <n v="107"/>
    <s v="Bauer Lukas"/>
    <x v="9"/>
    <x v="26"/>
    <x v="9"/>
    <x v="24"/>
    <n v="181"/>
    <x v="89"/>
    <x v="0"/>
    <x v="0"/>
    <x v="2"/>
  </r>
  <r>
    <n v="108"/>
    <s v="Bauer Veronika"/>
    <x v="2"/>
    <x v="7"/>
    <x v="2"/>
    <x v="22"/>
    <n v="165"/>
    <x v="41"/>
    <x v="0"/>
    <x v="0"/>
    <x v="0"/>
  </r>
  <r>
    <n v="109"/>
    <s v="Baumann Alex"/>
    <x v="5"/>
    <x v="9"/>
    <x v="1"/>
    <x v="40"/>
    <n v="180"/>
    <x v="90"/>
    <x v="1"/>
    <x v="0"/>
    <x v="0"/>
  </r>
  <r>
    <n v="110"/>
    <s v="Baumann Romed"/>
    <x v="0"/>
    <x v="32"/>
    <x v="1"/>
    <x v="38"/>
    <n v="184"/>
    <x v="91"/>
    <x v="0"/>
    <x v="0"/>
    <x v="0"/>
  </r>
  <r>
    <n v="111"/>
    <s v="Baumgartner Nick"/>
    <x v="8"/>
    <x v="1"/>
    <x v="8"/>
    <x v="41"/>
    <n v="183"/>
    <x v="92"/>
    <x v="0"/>
    <x v="0"/>
    <x v="0"/>
  </r>
  <r>
    <n v="114"/>
    <s v="Bean Nicolas"/>
    <x v="13"/>
    <x v="19"/>
    <x v="4"/>
    <x v="9"/>
    <n v="170"/>
    <x v="93"/>
    <x v="0"/>
    <x v="0"/>
    <x v="0"/>
  </r>
  <r>
    <n v="115"/>
    <s v="Beatrix Jean Guillaume"/>
    <x v="3"/>
    <x v="16"/>
    <x v="3"/>
    <x v="6"/>
    <n v="173"/>
    <x v="94"/>
    <x v="0"/>
    <x v="0"/>
    <x v="0"/>
  </r>
  <r>
    <n v="116"/>
    <s v="Becaert Sylvie"/>
    <x v="3"/>
    <x v="16"/>
    <x v="15"/>
    <x v="42"/>
    <n v="166"/>
    <x v="95"/>
    <x v="0"/>
    <x v="0"/>
    <x v="2"/>
  </r>
  <r>
    <n v="118"/>
    <s v="Beck Timothy"/>
    <x v="5"/>
    <x v="33"/>
    <x v="21"/>
    <x v="15"/>
    <n v="177"/>
    <x v="96"/>
    <x v="0"/>
    <x v="0"/>
    <x v="2"/>
  </r>
  <r>
    <n v="119"/>
    <s v="Becker Robert"/>
    <x v="13"/>
    <x v="8"/>
    <x v="4"/>
    <x v="37"/>
    <n v="184"/>
    <x v="97"/>
    <x v="0"/>
    <x v="0"/>
    <x v="0"/>
  </r>
  <r>
    <n v="120"/>
    <s v="Beckert Patrick"/>
    <x v="4"/>
    <x v="8"/>
    <x v="12"/>
    <x v="5"/>
    <n v="180"/>
    <x v="98"/>
    <x v="0"/>
    <x v="0"/>
    <x v="0"/>
  </r>
  <r>
    <n v="121"/>
    <s v="Beckert Stephanie"/>
    <x v="4"/>
    <x v="8"/>
    <x v="3"/>
    <x v="25"/>
    <n v="172"/>
    <x v="58"/>
    <x v="0"/>
    <x v="0"/>
    <x v="0"/>
  </r>
  <r>
    <n v="122"/>
    <s v="Bedford Ryan"/>
    <x v="4"/>
    <x v="1"/>
    <x v="0"/>
    <x v="3"/>
    <n v="185"/>
    <x v="99"/>
    <x v="0"/>
    <x v="0"/>
    <x v="0"/>
  </r>
  <r>
    <n v="124"/>
    <s v="Begg-Smith Dale"/>
    <x v="2"/>
    <x v="15"/>
    <x v="16"/>
    <x v="37"/>
    <n v="186"/>
    <x v="100"/>
    <x v="0"/>
    <x v="0"/>
    <x v="0"/>
  </r>
  <r>
    <n v="125"/>
    <s v="Beier Christina"/>
    <x v="1"/>
    <x v="8"/>
    <x v="16"/>
    <x v="6"/>
    <n v="170"/>
    <x v="101"/>
    <x v="0"/>
    <x v="0"/>
    <x v="0"/>
  </r>
  <r>
    <n v="126"/>
    <s v="Beier William"/>
    <x v="1"/>
    <x v="8"/>
    <x v="5"/>
    <x v="6"/>
    <n v="172"/>
    <x v="102"/>
    <x v="0"/>
    <x v="0"/>
    <x v="0"/>
  </r>
  <r>
    <n v="127"/>
    <s v="Bekzhanov Aidar"/>
    <x v="13"/>
    <x v="21"/>
    <x v="6"/>
    <x v="17"/>
    <n v="174"/>
    <x v="77"/>
    <x v="0"/>
    <x v="0"/>
    <x v="1"/>
  </r>
  <r>
    <n v="128"/>
    <s v="Belbin Tanith"/>
    <x v="1"/>
    <x v="1"/>
    <x v="16"/>
    <x v="6"/>
    <n v="168"/>
    <x v="103"/>
    <x v="0"/>
    <x v="0"/>
    <x v="0"/>
  </r>
  <r>
    <n v="129"/>
    <s v="Bellamy Kacey"/>
    <x v="6"/>
    <x v="1"/>
    <x v="4"/>
    <x v="13"/>
    <n v="174"/>
    <x v="88"/>
    <x v="0"/>
    <x v="0"/>
    <x v="0"/>
  </r>
  <r>
    <n v="130"/>
    <s v="Belyakova Olga"/>
    <x v="13"/>
    <x v="5"/>
    <x v="3"/>
    <x v="43"/>
    <n v="176"/>
    <x v="104"/>
    <x v="0"/>
    <x v="0"/>
    <x v="0"/>
  </r>
  <r>
    <n v="131"/>
    <s v="Bene Marton"/>
    <x v="0"/>
    <x v="34"/>
    <x v="0"/>
    <x v="15"/>
    <n v="184"/>
    <x v="105"/>
    <x v="0"/>
    <x v="0"/>
    <x v="0"/>
  </r>
  <r>
    <n v="132"/>
    <s v="Benna Anthony"/>
    <x v="2"/>
    <x v="16"/>
    <x v="4"/>
    <x v="16"/>
    <n v="172"/>
    <x v="106"/>
    <x v="0"/>
    <x v="0"/>
    <x v="0"/>
  </r>
  <r>
    <n v="133"/>
    <s v="Benshoof Tony"/>
    <x v="10"/>
    <x v="1"/>
    <x v="15"/>
    <x v="38"/>
    <n v="185"/>
    <x v="107"/>
    <x v="0"/>
    <x v="0"/>
    <x v="2"/>
  </r>
  <r>
    <n v="134"/>
    <s v="Benton John"/>
    <x v="11"/>
    <x v="1"/>
    <x v="22"/>
    <x v="6"/>
    <n v="185"/>
    <x v="108"/>
    <x v="0"/>
    <x v="0"/>
    <x v="2"/>
  </r>
  <r>
    <n v="135"/>
    <s v="Benz Laura"/>
    <x v="6"/>
    <x v="9"/>
    <x v="23"/>
    <x v="44"/>
    <n v="170"/>
    <x v="109"/>
    <x v="0"/>
    <x v="0"/>
    <x v="0"/>
  </r>
  <r>
    <n v="137"/>
    <s v="Berecz Anna"/>
    <x v="0"/>
    <x v="34"/>
    <x v="3"/>
    <x v="5"/>
    <n v="173"/>
    <x v="110"/>
    <x v="0"/>
    <x v="0"/>
    <x v="0"/>
  </r>
  <r>
    <n v="138"/>
    <s v="Berger Lars"/>
    <x v="14"/>
    <x v="17"/>
    <x v="2"/>
    <x v="6"/>
    <n v="203"/>
    <x v="111"/>
    <x v="0"/>
    <x v="0"/>
    <x v="0"/>
  </r>
  <r>
    <n v="139"/>
    <s v="Berger Sergio"/>
    <x v="8"/>
    <x v="9"/>
    <x v="5"/>
    <x v="16"/>
    <n v="176"/>
    <x v="112"/>
    <x v="0"/>
    <x v="0"/>
    <x v="0"/>
  </r>
  <r>
    <n v="140"/>
    <s v="Berger Tora"/>
    <x v="3"/>
    <x v="17"/>
    <x v="8"/>
    <x v="21"/>
    <n v="203"/>
    <x v="113"/>
    <x v="0"/>
    <x v="0"/>
    <x v="0"/>
  </r>
  <r>
    <n v="141"/>
    <s v="Bergeron Patrice"/>
    <x v="6"/>
    <x v="7"/>
    <x v="1"/>
    <x v="12"/>
    <n v="188"/>
    <x v="114"/>
    <x v="0"/>
    <x v="0"/>
    <x v="0"/>
  </r>
  <r>
    <n v="142"/>
    <s v="Bergin Claire"/>
    <x v="5"/>
    <x v="29"/>
    <x v="16"/>
    <x v="2"/>
    <n v="168"/>
    <x v="115"/>
    <x v="0"/>
    <x v="0"/>
    <x v="0"/>
  </r>
  <r>
    <n v="143"/>
    <s v="Berginz Juergen"/>
    <x v="5"/>
    <x v="35"/>
    <x v="17"/>
    <x v="18"/>
    <n v="187"/>
    <x v="116"/>
    <x v="0"/>
    <x v="0"/>
    <x v="0"/>
  </r>
  <r>
    <n v="144"/>
    <s v="Bergman Carl Johan"/>
    <x v="3"/>
    <x v="14"/>
    <x v="7"/>
    <x v="17"/>
    <n v="174"/>
    <x v="77"/>
    <x v="0"/>
    <x v="0"/>
    <x v="2"/>
  </r>
  <r>
    <n v="145"/>
    <s v="Bergstroem Kajsa"/>
    <x v="11"/>
    <x v="14"/>
    <x v="19"/>
    <x v="21"/>
    <n v="171"/>
    <x v="117"/>
    <x v="0"/>
    <x v="0"/>
    <x v="0"/>
  </r>
  <r>
    <n v="146"/>
    <s v="Berkeley Charles"/>
    <x v="5"/>
    <x v="1"/>
    <x v="21"/>
    <x v="45"/>
    <n v="196"/>
    <x v="118"/>
    <x v="1"/>
    <x v="0"/>
    <x v="2"/>
  </r>
  <r>
    <n v="147"/>
    <s v="Berlot Gasper"/>
    <x v="12"/>
    <x v="31"/>
    <x v="12"/>
    <x v="17"/>
    <n v="184"/>
    <x v="56"/>
    <x v="0"/>
    <x v="0"/>
    <x v="0"/>
  </r>
  <r>
    <n v="148"/>
    <s v="Bermbach Gregor"/>
    <x v="5"/>
    <x v="8"/>
    <x v="8"/>
    <x v="46"/>
    <n v="183"/>
    <x v="119"/>
    <x v="0"/>
    <x v="0"/>
    <x v="0"/>
  </r>
  <r>
    <n v="150"/>
    <s v="Bernotas Eric"/>
    <x v="15"/>
    <x v="1"/>
    <x v="20"/>
    <x v="21"/>
    <n v="203"/>
    <x v="113"/>
    <x v="0"/>
    <x v="0"/>
    <x v="2"/>
  </r>
  <r>
    <n v="151"/>
    <s v="Berntsen Hedda"/>
    <x v="2"/>
    <x v="17"/>
    <x v="21"/>
    <x v="21"/>
    <n v="203"/>
    <x v="113"/>
    <x v="0"/>
    <x v="0"/>
    <x v="2"/>
  </r>
  <r>
    <n v="152"/>
    <s v="Bertazzo Simone"/>
    <x v="5"/>
    <x v="19"/>
    <x v="5"/>
    <x v="34"/>
    <n v="184"/>
    <x v="120"/>
    <x v="1"/>
    <x v="0"/>
    <x v="0"/>
  </r>
  <r>
    <n v="153"/>
    <s v="Berthod Marc"/>
    <x v="0"/>
    <x v="9"/>
    <x v="13"/>
    <x v="1"/>
    <n v="180"/>
    <x v="121"/>
    <x v="0"/>
    <x v="0"/>
    <x v="0"/>
  </r>
  <r>
    <n v="155"/>
    <s v="Berzins Armands"/>
    <x v="6"/>
    <x v="20"/>
    <x v="13"/>
    <x v="18"/>
    <n v="192"/>
    <x v="122"/>
    <x v="0"/>
    <x v="0"/>
    <x v="0"/>
  </r>
  <r>
    <n v="156"/>
    <s v="Bezina Goran"/>
    <x v="6"/>
    <x v="9"/>
    <x v="19"/>
    <x v="29"/>
    <n v="189"/>
    <x v="123"/>
    <x v="0"/>
    <x v="0"/>
    <x v="0"/>
  </r>
  <r>
    <n v="157"/>
    <s v="Biega Maciej"/>
    <x v="4"/>
    <x v="25"/>
    <x v="3"/>
    <x v="17"/>
    <n v="178"/>
    <x v="124"/>
    <x v="0"/>
    <x v="0"/>
    <x v="0"/>
  </r>
  <r>
    <n v="158"/>
    <s v="Bieler Christoph"/>
    <x v="12"/>
    <x v="32"/>
    <x v="9"/>
    <x v="17"/>
    <n v="182"/>
    <x v="125"/>
    <x v="0"/>
    <x v="0"/>
    <x v="2"/>
  </r>
  <r>
    <n v="159"/>
    <s v="Biggs Patrick"/>
    <x v="0"/>
    <x v="7"/>
    <x v="5"/>
    <x v="3"/>
    <n v="188"/>
    <x v="87"/>
    <x v="0"/>
    <x v="0"/>
    <x v="0"/>
  </r>
  <r>
    <n v="160"/>
    <s v="Bilanenko Olexander"/>
    <x v="3"/>
    <x v="2"/>
    <x v="9"/>
    <x v="47"/>
    <n v="183"/>
    <x v="126"/>
    <x v="0"/>
    <x v="0"/>
    <x v="2"/>
  </r>
  <r>
    <n v="161"/>
    <s v="Bilodeau Alexandre"/>
    <x v="2"/>
    <x v="7"/>
    <x v="4"/>
    <x v="47"/>
    <n v="173"/>
    <x v="127"/>
    <x v="0"/>
    <x v="0"/>
    <x v="0"/>
  </r>
  <r>
    <n v="162"/>
    <s v="Birnbacher Andreas"/>
    <x v="3"/>
    <x v="8"/>
    <x v="8"/>
    <x v="5"/>
    <n v="179"/>
    <x v="5"/>
    <x v="0"/>
    <x v="0"/>
    <x v="0"/>
  </r>
  <r>
    <n v="163"/>
    <s v="Bissett David"/>
    <x v="5"/>
    <x v="7"/>
    <x v="2"/>
    <x v="34"/>
    <n v="179"/>
    <x v="128"/>
    <x v="1"/>
    <x v="0"/>
    <x v="0"/>
  </r>
  <r>
    <n v="164"/>
    <s v="Biveson Daniel"/>
    <x v="8"/>
    <x v="14"/>
    <x v="21"/>
    <x v="48"/>
    <n v="175"/>
    <x v="129"/>
    <x v="0"/>
    <x v="0"/>
    <x v="2"/>
  </r>
  <r>
    <n v="165"/>
    <s v="Bjerke Desiree"/>
    <x v="15"/>
    <x v="17"/>
    <x v="20"/>
    <x v="21"/>
    <n v="203"/>
    <x v="113"/>
    <x v="0"/>
    <x v="0"/>
    <x v="2"/>
  </r>
  <r>
    <n v="166"/>
    <s v="Bjoergen Marit"/>
    <x v="9"/>
    <x v="17"/>
    <x v="19"/>
    <x v="21"/>
    <n v="203"/>
    <x v="113"/>
    <x v="0"/>
    <x v="0"/>
    <x v="0"/>
  </r>
  <r>
    <n v="167"/>
    <s v="Bjoergvinsson Bjoergvin"/>
    <x v="0"/>
    <x v="36"/>
    <x v="2"/>
    <x v="36"/>
    <n v="180"/>
    <x v="130"/>
    <x v="0"/>
    <x v="0"/>
    <x v="0"/>
  </r>
  <r>
    <n v="168"/>
    <s v="Bjoerndalen Ole Einar"/>
    <x v="3"/>
    <x v="17"/>
    <x v="10"/>
    <x v="8"/>
    <n v="203"/>
    <x v="131"/>
    <x v="0"/>
    <x v="0"/>
    <x v="2"/>
  </r>
  <r>
    <n v="169"/>
    <s v="Bjoernlund Jesper"/>
    <x v="2"/>
    <x v="14"/>
    <x v="1"/>
    <x v="23"/>
    <n v="197"/>
    <x v="132"/>
    <x v="0"/>
    <x v="0"/>
    <x v="0"/>
  </r>
  <r>
    <n v="170"/>
    <s v="Blardone Massimiliano"/>
    <x v="0"/>
    <x v="19"/>
    <x v="2"/>
    <x v="23"/>
    <n v="172"/>
    <x v="133"/>
    <x v="0"/>
    <x v="0"/>
    <x v="0"/>
  </r>
  <r>
    <n v="171"/>
    <s v="Blatak Miroslav"/>
    <x v="6"/>
    <x v="26"/>
    <x v="5"/>
    <x v="49"/>
    <n v="184"/>
    <x v="134"/>
    <x v="0"/>
    <x v="0"/>
    <x v="0"/>
  </r>
  <r>
    <n v="172"/>
    <s v="Bleiler Gretchen"/>
    <x v="8"/>
    <x v="1"/>
    <x v="8"/>
    <x v="44"/>
    <n v="165"/>
    <x v="135"/>
    <x v="0"/>
    <x v="0"/>
    <x v="0"/>
  </r>
  <r>
    <n v="173"/>
    <s v="Blindenbacher Severin"/>
    <x v="6"/>
    <x v="9"/>
    <x v="13"/>
    <x v="12"/>
    <n v="180"/>
    <x v="136"/>
    <x v="0"/>
    <x v="0"/>
    <x v="0"/>
  </r>
  <r>
    <n v="174"/>
    <s v="Blokhuijsen Jan"/>
    <x v="4"/>
    <x v="33"/>
    <x v="17"/>
    <x v="4"/>
    <n v="184"/>
    <x v="137"/>
    <x v="0"/>
    <x v="0"/>
    <x v="0"/>
  </r>
  <r>
    <n v="175"/>
    <s v="Bobak Paulina"/>
    <x v="3"/>
    <x v="25"/>
    <x v="16"/>
    <x v="44"/>
    <n v="166"/>
    <x v="138"/>
    <x v="0"/>
    <x v="0"/>
    <x v="0"/>
  </r>
  <r>
    <n v="176"/>
    <s v="Bobrova Ekaterina"/>
    <x v="1"/>
    <x v="5"/>
    <x v="12"/>
    <x v="8"/>
    <n v="165"/>
    <x v="139"/>
    <x v="0"/>
    <x v="0"/>
    <x v="0"/>
  </r>
  <r>
    <n v="177"/>
    <s v="Boccacini Corinna"/>
    <x v="8"/>
    <x v="19"/>
    <x v="1"/>
    <x v="49"/>
    <n v="173"/>
    <x v="140"/>
    <x v="0"/>
    <x v="0"/>
    <x v="0"/>
  </r>
  <r>
    <n v="178"/>
    <s v="Bockli Claudio"/>
    <x v="3"/>
    <x v="9"/>
    <x v="16"/>
    <x v="47"/>
    <n v="179"/>
    <x v="141"/>
    <x v="0"/>
    <x v="0"/>
    <x v="0"/>
  </r>
  <r>
    <n v="179"/>
    <s v="Bodmer Pascal"/>
    <x v="7"/>
    <x v="8"/>
    <x v="12"/>
    <x v="21"/>
    <n v="176"/>
    <x v="142"/>
    <x v="0"/>
    <x v="0"/>
    <x v="0"/>
  </r>
  <r>
    <n v="180"/>
    <s v="Boe Tarjei"/>
    <x v="3"/>
    <x v="17"/>
    <x v="3"/>
    <x v="8"/>
    <n v="203"/>
    <x v="131"/>
    <x v="0"/>
    <x v="0"/>
    <x v="0"/>
  </r>
  <r>
    <n v="181"/>
    <s v="Boehler Stefanie"/>
    <x v="9"/>
    <x v="8"/>
    <x v="8"/>
    <x v="42"/>
    <n v="170"/>
    <x v="143"/>
    <x v="0"/>
    <x v="0"/>
    <x v="0"/>
  </r>
  <r>
    <n v="182"/>
    <s v="Boer Margot"/>
    <x v="4"/>
    <x v="33"/>
    <x v="1"/>
    <x v="16"/>
    <n v="182"/>
    <x v="144"/>
    <x v="0"/>
    <x v="0"/>
    <x v="0"/>
  </r>
  <r>
    <n v="183"/>
    <s v="Boeuf Alexis"/>
    <x v="3"/>
    <x v="16"/>
    <x v="0"/>
    <x v="6"/>
    <n v="172"/>
    <x v="102"/>
    <x v="0"/>
    <x v="0"/>
    <x v="0"/>
  </r>
  <r>
    <n v="184"/>
    <s v="Bogaliy-Titovets Anna"/>
    <x v="3"/>
    <x v="5"/>
    <x v="2"/>
    <x v="9"/>
    <n v="167"/>
    <x v="9"/>
    <x v="0"/>
    <x v="0"/>
    <x v="0"/>
  </r>
  <r>
    <n v="185"/>
    <s v="Bogdanov Martin"/>
    <x v="3"/>
    <x v="13"/>
    <x v="1"/>
    <x v="44"/>
    <n v="166"/>
    <x v="138"/>
    <x v="0"/>
    <x v="0"/>
    <x v="0"/>
  </r>
  <r>
    <n v="186"/>
    <s v="Bohmann Martin"/>
    <x v="5"/>
    <x v="26"/>
    <x v="19"/>
    <x v="41"/>
    <n v="180"/>
    <x v="145"/>
    <x v="0"/>
    <x v="0"/>
    <x v="0"/>
  </r>
  <r>
    <n v="187"/>
    <s v="Boit Philip"/>
    <x v="9"/>
    <x v="37"/>
    <x v="20"/>
    <x v="37"/>
    <n v="175"/>
    <x v="146"/>
    <x v="0"/>
    <x v="0"/>
    <x v="2"/>
  </r>
  <r>
    <n v="188"/>
    <s v="Boivin Francois"/>
    <x v="8"/>
    <x v="7"/>
    <x v="5"/>
    <x v="17"/>
    <n v="170"/>
    <x v="19"/>
    <x v="0"/>
    <x v="0"/>
    <x v="0"/>
  </r>
  <r>
    <n v="189"/>
    <s v="Bokko Havard"/>
    <x v="4"/>
    <x v="17"/>
    <x v="0"/>
    <x v="8"/>
    <n v="203"/>
    <x v="131"/>
    <x v="0"/>
    <x v="0"/>
    <x v="0"/>
  </r>
  <r>
    <n v="190"/>
    <s v="Bokko Hege"/>
    <x v="4"/>
    <x v="17"/>
    <x v="14"/>
    <x v="8"/>
    <n v="203"/>
    <x v="131"/>
    <x v="0"/>
    <x v="0"/>
    <x v="0"/>
  </r>
  <r>
    <n v="191"/>
    <s v="Boldykov Andrey"/>
    <x v="8"/>
    <x v="5"/>
    <x v="13"/>
    <x v="1"/>
    <n v="180"/>
    <x v="121"/>
    <x v="0"/>
    <x v="0"/>
    <x v="0"/>
  </r>
  <r>
    <n v="192"/>
    <s v="Boldykova Svetlana"/>
    <x v="8"/>
    <x v="5"/>
    <x v="5"/>
    <x v="33"/>
    <n v="165"/>
    <x v="147"/>
    <x v="0"/>
    <x v="0"/>
    <x v="0"/>
  </r>
  <r>
    <n v="193"/>
    <s v="Bonheur Yannick"/>
    <x v="1"/>
    <x v="16"/>
    <x v="5"/>
    <x v="8"/>
    <n v="183"/>
    <x v="148"/>
    <x v="0"/>
    <x v="0"/>
    <x v="0"/>
  </r>
  <r>
    <n v="194"/>
    <s v="Bonhomme Tessa"/>
    <x v="6"/>
    <x v="7"/>
    <x v="1"/>
    <x v="9"/>
    <n v="170"/>
    <x v="93"/>
    <x v="0"/>
    <x v="0"/>
    <x v="0"/>
  </r>
  <r>
    <n v="195"/>
    <s v="Bonsaksen Alexander"/>
    <x v="6"/>
    <x v="17"/>
    <x v="0"/>
    <x v="49"/>
    <n v="180"/>
    <x v="149"/>
    <x v="0"/>
    <x v="0"/>
    <x v="0"/>
  </r>
  <r>
    <n v="196"/>
    <s v="Borodulin Artem"/>
    <x v="1"/>
    <x v="5"/>
    <x v="17"/>
    <x v="40"/>
    <n v="177"/>
    <x v="150"/>
    <x v="1"/>
    <x v="0"/>
    <x v="0"/>
  </r>
  <r>
    <n v="198"/>
    <s v="Borssen Therese"/>
    <x v="0"/>
    <x v="14"/>
    <x v="16"/>
    <x v="6"/>
    <n v="174"/>
    <x v="151"/>
    <x v="0"/>
    <x v="0"/>
    <x v="0"/>
  </r>
  <r>
    <n v="199"/>
    <s v="Bos Jan"/>
    <x v="4"/>
    <x v="33"/>
    <x v="15"/>
    <x v="1"/>
    <n v="190"/>
    <x v="152"/>
    <x v="0"/>
    <x v="0"/>
    <x v="2"/>
  </r>
  <r>
    <n v="200"/>
    <s v="Boshchuk Volodymyr"/>
    <x v="7"/>
    <x v="2"/>
    <x v="5"/>
    <x v="50"/>
    <n v="170"/>
    <x v="153"/>
    <x v="0"/>
    <x v="0"/>
    <x v="0"/>
  </r>
  <r>
    <n v="201"/>
    <s v="Botterill Jennifer"/>
    <x v="6"/>
    <x v="7"/>
    <x v="2"/>
    <x v="19"/>
    <n v="175"/>
    <x v="37"/>
    <x v="0"/>
    <x v="0"/>
    <x v="0"/>
  </r>
  <r>
    <n v="202"/>
    <s v="Bottomley Esther"/>
    <x v="9"/>
    <x v="15"/>
    <x v="5"/>
    <x v="21"/>
    <n v="167"/>
    <x v="154"/>
    <x v="0"/>
    <x v="0"/>
    <x v="0"/>
  </r>
  <r>
    <n v="203"/>
    <s v="Boulygina Anna"/>
    <x v="3"/>
    <x v="5"/>
    <x v="13"/>
    <x v="14"/>
    <n v="166"/>
    <x v="155"/>
    <x v="0"/>
    <x v="0"/>
    <x v="0"/>
  </r>
  <r>
    <n v="204"/>
    <s v="Bourgeois Celia"/>
    <x v="9"/>
    <x v="16"/>
    <x v="13"/>
    <x v="50"/>
    <n v="169"/>
    <x v="156"/>
    <x v="0"/>
    <x v="0"/>
    <x v="0"/>
  </r>
  <r>
    <n v="205"/>
    <s v="Bourzat Fabian"/>
    <x v="1"/>
    <x v="16"/>
    <x v="19"/>
    <x v="40"/>
    <n v="183"/>
    <x v="157"/>
    <x v="1"/>
    <x v="0"/>
    <x v="0"/>
  </r>
  <r>
    <n v="207"/>
    <s v="Boyd-Clowes Mackenzie"/>
    <x v="7"/>
    <x v="7"/>
    <x v="14"/>
    <x v="33"/>
    <n v="184"/>
    <x v="158"/>
    <x v="0"/>
    <x v="0"/>
    <x v="0"/>
  </r>
  <r>
    <n v="208"/>
    <s v="Boyle Dan"/>
    <x v="6"/>
    <x v="7"/>
    <x v="21"/>
    <x v="15"/>
    <n v="181"/>
    <x v="159"/>
    <x v="0"/>
    <x v="0"/>
    <x v="2"/>
  </r>
  <r>
    <n v="209"/>
    <s v="Bozzetto Mathieu"/>
    <x v="8"/>
    <x v="16"/>
    <x v="10"/>
    <x v="18"/>
    <n v="185"/>
    <x v="160"/>
    <x v="0"/>
    <x v="0"/>
    <x v="2"/>
  </r>
  <r>
    <n v="210"/>
    <s v="Bradford Rebekah"/>
    <x v="4"/>
    <x v="1"/>
    <x v="13"/>
    <x v="17"/>
    <n v="180"/>
    <x v="161"/>
    <x v="0"/>
    <x v="0"/>
    <x v="0"/>
  </r>
  <r>
    <n v="211"/>
    <s v="Braichenko Nikolay"/>
    <x v="3"/>
    <x v="21"/>
    <x v="0"/>
    <x v="16"/>
    <n v="180"/>
    <x v="70"/>
    <x v="0"/>
    <x v="0"/>
    <x v="0"/>
  </r>
  <r>
    <n v="212"/>
    <s v="Branch Craig"/>
    <x v="0"/>
    <x v="15"/>
    <x v="21"/>
    <x v="49"/>
    <n v="175"/>
    <x v="162"/>
    <x v="0"/>
    <x v="0"/>
    <x v="2"/>
  </r>
  <r>
    <n v="213"/>
    <s v="Brandenburg Will"/>
    <x v="0"/>
    <x v="1"/>
    <x v="0"/>
    <x v="51"/>
    <n v="185"/>
    <x v="163"/>
    <x v="0"/>
    <x v="0"/>
    <x v="0"/>
  </r>
  <r>
    <n v="215"/>
    <s v="Braud Francois"/>
    <x v="12"/>
    <x v="16"/>
    <x v="0"/>
    <x v="33"/>
    <n v="177"/>
    <x v="164"/>
    <x v="0"/>
    <x v="0"/>
    <x v="0"/>
  </r>
  <r>
    <n v="216"/>
    <s v="Brauer Jono"/>
    <x v="0"/>
    <x v="15"/>
    <x v="8"/>
    <x v="36"/>
    <n v="177"/>
    <x v="165"/>
    <x v="0"/>
    <x v="0"/>
    <x v="0"/>
  </r>
  <r>
    <n v="217"/>
    <s v="Bray Juliane"/>
    <x v="8"/>
    <x v="38"/>
    <x v="15"/>
    <x v="17"/>
    <n v="167"/>
    <x v="166"/>
    <x v="0"/>
    <x v="0"/>
    <x v="2"/>
  </r>
  <r>
    <n v="219"/>
    <s v="Bremova Barbora"/>
    <x v="6"/>
    <x v="24"/>
    <x v="14"/>
    <x v="8"/>
    <n v="168"/>
    <x v="8"/>
    <x v="0"/>
    <x v="0"/>
    <x v="0"/>
  </r>
  <r>
    <n v="221"/>
    <s v="Bretz Gregory"/>
    <x v="8"/>
    <x v="1"/>
    <x v="12"/>
    <x v="3"/>
    <n v="183"/>
    <x v="167"/>
    <x v="0"/>
    <x v="0"/>
    <x v="0"/>
  </r>
  <r>
    <n v="222"/>
    <s v="Brezina Michal"/>
    <x v="1"/>
    <x v="26"/>
    <x v="12"/>
    <x v="40"/>
    <n v="172"/>
    <x v="168"/>
    <x v="1"/>
    <x v="0"/>
    <x v="0"/>
  </r>
  <r>
    <n v="223"/>
    <s v="Briand Pascal"/>
    <x v="4"/>
    <x v="16"/>
    <x v="21"/>
    <x v="37"/>
    <n v="183"/>
    <x v="169"/>
    <x v="0"/>
    <x v="0"/>
    <x v="2"/>
  </r>
  <r>
    <n v="225"/>
    <s v="Bricis Ilmars"/>
    <x v="3"/>
    <x v="20"/>
    <x v="24"/>
    <x v="24"/>
    <n v="181"/>
    <x v="89"/>
    <x v="0"/>
    <x v="0"/>
    <x v="2"/>
  </r>
  <r>
    <n v="227"/>
    <s v="Brignone Federica"/>
    <x v="0"/>
    <x v="19"/>
    <x v="12"/>
    <x v="44"/>
    <n v="168"/>
    <x v="170"/>
    <x v="0"/>
    <x v="0"/>
    <x v="0"/>
  </r>
  <r>
    <n v="229"/>
    <s v="Brodeur Martin"/>
    <x v="6"/>
    <x v="7"/>
    <x v="11"/>
    <x v="46"/>
    <n v="188"/>
    <x v="171"/>
    <x v="0"/>
    <x v="0"/>
    <x v="2"/>
  </r>
  <r>
    <n v="230"/>
    <s v="Brodka Zbigniew"/>
    <x v="4"/>
    <x v="25"/>
    <x v="16"/>
    <x v="20"/>
    <n v="183"/>
    <x v="172"/>
    <x v="0"/>
    <x v="0"/>
    <x v="0"/>
  </r>
  <r>
    <n v="231"/>
    <s v="Broks Raivis"/>
    <x v="5"/>
    <x v="20"/>
    <x v="16"/>
    <x v="46"/>
    <n v="192"/>
    <x v="173"/>
    <x v="0"/>
    <x v="0"/>
    <x v="0"/>
  </r>
  <r>
    <n v="232"/>
    <s v="Bromley Kristan"/>
    <x v="15"/>
    <x v="11"/>
    <x v="11"/>
    <x v="35"/>
    <n v="178"/>
    <x v="174"/>
    <x v="0"/>
    <x v="0"/>
    <x v="2"/>
  </r>
  <r>
    <n v="233"/>
    <s v="Brooks Holly"/>
    <x v="9"/>
    <x v="1"/>
    <x v="5"/>
    <x v="22"/>
    <n v="168"/>
    <x v="175"/>
    <x v="0"/>
    <x v="0"/>
    <x v="0"/>
  </r>
  <r>
    <n v="234"/>
    <s v="Brown Dustin"/>
    <x v="6"/>
    <x v="1"/>
    <x v="16"/>
    <x v="39"/>
    <n v="183"/>
    <x v="176"/>
    <x v="0"/>
    <x v="0"/>
    <x v="0"/>
  </r>
  <r>
    <n v="236"/>
    <s v="Brown Lascelles"/>
    <x v="5"/>
    <x v="7"/>
    <x v="18"/>
    <x v="40"/>
    <n v="182"/>
    <x v="177"/>
    <x v="1"/>
    <x v="0"/>
    <x v="2"/>
  </r>
  <r>
    <n v="237"/>
    <s v="Brown Mitchell"/>
    <x v="8"/>
    <x v="38"/>
    <x v="4"/>
    <x v="5"/>
    <n v="169"/>
    <x v="178"/>
    <x v="0"/>
    <x v="0"/>
    <x v="0"/>
  </r>
  <r>
    <n v="238"/>
    <s v="Brown Shelly-Ann"/>
    <x v="5"/>
    <x v="7"/>
    <x v="19"/>
    <x v="37"/>
    <n v="173"/>
    <x v="72"/>
    <x v="0"/>
    <x v="0"/>
    <x v="0"/>
  </r>
  <r>
    <n v="239"/>
    <s v="Broznic Nina"/>
    <x v="9"/>
    <x v="39"/>
    <x v="14"/>
    <x v="6"/>
    <n v="175"/>
    <x v="179"/>
    <x v="0"/>
    <x v="0"/>
    <x v="0"/>
  </r>
  <r>
    <n v="240"/>
    <s v="Brunet Marie Laure"/>
    <x v="3"/>
    <x v="16"/>
    <x v="3"/>
    <x v="42"/>
    <n v="165"/>
    <x v="180"/>
    <x v="0"/>
    <x v="0"/>
    <x v="0"/>
  </r>
  <r>
    <n v="243"/>
    <s v="Brydon Emily"/>
    <x v="0"/>
    <x v="7"/>
    <x v="19"/>
    <x v="18"/>
    <n v="181"/>
    <x v="181"/>
    <x v="0"/>
    <x v="0"/>
    <x v="0"/>
  </r>
  <r>
    <n v="244"/>
    <s v="Bryzgalov Ilya"/>
    <x v="6"/>
    <x v="5"/>
    <x v="19"/>
    <x v="18"/>
    <n v="190"/>
    <x v="182"/>
    <x v="0"/>
    <x v="0"/>
    <x v="0"/>
  </r>
  <r>
    <n v="247"/>
    <s v="Buckland Nicholas"/>
    <x v="1"/>
    <x v="11"/>
    <x v="17"/>
    <x v="40"/>
    <n v="182"/>
    <x v="177"/>
    <x v="1"/>
    <x v="0"/>
    <x v="0"/>
  </r>
  <r>
    <n v="248"/>
    <s v="Bucsis Anastasia"/>
    <x v="4"/>
    <x v="7"/>
    <x v="17"/>
    <x v="26"/>
    <n v="178"/>
    <x v="183"/>
    <x v="0"/>
    <x v="0"/>
    <x v="0"/>
  </r>
  <r>
    <n v="249"/>
    <s v="Budaj Peter"/>
    <x v="6"/>
    <x v="24"/>
    <x v="5"/>
    <x v="18"/>
    <n v="185"/>
    <x v="160"/>
    <x v="0"/>
    <x v="0"/>
    <x v="0"/>
  </r>
  <r>
    <n v="250"/>
    <s v="Budajova Jana"/>
    <x v="6"/>
    <x v="24"/>
    <x v="23"/>
    <x v="22"/>
    <n v="170"/>
    <x v="184"/>
    <x v="0"/>
    <x v="0"/>
    <x v="0"/>
  </r>
  <r>
    <n v="251"/>
    <s v="Buechel Marco"/>
    <x v="0"/>
    <x v="35"/>
    <x v="20"/>
    <x v="41"/>
    <n v="186"/>
    <x v="185"/>
    <x v="0"/>
    <x v="0"/>
    <x v="2"/>
  </r>
  <r>
    <n v="253"/>
    <s v="Buric Andrej"/>
    <x v="9"/>
    <x v="39"/>
    <x v="3"/>
    <x v="23"/>
    <n v="188"/>
    <x v="186"/>
    <x v="0"/>
    <x v="0"/>
    <x v="0"/>
  </r>
  <r>
    <n v="254"/>
    <s v="Burille Arnaud"/>
    <x v="2"/>
    <x v="16"/>
    <x v="3"/>
    <x v="2"/>
    <n v="180"/>
    <x v="187"/>
    <x v="0"/>
    <x v="0"/>
    <x v="0"/>
  </r>
  <r>
    <n v="255"/>
    <s v="Burina Tatiana"/>
    <x v="6"/>
    <x v="5"/>
    <x v="19"/>
    <x v="17"/>
    <n v="165"/>
    <x v="188"/>
    <x v="0"/>
    <x v="0"/>
    <x v="0"/>
  </r>
  <r>
    <n v="256"/>
    <s v="Burke Tim"/>
    <x v="3"/>
    <x v="1"/>
    <x v="8"/>
    <x v="24"/>
    <n v="180"/>
    <x v="189"/>
    <x v="0"/>
    <x v="0"/>
    <x v="0"/>
  </r>
  <r>
    <n v="257"/>
    <s v="Bussler Patrick"/>
    <x v="8"/>
    <x v="8"/>
    <x v="16"/>
    <x v="4"/>
    <n v="183"/>
    <x v="190"/>
    <x v="0"/>
    <x v="0"/>
    <x v="0"/>
  </r>
  <r>
    <n v="258"/>
    <s v="Butenschon Sven"/>
    <x v="6"/>
    <x v="8"/>
    <x v="21"/>
    <x v="7"/>
    <n v="192"/>
    <x v="191"/>
    <x v="0"/>
    <x v="0"/>
    <x v="2"/>
  </r>
  <r>
    <n v="259"/>
    <s v="Byers Euan"/>
    <x v="11"/>
    <x v="11"/>
    <x v="18"/>
    <x v="40"/>
    <n v="173"/>
    <x v="192"/>
    <x v="1"/>
    <x v="0"/>
    <x v="2"/>
  </r>
  <r>
    <n v="260"/>
    <s v="Byggmark Jens"/>
    <x v="0"/>
    <x v="14"/>
    <x v="1"/>
    <x v="1"/>
    <n v="180"/>
    <x v="121"/>
    <x v="0"/>
    <x v="0"/>
    <x v="0"/>
  </r>
  <r>
    <n v="261"/>
    <s v="Bzura Paula"/>
    <x v="13"/>
    <x v="25"/>
    <x v="12"/>
    <x v="14"/>
    <n v="167"/>
    <x v="193"/>
    <x v="0"/>
    <x v="0"/>
    <x v="0"/>
  </r>
  <r>
    <n v="262"/>
    <s v="Caduff Fabio"/>
    <x v="8"/>
    <x v="9"/>
    <x v="1"/>
    <x v="17"/>
    <n v="167"/>
    <x v="166"/>
    <x v="0"/>
    <x v="0"/>
    <x v="0"/>
  </r>
  <r>
    <n v="263"/>
    <s v="Cafe Tim"/>
    <x v="0"/>
    <x v="38"/>
    <x v="4"/>
    <x v="48"/>
    <n v="173"/>
    <x v="194"/>
    <x v="0"/>
    <x v="0"/>
    <x v="0"/>
  </r>
  <r>
    <n v="266"/>
    <s v="Cajanek Petr"/>
    <x v="6"/>
    <x v="26"/>
    <x v="15"/>
    <x v="23"/>
    <n v="181"/>
    <x v="195"/>
    <x v="0"/>
    <x v="0"/>
    <x v="2"/>
  </r>
  <r>
    <n v="268"/>
    <s v="Caldwell Ashley"/>
    <x v="2"/>
    <x v="1"/>
    <x v="6"/>
    <x v="13"/>
    <n v="170"/>
    <x v="196"/>
    <x v="0"/>
    <x v="0"/>
    <x v="1"/>
  </r>
  <r>
    <n v="269"/>
    <s v="Callahan Ryan"/>
    <x v="6"/>
    <x v="1"/>
    <x v="1"/>
    <x v="1"/>
    <n v="180"/>
    <x v="121"/>
    <x v="0"/>
    <x v="0"/>
    <x v="0"/>
  </r>
  <r>
    <n v="270"/>
    <s v="Calve Caroline"/>
    <x v="8"/>
    <x v="7"/>
    <x v="7"/>
    <x v="5"/>
    <n v="177"/>
    <x v="197"/>
    <x v="0"/>
    <x v="0"/>
    <x v="2"/>
  </r>
  <r>
    <n v="272"/>
    <s v="Camerota Brett"/>
    <x v="12"/>
    <x v="1"/>
    <x v="16"/>
    <x v="43"/>
    <n v="167"/>
    <x v="198"/>
    <x v="0"/>
    <x v="0"/>
    <x v="0"/>
  </r>
  <r>
    <n v="273"/>
    <s v="Campbell-Pegg Hannah"/>
    <x v="10"/>
    <x v="15"/>
    <x v="5"/>
    <x v="16"/>
    <n v="170"/>
    <x v="199"/>
    <x v="0"/>
    <x v="0"/>
    <x v="0"/>
  </r>
  <r>
    <n v="275"/>
    <s v="Carcelen Roberto"/>
    <x v="9"/>
    <x v="40"/>
    <x v="24"/>
    <x v="37"/>
    <n v="174"/>
    <x v="200"/>
    <x v="0"/>
    <x v="0"/>
    <x v="2"/>
  </r>
  <r>
    <n v="276"/>
    <s v="Cardelli Marino"/>
    <x v="0"/>
    <x v="41"/>
    <x v="4"/>
    <x v="37"/>
    <n v="180"/>
    <x v="201"/>
    <x v="0"/>
    <x v="0"/>
    <x v="0"/>
  </r>
  <r>
    <n v="277"/>
    <s v="Carraz Collin Julie"/>
    <x v="3"/>
    <x v="16"/>
    <x v="19"/>
    <x v="9"/>
    <n v="168"/>
    <x v="202"/>
    <x v="0"/>
    <x v="0"/>
    <x v="0"/>
  </r>
  <r>
    <n v="279"/>
    <s v="Celarova Nikoleta"/>
    <x v="6"/>
    <x v="24"/>
    <x v="13"/>
    <x v="2"/>
    <n v="173"/>
    <x v="203"/>
    <x v="0"/>
    <x v="0"/>
    <x v="0"/>
  </r>
  <r>
    <n v="280"/>
    <s v="Celski J.R."/>
    <x v="13"/>
    <x v="1"/>
    <x v="12"/>
    <x v="33"/>
    <n v="173"/>
    <x v="204"/>
    <x v="0"/>
    <x v="0"/>
    <x v="0"/>
  </r>
  <r>
    <n v="281"/>
    <s v="Cervenka Roman"/>
    <x v="6"/>
    <x v="26"/>
    <x v="1"/>
    <x v="1"/>
    <n v="181"/>
    <x v="205"/>
    <x v="0"/>
    <x v="0"/>
    <x v="0"/>
  </r>
  <r>
    <n v="283"/>
    <s v="Chamoun Jacky"/>
    <x v="0"/>
    <x v="6"/>
    <x v="14"/>
    <x v="50"/>
    <n v="172"/>
    <x v="206"/>
    <x v="0"/>
    <x v="0"/>
    <x v="0"/>
  </r>
  <r>
    <n v="284"/>
    <s v="Chan Patrick"/>
    <x v="1"/>
    <x v="7"/>
    <x v="12"/>
    <x v="52"/>
    <n v="168"/>
    <x v="207"/>
    <x v="0"/>
    <x v="0"/>
    <x v="0"/>
  </r>
  <r>
    <n v="285"/>
    <s v="Chapotot Claire"/>
    <x v="8"/>
    <x v="16"/>
    <x v="17"/>
    <x v="9"/>
    <n v="169"/>
    <x v="208"/>
    <x v="0"/>
    <x v="0"/>
    <x v="0"/>
  </r>
  <r>
    <n v="286"/>
    <s v="Chara Zdeno"/>
    <x v="6"/>
    <x v="24"/>
    <x v="9"/>
    <x v="53"/>
    <n v="205"/>
    <x v="209"/>
    <x v="1"/>
    <x v="0"/>
    <x v="2"/>
  </r>
  <r>
    <n v="287"/>
    <s v="Chataignier Maxime"/>
    <x v="13"/>
    <x v="16"/>
    <x v="3"/>
    <x v="6"/>
    <n v="165"/>
    <x v="210"/>
    <x v="0"/>
    <x v="0"/>
    <x v="0"/>
  </r>
  <r>
    <n v="288"/>
    <s v="Chebotko Nikolay"/>
    <x v="9"/>
    <x v="21"/>
    <x v="5"/>
    <x v="24"/>
    <n v="178"/>
    <x v="211"/>
    <x v="0"/>
    <x v="0"/>
    <x v="0"/>
  </r>
  <r>
    <n v="289"/>
    <s v="Checchi Valerio"/>
    <x v="9"/>
    <x v="19"/>
    <x v="19"/>
    <x v="37"/>
    <n v="180"/>
    <x v="201"/>
    <x v="0"/>
    <x v="0"/>
    <x v="0"/>
  </r>
  <r>
    <n v="290"/>
    <s v="Chedal Emmanuel"/>
    <x v="7"/>
    <x v="16"/>
    <x v="5"/>
    <x v="26"/>
    <n v="184"/>
    <x v="212"/>
    <x v="0"/>
    <x v="0"/>
    <x v="0"/>
  </r>
  <r>
    <n v="292"/>
    <s v="Cherepanov Sergey"/>
    <x v="9"/>
    <x v="21"/>
    <x v="1"/>
    <x v="25"/>
    <n v="181"/>
    <x v="213"/>
    <x v="0"/>
    <x v="0"/>
    <x v="0"/>
  </r>
  <r>
    <n v="294"/>
    <s v="Chervyhkov Alexsandr"/>
    <x v="3"/>
    <x v="21"/>
    <x v="19"/>
    <x v="23"/>
    <n v="180"/>
    <x v="214"/>
    <x v="0"/>
    <x v="0"/>
    <x v="0"/>
  </r>
  <r>
    <n v="295"/>
    <s v="Chesson Lisa"/>
    <x v="6"/>
    <x v="1"/>
    <x v="0"/>
    <x v="13"/>
    <n v="169"/>
    <x v="215"/>
    <x v="0"/>
    <x v="0"/>
    <x v="0"/>
  </r>
  <r>
    <n v="296"/>
    <s v="Chetroiu Cosmin"/>
    <x v="10"/>
    <x v="18"/>
    <x v="4"/>
    <x v="1"/>
    <n v="182"/>
    <x v="216"/>
    <x v="0"/>
    <x v="0"/>
    <x v="0"/>
  </r>
  <r>
    <n v="297"/>
    <s v="Chipeur Vaughn"/>
    <x v="1"/>
    <x v="7"/>
    <x v="16"/>
    <x v="52"/>
    <n v="168"/>
    <x v="207"/>
    <x v="0"/>
    <x v="0"/>
    <x v="0"/>
  </r>
  <r>
    <n v="298"/>
    <s v="Chiras Mihaela"/>
    <x v="10"/>
    <x v="18"/>
    <x v="4"/>
    <x v="50"/>
    <n v="167"/>
    <x v="217"/>
    <x v="0"/>
    <x v="0"/>
    <x v="0"/>
  </r>
  <r>
    <n v="299"/>
    <s v="Chmelar Fanny"/>
    <x v="0"/>
    <x v="8"/>
    <x v="1"/>
    <x v="49"/>
    <n v="187"/>
    <x v="218"/>
    <x v="0"/>
    <x v="0"/>
    <x v="0"/>
  </r>
  <r>
    <n v="300"/>
    <s v="Chmura Slawomir"/>
    <x v="4"/>
    <x v="25"/>
    <x v="13"/>
    <x v="48"/>
    <n v="181"/>
    <x v="219"/>
    <x v="0"/>
    <x v="0"/>
    <x v="0"/>
  </r>
  <r>
    <n v="301"/>
    <s v="Cho Ha-Ri"/>
    <x v="13"/>
    <x v="42"/>
    <x v="0"/>
    <x v="42"/>
    <n v="167"/>
    <x v="220"/>
    <x v="0"/>
    <x v="0"/>
    <x v="0"/>
  </r>
  <r>
    <n v="302"/>
    <s v="Cho In Ho"/>
    <x v="15"/>
    <x v="42"/>
    <x v="7"/>
    <x v="37"/>
    <n v="173"/>
    <x v="72"/>
    <x v="0"/>
    <x v="0"/>
    <x v="2"/>
  </r>
  <r>
    <n v="303"/>
    <s v="Cho Simon"/>
    <x v="13"/>
    <x v="1"/>
    <x v="14"/>
    <x v="25"/>
    <n v="183"/>
    <x v="221"/>
    <x v="0"/>
    <x v="0"/>
    <x v="0"/>
  </r>
  <r>
    <n v="304"/>
    <s v="Choi Heung-Chul"/>
    <x v="7"/>
    <x v="42"/>
    <x v="8"/>
    <x v="22"/>
    <n v="174"/>
    <x v="222"/>
    <x v="0"/>
    <x v="0"/>
    <x v="0"/>
  </r>
  <r>
    <n v="305"/>
    <s v="Choi Jung-Won"/>
    <x v="13"/>
    <x v="42"/>
    <x v="12"/>
    <x v="44"/>
    <n v="167"/>
    <x v="223"/>
    <x v="0"/>
    <x v="0"/>
    <x v="0"/>
  </r>
  <r>
    <n v="307"/>
    <s v="Cholewinski Lauren"/>
    <x v="4"/>
    <x v="1"/>
    <x v="3"/>
    <x v="6"/>
    <n v="173"/>
    <x v="94"/>
    <x v="0"/>
    <x v="0"/>
    <x v="0"/>
  </r>
  <r>
    <n v="310"/>
    <s v="Christie Jeff"/>
    <x v="10"/>
    <x v="7"/>
    <x v="5"/>
    <x v="51"/>
    <n v="183"/>
    <x v="224"/>
    <x v="0"/>
    <x v="0"/>
    <x v="0"/>
  </r>
  <r>
    <n v="311"/>
    <s v="Chruscinski Mateusz"/>
    <x v="1"/>
    <x v="25"/>
    <x v="4"/>
    <x v="52"/>
    <n v="180"/>
    <x v="225"/>
    <x v="0"/>
    <x v="0"/>
    <x v="0"/>
  </r>
  <r>
    <n v="312"/>
    <s v="Chu Julie"/>
    <x v="6"/>
    <x v="1"/>
    <x v="5"/>
    <x v="26"/>
    <n v="174"/>
    <x v="226"/>
    <x v="0"/>
    <x v="0"/>
    <x v="0"/>
  </r>
  <r>
    <n v="313"/>
    <s v="Chudinov Sergei"/>
    <x v="15"/>
    <x v="5"/>
    <x v="13"/>
    <x v="3"/>
    <n v="185"/>
    <x v="99"/>
    <x v="0"/>
    <x v="0"/>
    <x v="0"/>
  </r>
  <r>
    <n v="314"/>
    <s v="Chuikova Ekaterina"/>
    <x v="9"/>
    <x v="5"/>
    <x v="0"/>
    <x v="43"/>
    <n v="170"/>
    <x v="227"/>
    <x v="0"/>
    <x v="0"/>
    <x v="0"/>
  </r>
  <r>
    <n v="315"/>
    <s v="Chundak Annamari"/>
    <x v="8"/>
    <x v="2"/>
    <x v="12"/>
    <x v="50"/>
    <n v="166"/>
    <x v="228"/>
    <x v="0"/>
    <x v="0"/>
    <x v="0"/>
  </r>
  <r>
    <n v="316"/>
    <s v="Churavy Pavel"/>
    <x v="12"/>
    <x v="26"/>
    <x v="9"/>
    <x v="25"/>
    <n v="179"/>
    <x v="229"/>
    <x v="0"/>
    <x v="0"/>
    <x v="2"/>
  </r>
  <r>
    <n v="318"/>
    <s v="Cibak Martin"/>
    <x v="6"/>
    <x v="24"/>
    <x v="19"/>
    <x v="12"/>
    <n v="185"/>
    <x v="230"/>
    <x v="0"/>
    <x v="0"/>
    <x v="0"/>
  </r>
  <r>
    <n v="319"/>
    <s v="Cikl Martin"/>
    <x v="7"/>
    <x v="26"/>
    <x v="4"/>
    <x v="8"/>
    <n v="176"/>
    <x v="231"/>
    <x v="0"/>
    <x v="0"/>
    <x v="0"/>
  </r>
  <r>
    <n v="320"/>
    <s v="Cipulis Martins"/>
    <x v="6"/>
    <x v="20"/>
    <x v="19"/>
    <x v="3"/>
    <n v="181"/>
    <x v="232"/>
    <x v="0"/>
    <x v="0"/>
    <x v="0"/>
  </r>
  <r>
    <n v="321"/>
    <s v="Clara Roland"/>
    <x v="9"/>
    <x v="19"/>
    <x v="5"/>
    <x v="33"/>
    <n v="174"/>
    <x v="233"/>
    <x v="0"/>
    <x v="0"/>
    <x v="0"/>
  </r>
  <r>
    <n v="322"/>
    <s v="Clarey Johan"/>
    <x v="0"/>
    <x v="16"/>
    <x v="19"/>
    <x v="46"/>
    <n v="191"/>
    <x v="234"/>
    <x v="0"/>
    <x v="0"/>
    <x v="0"/>
  </r>
  <r>
    <n v="324"/>
    <s v="Clark Ribeiro Isabel"/>
    <x v="8"/>
    <x v="43"/>
    <x v="21"/>
    <x v="14"/>
    <n v="168"/>
    <x v="235"/>
    <x v="0"/>
    <x v="0"/>
    <x v="2"/>
  </r>
  <r>
    <n v="325"/>
    <s v="Clegg Robin"/>
    <x v="3"/>
    <x v="7"/>
    <x v="9"/>
    <x v="17"/>
    <n v="175"/>
    <x v="236"/>
    <x v="0"/>
    <x v="0"/>
    <x v="2"/>
  </r>
  <r>
    <n v="326"/>
    <s v="Clukey Julia"/>
    <x v="10"/>
    <x v="1"/>
    <x v="1"/>
    <x v="2"/>
    <n v="175"/>
    <x v="237"/>
    <x v="0"/>
    <x v="0"/>
    <x v="0"/>
  </r>
  <r>
    <n v="327"/>
    <s v="Cochran Jimmy"/>
    <x v="0"/>
    <x v="1"/>
    <x v="8"/>
    <x v="3"/>
    <n v="183"/>
    <x v="167"/>
    <x v="0"/>
    <x v="0"/>
    <x v="0"/>
  </r>
  <r>
    <n v="328"/>
    <s v="Cockerline Ian"/>
    <x v="10"/>
    <x v="7"/>
    <x v="16"/>
    <x v="51"/>
    <n v="181"/>
    <x v="238"/>
    <x v="0"/>
    <x v="0"/>
    <x v="0"/>
  </r>
  <r>
    <n v="329"/>
    <s v="Cola Mattia"/>
    <x v="3"/>
    <x v="19"/>
    <x v="16"/>
    <x v="24"/>
    <n v="178"/>
    <x v="211"/>
    <x v="0"/>
    <x v="0"/>
    <x v="0"/>
  </r>
  <r>
    <n v="330"/>
    <s v="Colas Guilbaut"/>
    <x v="2"/>
    <x v="16"/>
    <x v="13"/>
    <x v="24"/>
    <n v="176"/>
    <x v="239"/>
    <x v="0"/>
    <x v="0"/>
    <x v="0"/>
  </r>
  <r>
    <n v="332"/>
    <s v="Colloredo Sebastian"/>
    <x v="7"/>
    <x v="19"/>
    <x v="4"/>
    <x v="6"/>
    <n v="176"/>
    <x v="240"/>
    <x v="0"/>
    <x v="0"/>
    <x v="0"/>
  </r>
  <r>
    <n v="333"/>
    <s v="Cologna Dario"/>
    <x v="9"/>
    <x v="9"/>
    <x v="0"/>
    <x v="5"/>
    <n v="179"/>
    <x v="5"/>
    <x v="0"/>
    <x v="0"/>
    <x v="0"/>
  </r>
  <r>
    <n v="334"/>
    <s v="Compton Caitlin"/>
    <x v="9"/>
    <x v="1"/>
    <x v="19"/>
    <x v="44"/>
    <n v="165"/>
    <x v="135"/>
    <x v="0"/>
    <x v="0"/>
    <x v="0"/>
  </r>
  <r>
    <n v="335"/>
    <s v="Condon Allyn"/>
    <x v="5"/>
    <x v="11"/>
    <x v="18"/>
    <x v="1"/>
    <n v="178"/>
    <x v="14"/>
    <x v="0"/>
    <x v="0"/>
    <x v="2"/>
  </r>
  <r>
    <n v="336"/>
    <s v="Confortola Wyatt Antonella"/>
    <x v="9"/>
    <x v="19"/>
    <x v="15"/>
    <x v="54"/>
    <n v="170"/>
    <x v="241"/>
    <x v="0"/>
    <x v="0"/>
    <x v="2"/>
  </r>
  <r>
    <n v="337"/>
    <s v="Confortola Yuri"/>
    <x v="13"/>
    <x v="19"/>
    <x v="0"/>
    <x v="2"/>
    <n v="169"/>
    <x v="2"/>
    <x v="0"/>
    <x v="0"/>
    <x v="0"/>
  </r>
  <r>
    <n v="338"/>
    <s v="Connal Graeme"/>
    <x v="11"/>
    <x v="11"/>
    <x v="22"/>
    <x v="52"/>
    <n v="178"/>
    <x v="242"/>
    <x v="0"/>
    <x v="0"/>
    <x v="2"/>
  </r>
  <r>
    <n v="340"/>
    <s v="Contesti Samuel"/>
    <x v="1"/>
    <x v="19"/>
    <x v="13"/>
    <x v="52"/>
    <n v="181"/>
    <x v="243"/>
    <x v="0"/>
    <x v="0"/>
    <x v="0"/>
  </r>
  <r>
    <n v="341"/>
    <s v="Contin Alexis"/>
    <x v="4"/>
    <x v="16"/>
    <x v="0"/>
    <x v="24"/>
    <n v="182"/>
    <x v="244"/>
    <x v="0"/>
    <x v="0"/>
    <x v="0"/>
  </r>
  <r>
    <n v="344"/>
    <s v="Cooke Gillian"/>
    <x v="5"/>
    <x v="11"/>
    <x v="5"/>
    <x v="17"/>
    <n v="173"/>
    <x v="245"/>
    <x v="0"/>
    <x v="0"/>
    <x v="0"/>
  </r>
  <r>
    <n v="346"/>
    <s v="Cooper Jacqui"/>
    <x v="2"/>
    <x v="15"/>
    <x v="11"/>
    <x v="6"/>
    <n v="175"/>
    <x v="179"/>
    <x v="0"/>
    <x v="0"/>
    <x v="2"/>
  </r>
  <r>
    <n v="347"/>
    <s v="Cooper Ramone"/>
    <x v="2"/>
    <x v="15"/>
    <x v="3"/>
    <x v="48"/>
    <n v="177"/>
    <x v="246"/>
    <x v="0"/>
    <x v="0"/>
    <x v="0"/>
  </r>
  <r>
    <n v="348"/>
    <s v="Costazza Chiara"/>
    <x v="0"/>
    <x v="19"/>
    <x v="16"/>
    <x v="6"/>
    <n v="171"/>
    <x v="247"/>
    <x v="0"/>
    <x v="0"/>
    <x v="0"/>
  </r>
  <r>
    <n v="349"/>
    <s v="Cousineau Julien"/>
    <x v="0"/>
    <x v="7"/>
    <x v="19"/>
    <x v="18"/>
    <n v="173"/>
    <x v="248"/>
    <x v="0"/>
    <x v="0"/>
    <x v="0"/>
  </r>
  <r>
    <n v="351"/>
    <s v="Craciun Florin Cezar"/>
    <x v="5"/>
    <x v="18"/>
    <x v="17"/>
    <x v="41"/>
    <n v="185"/>
    <x v="249"/>
    <x v="0"/>
    <x v="0"/>
    <x v="0"/>
  </r>
  <r>
    <n v="352"/>
    <s v="Crawford Chandra"/>
    <x v="9"/>
    <x v="7"/>
    <x v="13"/>
    <x v="2"/>
    <n v="170"/>
    <x v="250"/>
    <x v="0"/>
    <x v="0"/>
    <x v="0"/>
  </r>
  <r>
    <n v="353"/>
    <s v="Crawford Holly"/>
    <x v="8"/>
    <x v="15"/>
    <x v="13"/>
    <x v="25"/>
    <n v="172"/>
    <x v="58"/>
    <x v="0"/>
    <x v="0"/>
    <x v="0"/>
  </r>
  <r>
    <n v="354"/>
    <s v="Crawford Rosanna"/>
    <x v="3"/>
    <x v="7"/>
    <x v="3"/>
    <x v="26"/>
    <n v="180"/>
    <x v="31"/>
    <x v="0"/>
    <x v="0"/>
    <x v="0"/>
  </r>
  <r>
    <n v="355"/>
    <s v="Crema Katya"/>
    <x v="2"/>
    <x v="15"/>
    <x v="3"/>
    <x v="14"/>
    <n v="174"/>
    <x v="251"/>
    <x v="0"/>
    <x v="0"/>
    <x v="0"/>
  </r>
  <r>
    <n v="356"/>
    <s v="Crepel Mathieu"/>
    <x v="8"/>
    <x v="16"/>
    <x v="16"/>
    <x v="33"/>
    <n v="170"/>
    <x v="61"/>
    <x v="0"/>
    <x v="0"/>
    <x v="0"/>
  </r>
  <r>
    <n v="357"/>
    <s v="Cretu Valentin"/>
    <x v="10"/>
    <x v="18"/>
    <x v="17"/>
    <x v="3"/>
    <n v="185"/>
    <x v="99"/>
    <x v="0"/>
    <x v="0"/>
    <x v="0"/>
  </r>
  <r>
    <n v="359"/>
    <s v="Crosby Sidney"/>
    <x v="6"/>
    <x v="7"/>
    <x v="4"/>
    <x v="38"/>
    <n v="181"/>
    <x v="252"/>
    <x v="0"/>
    <x v="0"/>
    <x v="0"/>
  </r>
  <r>
    <n v="360"/>
    <s v="Cuche Didier"/>
    <x v="0"/>
    <x v="9"/>
    <x v="18"/>
    <x v="51"/>
    <n v="174"/>
    <x v="253"/>
    <x v="0"/>
    <x v="0"/>
    <x v="2"/>
  </r>
  <r>
    <n v="361"/>
    <s v="Cui Shanshan"/>
    <x v="6"/>
    <x v="44"/>
    <x v="4"/>
    <x v="26"/>
    <n v="177"/>
    <x v="254"/>
    <x v="0"/>
    <x v="0"/>
    <x v="0"/>
  </r>
  <r>
    <n v="362"/>
    <s v="Cuinet Aurore"/>
    <x v="9"/>
    <x v="16"/>
    <x v="1"/>
    <x v="22"/>
    <n v="175"/>
    <x v="255"/>
    <x v="0"/>
    <x v="0"/>
    <x v="0"/>
  </r>
  <r>
    <n v="363"/>
    <s v="Culikova Janka"/>
    <x v="6"/>
    <x v="24"/>
    <x v="4"/>
    <x v="21"/>
    <n v="168"/>
    <x v="256"/>
    <x v="0"/>
    <x v="0"/>
    <x v="0"/>
  </r>
  <r>
    <n v="364"/>
    <s v="Cunningham Nick"/>
    <x v="5"/>
    <x v="1"/>
    <x v="1"/>
    <x v="46"/>
    <n v="180"/>
    <x v="257"/>
    <x v="0"/>
    <x v="0"/>
    <x v="0"/>
  </r>
  <r>
    <n v="365"/>
    <s v="Cupkova Nicol"/>
    <x v="6"/>
    <x v="24"/>
    <x v="23"/>
    <x v="8"/>
    <n v="174"/>
    <x v="258"/>
    <x v="0"/>
    <x v="0"/>
    <x v="0"/>
  </r>
  <r>
    <n v="366"/>
    <s v="Curione Laura"/>
    <x v="5"/>
    <x v="19"/>
    <x v="3"/>
    <x v="6"/>
    <n v="167"/>
    <x v="6"/>
    <x v="0"/>
    <x v="0"/>
    <x v="0"/>
  </r>
  <r>
    <n v="368"/>
    <s v="Czerwonka Natalia"/>
    <x v="4"/>
    <x v="25"/>
    <x v="3"/>
    <x v="25"/>
    <n v="176"/>
    <x v="259"/>
    <x v="0"/>
    <x v="0"/>
    <x v="0"/>
  </r>
  <r>
    <n v="369"/>
    <s v="Daly John"/>
    <x v="15"/>
    <x v="1"/>
    <x v="1"/>
    <x v="4"/>
    <n v="175"/>
    <x v="260"/>
    <x v="0"/>
    <x v="0"/>
    <x v="0"/>
  </r>
  <r>
    <n v="370"/>
    <s v="Dambis Intars"/>
    <x v="5"/>
    <x v="20"/>
    <x v="13"/>
    <x v="39"/>
    <n v="186"/>
    <x v="261"/>
    <x v="0"/>
    <x v="0"/>
    <x v="0"/>
  </r>
  <r>
    <n v="371"/>
    <s v="Damjan Jernej"/>
    <x v="7"/>
    <x v="31"/>
    <x v="13"/>
    <x v="50"/>
    <n v="171"/>
    <x v="262"/>
    <x v="0"/>
    <x v="0"/>
    <x v="0"/>
  </r>
  <r>
    <n v="372"/>
    <s v="Damjanovski Darko"/>
    <x v="9"/>
    <x v="45"/>
    <x v="8"/>
    <x v="16"/>
    <n v="180"/>
    <x v="70"/>
    <x v="0"/>
    <x v="0"/>
    <x v="0"/>
  </r>
  <r>
    <n v="373"/>
    <s v="Danilevic Ivo"/>
    <x v="5"/>
    <x v="26"/>
    <x v="24"/>
    <x v="55"/>
    <n v="187"/>
    <x v="263"/>
    <x v="1"/>
    <x v="0"/>
    <x v="2"/>
  </r>
  <r>
    <n v="374"/>
    <s v="Danou Maria"/>
    <x v="9"/>
    <x v="46"/>
    <x v="12"/>
    <x v="30"/>
    <n v="168"/>
    <x v="264"/>
    <x v="0"/>
    <x v="0"/>
    <x v="0"/>
  </r>
  <r>
    <n v="375"/>
    <s v="Darazs Peter"/>
    <x v="13"/>
    <x v="34"/>
    <x v="1"/>
    <x v="49"/>
    <n v="186"/>
    <x v="265"/>
    <x v="0"/>
    <x v="0"/>
    <x v="0"/>
  </r>
  <r>
    <n v="376"/>
    <s v="Darazs Rozsa"/>
    <x v="13"/>
    <x v="34"/>
    <x v="4"/>
    <x v="6"/>
    <n v="180"/>
    <x v="266"/>
    <x v="0"/>
    <x v="0"/>
    <x v="0"/>
  </r>
  <r>
    <n v="377"/>
    <s v="Darragon Roddy"/>
    <x v="9"/>
    <x v="16"/>
    <x v="13"/>
    <x v="28"/>
    <n v="183"/>
    <x v="267"/>
    <x v="0"/>
    <x v="0"/>
    <x v="0"/>
  </r>
  <r>
    <n v="379"/>
    <s v="Darzins Lauris"/>
    <x v="6"/>
    <x v="20"/>
    <x v="16"/>
    <x v="18"/>
    <n v="189"/>
    <x v="268"/>
    <x v="0"/>
    <x v="0"/>
    <x v="0"/>
  </r>
  <r>
    <n v="380"/>
    <s v="Dasdemir Tugba"/>
    <x v="0"/>
    <x v="47"/>
    <x v="1"/>
    <x v="9"/>
    <n v="165"/>
    <x v="269"/>
    <x v="0"/>
    <x v="0"/>
    <x v="0"/>
  </r>
  <r>
    <n v="381"/>
    <s v="Dashinski Dmitri"/>
    <x v="2"/>
    <x v="4"/>
    <x v="9"/>
    <x v="2"/>
    <n v="170"/>
    <x v="250"/>
    <x v="0"/>
    <x v="0"/>
    <x v="2"/>
  </r>
  <r>
    <n v="382"/>
    <s v="Datsyuk Pavel"/>
    <x v="6"/>
    <x v="5"/>
    <x v="7"/>
    <x v="12"/>
    <n v="182"/>
    <x v="270"/>
    <x v="0"/>
    <x v="0"/>
    <x v="2"/>
  </r>
  <r>
    <n v="383"/>
    <s v="Daugavins Kaspars"/>
    <x v="6"/>
    <x v="20"/>
    <x v="3"/>
    <x v="1"/>
    <n v="178"/>
    <x v="14"/>
    <x v="0"/>
    <x v="0"/>
    <x v="0"/>
  </r>
  <r>
    <n v="385"/>
    <s v="David Ophelie"/>
    <x v="2"/>
    <x v="16"/>
    <x v="21"/>
    <x v="22"/>
    <n v="172"/>
    <x v="26"/>
    <x v="0"/>
    <x v="0"/>
    <x v="2"/>
  </r>
  <r>
    <n v="387"/>
    <s v="Davis Shani"/>
    <x v="4"/>
    <x v="1"/>
    <x v="5"/>
    <x v="20"/>
    <n v="191"/>
    <x v="271"/>
    <x v="0"/>
    <x v="0"/>
    <x v="0"/>
  </r>
  <r>
    <n v="388"/>
    <s v="Davison Bryce"/>
    <x v="1"/>
    <x v="7"/>
    <x v="1"/>
    <x v="56"/>
    <n v="183"/>
    <x v="272"/>
    <x v="0"/>
    <x v="0"/>
    <x v="0"/>
  </r>
  <r>
    <n v="390"/>
    <s v="De Jong Bob"/>
    <x v="4"/>
    <x v="33"/>
    <x v="21"/>
    <x v="3"/>
    <n v="180"/>
    <x v="65"/>
    <x v="0"/>
    <x v="0"/>
    <x v="2"/>
  </r>
  <r>
    <n v="391"/>
    <s v="De La Cuesta Paul"/>
    <x v="0"/>
    <x v="48"/>
    <x v="3"/>
    <x v="47"/>
    <n v="173"/>
    <x v="127"/>
    <x v="0"/>
    <x v="0"/>
    <x v="0"/>
  </r>
  <r>
    <n v="392"/>
    <s v="De Le Rue Paul-Henri"/>
    <x v="8"/>
    <x v="16"/>
    <x v="16"/>
    <x v="3"/>
    <n v="176"/>
    <x v="3"/>
    <x v="0"/>
    <x v="0"/>
    <x v="0"/>
  </r>
  <r>
    <n v="393"/>
    <s v="De Le Rue Xavier"/>
    <x v="8"/>
    <x v="16"/>
    <x v="2"/>
    <x v="15"/>
    <n v="176"/>
    <x v="273"/>
    <x v="0"/>
    <x v="0"/>
    <x v="0"/>
  </r>
  <r>
    <n v="394"/>
    <s v="De Lorenzi Christian"/>
    <x v="3"/>
    <x v="19"/>
    <x v="8"/>
    <x v="13"/>
    <n v="173"/>
    <x v="274"/>
    <x v="0"/>
    <x v="0"/>
    <x v="0"/>
  </r>
  <r>
    <n v="395"/>
    <s v="De Tessieres Gauthier"/>
    <x v="0"/>
    <x v="16"/>
    <x v="8"/>
    <x v="23"/>
    <n v="176"/>
    <x v="275"/>
    <x v="0"/>
    <x v="0"/>
    <x v="0"/>
  </r>
  <r>
    <n v="396"/>
    <s v="De Vries Elma"/>
    <x v="4"/>
    <x v="33"/>
    <x v="13"/>
    <x v="9"/>
    <n v="174"/>
    <x v="276"/>
    <x v="0"/>
    <x v="0"/>
    <x v="0"/>
  </r>
  <r>
    <n v="397"/>
    <s v="Deane Anthony"/>
    <x v="15"/>
    <x v="15"/>
    <x v="16"/>
    <x v="23"/>
    <n v="176"/>
    <x v="275"/>
    <x v="0"/>
    <x v="0"/>
    <x v="0"/>
  </r>
  <r>
    <n v="398"/>
    <s v="Defago Didier"/>
    <x v="0"/>
    <x v="9"/>
    <x v="9"/>
    <x v="51"/>
    <n v="184"/>
    <x v="277"/>
    <x v="0"/>
    <x v="0"/>
    <x v="2"/>
  </r>
  <r>
    <n v="399"/>
    <s v="Defrasne Vincent"/>
    <x v="3"/>
    <x v="16"/>
    <x v="9"/>
    <x v="9"/>
    <n v="174"/>
    <x v="276"/>
    <x v="0"/>
    <x v="0"/>
    <x v="2"/>
  </r>
  <r>
    <n v="400"/>
    <s v="Dejima Shigeyuki"/>
    <x v="4"/>
    <x v="22"/>
    <x v="5"/>
    <x v="17"/>
    <n v="170"/>
    <x v="19"/>
    <x v="0"/>
    <x v="0"/>
    <x v="0"/>
  </r>
  <r>
    <n v="401"/>
    <s v="Delbosco Christopher"/>
    <x v="2"/>
    <x v="7"/>
    <x v="5"/>
    <x v="7"/>
    <n v="185"/>
    <x v="278"/>
    <x v="0"/>
    <x v="0"/>
    <x v="0"/>
  </r>
  <r>
    <n v="404"/>
    <s v="Dellasega Roberto"/>
    <x v="7"/>
    <x v="19"/>
    <x v="12"/>
    <x v="17"/>
    <n v="183"/>
    <x v="279"/>
    <x v="0"/>
    <x v="0"/>
    <x v="0"/>
  </r>
  <r>
    <n v="406"/>
    <s v="Demagin Sergei"/>
    <x v="6"/>
    <x v="4"/>
    <x v="0"/>
    <x v="23"/>
    <n v="183"/>
    <x v="48"/>
    <x v="0"/>
    <x v="0"/>
    <x v="0"/>
  </r>
  <r>
    <n v="407"/>
    <s v="Demitra Pavol"/>
    <x v="6"/>
    <x v="24"/>
    <x v="18"/>
    <x v="38"/>
    <n v="183"/>
    <x v="280"/>
    <x v="0"/>
    <x v="0"/>
    <x v="2"/>
  </r>
  <r>
    <n v="408"/>
    <s v="Demong Bill"/>
    <x v="12"/>
    <x v="1"/>
    <x v="19"/>
    <x v="13"/>
    <n v="179"/>
    <x v="281"/>
    <x v="0"/>
    <x v="0"/>
    <x v="0"/>
  </r>
  <r>
    <n v="409"/>
    <s v="Demtschenko Albert"/>
    <x v="10"/>
    <x v="5"/>
    <x v="20"/>
    <x v="57"/>
    <n v="184"/>
    <x v="282"/>
    <x v="1"/>
    <x v="0"/>
    <x v="2"/>
  </r>
  <r>
    <n v="410"/>
    <s v="Deneen Patrick"/>
    <x v="2"/>
    <x v="1"/>
    <x v="4"/>
    <x v="28"/>
    <n v="170"/>
    <x v="283"/>
    <x v="0"/>
    <x v="0"/>
    <x v="0"/>
  </r>
  <r>
    <n v="411"/>
    <s v="Denisov Vladimir"/>
    <x v="6"/>
    <x v="4"/>
    <x v="16"/>
    <x v="39"/>
    <n v="181"/>
    <x v="82"/>
    <x v="0"/>
    <x v="0"/>
    <x v="0"/>
  </r>
  <r>
    <n v="414"/>
    <s v="Depeters Matthew"/>
    <x v="2"/>
    <x v="1"/>
    <x v="4"/>
    <x v="17"/>
    <n v="173"/>
    <x v="245"/>
    <x v="0"/>
    <x v="0"/>
    <x v="0"/>
  </r>
  <r>
    <n v="415"/>
    <s v="Derkach Vyacheslav"/>
    <x v="3"/>
    <x v="2"/>
    <x v="21"/>
    <x v="17"/>
    <n v="173"/>
    <x v="245"/>
    <x v="0"/>
    <x v="0"/>
    <x v="2"/>
  </r>
  <r>
    <n v="416"/>
    <s v="Derrick Kimberly"/>
    <x v="13"/>
    <x v="1"/>
    <x v="1"/>
    <x v="50"/>
    <n v="165"/>
    <x v="284"/>
    <x v="0"/>
    <x v="0"/>
    <x v="0"/>
  </r>
  <r>
    <n v="417"/>
    <s v="Deruns Thomas"/>
    <x v="6"/>
    <x v="9"/>
    <x v="5"/>
    <x v="36"/>
    <n v="186"/>
    <x v="285"/>
    <x v="0"/>
    <x v="0"/>
    <x v="0"/>
  </r>
  <r>
    <n v="418"/>
    <s v="Deryzemlya Andriy"/>
    <x v="3"/>
    <x v="2"/>
    <x v="9"/>
    <x v="48"/>
    <n v="188"/>
    <x v="286"/>
    <x v="0"/>
    <x v="0"/>
    <x v="2"/>
  </r>
  <r>
    <n v="419"/>
    <s v="Descombes Sevoie Vincent"/>
    <x v="7"/>
    <x v="16"/>
    <x v="13"/>
    <x v="21"/>
    <n v="173"/>
    <x v="24"/>
    <x v="0"/>
    <x v="0"/>
    <x v="0"/>
  </r>
  <r>
    <n v="421"/>
    <s v="Detkov Stanislav"/>
    <x v="8"/>
    <x v="5"/>
    <x v="19"/>
    <x v="16"/>
    <n v="165"/>
    <x v="287"/>
    <x v="0"/>
    <x v="0"/>
    <x v="0"/>
  </r>
  <r>
    <n v="422"/>
    <s v="Dettling Andrea"/>
    <x v="0"/>
    <x v="9"/>
    <x v="0"/>
    <x v="26"/>
    <n v="170"/>
    <x v="288"/>
    <x v="0"/>
    <x v="0"/>
    <x v="0"/>
  </r>
  <r>
    <n v="423"/>
    <s v="Deulina Yulia"/>
    <x v="6"/>
    <x v="5"/>
    <x v="16"/>
    <x v="22"/>
    <n v="173"/>
    <x v="51"/>
    <x v="0"/>
    <x v="0"/>
    <x v="0"/>
  </r>
  <r>
    <n v="424"/>
    <s v="Deville Cristian"/>
    <x v="0"/>
    <x v="19"/>
    <x v="19"/>
    <x v="4"/>
    <n v="174"/>
    <x v="289"/>
    <x v="0"/>
    <x v="0"/>
    <x v="0"/>
  </r>
  <r>
    <n v="425"/>
    <s v="Devjatiarov Mickail Jun."/>
    <x v="9"/>
    <x v="5"/>
    <x v="1"/>
    <x v="20"/>
    <n v="189"/>
    <x v="290"/>
    <x v="0"/>
    <x v="0"/>
    <x v="0"/>
  </r>
  <r>
    <n v="426"/>
    <s v="Di Centa Giorgio"/>
    <x v="9"/>
    <x v="19"/>
    <x v="11"/>
    <x v="2"/>
    <n v="175"/>
    <x v="237"/>
    <x v="0"/>
    <x v="0"/>
    <x v="2"/>
  </r>
  <r>
    <n v="427"/>
    <s v="Diaz Rafael"/>
    <x v="6"/>
    <x v="9"/>
    <x v="1"/>
    <x v="12"/>
    <n v="181"/>
    <x v="291"/>
    <x v="0"/>
    <x v="0"/>
    <x v="0"/>
  </r>
  <r>
    <n v="429"/>
    <s v="Dimitriadis Vassilis"/>
    <x v="0"/>
    <x v="46"/>
    <x v="7"/>
    <x v="51"/>
    <n v="178"/>
    <x v="292"/>
    <x v="0"/>
    <x v="0"/>
    <x v="2"/>
  </r>
  <r>
    <n v="430"/>
    <s v="Dixon Robbie"/>
    <x v="0"/>
    <x v="7"/>
    <x v="16"/>
    <x v="20"/>
    <n v="175"/>
    <x v="293"/>
    <x v="0"/>
    <x v="0"/>
    <x v="0"/>
  </r>
  <r>
    <n v="431"/>
    <s v="Dobbin Shane"/>
    <x v="4"/>
    <x v="38"/>
    <x v="2"/>
    <x v="47"/>
    <n v="183"/>
    <x v="126"/>
    <x v="0"/>
    <x v="0"/>
    <x v="0"/>
  </r>
  <r>
    <n v="434"/>
    <s v="Doi Shingo"/>
    <x v="4"/>
    <x v="22"/>
    <x v="13"/>
    <x v="37"/>
    <n v="177"/>
    <x v="294"/>
    <x v="0"/>
    <x v="0"/>
    <x v="0"/>
  </r>
  <r>
    <n v="435"/>
    <s v="Doigawa Shinji"/>
    <x v="5"/>
    <x v="22"/>
    <x v="2"/>
    <x v="12"/>
    <n v="182"/>
    <x v="270"/>
    <x v="0"/>
    <x v="0"/>
    <x v="0"/>
  </r>
  <r>
    <n v="436"/>
    <s v="Dokl Peter"/>
    <x v="3"/>
    <x v="31"/>
    <x v="16"/>
    <x v="16"/>
    <n v="178"/>
    <x v="295"/>
    <x v="0"/>
    <x v="0"/>
    <x v="0"/>
  </r>
  <r>
    <n v="438"/>
    <s v="Dolgodvorov Denis"/>
    <x v="2"/>
    <x v="5"/>
    <x v="5"/>
    <x v="37"/>
    <n v="178"/>
    <x v="296"/>
    <x v="0"/>
    <x v="0"/>
    <x v="0"/>
  </r>
  <r>
    <n v="439"/>
    <s v="Dolidovich Sergei"/>
    <x v="9"/>
    <x v="4"/>
    <x v="10"/>
    <x v="16"/>
    <n v="176"/>
    <x v="112"/>
    <x v="0"/>
    <x v="0"/>
    <x v="2"/>
  </r>
  <r>
    <n v="440"/>
    <s v="Domanski Przemyslaw"/>
    <x v="1"/>
    <x v="25"/>
    <x v="0"/>
    <x v="56"/>
    <n v="182"/>
    <x v="297"/>
    <x v="0"/>
    <x v="0"/>
    <x v="0"/>
  </r>
  <r>
    <n v="441"/>
    <s v="Domeij Sofia"/>
    <x v="3"/>
    <x v="14"/>
    <x v="21"/>
    <x v="21"/>
    <n v="165"/>
    <x v="298"/>
    <x v="0"/>
    <x v="0"/>
    <x v="2"/>
  </r>
  <r>
    <n v="442"/>
    <s v="Domenichelli Hnat"/>
    <x v="6"/>
    <x v="9"/>
    <x v="21"/>
    <x v="15"/>
    <n v="182"/>
    <x v="299"/>
    <x v="0"/>
    <x v="0"/>
    <x v="2"/>
  </r>
  <r>
    <n v="443"/>
    <s v="Domnina Oksana"/>
    <x v="1"/>
    <x v="5"/>
    <x v="16"/>
    <x v="58"/>
    <n v="174"/>
    <x v="300"/>
    <x v="0"/>
    <x v="0"/>
    <x v="0"/>
  </r>
  <r>
    <n v="444"/>
    <s v="Domracheva Darya"/>
    <x v="3"/>
    <x v="4"/>
    <x v="0"/>
    <x v="50"/>
    <n v="168"/>
    <x v="301"/>
    <x v="0"/>
    <x v="0"/>
    <x v="0"/>
  </r>
  <r>
    <n v="445"/>
    <s v="Dorin Marie"/>
    <x v="3"/>
    <x v="16"/>
    <x v="0"/>
    <x v="50"/>
    <n v="168"/>
    <x v="301"/>
    <x v="0"/>
    <x v="0"/>
    <x v="0"/>
  </r>
  <r>
    <n v="446"/>
    <s v="Doronina Elena"/>
    <x v="5"/>
    <x v="5"/>
    <x v="8"/>
    <x v="6"/>
    <n v="170"/>
    <x v="101"/>
    <x v="0"/>
    <x v="0"/>
    <x v="0"/>
  </r>
  <r>
    <n v="447"/>
    <s v="Dorsaz Antoine"/>
    <x v="1"/>
    <x v="9"/>
    <x v="17"/>
    <x v="58"/>
    <n v="183"/>
    <x v="302"/>
    <x v="0"/>
    <x v="0"/>
    <x v="0"/>
  </r>
  <r>
    <n v="448"/>
    <s v="Dostal Roman"/>
    <x v="3"/>
    <x v="26"/>
    <x v="24"/>
    <x v="16"/>
    <n v="177"/>
    <x v="303"/>
    <x v="0"/>
    <x v="0"/>
    <x v="2"/>
  </r>
  <r>
    <n v="449"/>
    <s v="Doughty Drew"/>
    <x v="6"/>
    <x v="7"/>
    <x v="17"/>
    <x v="41"/>
    <n v="185"/>
    <x v="249"/>
    <x v="0"/>
    <x v="0"/>
    <x v="0"/>
  </r>
  <r>
    <n v="450"/>
    <s v="Douglas Anthony"/>
    <x v="13"/>
    <x v="11"/>
    <x v="1"/>
    <x v="37"/>
    <n v="183"/>
    <x v="169"/>
    <x v="0"/>
    <x v="0"/>
    <x v="0"/>
  </r>
  <r>
    <n v="451"/>
    <s v="Douglas Michael"/>
    <x v="15"/>
    <x v="7"/>
    <x v="20"/>
    <x v="48"/>
    <n v="172"/>
    <x v="304"/>
    <x v="0"/>
    <x v="0"/>
    <x v="2"/>
  </r>
  <r>
    <n v="452"/>
    <s v="Dovalciuc Ioan Danut"/>
    <x v="5"/>
    <x v="18"/>
    <x v="16"/>
    <x v="40"/>
    <n v="186"/>
    <x v="305"/>
    <x v="1"/>
    <x v="0"/>
    <x v="0"/>
  </r>
  <r>
    <n v="453"/>
    <s v="Dragsic Mitja"/>
    <x v="0"/>
    <x v="31"/>
    <x v="2"/>
    <x v="31"/>
    <n v="182"/>
    <x v="306"/>
    <x v="0"/>
    <x v="0"/>
    <x v="0"/>
  </r>
  <r>
    <n v="454"/>
    <s v="Drake Edward"/>
    <x v="0"/>
    <x v="11"/>
    <x v="1"/>
    <x v="12"/>
    <n v="189"/>
    <x v="307"/>
    <x v="0"/>
    <x v="0"/>
    <x v="0"/>
  </r>
  <r>
    <n v="455"/>
    <s v="Dreiskens Daumants"/>
    <x v="5"/>
    <x v="20"/>
    <x v="16"/>
    <x v="27"/>
    <n v="193"/>
    <x v="32"/>
    <x v="1"/>
    <x v="0"/>
    <x v="0"/>
  </r>
  <r>
    <n v="456"/>
    <s v="Drev Ana"/>
    <x v="0"/>
    <x v="31"/>
    <x v="1"/>
    <x v="14"/>
    <n v="171"/>
    <x v="308"/>
    <x v="0"/>
    <x v="0"/>
    <x v="0"/>
  </r>
  <r>
    <n v="457"/>
    <s v="Drocco Nicola"/>
    <x v="15"/>
    <x v="19"/>
    <x v="7"/>
    <x v="48"/>
    <n v="178"/>
    <x v="309"/>
    <x v="0"/>
    <x v="0"/>
    <x v="2"/>
  </r>
  <r>
    <n v="458"/>
    <s v="Drury Chris"/>
    <x v="6"/>
    <x v="1"/>
    <x v="21"/>
    <x v="36"/>
    <n v="178"/>
    <x v="310"/>
    <x v="0"/>
    <x v="0"/>
    <x v="2"/>
  </r>
  <r>
    <n v="459"/>
    <s v="Druszkiewicz Sebastian"/>
    <x v="4"/>
    <x v="25"/>
    <x v="0"/>
    <x v="16"/>
    <n v="178"/>
    <x v="295"/>
    <x v="0"/>
    <x v="0"/>
    <x v="0"/>
  </r>
  <r>
    <n v="461"/>
    <s v="Dubarezava Nastassia"/>
    <x v="9"/>
    <x v="4"/>
    <x v="1"/>
    <x v="9"/>
    <n v="171"/>
    <x v="57"/>
    <x v="0"/>
    <x v="0"/>
    <x v="0"/>
  </r>
  <r>
    <n v="463"/>
    <s v="Ducroz Jan Henri"/>
    <x v="11"/>
    <x v="16"/>
    <x v="20"/>
    <x v="58"/>
    <n v="173"/>
    <x v="311"/>
    <x v="0"/>
    <x v="0"/>
    <x v="2"/>
  </r>
  <r>
    <n v="464"/>
    <s v="Ducroz Richard"/>
    <x v="11"/>
    <x v="16"/>
    <x v="13"/>
    <x v="58"/>
    <n v="174"/>
    <x v="300"/>
    <x v="0"/>
    <x v="0"/>
    <x v="0"/>
  </r>
  <r>
    <n v="465"/>
    <s v="Dudek Alyson"/>
    <x v="13"/>
    <x v="1"/>
    <x v="12"/>
    <x v="43"/>
    <n v="168"/>
    <x v="312"/>
    <x v="0"/>
    <x v="0"/>
    <x v="0"/>
  </r>
  <r>
    <n v="466"/>
    <s v="Duerr Katharina"/>
    <x v="0"/>
    <x v="8"/>
    <x v="17"/>
    <x v="47"/>
    <n v="176"/>
    <x v="313"/>
    <x v="0"/>
    <x v="0"/>
    <x v="0"/>
  </r>
  <r>
    <n v="467"/>
    <s v="Duerr Thomas"/>
    <x v="5"/>
    <x v="35"/>
    <x v="7"/>
    <x v="34"/>
    <n v="194"/>
    <x v="314"/>
    <x v="1"/>
    <x v="0"/>
    <x v="2"/>
  </r>
  <r>
    <n v="468"/>
    <s v="Dufour Sylvain"/>
    <x v="8"/>
    <x v="16"/>
    <x v="5"/>
    <x v="3"/>
    <n v="178"/>
    <x v="315"/>
    <x v="0"/>
    <x v="0"/>
    <x v="0"/>
  </r>
  <r>
    <n v="469"/>
    <s v="Dufour Thomas"/>
    <x v="11"/>
    <x v="16"/>
    <x v="11"/>
    <x v="58"/>
    <n v="183"/>
    <x v="302"/>
    <x v="0"/>
    <x v="0"/>
    <x v="2"/>
  </r>
  <r>
    <n v="470"/>
    <s v="Dufour-Lapointe Chloe"/>
    <x v="2"/>
    <x v="7"/>
    <x v="14"/>
    <x v="14"/>
    <n v="165"/>
    <x v="316"/>
    <x v="0"/>
    <x v="0"/>
    <x v="0"/>
  </r>
  <r>
    <n v="471"/>
    <s v="Duggan Meghan"/>
    <x v="6"/>
    <x v="1"/>
    <x v="4"/>
    <x v="5"/>
    <n v="175"/>
    <x v="317"/>
    <x v="0"/>
    <x v="0"/>
    <x v="0"/>
  </r>
  <r>
    <n v="472"/>
    <s v="Duke Hailey"/>
    <x v="0"/>
    <x v="1"/>
    <x v="1"/>
    <x v="17"/>
    <n v="170"/>
    <x v="19"/>
    <x v="0"/>
    <x v="0"/>
    <x v="0"/>
  </r>
  <r>
    <n v="473"/>
    <s v="Dukurs Martins"/>
    <x v="15"/>
    <x v="20"/>
    <x v="16"/>
    <x v="37"/>
    <n v="179"/>
    <x v="318"/>
    <x v="0"/>
    <x v="0"/>
    <x v="0"/>
  </r>
  <r>
    <n v="474"/>
    <s v="Dukurs Tomass"/>
    <x v="15"/>
    <x v="20"/>
    <x v="8"/>
    <x v="20"/>
    <n v="186"/>
    <x v="319"/>
    <x v="0"/>
    <x v="0"/>
    <x v="0"/>
  </r>
  <r>
    <n v="475"/>
    <s v="Dumbris Kaspars"/>
    <x v="3"/>
    <x v="20"/>
    <x v="1"/>
    <x v="3"/>
    <n v="193"/>
    <x v="320"/>
    <x v="0"/>
    <x v="0"/>
    <x v="0"/>
  </r>
  <r>
    <n v="476"/>
    <s v="Duncan David"/>
    <x v="2"/>
    <x v="7"/>
    <x v="5"/>
    <x v="41"/>
    <n v="183"/>
    <x v="92"/>
    <x v="0"/>
    <x v="0"/>
    <x v="0"/>
  </r>
  <r>
    <n v="477"/>
    <s v="Dupont Denise"/>
    <x v="11"/>
    <x v="12"/>
    <x v="16"/>
    <x v="58"/>
    <n v="169"/>
    <x v="321"/>
    <x v="0"/>
    <x v="0"/>
    <x v="0"/>
  </r>
  <r>
    <n v="478"/>
    <s v="Dupont Madeleine"/>
    <x v="11"/>
    <x v="12"/>
    <x v="4"/>
    <x v="43"/>
    <n v="173"/>
    <x v="322"/>
    <x v="0"/>
    <x v="0"/>
    <x v="0"/>
  </r>
  <r>
    <n v="479"/>
    <s v="Duvillard Robin"/>
    <x v="9"/>
    <x v="16"/>
    <x v="13"/>
    <x v="19"/>
    <n v="178"/>
    <x v="323"/>
    <x v="0"/>
    <x v="0"/>
    <x v="0"/>
  </r>
  <r>
    <n v="480"/>
    <s v="Dvorak Miroslav"/>
    <x v="12"/>
    <x v="26"/>
    <x v="4"/>
    <x v="6"/>
    <n v="180"/>
    <x v="266"/>
    <x v="0"/>
    <x v="0"/>
    <x v="0"/>
  </r>
  <r>
    <n v="481"/>
    <s v="Dyubanok Inna"/>
    <x v="6"/>
    <x v="5"/>
    <x v="12"/>
    <x v="9"/>
    <n v="166"/>
    <x v="324"/>
    <x v="0"/>
    <x v="0"/>
    <x v="0"/>
  </r>
  <r>
    <n v="483"/>
    <s v="Eberhard Tobias"/>
    <x v="3"/>
    <x v="32"/>
    <x v="16"/>
    <x v="24"/>
    <n v="194"/>
    <x v="325"/>
    <x v="0"/>
    <x v="0"/>
    <x v="0"/>
  </r>
  <r>
    <n v="484"/>
    <s v="Edelmann Tino"/>
    <x v="12"/>
    <x v="8"/>
    <x v="1"/>
    <x v="24"/>
    <n v="185"/>
    <x v="326"/>
    <x v="0"/>
    <x v="0"/>
    <x v="0"/>
  </r>
  <r>
    <n v="485"/>
    <s v="Eder Simon"/>
    <x v="3"/>
    <x v="32"/>
    <x v="13"/>
    <x v="28"/>
    <n v="186"/>
    <x v="327"/>
    <x v="0"/>
    <x v="0"/>
    <x v="0"/>
  </r>
  <r>
    <n v="486"/>
    <s v="Edin Niklas"/>
    <x v="11"/>
    <x v="14"/>
    <x v="1"/>
    <x v="43"/>
    <n v="173"/>
    <x v="322"/>
    <x v="0"/>
    <x v="0"/>
    <x v="0"/>
  </r>
  <r>
    <n v="487"/>
    <s v="Edney Samuel"/>
    <x v="10"/>
    <x v="7"/>
    <x v="16"/>
    <x v="32"/>
    <n v="188"/>
    <x v="328"/>
    <x v="0"/>
    <x v="0"/>
    <x v="0"/>
  </r>
  <r>
    <n v="488"/>
    <s v="Egger Juerg"/>
    <x v="5"/>
    <x v="9"/>
    <x v="8"/>
    <x v="46"/>
    <n v="178"/>
    <x v="329"/>
    <x v="0"/>
    <x v="0"/>
    <x v="0"/>
  </r>
  <r>
    <n v="489"/>
    <s v="Eggler Markus"/>
    <x v="11"/>
    <x v="9"/>
    <x v="25"/>
    <x v="43"/>
    <n v="179"/>
    <x v="330"/>
    <x v="0"/>
    <x v="0"/>
    <x v="2"/>
  </r>
  <r>
    <n v="490"/>
    <s v="Egorov Philipp"/>
    <x v="5"/>
    <x v="5"/>
    <x v="7"/>
    <x v="7"/>
    <n v="182"/>
    <x v="7"/>
    <x v="0"/>
    <x v="0"/>
    <x v="2"/>
  </r>
  <r>
    <n v="491"/>
    <s v="Ehrhoff Christian"/>
    <x v="6"/>
    <x v="8"/>
    <x v="5"/>
    <x v="18"/>
    <n v="188"/>
    <x v="331"/>
    <x v="0"/>
    <x v="0"/>
    <x v="0"/>
  </r>
  <r>
    <n v="492"/>
    <s v="Eigenmann Christoph"/>
    <x v="9"/>
    <x v="9"/>
    <x v="2"/>
    <x v="16"/>
    <n v="177"/>
    <x v="303"/>
    <x v="0"/>
    <x v="0"/>
    <x v="0"/>
  </r>
  <r>
    <n v="494"/>
    <s v="Einaste Kein"/>
    <x v="9"/>
    <x v="49"/>
    <x v="1"/>
    <x v="41"/>
    <n v="197"/>
    <x v="332"/>
    <x v="0"/>
    <x v="0"/>
    <x v="0"/>
  </r>
  <r>
    <n v="495"/>
    <s v="Eley Jon"/>
    <x v="13"/>
    <x v="11"/>
    <x v="16"/>
    <x v="28"/>
    <n v="186"/>
    <x v="327"/>
    <x v="0"/>
    <x v="0"/>
    <x v="0"/>
  </r>
  <r>
    <n v="496"/>
    <s v="Elias Patrik"/>
    <x v="6"/>
    <x v="26"/>
    <x v="21"/>
    <x v="12"/>
    <n v="183"/>
    <x v="12"/>
    <x v="0"/>
    <x v="0"/>
    <x v="2"/>
  </r>
  <r>
    <n v="497"/>
    <s v="Eliasson Emma"/>
    <x v="6"/>
    <x v="14"/>
    <x v="17"/>
    <x v="17"/>
    <n v="166"/>
    <x v="333"/>
    <x v="0"/>
    <x v="0"/>
    <x v="0"/>
  </r>
  <r>
    <n v="498"/>
    <s v="Eliasson Tommy"/>
    <x v="2"/>
    <x v="14"/>
    <x v="19"/>
    <x v="18"/>
    <n v="179"/>
    <x v="334"/>
    <x v="0"/>
    <x v="0"/>
    <x v="0"/>
  </r>
  <r>
    <n v="499"/>
    <s v="Elistratov Semion"/>
    <x v="13"/>
    <x v="5"/>
    <x v="12"/>
    <x v="8"/>
    <n v="165"/>
    <x v="139"/>
    <x v="0"/>
    <x v="0"/>
    <x v="0"/>
  </r>
  <r>
    <n v="500"/>
    <s v="Endo Sho"/>
    <x v="2"/>
    <x v="22"/>
    <x v="12"/>
    <x v="16"/>
    <n v="178"/>
    <x v="295"/>
    <x v="0"/>
    <x v="0"/>
    <x v="0"/>
  </r>
  <r>
    <n v="501"/>
    <s v="Endras Dennis"/>
    <x v="6"/>
    <x v="8"/>
    <x v="1"/>
    <x v="47"/>
    <n v="183"/>
    <x v="126"/>
    <x v="0"/>
    <x v="0"/>
    <x v="0"/>
  </r>
  <r>
    <n v="502"/>
    <s v="Engstrom Molly"/>
    <x v="6"/>
    <x v="1"/>
    <x v="13"/>
    <x v="48"/>
    <n v="175"/>
    <x v="129"/>
    <x v="0"/>
    <x v="0"/>
    <x v="0"/>
  </r>
  <r>
    <n v="503"/>
    <s v="Enright Adam"/>
    <x v="11"/>
    <x v="7"/>
    <x v="13"/>
    <x v="43"/>
    <n v="178"/>
    <x v="335"/>
    <x v="0"/>
    <x v="0"/>
    <x v="0"/>
  </r>
  <r>
    <n v="504"/>
    <s v="Enstrom Tina"/>
    <x v="6"/>
    <x v="14"/>
    <x v="14"/>
    <x v="13"/>
    <n v="166"/>
    <x v="336"/>
    <x v="0"/>
    <x v="0"/>
    <x v="0"/>
  </r>
  <r>
    <n v="505"/>
    <s v="Enstrom Tobias"/>
    <x v="6"/>
    <x v="14"/>
    <x v="16"/>
    <x v="3"/>
    <n v="180"/>
    <x v="65"/>
    <x v="0"/>
    <x v="0"/>
    <x v="0"/>
  </r>
  <r>
    <n v="506"/>
    <s v="Erat Martin"/>
    <x v="6"/>
    <x v="26"/>
    <x v="8"/>
    <x v="3"/>
    <n v="182"/>
    <x v="337"/>
    <x v="0"/>
    <x v="0"/>
    <x v="0"/>
  </r>
  <r>
    <n v="507"/>
    <s v="Erbanova Karolina"/>
    <x v="4"/>
    <x v="26"/>
    <x v="23"/>
    <x v="13"/>
    <n v="176"/>
    <x v="338"/>
    <x v="0"/>
    <x v="0"/>
    <x v="0"/>
  </r>
  <r>
    <n v="508"/>
    <s v="Eriksson Joel"/>
    <x v="4"/>
    <x v="14"/>
    <x v="16"/>
    <x v="12"/>
    <n v="189"/>
    <x v="307"/>
    <x v="0"/>
    <x v="0"/>
    <x v="0"/>
  </r>
  <r>
    <n v="509"/>
    <s v="Eriksson Loui"/>
    <x v="6"/>
    <x v="14"/>
    <x v="1"/>
    <x v="49"/>
    <n v="185"/>
    <x v="339"/>
    <x v="0"/>
    <x v="0"/>
    <x v="0"/>
  </r>
  <r>
    <n v="510"/>
    <s v="Eriksson Oskar"/>
    <x v="11"/>
    <x v="14"/>
    <x v="14"/>
    <x v="43"/>
    <n v="177"/>
    <x v="340"/>
    <x v="0"/>
    <x v="0"/>
    <x v="0"/>
  </r>
  <r>
    <n v="511"/>
    <s v="Erlacher Meinhard"/>
    <x v="8"/>
    <x v="19"/>
    <x v="5"/>
    <x v="1"/>
    <n v="180"/>
    <x v="121"/>
    <x v="0"/>
    <x v="0"/>
    <x v="0"/>
  </r>
  <r>
    <n v="512"/>
    <s v="Erzen Anja"/>
    <x v="9"/>
    <x v="31"/>
    <x v="23"/>
    <x v="44"/>
    <n v="165"/>
    <x v="135"/>
    <x v="0"/>
    <x v="0"/>
    <x v="0"/>
  </r>
  <r>
    <n v="513"/>
    <s v="Esteve Rigail Kevin"/>
    <x v="0"/>
    <x v="50"/>
    <x v="17"/>
    <x v="23"/>
    <n v="180"/>
    <x v="214"/>
    <x v="0"/>
    <x v="0"/>
    <x v="0"/>
  </r>
  <r>
    <n v="514"/>
    <s v="Evensen Johan Remen"/>
    <x v="7"/>
    <x v="17"/>
    <x v="1"/>
    <x v="59"/>
    <n v="179"/>
    <x v="341"/>
    <x v="1"/>
    <x v="0"/>
    <x v="0"/>
  </r>
  <r>
    <n v="516"/>
    <s v="Evteeva Nina"/>
    <x v="13"/>
    <x v="5"/>
    <x v="5"/>
    <x v="6"/>
    <n v="176"/>
    <x v="240"/>
    <x v="0"/>
    <x v="0"/>
    <x v="0"/>
  </r>
  <r>
    <n v="517"/>
    <s v="Ezekh Nkeiruka"/>
    <x v="11"/>
    <x v="5"/>
    <x v="13"/>
    <x v="59"/>
    <n v="178"/>
    <x v="342"/>
    <x v="1"/>
    <x v="0"/>
    <x v="0"/>
  </r>
  <r>
    <n v="518"/>
    <s v="Fabjan Vesna"/>
    <x v="9"/>
    <x v="31"/>
    <x v="1"/>
    <x v="22"/>
    <n v="169"/>
    <x v="343"/>
    <x v="0"/>
    <x v="0"/>
    <x v="0"/>
  </r>
  <r>
    <n v="519"/>
    <s v="Fabris Enrico"/>
    <x v="4"/>
    <x v="19"/>
    <x v="8"/>
    <x v="23"/>
    <n v="189"/>
    <x v="344"/>
    <x v="0"/>
    <x v="0"/>
    <x v="0"/>
  </r>
  <r>
    <n v="520"/>
    <s v="Fafalis Lefteris"/>
    <x v="9"/>
    <x v="46"/>
    <x v="21"/>
    <x v="35"/>
    <n v="180"/>
    <x v="345"/>
    <x v="0"/>
    <x v="0"/>
    <x v="2"/>
  </r>
  <r>
    <n v="521"/>
    <s v="Fagan Robert"/>
    <x v="8"/>
    <x v="7"/>
    <x v="21"/>
    <x v="12"/>
    <n v="185"/>
    <x v="230"/>
    <x v="0"/>
    <x v="0"/>
    <x v="2"/>
  </r>
  <r>
    <n v="522"/>
    <s v="Faiella Federica"/>
    <x v="1"/>
    <x v="19"/>
    <x v="19"/>
    <x v="59"/>
    <n v="166"/>
    <x v="346"/>
    <x v="1"/>
    <x v="0"/>
    <x v="0"/>
  </r>
  <r>
    <n v="523"/>
    <s v="Fak Jakov"/>
    <x v="3"/>
    <x v="39"/>
    <x v="4"/>
    <x v="23"/>
    <n v="181"/>
    <x v="195"/>
    <x v="0"/>
    <x v="0"/>
    <x v="0"/>
  </r>
  <r>
    <n v="524"/>
    <s v="Falk Hanna"/>
    <x v="9"/>
    <x v="14"/>
    <x v="17"/>
    <x v="6"/>
    <n v="167"/>
    <x v="6"/>
    <x v="0"/>
    <x v="0"/>
    <x v="0"/>
  </r>
  <r>
    <n v="528"/>
    <s v="Fatkulina Olga"/>
    <x v="4"/>
    <x v="5"/>
    <x v="17"/>
    <x v="6"/>
    <n v="173"/>
    <x v="94"/>
    <x v="0"/>
    <x v="0"/>
    <x v="0"/>
  </r>
  <r>
    <n v="529"/>
    <s v="Fauconnet Thibaut"/>
    <x v="13"/>
    <x v="16"/>
    <x v="1"/>
    <x v="16"/>
    <n v="172"/>
    <x v="106"/>
    <x v="0"/>
    <x v="0"/>
    <x v="0"/>
  </r>
  <r>
    <n v="530"/>
    <s v="Fayed Guillermo"/>
    <x v="0"/>
    <x v="16"/>
    <x v="1"/>
    <x v="41"/>
    <n v="183"/>
    <x v="92"/>
    <x v="0"/>
    <x v="0"/>
    <x v="0"/>
  </r>
  <r>
    <n v="531"/>
    <s v="Fedorov Sergey"/>
    <x v="6"/>
    <x v="5"/>
    <x v="22"/>
    <x v="31"/>
    <n v="189"/>
    <x v="347"/>
    <x v="0"/>
    <x v="0"/>
    <x v="2"/>
  </r>
  <r>
    <n v="532"/>
    <s v="Fedorov Stepan"/>
    <x v="10"/>
    <x v="5"/>
    <x v="4"/>
    <x v="32"/>
    <n v="189"/>
    <x v="348"/>
    <x v="0"/>
    <x v="0"/>
    <x v="0"/>
  </r>
  <r>
    <n v="533"/>
    <s v="Fedorova Olga"/>
    <x v="5"/>
    <x v="5"/>
    <x v="13"/>
    <x v="48"/>
    <n v="178"/>
    <x v="309"/>
    <x v="0"/>
    <x v="0"/>
    <x v="0"/>
  </r>
  <r>
    <n v="534"/>
    <s v="Fedotova Lyudmila"/>
    <x v="0"/>
    <x v="21"/>
    <x v="0"/>
    <x v="50"/>
    <n v="166"/>
    <x v="228"/>
    <x v="0"/>
    <x v="0"/>
    <x v="0"/>
  </r>
  <r>
    <n v="535"/>
    <s v="Felisaz Jonathan"/>
    <x v="12"/>
    <x v="16"/>
    <x v="1"/>
    <x v="14"/>
    <n v="173"/>
    <x v="349"/>
    <x v="0"/>
    <x v="0"/>
    <x v="0"/>
  </r>
  <r>
    <n v="536"/>
    <s v="Felski Sven"/>
    <x v="6"/>
    <x v="8"/>
    <x v="18"/>
    <x v="23"/>
    <n v="180"/>
    <x v="214"/>
    <x v="0"/>
    <x v="0"/>
    <x v="2"/>
  </r>
  <r>
    <n v="537"/>
    <s v="Fenninger Anna"/>
    <x v="0"/>
    <x v="32"/>
    <x v="17"/>
    <x v="33"/>
    <n v="166"/>
    <x v="350"/>
    <x v="0"/>
    <x v="0"/>
    <x v="0"/>
  </r>
  <r>
    <n v="538"/>
    <s v="Ferencz Reka"/>
    <x v="3"/>
    <x v="18"/>
    <x v="17"/>
    <x v="25"/>
    <n v="172"/>
    <x v="58"/>
    <x v="0"/>
    <x v="0"/>
    <x v="0"/>
  </r>
  <r>
    <n v="539"/>
    <s v="Ferguson Dylan"/>
    <x v="2"/>
    <x v="1"/>
    <x v="3"/>
    <x v="2"/>
    <n v="183"/>
    <x v="351"/>
    <x v="0"/>
    <x v="0"/>
    <x v="0"/>
  </r>
  <r>
    <n v="540"/>
    <s v="Ferk Marusa"/>
    <x v="0"/>
    <x v="31"/>
    <x v="3"/>
    <x v="9"/>
    <n v="167"/>
    <x v="9"/>
    <x v="0"/>
    <x v="0"/>
    <x v="0"/>
  </r>
  <r>
    <n v="541"/>
    <s v="Ferk Matea"/>
    <x v="0"/>
    <x v="39"/>
    <x v="4"/>
    <x v="43"/>
    <n v="165"/>
    <x v="352"/>
    <x v="0"/>
    <x v="0"/>
    <x v="0"/>
  </r>
  <r>
    <n v="542"/>
    <s v="Fernandez Javier"/>
    <x v="1"/>
    <x v="48"/>
    <x v="14"/>
    <x v="59"/>
    <n v="171"/>
    <x v="353"/>
    <x v="1"/>
    <x v="0"/>
    <x v="0"/>
  </r>
  <r>
    <n v="543"/>
    <s v="Ferry Bjorn"/>
    <x v="3"/>
    <x v="14"/>
    <x v="7"/>
    <x v="3"/>
    <n v="194"/>
    <x v="354"/>
    <x v="0"/>
    <x v="0"/>
    <x v="2"/>
  </r>
  <r>
    <n v="544"/>
    <s v="Feshchuk Rostyslav"/>
    <x v="0"/>
    <x v="2"/>
    <x v="12"/>
    <x v="23"/>
    <n v="175"/>
    <x v="355"/>
    <x v="0"/>
    <x v="0"/>
    <x v="0"/>
  </r>
  <r>
    <n v="545"/>
    <s v="Fessel Nicole"/>
    <x v="9"/>
    <x v="8"/>
    <x v="13"/>
    <x v="8"/>
    <n v="170"/>
    <x v="356"/>
    <x v="0"/>
    <x v="0"/>
    <x v="0"/>
  </r>
  <r>
    <n v="546"/>
    <s v="Fiala Martin"/>
    <x v="2"/>
    <x v="8"/>
    <x v="26"/>
    <x v="29"/>
    <n v="190"/>
    <x v="357"/>
    <x v="0"/>
    <x v="0"/>
    <x v="2"/>
  </r>
  <r>
    <n v="547"/>
    <s v="Fiandino Roberta"/>
    <x v="3"/>
    <x v="19"/>
    <x v="1"/>
    <x v="44"/>
    <n v="170"/>
    <x v="109"/>
    <x v="0"/>
    <x v="0"/>
    <x v="0"/>
  </r>
  <r>
    <n v="548"/>
    <s v="Ficenec Jakub"/>
    <x v="6"/>
    <x v="8"/>
    <x v="21"/>
    <x v="51"/>
    <n v="179"/>
    <x v="358"/>
    <x v="0"/>
    <x v="0"/>
    <x v="2"/>
  </r>
  <r>
    <n v="549"/>
    <s v="Filbrich Jens"/>
    <x v="9"/>
    <x v="8"/>
    <x v="2"/>
    <x v="16"/>
    <n v="177"/>
    <x v="303"/>
    <x v="0"/>
    <x v="0"/>
    <x v="0"/>
  </r>
  <r>
    <n v="550"/>
    <s v="Filimonova Lyubov"/>
    <x v="3"/>
    <x v="21"/>
    <x v="3"/>
    <x v="8"/>
    <n v="175"/>
    <x v="359"/>
    <x v="0"/>
    <x v="0"/>
    <x v="0"/>
  </r>
  <r>
    <n v="551"/>
    <s v="Fill Peter"/>
    <x v="0"/>
    <x v="19"/>
    <x v="5"/>
    <x v="1"/>
    <n v="175"/>
    <x v="1"/>
    <x v="0"/>
    <x v="0"/>
    <x v="0"/>
  </r>
  <r>
    <n v="552"/>
    <s v="Filppula Valtteri"/>
    <x v="6"/>
    <x v="10"/>
    <x v="16"/>
    <x v="20"/>
    <n v="182"/>
    <x v="360"/>
    <x v="0"/>
    <x v="0"/>
    <x v="0"/>
  </r>
  <r>
    <n v="555"/>
    <s v="Fischer Remo"/>
    <x v="9"/>
    <x v="9"/>
    <x v="8"/>
    <x v="26"/>
    <n v="173"/>
    <x v="361"/>
    <x v="0"/>
    <x v="0"/>
    <x v="0"/>
  </r>
  <r>
    <n v="556"/>
    <s v="Fischnaller Roland"/>
    <x v="8"/>
    <x v="19"/>
    <x v="19"/>
    <x v="1"/>
    <n v="186"/>
    <x v="362"/>
    <x v="0"/>
    <x v="0"/>
    <x v="0"/>
  </r>
  <r>
    <n v="557"/>
    <s v="Fjellvang-Soelling Sophie"/>
    <x v="2"/>
    <x v="12"/>
    <x v="8"/>
    <x v="2"/>
    <n v="167"/>
    <x v="363"/>
    <x v="0"/>
    <x v="0"/>
    <x v="0"/>
  </r>
  <r>
    <n v="558"/>
    <s v="Flander Rok"/>
    <x v="8"/>
    <x v="31"/>
    <x v="2"/>
    <x v="23"/>
    <n v="180"/>
    <x v="214"/>
    <x v="0"/>
    <x v="0"/>
    <x v="0"/>
  </r>
  <r>
    <n v="561"/>
    <s v="Fleischmann Tomas"/>
    <x v="6"/>
    <x v="26"/>
    <x v="16"/>
    <x v="15"/>
    <n v="185"/>
    <x v="364"/>
    <x v="0"/>
    <x v="0"/>
    <x v="0"/>
  </r>
  <r>
    <n v="562"/>
    <s v="Fleiss Nika"/>
    <x v="0"/>
    <x v="39"/>
    <x v="16"/>
    <x v="2"/>
    <n v="167"/>
    <x v="363"/>
    <x v="0"/>
    <x v="0"/>
    <x v="0"/>
  </r>
  <r>
    <n v="563"/>
    <s v="Fletcher Taylor"/>
    <x v="12"/>
    <x v="1"/>
    <x v="12"/>
    <x v="17"/>
    <n v="182"/>
    <x v="125"/>
    <x v="0"/>
    <x v="0"/>
    <x v="0"/>
  </r>
  <r>
    <n v="564"/>
    <s v="Fleury Marc-Andre"/>
    <x v="6"/>
    <x v="7"/>
    <x v="16"/>
    <x v="23"/>
    <n v="188"/>
    <x v="186"/>
    <x v="0"/>
    <x v="0"/>
    <x v="0"/>
  </r>
  <r>
    <n v="565"/>
    <s v="Flisar Filip"/>
    <x v="2"/>
    <x v="31"/>
    <x v="4"/>
    <x v="32"/>
    <n v="181"/>
    <x v="365"/>
    <x v="0"/>
    <x v="0"/>
    <x v="0"/>
  </r>
  <r>
    <n v="566"/>
    <s v="Florschuetz Andre"/>
    <x v="10"/>
    <x v="8"/>
    <x v="21"/>
    <x v="1"/>
    <n v="183"/>
    <x v="366"/>
    <x v="0"/>
    <x v="0"/>
    <x v="2"/>
  </r>
  <r>
    <n v="567"/>
    <s v="Florschuetz Thomas"/>
    <x v="5"/>
    <x v="8"/>
    <x v="7"/>
    <x v="7"/>
    <n v="185"/>
    <x v="278"/>
    <x v="0"/>
    <x v="0"/>
    <x v="2"/>
  </r>
  <r>
    <n v="568"/>
    <s v="Fogt Christopher"/>
    <x v="5"/>
    <x v="1"/>
    <x v="13"/>
    <x v="32"/>
    <n v="183"/>
    <x v="50"/>
    <x v="0"/>
    <x v="0"/>
    <x v="0"/>
  </r>
  <r>
    <n v="570"/>
    <s v="Fomina Margarita"/>
    <x v="11"/>
    <x v="5"/>
    <x v="3"/>
    <x v="34"/>
    <n v="174"/>
    <x v="367"/>
    <x v="1"/>
    <x v="0"/>
    <x v="0"/>
  </r>
  <r>
    <n v="571"/>
    <s v="Font Jordi"/>
    <x v="8"/>
    <x v="48"/>
    <x v="15"/>
    <x v="49"/>
    <n v="190"/>
    <x v="368"/>
    <x v="0"/>
    <x v="0"/>
    <x v="2"/>
  </r>
  <r>
    <n v="573"/>
    <s v="Ford Tommy"/>
    <x v="0"/>
    <x v="1"/>
    <x v="17"/>
    <x v="37"/>
    <n v="180"/>
    <x v="201"/>
    <x v="0"/>
    <x v="0"/>
    <x v="0"/>
  </r>
  <r>
    <n v="574"/>
    <s v="Forsberg Kristian"/>
    <x v="6"/>
    <x v="17"/>
    <x v="0"/>
    <x v="3"/>
    <n v="186"/>
    <x v="369"/>
    <x v="0"/>
    <x v="0"/>
    <x v="0"/>
  </r>
  <r>
    <n v="575"/>
    <s v="Forsberg Peter"/>
    <x v="6"/>
    <x v="14"/>
    <x v="10"/>
    <x v="41"/>
    <n v="185"/>
    <x v="249"/>
    <x v="0"/>
    <x v="0"/>
    <x v="2"/>
  </r>
  <r>
    <n v="576"/>
    <s v="Forslund Michael"/>
    <x v="2"/>
    <x v="14"/>
    <x v="0"/>
    <x v="1"/>
    <n v="184"/>
    <x v="27"/>
    <x v="0"/>
    <x v="0"/>
    <x v="0"/>
  </r>
  <r>
    <n v="577"/>
    <s v="Fourcade Martin"/>
    <x v="3"/>
    <x v="16"/>
    <x v="3"/>
    <x v="37"/>
    <n v="185"/>
    <x v="370"/>
    <x v="0"/>
    <x v="0"/>
    <x v="0"/>
  </r>
  <r>
    <n v="578"/>
    <s v="Fourcade Simon"/>
    <x v="3"/>
    <x v="16"/>
    <x v="16"/>
    <x v="26"/>
    <n v="174"/>
    <x v="226"/>
    <x v="0"/>
    <x v="0"/>
    <x v="0"/>
  </r>
  <r>
    <n v="579"/>
    <s v="Francon Mellie"/>
    <x v="8"/>
    <x v="9"/>
    <x v="8"/>
    <x v="44"/>
    <n v="168"/>
    <x v="170"/>
    <x v="0"/>
    <x v="0"/>
    <x v="0"/>
  </r>
  <r>
    <n v="580"/>
    <s v="Frasnelli Loris"/>
    <x v="9"/>
    <x v="19"/>
    <x v="2"/>
    <x v="16"/>
    <n v="178"/>
    <x v="295"/>
    <x v="0"/>
    <x v="0"/>
    <x v="0"/>
  </r>
  <r>
    <n v="581"/>
    <s v="Frautschi Angela"/>
    <x v="6"/>
    <x v="9"/>
    <x v="4"/>
    <x v="24"/>
    <n v="169"/>
    <x v="371"/>
    <x v="0"/>
    <x v="0"/>
    <x v="0"/>
  </r>
  <r>
    <n v="582"/>
    <s v="Frederiksen Johnny"/>
    <x v="11"/>
    <x v="12"/>
    <x v="15"/>
    <x v="34"/>
    <n v="175"/>
    <x v="372"/>
    <x v="1"/>
    <x v="0"/>
    <x v="2"/>
  </r>
  <r>
    <n v="583"/>
    <s v="Fredricks Tucker"/>
    <x v="4"/>
    <x v="1"/>
    <x v="16"/>
    <x v="26"/>
    <n v="168"/>
    <x v="373"/>
    <x v="0"/>
    <x v="0"/>
    <x v="0"/>
  </r>
  <r>
    <n v="584"/>
    <s v="Freeman Kris"/>
    <x v="9"/>
    <x v="1"/>
    <x v="19"/>
    <x v="28"/>
    <n v="180"/>
    <x v="374"/>
    <x v="0"/>
    <x v="0"/>
    <x v="0"/>
  </r>
  <r>
    <n v="585"/>
    <s v="Frei Sandra"/>
    <x v="8"/>
    <x v="9"/>
    <x v="16"/>
    <x v="17"/>
    <n v="174"/>
    <x v="77"/>
    <x v="0"/>
    <x v="0"/>
    <x v="0"/>
  </r>
  <r>
    <n v="586"/>
    <s v="Frei Thomas"/>
    <x v="3"/>
    <x v="9"/>
    <x v="19"/>
    <x v="26"/>
    <n v="176"/>
    <x v="375"/>
    <x v="0"/>
    <x v="0"/>
    <x v="0"/>
  </r>
  <r>
    <n v="587"/>
    <s v="Frenette Peter"/>
    <x v="7"/>
    <x v="1"/>
    <x v="23"/>
    <x v="8"/>
    <n v="178"/>
    <x v="376"/>
    <x v="0"/>
    <x v="0"/>
    <x v="0"/>
  </r>
  <r>
    <n v="588"/>
    <s v="Frenzel Eric"/>
    <x v="12"/>
    <x v="8"/>
    <x v="3"/>
    <x v="43"/>
    <n v="175"/>
    <x v="377"/>
    <x v="0"/>
    <x v="0"/>
    <x v="0"/>
  </r>
  <r>
    <n v="589"/>
    <s v="Friberg Daniel"/>
    <x v="4"/>
    <x v="14"/>
    <x v="0"/>
    <x v="49"/>
    <n v="183"/>
    <x v="378"/>
    <x v="0"/>
    <x v="0"/>
    <x v="0"/>
  </r>
  <r>
    <n v="590"/>
    <s v="Friesinger-Postma Anna"/>
    <x v="4"/>
    <x v="8"/>
    <x v="21"/>
    <x v="33"/>
    <n v="169"/>
    <x v="379"/>
    <x v="0"/>
    <x v="0"/>
    <x v="2"/>
  </r>
  <r>
    <n v="591"/>
    <s v="Frisch Jeffrey"/>
    <x v="0"/>
    <x v="7"/>
    <x v="16"/>
    <x v="36"/>
    <n v="184"/>
    <x v="380"/>
    <x v="0"/>
    <x v="0"/>
    <x v="0"/>
  </r>
  <r>
    <n v="593"/>
    <s v="Fuchs Mario"/>
    <x v="8"/>
    <x v="32"/>
    <x v="21"/>
    <x v="49"/>
    <n v="183"/>
    <x v="378"/>
    <x v="0"/>
    <x v="0"/>
    <x v="2"/>
  </r>
  <r>
    <n v="595"/>
    <s v="Fujimoto Takahiro"/>
    <x v="13"/>
    <x v="22"/>
    <x v="1"/>
    <x v="33"/>
    <n v="170"/>
    <x v="61"/>
    <x v="0"/>
    <x v="0"/>
    <x v="0"/>
  </r>
  <r>
    <n v="596"/>
    <s v="Fukuda Nobuko"/>
    <x v="9"/>
    <x v="22"/>
    <x v="19"/>
    <x v="42"/>
    <n v="165"/>
    <x v="180"/>
    <x v="0"/>
    <x v="0"/>
    <x v="0"/>
  </r>
  <r>
    <n v="598"/>
    <s v="Gaborik Marian"/>
    <x v="6"/>
    <x v="24"/>
    <x v="8"/>
    <x v="51"/>
    <n v="186"/>
    <x v="381"/>
    <x v="0"/>
    <x v="0"/>
    <x v="0"/>
  </r>
  <r>
    <n v="599"/>
    <s v="Gagnon Marie-Michele"/>
    <x v="0"/>
    <x v="7"/>
    <x v="17"/>
    <x v="26"/>
    <n v="177"/>
    <x v="254"/>
    <x v="0"/>
    <x v="0"/>
    <x v="0"/>
  </r>
  <r>
    <n v="600"/>
    <s v="Gaiazova Daria"/>
    <x v="9"/>
    <x v="7"/>
    <x v="13"/>
    <x v="25"/>
    <n v="178"/>
    <x v="382"/>
    <x v="0"/>
    <x v="0"/>
    <x v="0"/>
  </r>
  <r>
    <n v="601"/>
    <s v="Gaillard Jean Marc"/>
    <x v="9"/>
    <x v="16"/>
    <x v="19"/>
    <x v="5"/>
    <n v="180"/>
    <x v="98"/>
    <x v="0"/>
    <x v="0"/>
    <x v="0"/>
  </r>
  <r>
    <n v="602"/>
    <s v="Galkina Ekaterina"/>
    <x v="11"/>
    <x v="5"/>
    <x v="3"/>
    <x v="34"/>
    <n v="170"/>
    <x v="383"/>
    <x v="1"/>
    <x v="0"/>
    <x v="0"/>
  </r>
  <r>
    <n v="603"/>
    <s v="Galmarini Nevin"/>
    <x v="8"/>
    <x v="9"/>
    <x v="0"/>
    <x v="17"/>
    <n v="172"/>
    <x v="384"/>
    <x v="0"/>
    <x v="0"/>
    <x v="0"/>
  </r>
  <r>
    <n v="604"/>
    <s v="Galvins Guntis"/>
    <x v="6"/>
    <x v="20"/>
    <x v="1"/>
    <x v="15"/>
    <n v="186"/>
    <x v="81"/>
    <x v="0"/>
    <x v="0"/>
    <x v="0"/>
  </r>
  <r>
    <n v="605"/>
    <s v="Galysheva Yulia"/>
    <x v="2"/>
    <x v="21"/>
    <x v="23"/>
    <x v="8"/>
    <n v="167"/>
    <x v="80"/>
    <x v="0"/>
    <x v="0"/>
    <x v="0"/>
  </r>
  <r>
    <n v="606"/>
    <s v="Gantnerova Jana"/>
    <x v="0"/>
    <x v="24"/>
    <x v="17"/>
    <x v="6"/>
    <n v="165"/>
    <x v="210"/>
    <x v="0"/>
    <x v="0"/>
    <x v="0"/>
  </r>
  <r>
    <n v="608"/>
    <s v="Gao Xuefeng"/>
    <x v="4"/>
    <x v="44"/>
    <x v="19"/>
    <x v="37"/>
    <n v="180"/>
    <x v="201"/>
    <x v="0"/>
    <x v="0"/>
    <x v="0"/>
  </r>
  <r>
    <n v="609"/>
    <s v="Gapova Nikola"/>
    <x v="6"/>
    <x v="24"/>
    <x v="17"/>
    <x v="8"/>
    <n v="174"/>
    <x v="258"/>
    <x v="0"/>
    <x v="0"/>
    <x v="0"/>
  </r>
  <r>
    <n v="611"/>
    <s v="Garibovic Amar"/>
    <x v="9"/>
    <x v="51"/>
    <x v="14"/>
    <x v="37"/>
    <n v="190"/>
    <x v="385"/>
    <x v="0"/>
    <x v="0"/>
    <x v="0"/>
  </r>
  <r>
    <n v="615"/>
    <s v="Gasparini Sandra"/>
    <x v="10"/>
    <x v="19"/>
    <x v="12"/>
    <x v="17"/>
    <n v="173"/>
    <x v="245"/>
    <x v="0"/>
    <x v="0"/>
    <x v="0"/>
  </r>
  <r>
    <n v="616"/>
    <s v="Gastaldi Nicol"/>
    <x v="0"/>
    <x v="52"/>
    <x v="12"/>
    <x v="22"/>
    <n v="167"/>
    <x v="386"/>
    <x v="0"/>
    <x v="0"/>
    <x v="0"/>
  </r>
  <r>
    <n v="617"/>
    <s v="Gattuso Sebastien"/>
    <x v="5"/>
    <x v="53"/>
    <x v="20"/>
    <x v="32"/>
    <n v="180"/>
    <x v="387"/>
    <x v="0"/>
    <x v="0"/>
    <x v="2"/>
  </r>
  <r>
    <n v="618"/>
    <s v="Gavaggio Enak"/>
    <x v="2"/>
    <x v="16"/>
    <x v="21"/>
    <x v="23"/>
    <n v="173"/>
    <x v="388"/>
    <x v="0"/>
    <x v="0"/>
    <x v="2"/>
  </r>
  <r>
    <n v="619"/>
    <s v="Gavrilova Iya"/>
    <x v="6"/>
    <x v="5"/>
    <x v="4"/>
    <x v="26"/>
    <n v="173"/>
    <x v="361"/>
    <x v="0"/>
    <x v="0"/>
    <x v="0"/>
  </r>
  <r>
    <n v="620"/>
    <s v="Gayme Maui"/>
    <x v="0"/>
    <x v="28"/>
    <x v="13"/>
    <x v="23"/>
    <n v="179"/>
    <x v="389"/>
    <x v="0"/>
    <x v="0"/>
    <x v="0"/>
  </r>
  <r>
    <n v="622"/>
    <s v="Gehring Lana"/>
    <x v="13"/>
    <x v="1"/>
    <x v="12"/>
    <x v="22"/>
    <n v="175"/>
    <x v="255"/>
    <x v="0"/>
    <x v="0"/>
    <x v="0"/>
  </r>
  <r>
    <n v="623"/>
    <s v="Geiger Christina"/>
    <x v="0"/>
    <x v="8"/>
    <x v="17"/>
    <x v="13"/>
    <n v="170"/>
    <x v="196"/>
    <x v="0"/>
    <x v="0"/>
    <x v="0"/>
  </r>
  <r>
    <n v="624"/>
    <s v="Geisenberger Natalie"/>
    <x v="10"/>
    <x v="8"/>
    <x v="4"/>
    <x v="35"/>
    <n v="183"/>
    <x v="66"/>
    <x v="0"/>
    <x v="0"/>
    <x v="0"/>
  </r>
  <r>
    <n v="625"/>
    <s v="Gelashvili Jaba"/>
    <x v="0"/>
    <x v="3"/>
    <x v="6"/>
    <x v="17"/>
    <n v="176"/>
    <x v="84"/>
    <x v="0"/>
    <x v="0"/>
    <x v="1"/>
  </r>
  <r>
    <n v="626"/>
    <s v="Genuin Magda"/>
    <x v="9"/>
    <x v="19"/>
    <x v="2"/>
    <x v="14"/>
    <n v="173"/>
    <x v="349"/>
    <x v="0"/>
    <x v="0"/>
    <x v="0"/>
  </r>
  <r>
    <n v="628"/>
    <s v="Georgiev Stefan"/>
    <x v="0"/>
    <x v="13"/>
    <x v="9"/>
    <x v="41"/>
    <n v="185"/>
    <x v="249"/>
    <x v="0"/>
    <x v="0"/>
    <x v="2"/>
  </r>
  <r>
    <n v="630"/>
    <s v="Gerekova Jana"/>
    <x v="3"/>
    <x v="24"/>
    <x v="16"/>
    <x v="33"/>
    <n v="170"/>
    <x v="61"/>
    <x v="0"/>
    <x v="0"/>
    <x v="0"/>
  </r>
  <r>
    <n v="631"/>
    <s v="Gerritsen Annette"/>
    <x v="4"/>
    <x v="33"/>
    <x v="1"/>
    <x v="33"/>
    <n v="172"/>
    <x v="390"/>
    <x v="0"/>
    <x v="0"/>
    <x v="0"/>
  </r>
  <r>
    <n v="632"/>
    <s v="Getzlaf Ryan"/>
    <x v="6"/>
    <x v="7"/>
    <x v="1"/>
    <x v="60"/>
    <n v="193"/>
    <x v="391"/>
    <x v="1"/>
    <x v="0"/>
    <x v="0"/>
  </r>
  <r>
    <n v="633"/>
    <s v="Gillarduzzi Jessica"/>
    <x v="5"/>
    <x v="19"/>
    <x v="19"/>
    <x v="17"/>
    <n v="170"/>
    <x v="19"/>
    <x v="0"/>
    <x v="0"/>
    <x v="0"/>
  </r>
  <r>
    <n v="634"/>
    <s v="Gillings Zoe"/>
    <x v="8"/>
    <x v="11"/>
    <x v="1"/>
    <x v="6"/>
    <n v="168"/>
    <x v="103"/>
    <x v="0"/>
    <x v="0"/>
    <x v="0"/>
  </r>
  <r>
    <n v="635"/>
    <s v="Gimazetdinova Anastasia"/>
    <x v="1"/>
    <x v="54"/>
    <x v="19"/>
    <x v="34"/>
    <n v="180"/>
    <x v="392"/>
    <x v="1"/>
    <x v="0"/>
    <x v="0"/>
  </r>
  <r>
    <n v="636"/>
    <s v="Gingras Maxime"/>
    <x v="2"/>
    <x v="7"/>
    <x v="16"/>
    <x v="35"/>
    <n v="180"/>
    <x v="345"/>
    <x v="0"/>
    <x v="0"/>
    <x v="0"/>
  </r>
  <r>
    <n v="637"/>
    <s v="Gini Marc"/>
    <x v="0"/>
    <x v="9"/>
    <x v="16"/>
    <x v="4"/>
    <n v="183"/>
    <x v="190"/>
    <x v="0"/>
    <x v="0"/>
    <x v="0"/>
  </r>
  <r>
    <n v="638"/>
    <s v="Giordani Gian Luca"/>
    <x v="0"/>
    <x v="41"/>
    <x v="17"/>
    <x v="37"/>
    <n v="185"/>
    <x v="370"/>
    <x v="0"/>
    <x v="0"/>
    <x v="0"/>
  </r>
  <r>
    <n v="639"/>
    <s v="Girod Thomas"/>
    <x v="10"/>
    <x v="16"/>
    <x v="13"/>
    <x v="49"/>
    <n v="182"/>
    <x v="393"/>
    <x v="0"/>
    <x v="0"/>
    <x v="0"/>
  </r>
  <r>
    <n v="640"/>
    <s v="Giroux Mathieu"/>
    <x v="4"/>
    <x v="7"/>
    <x v="1"/>
    <x v="35"/>
    <n v="180"/>
    <x v="345"/>
    <x v="0"/>
    <x v="0"/>
    <x v="0"/>
  </r>
  <r>
    <n v="641"/>
    <s v="Gisin Dominique"/>
    <x v="0"/>
    <x v="9"/>
    <x v="1"/>
    <x v="2"/>
    <n v="172"/>
    <x v="394"/>
    <x v="0"/>
    <x v="0"/>
    <x v="0"/>
  </r>
  <r>
    <n v="644"/>
    <s v="Glazere Liga"/>
    <x v="3"/>
    <x v="20"/>
    <x v="0"/>
    <x v="8"/>
    <n v="170"/>
    <x v="356"/>
    <x v="0"/>
    <x v="0"/>
    <x v="0"/>
  </r>
  <r>
    <n v="645"/>
    <s v="Gleason Tim"/>
    <x v="6"/>
    <x v="1"/>
    <x v="5"/>
    <x v="46"/>
    <n v="183"/>
    <x v="119"/>
    <x v="0"/>
    <x v="0"/>
    <x v="0"/>
  </r>
  <r>
    <n v="646"/>
    <s v="Glebov Ilja"/>
    <x v="1"/>
    <x v="49"/>
    <x v="4"/>
    <x v="34"/>
    <n v="181"/>
    <x v="395"/>
    <x v="1"/>
    <x v="0"/>
    <x v="0"/>
  </r>
  <r>
    <n v="647"/>
    <s v="Glebova Elena"/>
    <x v="1"/>
    <x v="49"/>
    <x v="17"/>
    <x v="18"/>
    <n v="165"/>
    <x v="396"/>
    <x v="0"/>
    <x v="0"/>
    <x v="0"/>
  </r>
  <r>
    <n v="648"/>
    <s v="Goc Marcel"/>
    <x v="6"/>
    <x v="8"/>
    <x v="13"/>
    <x v="1"/>
    <n v="183"/>
    <x v="366"/>
    <x v="0"/>
    <x v="0"/>
    <x v="0"/>
  </r>
  <r>
    <n v="649"/>
    <s v="Goergl Elisabeth"/>
    <x v="0"/>
    <x v="32"/>
    <x v="8"/>
    <x v="2"/>
    <n v="166"/>
    <x v="397"/>
    <x v="0"/>
    <x v="0"/>
    <x v="0"/>
  </r>
  <r>
    <n v="650"/>
    <s v="Goldsack Drew"/>
    <x v="9"/>
    <x v="7"/>
    <x v="8"/>
    <x v="47"/>
    <n v="178"/>
    <x v="398"/>
    <x v="0"/>
    <x v="0"/>
    <x v="0"/>
  </r>
  <r>
    <n v="651"/>
    <s v="Gonchar Sergey"/>
    <x v="6"/>
    <x v="5"/>
    <x v="18"/>
    <x v="39"/>
    <n v="185"/>
    <x v="399"/>
    <x v="0"/>
    <x v="0"/>
    <x v="2"/>
  </r>
  <r>
    <n v="652"/>
    <s v="Gonzalez Ruben"/>
    <x v="10"/>
    <x v="52"/>
    <x v="27"/>
    <x v="18"/>
    <n v="183"/>
    <x v="400"/>
    <x v="0"/>
    <x v="0"/>
    <x v="3"/>
  </r>
  <r>
    <n v="653"/>
    <s v="Goodman Anna"/>
    <x v="0"/>
    <x v="7"/>
    <x v="1"/>
    <x v="37"/>
    <n v="178"/>
    <x v="296"/>
    <x v="0"/>
    <x v="0"/>
    <x v="0"/>
  </r>
  <r>
    <n v="655"/>
    <s v="Gorza Ales"/>
    <x v="0"/>
    <x v="31"/>
    <x v="19"/>
    <x v="4"/>
    <n v="179"/>
    <x v="401"/>
    <x v="0"/>
    <x v="0"/>
    <x v="0"/>
  </r>
  <r>
    <n v="656"/>
    <s v="Gossner Miriam"/>
    <x v="9"/>
    <x v="8"/>
    <x v="12"/>
    <x v="50"/>
    <n v="167"/>
    <x v="217"/>
    <x v="0"/>
    <x v="0"/>
    <x v="0"/>
  </r>
  <r>
    <n v="657"/>
    <s v="Gottwald Felix"/>
    <x v="12"/>
    <x v="32"/>
    <x v="15"/>
    <x v="26"/>
    <n v="180"/>
    <x v="31"/>
    <x v="0"/>
    <x v="0"/>
    <x v="2"/>
  </r>
  <r>
    <n v="658"/>
    <s v="Gough Alex"/>
    <x v="10"/>
    <x v="7"/>
    <x v="4"/>
    <x v="17"/>
    <n v="171"/>
    <x v="402"/>
    <x v="0"/>
    <x v="0"/>
    <x v="0"/>
  </r>
  <r>
    <n v="660"/>
    <s v="Grabner Siegfried"/>
    <x v="8"/>
    <x v="32"/>
    <x v="18"/>
    <x v="23"/>
    <n v="180"/>
    <x v="214"/>
    <x v="0"/>
    <x v="0"/>
    <x v="2"/>
  </r>
  <r>
    <n v="661"/>
    <s v="Grabovsky Mikhail"/>
    <x v="6"/>
    <x v="4"/>
    <x v="13"/>
    <x v="49"/>
    <n v="181"/>
    <x v="403"/>
    <x v="0"/>
    <x v="0"/>
    <x v="0"/>
  </r>
  <r>
    <n v="662"/>
    <s v="Grage Cathrine"/>
    <x v="4"/>
    <x v="12"/>
    <x v="21"/>
    <x v="21"/>
    <n v="165"/>
    <x v="298"/>
    <x v="0"/>
    <x v="0"/>
    <x v="2"/>
  </r>
  <r>
    <n v="663"/>
    <s v="Grahn Sara"/>
    <x v="6"/>
    <x v="14"/>
    <x v="3"/>
    <x v="19"/>
    <n v="170"/>
    <x v="404"/>
    <x v="0"/>
    <x v="0"/>
    <x v="0"/>
  </r>
  <r>
    <n v="664"/>
    <s v="Grand Cedric"/>
    <x v="5"/>
    <x v="9"/>
    <x v="15"/>
    <x v="40"/>
    <n v="189"/>
    <x v="405"/>
    <x v="1"/>
    <x v="0"/>
    <x v="2"/>
  </r>
  <r>
    <n v="665"/>
    <s v="Grebeshkov Denis"/>
    <x v="6"/>
    <x v="5"/>
    <x v="13"/>
    <x v="41"/>
    <n v="185"/>
    <x v="249"/>
    <x v="0"/>
    <x v="0"/>
    <x v="0"/>
  </r>
  <r>
    <n v="666"/>
    <s v="Green Brendan"/>
    <x v="3"/>
    <x v="7"/>
    <x v="0"/>
    <x v="16"/>
    <n v="183"/>
    <x v="406"/>
    <x v="0"/>
    <x v="0"/>
    <x v="0"/>
  </r>
  <r>
    <n v="667"/>
    <s v="Gregg Jamie"/>
    <x v="4"/>
    <x v="7"/>
    <x v="1"/>
    <x v="23"/>
    <n v="180"/>
    <x v="214"/>
    <x v="0"/>
    <x v="0"/>
    <x v="0"/>
  </r>
  <r>
    <n v="668"/>
    <s v="Gregg Jessica"/>
    <x v="13"/>
    <x v="7"/>
    <x v="3"/>
    <x v="22"/>
    <n v="174"/>
    <x v="222"/>
    <x v="0"/>
    <x v="0"/>
    <x v="0"/>
  </r>
  <r>
    <n v="669"/>
    <s v="Gregorin Teja"/>
    <x v="3"/>
    <x v="31"/>
    <x v="19"/>
    <x v="44"/>
    <n v="171"/>
    <x v="407"/>
    <x v="0"/>
    <x v="0"/>
    <x v="0"/>
  </r>
  <r>
    <n v="670"/>
    <s v="Greig Michelle"/>
    <x v="2"/>
    <x v="38"/>
    <x v="3"/>
    <x v="17"/>
    <n v="174"/>
    <x v="77"/>
    <x v="0"/>
    <x v="0"/>
    <x v="0"/>
  </r>
  <r>
    <n v="671"/>
    <s v="Greilinger Thomas"/>
    <x v="6"/>
    <x v="8"/>
    <x v="8"/>
    <x v="12"/>
    <n v="180"/>
    <x v="136"/>
    <x v="0"/>
    <x v="0"/>
    <x v="0"/>
  </r>
  <r>
    <n v="672"/>
    <s v="Greiner Janine"/>
    <x v="11"/>
    <x v="9"/>
    <x v="19"/>
    <x v="18"/>
    <n v="168"/>
    <x v="408"/>
    <x v="0"/>
    <x v="0"/>
    <x v="0"/>
  </r>
  <r>
    <n v="673"/>
    <s v="Greis Michael"/>
    <x v="3"/>
    <x v="8"/>
    <x v="21"/>
    <x v="16"/>
    <n v="177"/>
    <x v="303"/>
    <x v="0"/>
    <x v="0"/>
    <x v="2"/>
  </r>
  <r>
    <n v="674"/>
    <s v="Greiss Thomas"/>
    <x v="6"/>
    <x v="8"/>
    <x v="1"/>
    <x v="31"/>
    <n v="185"/>
    <x v="409"/>
    <x v="0"/>
    <x v="0"/>
    <x v="0"/>
  </r>
  <r>
    <n v="675"/>
    <s v="Grey George"/>
    <x v="9"/>
    <x v="7"/>
    <x v="2"/>
    <x v="47"/>
    <n v="179"/>
    <x v="141"/>
    <x v="0"/>
    <x v="0"/>
    <x v="0"/>
  </r>
  <r>
    <n v="676"/>
    <s v="Griffin Benjamin"/>
    <x v="0"/>
    <x v="38"/>
    <x v="0"/>
    <x v="20"/>
    <n v="181"/>
    <x v="410"/>
    <x v="0"/>
    <x v="0"/>
    <x v="0"/>
  </r>
  <r>
    <n v="677"/>
    <s v="Grigoreva Kseniya"/>
    <x v="0"/>
    <x v="54"/>
    <x v="4"/>
    <x v="8"/>
    <n v="180"/>
    <x v="411"/>
    <x v="0"/>
    <x v="0"/>
    <x v="0"/>
  </r>
  <r>
    <n v="678"/>
    <s v="Grigorova Antonia"/>
    <x v="9"/>
    <x v="13"/>
    <x v="1"/>
    <x v="50"/>
    <n v="167"/>
    <x v="217"/>
    <x v="0"/>
    <x v="0"/>
    <x v="0"/>
  </r>
  <r>
    <n v="679"/>
    <s v="Grimmette Mark"/>
    <x v="10"/>
    <x v="1"/>
    <x v="24"/>
    <x v="38"/>
    <n v="185"/>
    <x v="107"/>
    <x v="0"/>
    <x v="0"/>
    <x v="2"/>
  </r>
  <r>
    <n v="680"/>
    <s v="Grishin Alexei"/>
    <x v="2"/>
    <x v="4"/>
    <x v="2"/>
    <x v="5"/>
    <n v="176"/>
    <x v="412"/>
    <x v="0"/>
    <x v="0"/>
    <x v="0"/>
  </r>
  <r>
    <n v="681"/>
    <s v="Groenewold Renate"/>
    <x v="4"/>
    <x v="33"/>
    <x v="21"/>
    <x v="37"/>
    <n v="180"/>
    <x v="201"/>
    <x v="0"/>
    <x v="0"/>
    <x v="2"/>
  </r>
  <r>
    <n v="683"/>
    <s v="Groothuis Stefan"/>
    <x v="4"/>
    <x v="33"/>
    <x v="8"/>
    <x v="3"/>
    <n v="181"/>
    <x v="232"/>
    <x v="0"/>
    <x v="0"/>
    <x v="0"/>
  </r>
  <r>
    <n v="684"/>
    <s v="Grotnes Pal"/>
    <x v="6"/>
    <x v="17"/>
    <x v="9"/>
    <x v="36"/>
    <n v="188"/>
    <x v="413"/>
    <x v="0"/>
    <x v="0"/>
    <x v="2"/>
  </r>
  <r>
    <n v="685"/>
    <s v="Groves Kristina"/>
    <x v="4"/>
    <x v="7"/>
    <x v="21"/>
    <x v="13"/>
    <n v="175"/>
    <x v="414"/>
    <x v="0"/>
    <x v="0"/>
    <x v="2"/>
  </r>
  <r>
    <n v="686"/>
    <s v="Gruber Bernhard"/>
    <x v="12"/>
    <x v="32"/>
    <x v="5"/>
    <x v="19"/>
    <n v="185"/>
    <x v="415"/>
    <x v="0"/>
    <x v="0"/>
    <x v="0"/>
  </r>
  <r>
    <n v="687"/>
    <s v="Gruber Bettina"/>
    <x v="9"/>
    <x v="9"/>
    <x v="16"/>
    <x v="8"/>
    <n v="170"/>
    <x v="356"/>
    <x v="0"/>
    <x v="0"/>
    <x v="0"/>
  </r>
  <r>
    <n v="688"/>
    <s v="Gruber Patrick"/>
    <x v="10"/>
    <x v="19"/>
    <x v="9"/>
    <x v="37"/>
    <n v="170"/>
    <x v="85"/>
    <x v="0"/>
    <x v="0"/>
    <x v="2"/>
  </r>
  <r>
    <n v="689"/>
    <s v="Gruenenfelder Tobias"/>
    <x v="0"/>
    <x v="9"/>
    <x v="9"/>
    <x v="18"/>
    <n v="180"/>
    <x v="416"/>
    <x v="0"/>
    <x v="0"/>
    <x v="2"/>
  </r>
  <r>
    <n v="690"/>
    <s v="Gruener Lukas"/>
    <x v="8"/>
    <x v="32"/>
    <x v="8"/>
    <x v="23"/>
    <n v="177"/>
    <x v="417"/>
    <x v="0"/>
    <x v="0"/>
    <x v="0"/>
  </r>
  <r>
    <n v="691"/>
    <s v="Grugger Hans"/>
    <x v="0"/>
    <x v="32"/>
    <x v="8"/>
    <x v="18"/>
    <n v="180"/>
    <x v="416"/>
    <x v="0"/>
    <x v="0"/>
    <x v="0"/>
  </r>
  <r>
    <n v="692"/>
    <s v="Grygorenko Kateryna"/>
    <x v="9"/>
    <x v="2"/>
    <x v="1"/>
    <x v="6"/>
    <n v="166"/>
    <x v="418"/>
    <x v="0"/>
    <x v="0"/>
    <x v="0"/>
  </r>
  <r>
    <n v="693"/>
    <s v="Guay Erik"/>
    <x v="0"/>
    <x v="7"/>
    <x v="8"/>
    <x v="20"/>
    <n v="178"/>
    <x v="59"/>
    <x v="0"/>
    <x v="0"/>
    <x v="0"/>
  </r>
  <r>
    <n v="694"/>
    <s v="Gudmundsdottir Iris"/>
    <x v="0"/>
    <x v="36"/>
    <x v="12"/>
    <x v="25"/>
    <n v="174"/>
    <x v="419"/>
    <x v="0"/>
    <x v="0"/>
    <x v="0"/>
  </r>
  <r>
    <n v="695"/>
    <s v="Gudramovics Oskars"/>
    <x v="10"/>
    <x v="20"/>
    <x v="3"/>
    <x v="37"/>
    <n v="173"/>
    <x v="72"/>
    <x v="0"/>
    <x v="0"/>
    <x v="0"/>
  </r>
  <r>
    <n v="696"/>
    <s v="Guenther Doris"/>
    <x v="8"/>
    <x v="32"/>
    <x v="7"/>
    <x v="43"/>
    <n v="165"/>
    <x v="352"/>
    <x v="0"/>
    <x v="0"/>
    <x v="2"/>
  </r>
  <r>
    <n v="697"/>
    <s v="Guggenberger Matthias"/>
    <x v="15"/>
    <x v="32"/>
    <x v="16"/>
    <x v="37"/>
    <n v="179"/>
    <x v="318"/>
    <x v="0"/>
    <x v="0"/>
    <x v="0"/>
  </r>
  <r>
    <n v="698"/>
    <s v="Guggisberg Peter"/>
    <x v="6"/>
    <x v="9"/>
    <x v="16"/>
    <x v="41"/>
    <n v="179"/>
    <x v="420"/>
    <x v="0"/>
    <x v="0"/>
    <x v="0"/>
  </r>
  <r>
    <n v="701"/>
    <s v="Gureshidze Levan"/>
    <x v="10"/>
    <x v="3"/>
    <x v="3"/>
    <x v="23"/>
    <n v="175"/>
    <x v="355"/>
    <x v="0"/>
    <x v="0"/>
    <x v="0"/>
  </r>
  <r>
    <n v="702"/>
    <s v="Gustavsson Jonas"/>
    <x v="6"/>
    <x v="14"/>
    <x v="16"/>
    <x v="3"/>
    <n v="191"/>
    <x v="421"/>
    <x v="0"/>
    <x v="0"/>
    <x v="0"/>
  </r>
  <r>
    <n v="703"/>
    <s v="Gutensohn Katharina"/>
    <x v="2"/>
    <x v="32"/>
    <x v="28"/>
    <x v="21"/>
    <n v="172"/>
    <x v="422"/>
    <x v="0"/>
    <x v="0"/>
    <x v="2"/>
  </r>
  <r>
    <n v="704"/>
    <s v="Gutierrez Javier"/>
    <x v="9"/>
    <x v="48"/>
    <x v="1"/>
    <x v="6"/>
    <n v="177"/>
    <x v="423"/>
    <x v="0"/>
    <x v="0"/>
    <x v="0"/>
  </r>
  <r>
    <n v="706"/>
    <s v="Gwizdon Magdalena"/>
    <x v="3"/>
    <x v="25"/>
    <x v="2"/>
    <x v="26"/>
    <n v="178"/>
    <x v="183"/>
    <x v="0"/>
    <x v="0"/>
    <x v="0"/>
  </r>
  <r>
    <n v="708"/>
    <s v="Gysel Pieter"/>
    <x v="13"/>
    <x v="55"/>
    <x v="19"/>
    <x v="24"/>
    <n v="180"/>
    <x v="189"/>
    <x v="0"/>
    <x v="0"/>
    <x v="0"/>
  </r>
  <r>
    <n v="709"/>
    <s v="Ha Hong-Sun"/>
    <x v="4"/>
    <x v="42"/>
    <x v="14"/>
    <x v="24"/>
    <n v="181"/>
    <x v="89"/>
    <x v="0"/>
    <x v="0"/>
    <x v="0"/>
  </r>
  <r>
    <n v="711"/>
    <s v="Hackl Christian"/>
    <x v="5"/>
    <x v="32"/>
    <x v="19"/>
    <x v="18"/>
    <n v="183"/>
    <x v="400"/>
    <x v="0"/>
    <x v="0"/>
    <x v="0"/>
  </r>
  <r>
    <n v="712"/>
    <s v="Haechler Christian"/>
    <x v="2"/>
    <x v="9"/>
    <x v="13"/>
    <x v="28"/>
    <n v="188"/>
    <x v="424"/>
    <x v="0"/>
    <x v="0"/>
    <x v="0"/>
  </r>
  <r>
    <n v="714"/>
    <s v="Hafner Sabina"/>
    <x v="5"/>
    <x v="9"/>
    <x v="16"/>
    <x v="6"/>
    <n v="168"/>
    <x v="103"/>
    <x v="0"/>
    <x v="0"/>
    <x v="0"/>
  </r>
  <r>
    <n v="716"/>
    <s v="Haga Ryohei"/>
    <x v="4"/>
    <x v="22"/>
    <x v="3"/>
    <x v="37"/>
    <n v="174"/>
    <x v="200"/>
    <x v="0"/>
    <x v="0"/>
    <x v="0"/>
  </r>
  <r>
    <n v="717"/>
    <s v="Hagman Niklas"/>
    <x v="6"/>
    <x v="10"/>
    <x v="2"/>
    <x v="18"/>
    <n v="184"/>
    <x v="425"/>
    <x v="0"/>
    <x v="0"/>
    <x v="0"/>
  </r>
  <r>
    <n v="718"/>
    <s v="Hajek Antonin"/>
    <x v="7"/>
    <x v="26"/>
    <x v="0"/>
    <x v="21"/>
    <n v="173"/>
    <x v="24"/>
    <x v="0"/>
    <x v="0"/>
    <x v="0"/>
  </r>
  <r>
    <n v="719"/>
    <s v="Hajkova Kamila"/>
    <x v="1"/>
    <x v="26"/>
    <x v="4"/>
    <x v="18"/>
    <n v="170"/>
    <x v="426"/>
    <x v="0"/>
    <x v="0"/>
    <x v="0"/>
  </r>
  <r>
    <n v="720"/>
    <s v="Hakkinen Jay"/>
    <x v="3"/>
    <x v="1"/>
    <x v="9"/>
    <x v="37"/>
    <n v="183"/>
    <x v="169"/>
    <x v="0"/>
    <x v="0"/>
    <x v="2"/>
  </r>
  <r>
    <n v="721"/>
    <s v="Halak Jaroslav"/>
    <x v="6"/>
    <x v="24"/>
    <x v="1"/>
    <x v="47"/>
    <n v="182"/>
    <x v="427"/>
    <x v="0"/>
    <x v="0"/>
    <x v="0"/>
  </r>
  <r>
    <n v="722"/>
    <s v="Halder Veronika"/>
    <x v="10"/>
    <x v="32"/>
    <x v="19"/>
    <x v="33"/>
    <n v="165"/>
    <x v="147"/>
    <x v="0"/>
    <x v="0"/>
    <x v="0"/>
  </r>
  <r>
    <n v="723"/>
    <s v="Haldi Roland"/>
    <x v="8"/>
    <x v="9"/>
    <x v="7"/>
    <x v="28"/>
    <n v="180"/>
    <x v="374"/>
    <x v="0"/>
    <x v="0"/>
    <x v="2"/>
  </r>
  <r>
    <n v="724"/>
    <s v="Halilovic Michi"/>
    <x v="15"/>
    <x v="8"/>
    <x v="13"/>
    <x v="26"/>
    <n v="169"/>
    <x v="428"/>
    <x v="0"/>
    <x v="0"/>
    <x v="0"/>
  </r>
  <r>
    <n v="726"/>
    <s v="Hallenbarter Simon"/>
    <x v="3"/>
    <x v="9"/>
    <x v="2"/>
    <x v="38"/>
    <n v="192"/>
    <x v="429"/>
    <x v="0"/>
    <x v="0"/>
    <x v="0"/>
  </r>
  <r>
    <n v="727"/>
    <s v="Haller Christian"/>
    <x v="8"/>
    <x v="9"/>
    <x v="17"/>
    <x v="19"/>
    <n v="174"/>
    <x v="430"/>
    <x v="0"/>
    <x v="0"/>
    <x v="0"/>
  </r>
  <r>
    <n v="729"/>
    <s v="Haller Ursina"/>
    <x v="8"/>
    <x v="9"/>
    <x v="1"/>
    <x v="21"/>
    <n v="172"/>
    <x v="422"/>
    <x v="0"/>
    <x v="0"/>
    <x v="0"/>
  </r>
  <r>
    <n v="730"/>
    <s v="Hamelin Charles"/>
    <x v="13"/>
    <x v="7"/>
    <x v="16"/>
    <x v="19"/>
    <n v="175"/>
    <x v="37"/>
    <x v="0"/>
    <x v="0"/>
    <x v="0"/>
  </r>
  <r>
    <n v="731"/>
    <s v="Hamelin Francois"/>
    <x v="13"/>
    <x v="7"/>
    <x v="0"/>
    <x v="16"/>
    <n v="175"/>
    <x v="431"/>
    <x v="0"/>
    <x v="0"/>
    <x v="0"/>
  </r>
  <r>
    <n v="732"/>
    <s v="Hamilton James"/>
    <x v="8"/>
    <x v="38"/>
    <x v="17"/>
    <x v="2"/>
    <n v="178"/>
    <x v="432"/>
    <x v="0"/>
    <x v="0"/>
    <x v="0"/>
  </r>
  <r>
    <n v="733"/>
    <s v="Hamilton Simeon"/>
    <x v="9"/>
    <x v="1"/>
    <x v="4"/>
    <x v="23"/>
    <n v="178"/>
    <x v="28"/>
    <x v="0"/>
    <x v="0"/>
    <x v="0"/>
  </r>
  <r>
    <n v="734"/>
    <s v="Hamlin Erin"/>
    <x v="10"/>
    <x v="1"/>
    <x v="0"/>
    <x v="19"/>
    <n v="170"/>
    <x v="404"/>
    <x v="0"/>
    <x v="0"/>
    <x v="0"/>
  </r>
  <r>
    <n v="735"/>
    <s v="Han Danni"/>
    <x v="6"/>
    <x v="44"/>
    <x v="12"/>
    <x v="21"/>
    <n v="165"/>
    <x v="298"/>
    <x v="0"/>
    <x v="0"/>
    <x v="0"/>
  </r>
  <r>
    <n v="736"/>
    <s v="Han Jialiang"/>
    <x v="13"/>
    <x v="44"/>
    <x v="4"/>
    <x v="48"/>
    <n v="183"/>
    <x v="433"/>
    <x v="0"/>
    <x v="0"/>
    <x v="0"/>
  </r>
  <r>
    <n v="737"/>
    <s v="Han Xiaopeng"/>
    <x v="2"/>
    <x v="44"/>
    <x v="13"/>
    <x v="37"/>
    <n v="172"/>
    <x v="434"/>
    <x v="0"/>
    <x v="0"/>
    <x v="0"/>
  </r>
  <r>
    <n v="738"/>
    <s v="Han Yueshuang"/>
    <x v="13"/>
    <x v="56"/>
    <x v="5"/>
    <x v="42"/>
    <n v="175"/>
    <x v="435"/>
    <x v="0"/>
    <x v="0"/>
    <x v="0"/>
  </r>
  <r>
    <n v="739"/>
    <s v="Handschin Roman"/>
    <x v="5"/>
    <x v="9"/>
    <x v="5"/>
    <x v="7"/>
    <n v="186"/>
    <x v="436"/>
    <x v="0"/>
    <x v="0"/>
    <x v="0"/>
  </r>
  <r>
    <n v="740"/>
    <s v="Handzus Michal"/>
    <x v="6"/>
    <x v="24"/>
    <x v="9"/>
    <x v="46"/>
    <n v="193"/>
    <x v="437"/>
    <x v="0"/>
    <x v="0"/>
    <x v="2"/>
  </r>
  <r>
    <n v="742"/>
    <s v="Hanni Sirli"/>
    <x v="3"/>
    <x v="49"/>
    <x v="1"/>
    <x v="8"/>
    <n v="175"/>
    <x v="359"/>
    <x v="0"/>
    <x v="0"/>
    <x v="0"/>
  </r>
  <r>
    <n v="743"/>
    <s v="Hansdotter Frida"/>
    <x v="0"/>
    <x v="14"/>
    <x v="1"/>
    <x v="26"/>
    <n v="173"/>
    <x v="361"/>
    <x v="0"/>
    <x v="0"/>
    <x v="0"/>
  </r>
  <r>
    <n v="744"/>
    <s v="Hansen Ane"/>
    <x v="11"/>
    <x v="12"/>
    <x v="15"/>
    <x v="18"/>
    <n v="171"/>
    <x v="438"/>
    <x v="0"/>
    <x v="0"/>
    <x v="2"/>
  </r>
  <r>
    <n v="745"/>
    <s v="Hansen Brian"/>
    <x v="4"/>
    <x v="1"/>
    <x v="12"/>
    <x v="47"/>
    <n v="183"/>
    <x v="126"/>
    <x v="0"/>
    <x v="0"/>
    <x v="0"/>
  </r>
  <r>
    <n v="746"/>
    <s v="Hansen Mads"/>
    <x v="6"/>
    <x v="17"/>
    <x v="7"/>
    <x v="12"/>
    <n v="185"/>
    <x v="230"/>
    <x v="0"/>
    <x v="0"/>
    <x v="2"/>
  </r>
  <r>
    <n v="747"/>
    <s v="Happonen Janne"/>
    <x v="7"/>
    <x v="10"/>
    <x v="16"/>
    <x v="9"/>
    <n v="180"/>
    <x v="439"/>
    <x v="0"/>
    <x v="0"/>
    <x v="0"/>
  </r>
  <r>
    <n v="749"/>
    <s v="Hargin Mattias"/>
    <x v="0"/>
    <x v="14"/>
    <x v="1"/>
    <x v="4"/>
    <n v="179"/>
    <x v="401"/>
    <x v="0"/>
    <x v="0"/>
    <x v="0"/>
  </r>
  <r>
    <n v="750"/>
    <s v="Harnis Jan"/>
    <x v="10"/>
    <x v="24"/>
    <x v="1"/>
    <x v="18"/>
    <n v="180"/>
    <x v="416"/>
    <x v="0"/>
    <x v="0"/>
    <x v="0"/>
  </r>
  <r>
    <n v="752"/>
    <s v="Harvey Alex"/>
    <x v="9"/>
    <x v="7"/>
    <x v="3"/>
    <x v="37"/>
    <n v="184"/>
    <x v="97"/>
    <x v="0"/>
    <x v="0"/>
    <x v="0"/>
  </r>
  <r>
    <n v="753"/>
    <s v="Harvey Duncan"/>
    <x v="5"/>
    <x v="15"/>
    <x v="8"/>
    <x v="34"/>
    <n v="183"/>
    <x v="440"/>
    <x v="1"/>
    <x v="0"/>
    <x v="0"/>
  </r>
  <r>
    <n v="754"/>
    <s v="Haselrieder Oswald"/>
    <x v="10"/>
    <x v="19"/>
    <x v="20"/>
    <x v="5"/>
    <n v="178"/>
    <x v="441"/>
    <x v="0"/>
    <x v="0"/>
    <x v="2"/>
  </r>
  <r>
    <n v="760"/>
    <s v="Haukkala Juha"/>
    <x v="2"/>
    <x v="10"/>
    <x v="7"/>
    <x v="61"/>
    <n v="188"/>
    <x v="442"/>
    <x v="1"/>
    <x v="0"/>
    <x v="2"/>
  </r>
  <r>
    <n v="762"/>
    <s v="Hauser Jan"/>
    <x v="11"/>
    <x v="9"/>
    <x v="16"/>
    <x v="37"/>
    <n v="187"/>
    <x v="443"/>
    <x v="0"/>
    <x v="0"/>
    <x v="0"/>
  </r>
  <r>
    <n v="763"/>
    <s v="Hauswald Simone"/>
    <x v="3"/>
    <x v="8"/>
    <x v="2"/>
    <x v="50"/>
    <n v="170"/>
    <x v="153"/>
    <x v="0"/>
    <x v="0"/>
    <x v="0"/>
  </r>
  <r>
    <n v="764"/>
    <s v="Hautamaeki Matti"/>
    <x v="7"/>
    <x v="10"/>
    <x v="8"/>
    <x v="33"/>
    <n v="177"/>
    <x v="164"/>
    <x v="0"/>
    <x v="0"/>
    <x v="0"/>
  </r>
  <r>
    <n v="766"/>
    <s v="Havlat Martin"/>
    <x v="6"/>
    <x v="26"/>
    <x v="8"/>
    <x v="3"/>
    <n v="184"/>
    <x v="444"/>
    <x v="0"/>
    <x v="0"/>
    <x v="0"/>
  </r>
  <r>
    <n v="767"/>
    <s v="Hay Cody"/>
    <x v="1"/>
    <x v="7"/>
    <x v="13"/>
    <x v="37"/>
    <n v="180"/>
    <x v="201"/>
    <x v="0"/>
    <x v="0"/>
    <x v="0"/>
  </r>
  <r>
    <n v="768"/>
    <s v="Hay Lachlan"/>
    <x v="13"/>
    <x v="15"/>
    <x v="0"/>
    <x v="19"/>
    <n v="178"/>
    <x v="323"/>
    <x v="0"/>
    <x v="0"/>
    <x v="0"/>
  </r>
  <r>
    <n v="769"/>
    <s v="Hayduk Yuriy"/>
    <x v="10"/>
    <x v="2"/>
    <x v="1"/>
    <x v="28"/>
    <n v="182"/>
    <x v="445"/>
    <x v="0"/>
    <x v="0"/>
    <x v="0"/>
  </r>
  <r>
    <n v="770"/>
    <s v="Hayer Stanley"/>
    <x v="2"/>
    <x v="7"/>
    <x v="10"/>
    <x v="40"/>
    <n v="193"/>
    <x v="446"/>
    <x v="1"/>
    <x v="0"/>
    <x v="2"/>
  </r>
  <r>
    <n v="771"/>
    <s v="Hayler Damon"/>
    <x v="8"/>
    <x v="15"/>
    <x v="21"/>
    <x v="18"/>
    <n v="184"/>
    <x v="425"/>
    <x v="0"/>
    <x v="0"/>
    <x v="2"/>
  </r>
  <r>
    <n v="772"/>
    <s v="Heatley Dany"/>
    <x v="6"/>
    <x v="7"/>
    <x v="19"/>
    <x v="46"/>
    <n v="191"/>
    <x v="234"/>
    <x v="0"/>
    <x v="0"/>
    <x v="0"/>
  </r>
  <r>
    <n v="773"/>
    <s v="Hebert Benjamin"/>
    <x v="11"/>
    <x v="7"/>
    <x v="13"/>
    <x v="4"/>
    <n v="180"/>
    <x v="4"/>
    <x v="0"/>
    <x v="0"/>
    <x v="0"/>
  </r>
  <r>
    <n v="774"/>
    <s v="Hecht Jochen"/>
    <x v="6"/>
    <x v="8"/>
    <x v="9"/>
    <x v="31"/>
    <n v="187"/>
    <x v="45"/>
    <x v="0"/>
    <x v="0"/>
    <x v="2"/>
  </r>
  <r>
    <n v="775"/>
    <s v="Hecken Sarah"/>
    <x v="1"/>
    <x v="8"/>
    <x v="6"/>
    <x v="4"/>
    <n v="170"/>
    <x v="447"/>
    <x v="0"/>
    <x v="0"/>
    <x v="1"/>
  </r>
  <r>
    <n v="776"/>
    <s v="Hedrick Chad"/>
    <x v="4"/>
    <x v="1"/>
    <x v="9"/>
    <x v="48"/>
    <n v="180"/>
    <x v="448"/>
    <x v="0"/>
    <x v="0"/>
    <x v="2"/>
  </r>
  <r>
    <n v="777"/>
    <s v="Heel Werner"/>
    <x v="0"/>
    <x v="19"/>
    <x v="5"/>
    <x v="1"/>
    <n v="184"/>
    <x v="27"/>
    <x v="0"/>
    <x v="0"/>
    <x v="0"/>
  </r>
  <r>
    <n v="778"/>
    <s v="Heer Ronny"/>
    <x v="12"/>
    <x v="9"/>
    <x v="19"/>
    <x v="13"/>
    <n v="176"/>
    <x v="338"/>
    <x v="0"/>
    <x v="0"/>
    <x v="0"/>
  </r>
  <r>
    <n v="779"/>
    <s v="Hefford Jayna"/>
    <x v="6"/>
    <x v="7"/>
    <x v="9"/>
    <x v="9"/>
    <n v="165"/>
    <x v="269"/>
    <x v="0"/>
    <x v="0"/>
    <x v="2"/>
  </r>
  <r>
    <n v="780"/>
    <s v="Hefti Beat"/>
    <x v="5"/>
    <x v="9"/>
    <x v="9"/>
    <x v="57"/>
    <n v="183"/>
    <x v="449"/>
    <x v="1"/>
    <x v="0"/>
    <x v="2"/>
  </r>
  <r>
    <n v="781"/>
    <s v="Heidum Bernadett"/>
    <x v="13"/>
    <x v="34"/>
    <x v="3"/>
    <x v="22"/>
    <n v="169"/>
    <x v="343"/>
    <x v="0"/>
    <x v="0"/>
    <x v="0"/>
  </r>
  <r>
    <n v="782"/>
    <s v="Heikkinen Matti"/>
    <x v="9"/>
    <x v="10"/>
    <x v="13"/>
    <x v="14"/>
    <n v="174"/>
    <x v="251"/>
    <x v="0"/>
    <x v="0"/>
    <x v="0"/>
  </r>
  <r>
    <n v="784"/>
    <s v="Heiss Stella"/>
    <x v="11"/>
    <x v="8"/>
    <x v="23"/>
    <x v="4"/>
    <n v="168"/>
    <x v="450"/>
    <x v="0"/>
    <x v="0"/>
    <x v="0"/>
  </r>
  <r>
    <n v="785"/>
    <s v="Hejda Jan"/>
    <x v="6"/>
    <x v="26"/>
    <x v="7"/>
    <x v="46"/>
    <n v="191"/>
    <x v="234"/>
    <x v="0"/>
    <x v="0"/>
    <x v="2"/>
  </r>
  <r>
    <n v="786"/>
    <s v="Helie Louis-Pierre"/>
    <x v="0"/>
    <x v="7"/>
    <x v="1"/>
    <x v="18"/>
    <n v="180"/>
    <x v="416"/>
    <x v="0"/>
    <x v="0"/>
    <x v="0"/>
  </r>
  <r>
    <n v="787"/>
    <s v="Helin Anne"/>
    <x v="6"/>
    <x v="10"/>
    <x v="0"/>
    <x v="2"/>
    <n v="170"/>
    <x v="250"/>
    <x v="0"/>
    <x v="0"/>
    <x v="0"/>
  </r>
  <r>
    <n v="788"/>
    <s v="Hellner Marcus"/>
    <x v="9"/>
    <x v="14"/>
    <x v="1"/>
    <x v="37"/>
    <n v="183"/>
    <x v="169"/>
    <x v="0"/>
    <x v="0"/>
    <x v="0"/>
  </r>
  <r>
    <n v="790"/>
    <s v="Herberg Daniel"/>
    <x v="11"/>
    <x v="8"/>
    <x v="18"/>
    <x v="4"/>
    <n v="179"/>
    <x v="401"/>
    <x v="0"/>
    <x v="0"/>
    <x v="2"/>
  </r>
  <r>
    <n v="791"/>
    <s v="Herbst Reinfried"/>
    <x v="0"/>
    <x v="32"/>
    <x v="7"/>
    <x v="4"/>
    <n v="181"/>
    <x v="451"/>
    <x v="0"/>
    <x v="0"/>
    <x v="2"/>
  </r>
  <r>
    <n v="792"/>
    <s v="Herichova Maria"/>
    <x v="6"/>
    <x v="24"/>
    <x v="12"/>
    <x v="6"/>
    <n v="174"/>
    <x v="151"/>
    <x v="0"/>
    <x v="0"/>
    <x v="0"/>
  </r>
  <r>
    <n v="793"/>
    <s v="Hernandez Regino"/>
    <x v="8"/>
    <x v="48"/>
    <x v="14"/>
    <x v="16"/>
    <n v="184"/>
    <x v="452"/>
    <x v="0"/>
    <x v="0"/>
    <x v="0"/>
  </r>
  <r>
    <n v="794"/>
    <s v="Herrmann Paul"/>
    <x v="13"/>
    <x v="8"/>
    <x v="1"/>
    <x v="26"/>
    <n v="173"/>
    <x v="361"/>
    <x v="0"/>
    <x v="0"/>
    <x v="0"/>
  </r>
  <r>
    <n v="796"/>
    <s v="Hettich Georg"/>
    <x v="12"/>
    <x v="8"/>
    <x v="7"/>
    <x v="6"/>
    <n v="180"/>
    <x v="266"/>
    <x v="0"/>
    <x v="0"/>
    <x v="2"/>
  </r>
  <r>
    <n v="797"/>
    <s v="Heung Tyson"/>
    <x v="13"/>
    <x v="8"/>
    <x v="2"/>
    <x v="48"/>
    <n v="178"/>
    <x v="309"/>
    <x v="0"/>
    <x v="0"/>
    <x v="0"/>
  </r>
  <r>
    <n v="798"/>
    <s v="Hickey Stephanie"/>
    <x v="8"/>
    <x v="15"/>
    <x v="1"/>
    <x v="0"/>
    <n v="165"/>
    <x v="453"/>
    <x v="0"/>
    <x v="0"/>
    <x v="0"/>
  </r>
  <r>
    <n v="801"/>
    <s v="Hilde Tom"/>
    <x v="7"/>
    <x v="17"/>
    <x v="4"/>
    <x v="4"/>
    <n v="179"/>
    <x v="401"/>
    <x v="0"/>
    <x v="0"/>
    <x v="0"/>
  </r>
  <r>
    <n v="802"/>
    <s v="Hiller Jonas"/>
    <x v="6"/>
    <x v="9"/>
    <x v="8"/>
    <x v="15"/>
    <n v="187"/>
    <x v="454"/>
    <x v="0"/>
    <x v="0"/>
    <x v="0"/>
  </r>
  <r>
    <n v="804"/>
    <s v="Hirako Hiroki"/>
    <x v="4"/>
    <x v="22"/>
    <x v="5"/>
    <x v="22"/>
    <n v="168"/>
    <x v="175"/>
    <x v="0"/>
    <x v="0"/>
    <x v="0"/>
  </r>
  <r>
    <n v="805"/>
    <s v="Hirscher Marcel"/>
    <x v="0"/>
    <x v="32"/>
    <x v="17"/>
    <x v="24"/>
    <n v="173"/>
    <x v="34"/>
    <x v="0"/>
    <x v="0"/>
    <x v="0"/>
  </r>
  <r>
    <n v="807"/>
    <s v="Hlava Lukas"/>
    <x v="7"/>
    <x v="26"/>
    <x v="16"/>
    <x v="22"/>
    <n v="181"/>
    <x v="455"/>
    <x v="0"/>
    <x v="0"/>
    <x v="0"/>
  </r>
  <r>
    <n v="808"/>
    <s v="Hoar Melissa"/>
    <x v="15"/>
    <x v="15"/>
    <x v="5"/>
    <x v="14"/>
    <n v="172"/>
    <x v="456"/>
    <x v="0"/>
    <x v="0"/>
    <x v="0"/>
  </r>
  <r>
    <n v="809"/>
    <s v="Hoehener Stefan"/>
    <x v="10"/>
    <x v="9"/>
    <x v="19"/>
    <x v="1"/>
    <n v="170"/>
    <x v="457"/>
    <x v="0"/>
    <x v="0"/>
    <x v="0"/>
  </r>
  <r>
    <n v="810"/>
    <s v="Hoehne Holger"/>
    <x v="11"/>
    <x v="8"/>
    <x v="24"/>
    <x v="4"/>
    <n v="180"/>
    <x v="4"/>
    <x v="0"/>
    <x v="0"/>
    <x v="2"/>
  </r>
  <r>
    <n v="813"/>
    <s v="Hoey Aoife"/>
    <x v="5"/>
    <x v="29"/>
    <x v="13"/>
    <x v="37"/>
    <n v="194"/>
    <x v="458"/>
    <x v="0"/>
    <x v="0"/>
    <x v="0"/>
  </r>
  <r>
    <n v="814"/>
    <s v="Hofer Beni"/>
    <x v="2"/>
    <x v="9"/>
    <x v="7"/>
    <x v="49"/>
    <n v="176"/>
    <x v="459"/>
    <x v="0"/>
    <x v="0"/>
    <x v="2"/>
  </r>
  <r>
    <n v="815"/>
    <s v="Hofer David"/>
    <x v="9"/>
    <x v="19"/>
    <x v="13"/>
    <x v="19"/>
    <n v="179"/>
    <x v="460"/>
    <x v="0"/>
    <x v="0"/>
    <x v="0"/>
  </r>
  <r>
    <n v="816"/>
    <s v="Hofer Lukas"/>
    <x v="3"/>
    <x v="19"/>
    <x v="17"/>
    <x v="26"/>
    <n v="175"/>
    <x v="461"/>
    <x v="0"/>
    <x v="0"/>
    <x v="0"/>
  </r>
  <r>
    <n v="817"/>
    <s v="Hoffmann Ambrosi"/>
    <x v="0"/>
    <x v="9"/>
    <x v="9"/>
    <x v="18"/>
    <n v="180"/>
    <x v="416"/>
    <x v="0"/>
    <x v="0"/>
    <x v="2"/>
  </r>
  <r>
    <n v="818"/>
    <s v="Hoffmann Nora"/>
    <x v="1"/>
    <x v="34"/>
    <x v="1"/>
    <x v="4"/>
    <n v="172"/>
    <x v="462"/>
    <x v="0"/>
    <x v="0"/>
    <x v="0"/>
  </r>
  <r>
    <n v="819"/>
    <s v="Hogberg Elisabeth"/>
    <x v="3"/>
    <x v="14"/>
    <x v="0"/>
    <x v="43"/>
    <n v="165"/>
    <x v="352"/>
    <x v="0"/>
    <x v="0"/>
    <x v="0"/>
  </r>
  <r>
    <n v="820"/>
    <s v="Hogiu Petrica"/>
    <x v="9"/>
    <x v="18"/>
    <x v="14"/>
    <x v="17"/>
    <n v="172"/>
    <x v="384"/>
    <x v="0"/>
    <x v="0"/>
    <x v="0"/>
  </r>
  <r>
    <n v="821"/>
    <s v="Holcomb Steven"/>
    <x v="5"/>
    <x v="1"/>
    <x v="19"/>
    <x v="40"/>
    <n v="178"/>
    <x v="463"/>
    <x v="1"/>
    <x v="0"/>
    <x v="0"/>
  </r>
  <r>
    <n v="822"/>
    <s v="Holland Nate"/>
    <x v="8"/>
    <x v="1"/>
    <x v="7"/>
    <x v="12"/>
    <n v="178"/>
    <x v="464"/>
    <x v="0"/>
    <x v="0"/>
    <x v="2"/>
  </r>
  <r>
    <n v="823"/>
    <s v="Hollenstein Michael"/>
    <x v="12"/>
    <x v="9"/>
    <x v="16"/>
    <x v="5"/>
    <n v="185"/>
    <x v="465"/>
    <x v="0"/>
    <x v="0"/>
    <x v="0"/>
  </r>
  <r>
    <n v="824"/>
    <s v="Hollingsworth Mellisa"/>
    <x v="15"/>
    <x v="7"/>
    <x v="19"/>
    <x v="21"/>
    <n v="167"/>
    <x v="154"/>
    <x v="0"/>
    <x v="0"/>
    <x v="0"/>
  </r>
  <r>
    <n v="825"/>
    <s v="Holmlov Elin"/>
    <x v="6"/>
    <x v="14"/>
    <x v="4"/>
    <x v="6"/>
    <n v="173"/>
    <x v="94"/>
    <x v="0"/>
    <x v="0"/>
    <x v="0"/>
  </r>
  <r>
    <n v="826"/>
    <s v="Holmlund Anna"/>
    <x v="2"/>
    <x v="14"/>
    <x v="4"/>
    <x v="37"/>
    <n v="184"/>
    <x v="97"/>
    <x v="0"/>
    <x v="0"/>
    <x v="0"/>
  </r>
  <r>
    <n v="827"/>
    <s v="Holmstrom Tomas"/>
    <x v="6"/>
    <x v="14"/>
    <x v="11"/>
    <x v="32"/>
    <n v="183"/>
    <x v="50"/>
    <x v="0"/>
    <x v="0"/>
    <x v="2"/>
  </r>
  <r>
    <n v="828"/>
    <s v="Holos Jonas"/>
    <x v="6"/>
    <x v="17"/>
    <x v="4"/>
    <x v="18"/>
    <n v="180"/>
    <x v="416"/>
    <x v="0"/>
    <x v="0"/>
    <x v="0"/>
  </r>
  <r>
    <n v="829"/>
    <s v="Holst Erika"/>
    <x v="6"/>
    <x v="14"/>
    <x v="2"/>
    <x v="3"/>
    <n v="179"/>
    <x v="466"/>
    <x v="0"/>
    <x v="0"/>
    <x v="0"/>
  </r>
  <r>
    <n v="830"/>
    <s v="Holtet Marius"/>
    <x v="6"/>
    <x v="17"/>
    <x v="16"/>
    <x v="51"/>
    <n v="186"/>
    <x v="381"/>
    <x v="0"/>
    <x v="0"/>
    <x v="0"/>
  </r>
  <r>
    <n v="832"/>
    <s v="Holzer Korbinian"/>
    <x v="6"/>
    <x v="8"/>
    <x v="3"/>
    <x v="32"/>
    <n v="191"/>
    <x v="467"/>
    <x v="0"/>
    <x v="0"/>
    <x v="0"/>
  </r>
  <r>
    <n v="833"/>
    <s v="Hoppe Rene"/>
    <x v="5"/>
    <x v="8"/>
    <x v="21"/>
    <x v="7"/>
    <n v="185"/>
    <x v="278"/>
    <x v="0"/>
    <x v="0"/>
    <x v="2"/>
  </r>
  <r>
    <n v="834"/>
    <s v="Hornqvist Patric"/>
    <x v="6"/>
    <x v="14"/>
    <x v="0"/>
    <x v="20"/>
    <n v="180"/>
    <x v="468"/>
    <x v="0"/>
    <x v="0"/>
    <x v="0"/>
  </r>
  <r>
    <n v="835"/>
    <s v="Horoshilov Alexandr"/>
    <x v="0"/>
    <x v="5"/>
    <x v="16"/>
    <x v="23"/>
    <n v="180"/>
    <x v="214"/>
    <x v="0"/>
    <x v="0"/>
    <x v="0"/>
  </r>
  <r>
    <n v="836"/>
    <s v="Hospelt Kai"/>
    <x v="6"/>
    <x v="8"/>
    <x v="1"/>
    <x v="1"/>
    <n v="185"/>
    <x v="469"/>
    <x v="0"/>
    <x v="0"/>
    <x v="0"/>
  </r>
  <r>
    <n v="837"/>
    <s v="Hossa Marcel"/>
    <x v="6"/>
    <x v="24"/>
    <x v="8"/>
    <x v="40"/>
    <n v="187"/>
    <x v="470"/>
    <x v="1"/>
    <x v="0"/>
    <x v="0"/>
  </r>
  <r>
    <n v="838"/>
    <s v="Hossa Marian"/>
    <x v="6"/>
    <x v="24"/>
    <x v="7"/>
    <x v="18"/>
    <n v="185"/>
    <x v="160"/>
    <x v="0"/>
    <x v="0"/>
    <x v="2"/>
  </r>
  <r>
    <n v="839"/>
    <s v="Hovi Venla"/>
    <x v="6"/>
    <x v="10"/>
    <x v="4"/>
    <x v="14"/>
    <n v="169"/>
    <x v="471"/>
    <x v="0"/>
    <x v="0"/>
    <x v="0"/>
  </r>
  <r>
    <n v="841"/>
    <s v="Huang Haijing"/>
    <x v="6"/>
    <x v="44"/>
    <x v="3"/>
    <x v="16"/>
    <n v="172"/>
    <x v="106"/>
    <x v="0"/>
    <x v="0"/>
    <x v="0"/>
  </r>
  <r>
    <n v="842"/>
    <s v="Huang Xintong"/>
    <x v="1"/>
    <x v="44"/>
    <x v="0"/>
    <x v="48"/>
    <n v="165"/>
    <x v="472"/>
    <x v="0"/>
    <x v="0"/>
    <x v="0"/>
  </r>
  <r>
    <n v="843"/>
    <s v="Huber Anja"/>
    <x v="15"/>
    <x v="8"/>
    <x v="13"/>
    <x v="22"/>
    <n v="171"/>
    <x v="473"/>
    <x v="0"/>
    <x v="0"/>
    <x v="0"/>
  </r>
  <r>
    <n v="844"/>
    <s v="Hudec Jan"/>
    <x v="0"/>
    <x v="7"/>
    <x v="8"/>
    <x v="18"/>
    <n v="183"/>
    <x v="400"/>
    <x v="0"/>
    <x v="0"/>
    <x v="0"/>
  </r>
  <r>
    <n v="845"/>
    <s v="Huefner Tatjana"/>
    <x v="10"/>
    <x v="8"/>
    <x v="13"/>
    <x v="35"/>
    <n v="178"/>
    <x v="174"/>
    <x v="0"/>
    <x v="0"/>
    <x v="0"/>
  </r>
  <r>
    <n v="846"/>
    <s v="Hug Tim"/>
    <x v="12"/>
    <x v="9"/>
    <x v="4"/>
    <x v="17"/>
    <n v="186"/>
    <x v="474"/>
    <x v="0"/>
    <x v="0"/>
    <x v="0"/>
  </r>
  <r>
    <n v="847"/>
    <s v="Hughes Clara"/>
    <x v="4"/>
    <x v="7"/>
    <x v="11"/>
    <x v="19"/>
    <n v="176"/>
    <x v="44"/>
    <x v="0"/>
    <x v="0"/>
    <x v="2"/>
  </r>
  <r>
    <n v="849"/>
    <s v="Hula Stefan"/>
    <x v="7"/>
    <x v="25"/>
    <x v="0"/>
    <x v="44"/>
    <n v="174"/>
    <x v="475"/>
    <x v="0"/>
    <x v="0"/>
    <x v="0"/>
  </r>
  <r>
    <n v="850"/>
    <s v="Humphries Kaillie"/>
    <x v="5"/>
    <x v="7"/>
    <x v="1"/>
    <x v="35"/>
    <n v="170"/>
    <x v="476"/>
    <x v="0"/>
    <x v="0"/>
    <x v="0"/>
  </r>
  <r>
    <n v="852"/>
    <s v="Hurajt Pavol"/>
    <x v="3"/>
    <x v="24"/>
    <x v="9"/>
    <x v="2"/>
    <n v="172"/>
    <x v="394"/>
    <x v="0"/>
    <x v="0"/>
    <x v="2"/>
  </r>
  <r>
    <n v="853"/>
    <s v="Hurschler Seppi"/>
    <x v="12"/>
    <x v="9"/>
    <x v="13"/>
    <x v="6"/>
    <n v="180"/>
    <x v="266"/>
    <x v="0"/>
    <x v="0"/>
    <x v="0"/>
  </r>
  <r>
    <n v="854"/>
    <s v="Huskova Hanna"/>
    <x v="2"/>
    <x v="4"/>
    <x v="23"/>
    <x v="50"/>
    <n v="165"/>
    <x v="284"/>
    <x v="0"/>
    <x v="0"/>
    <x v="0"/>
  </r>
  <r>
    <n v="857"/>
    <s v="Hyman Jakub"/>
    <x v="10"/>
    <x v="26"/>
    <x v="16"/>
    <x v="23"/>
    <n v="180"/>
    <x v="214"/>
    <x v="0"/>
    <x v="0"/>
    <x v="0"/>
  </r>
  <r>
    <n v="858"/>
    <s v="Hyman Ondrej"/>
    <x v="10"/>
    <x v="26"/>
    <x v="0"/>
    <x v="3"/>
    <n v="189"/>
    <x v="477"/>
    <x v="0"/>
    <x v="0"/>
    <x v="0"/>
  </r>
  <r>
    <n v="859"/>
    <s v="Icoski Gjorgji"/>
    <x v="9"/>
    <x v="45"/>
    <x v="16"/>
    <x v="6"/>
    <n v="175"/>
    <x v="179"/>
    <x v="0"/>
    <x v="0"/>
    <x v="0"/>
  </r>
  <r>
    <n v="860"/>
    <s v="Ifrim Paul"/>
    <x v="10"/>
    <x v="18"/>
    <x v="3"/>
    <x v="18"/>
    <n v="192"/>
    <x v="122"/>
    <x v="0"/>
    <x v="0"/>
    <x v="0"/>
  </r>
  <r>
    <n v="861"/>
    <s v="Iginla Jarome"/>
    <x v="6"/>
    <x v="7"/>
    <x v="9"/>
    <x v="39"/>
    <n v="186"/>
    <x v="261"/>
    <x v="0"/>
    <x v="0"/>
    <x v="2"/>
  </r>
  <r>
    <n v="862"/>
    <s v="Ignjatovic Nevena"/>
    <x v="0"/>
    <x v="51"/>
    <x v="12"/>
    <x v="24"/>
    <n v="176"/>
    <x v="239"/>
    <x v="0"/>
    <x v="0"/>
    <x v="0"/>
  </r>
  <r>
    <n v="863"/>
    <s v="Ihle Nico"/>
    <x v="4"/>
    <x v="8"/>
    <x v="1"/>
    <x v="12"/>
    <n v="187"/>
    <x v="478"/>
    <x v="0"/>
    <x v="0"/>
    <x v="0"/>
  </r>
  <r>
    <n v="864"/>
    <s v="Iliev Peter"/>
    <x v="10"/>
    <x v="13"/>
    <x v="16"/>
    <x v="15"/>
    <n v="185"/>
    <x v="364"/>
    <x v="0"/>
    <x v="0"/>
    <x v="0"/>
  </r>
  <r>
    <n v="865"/>
    <s v="Iliev Vladimir"/>
    <x v="3"/>
    <x v="13"/>
    <x v="4"/>
    <x v="24"/>
    <n v="183"/>
    <x v="479"/>
    <x v="0"/>
    <x v="0"/>
    <x v="0"/>
  </r>
  <r>
    <n v="866"/>
    <s v="Iljans Eric"/>
    <x v="2"/>
    <x v="14"/>
    <x v="22"/>
    <x v="41"/>
    <n v="176"/>
    <x v="480"/>
    <x v="0"/>
    <x v="0"/>
    <x v="2"/>
  </r>
  <r>
    <n v="867"/>
    <s v="Iljans Magdalena"/>
    <x v="2"/>
    <x v="14"/>
    <x v="22"/>
    <x v="17"/>
    <n v="171"/>
    <x v="402"/>
    <x v="0"/>
    <x v="0"/>
    <x v="2"/>
  </r>
  <r>
    <n v="869"/>
    <s v="Imboden Urs"/>
    <x v="0"/>
    <x v="27"/>
    <x v="18"/>
    <x v="47"/>
    <n v="182"/>
    <x v="427"/>
    <x v="0"/>
    <x v="0"/>
    <x v="2"/>
  </r>
  <r>
    <n v="870"/>
    <s v="Immonen Jarkko"/>
    <x v="6"/>
    <x v="10"/>
    <x v="5"/>
    <x v="7"/>
    <n v="183"/>
    <x v="481"/>
    <x v="0"/>
    <x v="0"/>
    <x v="0"/>
  </r>
  <r>
    <n v="871"/>
    <s v="Imrie Megan"/>
    <x v="3"/>
    <x v="7"/>
    <x v="1"/>
    <x v="50"/>
    <n v="167"/>
    <x v="217"/>
    <x v="0"/>
    <x v="0"/>
    <x v="0"/>
  </r>
  <r>
    <n v="872"/>
    <s v="Ingemarsdotter Ida"/>
    <x v="9"/>
    <x v="14"/>
    <x v="1"/>
    <x v="2"/>
    <n v="174"/>
    <x v="482"/>
    <x v="0"/>
    <x v="0"/>
    <x v="0"/>
  </r>
  <r>
    <n v="873"/>
    <s v="Innerhofer Christof"/>
    <x v="0"/>
    <x v="19"/>
    <x v="16"/>
    <x v="51"/>
    <n v="186"/>
    <x v="381"/>
    <x v="0"/>
    <x v="0"/>
    <x v="0"/>
  </r>
  <r>
    <n v="874"/>
    <s v="Ioriatti Ermanno"/>
    <x v="4"/>
    <x v="19"/>
    <x v="15"/>
    <x v="23"/>
    <n v="185"/>
    <x v="483"/>
    <x v="0"/>
    <x v="0"/>
    <x v="2"/>
  </r>
  <r>
    <n v="875"/>
    <s v="Ipatov Dimitry"/>
    <x v="7"/>
    <x v="5"/>
    <x v="16"/>
    <x v="8"/>
    <n v="177"/>
    <x v="484"/>
    <x v="0"/>
    <x v="0"/>
    <x v="0"/>
  </r>
  <r>
    <n v="876"/>
    <s v="Ireland Mike"/>
    <x v="4"/>
    <x v="7"/>
    <x v="10"/>
    <x v="28"/>
    <n v="181"/>
    <x v="485"/>
    <x v="0"/>
    <x v="0"/>
    <x v="2"/>
  </r>
  <r>
    <n v="877"/>
    <s v="Irwin Haley"/>
    <x v="6"/>
    <x v="7"/>
    <x v="3"/>
    <x v="48"/>
    <n v="170"/>
    <x v="486"/>
    <x v="0"/>
    <x v="0"/>
    <x v="0"/>
  </r>
  <r>
    <n v="878"/>
    <s v="Isa Hidenori"/>
    <x v="3"/>
    <x v="22"/>
    <x v="21"/>
    <x v="2"/>
    <n v="170"/>
    <x v="250"/>
    <x v="0"/>
    <x v="0"/>
    <x v="2"/>
  </r>
  <r>
    <n v="879"/>
    <s v="Isaacson Jeff"/>
    <x v="11"/>
    <x v="1"/>
    <x v="13"/>
    <x v="48"/>
    <n v="173"/>
    <x v="194"/>
    <x v="0"/>
    <x v="0"/>
    <x v="0"/>
  </r>
  <r>
    <n v="880"/>
    <s v="Iselin Marc"/>
    <x v="8"/>
    <x v="9"/>
    <x v="19"/>
    <x v="49"/>
    <n v="177"/>
    <x v="487"/>
    <x v="0"/>
    <x v="0"/>
    <x v="0"/>
  </r>
  <r>
    <n v="882"/>
    <s v="Ishizaki Kotomi"/>
    <x v="11"/>
    <x v="22"/>
    <x v="7"/>
    <x v="48"/>
    <n v="166"/>
    <x v="488"/>
    <x v="0"/>
    <x v="0"/>
    <x v="2"/>
  </r>
  <r>
    <n v="883"/>
    <s v="Ishizawa Shiho"/>
    <x v="4"/>
    <x v="22"/>
    <x v="0"/>
    <x v="26"/>
    <n v="167"/>
    <x v="489"/>
    <x v="0"/>
    <x v="0"/>
    <x v="0"/>
  </r>
  <r>
    <n v="884"/>
    <s v="Isoz Andreas"/>
    <x v="2"/>
    <x v="9"/>
    <x v="16"/>
    <x v="37"/>
    <n v="178"/>
    <x v="296"/>
    <x v="0"/>
    <x v="0"/>
    <x v="0"/>
  </r>
  <r>
    <n v="885"/>
    <s v="Istrate Nicolae"/>
    <x v="5"/>
    <x v="18"/>
    <x v="5"/>
    <x v="12"/>
    <n v="184"/>
    <x v="64"/>
    <x v="0"/>
    <x v="0"/>
    <x v="0"/>
  </r>
  <r>
    <n v="887"/>
    <s v="Ito Daiki"/>
    <x v="7"/>
    <x v="22"/>
    <x v="1"/>
    <x v="50"/>
    <n v="172"/>
    <x v="206"/>
    <x v="0"/>
    <x v="0"/>
    <x v="0"/>
  </r>
  <r>
    <n v="889"/>
    <s v="Ivanou Aliaksei"/>
    <x v="9"/>
    <x v="4"/>
    <x v="19"/>
    <x v="25"/>
    <n v="173"/>
    <x v="490"/>
    <x v="0"/>
    <x v="0"/>
    <x v="0"/>
  </r>
  <r>
    <n v="890"/>
    <s v="Ivanova Tatiana"/>
    <x v="10"/>
    <x v="5"/>
    <x v="14"/>
    <x v="14"/>
    <n v="174"/>
    <x v="251"/>
    <x v="0"/>
    <x v="0"/>
    <x v="0"/>
  </r>
  <r>
    <n v="891"/>
    <s v="Iveson Tom"/>
    <x v="13"/>
    <x v="11"/>
    <x v="13"/>
    <x v="24"/>
    <n v="174"/>
    <x v="491"/>
    <x v="0"/>
    <x v="0"/>
    <x v="0"/>
  </r>
  <r>
    <n v="892"/>
    <s v="Jackson John James"/>
    <x v="5"/>
    <x v="11"/>
    <x v="9"/>
    <x v="40"/>
    <n v="183"/>
    <x v="157"/>
    <x v="1"/>
    <x v="0"/>
    <x v="2"/>
  </r>
  <r>
    <n v="893"/>
    <s v="Jackson Lee-Steve"/>
    <x v="3"/>
    <x v="11"/>
    <x v="19"/>
    <x v="19"/>
    <n v="172"/>
    <x v="492"/>
    <x v="0"/>
    <x v="0"/>
    <x v="0"/>
  </r>
  <r>
    <n v="894"/>
    <s v="Jacobellis Lindsey"/>
    <x v="8"/>
    <x v="1"/>
    <x v="1"/>
    <x v="13"/>
    <n v="168"/>
    <x v="13"/>
    <x v="0"/>
    <x v="0"/>
    <x v="0"/>
  </r>
  <r>
    <n v="895"/>
    <s v="Jacobsen Anders"/>
    <x v="7"/>
    <x v="17"/>
    <x v="1"/>
    <x v="48"/>
    <n v="174"/>
    <x v="493"/>
    <x v="0"/>
    <x v="0"/>
    <x v="0"/>
  </r>
  <r>
    <n v="897"/>
    <s v="Jacquemod Ingrid"/>
    <x v="0"/>
    <x v="16"/>
    <x v="7"/>
    <x v="25"/>
    <n v="176"/>
    <x v="259"/>
    <x v="0"/>
    <x v="0"/>
    <x v="2"/>
  </r>
  <r>
    <n v="898"/>
    <s v="Jaerbyn Patrik"/>
    <x v="0"/>
    <x v="14"/>
    <x v="22"/>
    <x v="15"/>
    <n v="181"/>
    <x v="159"/>
    <x v="0"/>
    <x v="0"/>
    <x v="2"/>
  </r>
  <r>
    <n v="899"/>
    <s v="Jagnesak Milan"/>
    <x v="5"/>
    <x v="24"/>
    <x v="22"/>
    <x v="57"/>
    <n v="179"/>
    <x v="494"/>
    <x v="1"/>
    <x v="0"/>
    <x v="2"/>
  </r>
  <r>
    <n v="900"/>
    <s v="Jagr Jaromir"/>
    <x v="6"/>
    <x v="26"/>
    <x v="11"/>
    <x v="45"/>
    <n v="189"/>
    <x v="495"/>
    <x v="1"/>
    <x v="0"/>
    <x v="2"/>
  </r>
  <r>
    <n v="901"/>
    <s v="Jakimchuk Vita"/>
    <x v="9"/>
    <x v="2"/>
    <x v="19"/>
    <x v="54"/>
    <n v="168"/>
    <x v="496"/>
    <x v="0"/>
    <x v="0"/>
    <x v="0"/>
  </r>
  <r>
    <n v="902"/>
    <s v="Jakobsen Tommy"/>
    <x v="6"/>
    <x v="17"/>
    <x v="24"/>
    <x v="1"/>
    <n v="173"/>
    <x v="497"/>
    <x v="0"/>
    <x v="0"/>
    <x v="2"/>
  </r>
  <r>
    <n v="903"/>
    <s v="Jaks Martin"/>
    <x v="9"/>
    <x v="26"/>
    <x v="0"/>
    <x v="37"/>
    <n v="185"/>
    <x v="370"/>
    <x v="0"/>
    <x v="0"/>
    <x v="0"/>
  </r>
  <r>
    <n v="904"/>
    <s v="James Scott"/>
    <x v="8"/>
    <x v="15"/>
    <x v="29"/>
    <x v="30"/>
    <n v="173"/>
    <x v="498"/>
    <x v="0"/>
    <x v="0"/>
    <x v="1"/>
  </r>
  <r>
    <n v="906"/>
    <s v="Janda Jakub"/>
    <x v="7"/>
    <x v="26"/>
    <x v="7"/>
    <x v="8"/>
    <n v="179"/>
    <x v="499"/>
    <x v="0"/>
    <x v="0"/>
    <x v="2"/>
  </r>
  <r>
    <n v="908"/>
    <s v="Janka Carlo"/>
    <x v="0"/>
    <x v="9"/>
    <x v="0"/>
    <x v="36"/>
    <n v="185"/>
    <x v="500"/>
    <x v="0"/>
    <x v="0"/>
    <x v="0"/>
  </r>
  <r>
    <n v="909"/>
    <s v="Jansma Sybren"/>
    <x v="5"/>
    <x v="33"/>
    <x v="8"/>
    <x v="55"/>
    <n v="199"/>
    <x v="501"/>
    <x v="1"/>
    <x v="0"/>
    <x v="0"/>
  </r>
  <r>
    <n v="910"/>
    <s v="Jansrud Kjetil"/>
    <x v="0"/>
    <x v="17"/>
    <x v="1"/>
    <x v="48"/>
    <n v="189"/>
    <x v="502"/>
    <x v="0"/>
    <x v="0"/>
    <x v="0"/>
  </r>
  <r>
    <n v="911"/>
    <s v="Janyk Britt"/>
    <x v="0"/>
    <x v="7"/>
    <x v="19"/>
    <x v="33"/>
    <n v="168"/>
    <x v="503"/>
    <x v="0"/>
    <x v="0"/>
    <x v="0"/>
  </r>
  <r>
    <n v="912"/>
    <s v="Janyk Michael"/>
    <x v="0"/>
    <x v="7"/>
    <x v="5"/>
    <x v="12"/>
    <n v="183"/>
    <x v="12"/>
    <x v="0"/>
    <x v="0"/>
    <x v="0"/>
  </r>
  <r>
    <n v="913"/>
    <s v="Japaridze Otar"/>
    <x v="1"/>
    <x v="3"/>
    <x v="4"/>
    <x v="48"/>
    <n v="184"/>
    <x v="504"/>
    <x v="0"/>
    <x v="0"/>
    <x v="0"/>
  </r>
  <r>
    <n v="914"/>
    <s v="Jardi Andrea"/>
    <x v="0"/>
    <x v="48"/>
    <x v="12"/>
    <x v="50"/>
    <n v="168"/>
    <x v="301"/>
    <x v="0"/>
    <x v="0"/>
    <x v="0"/>
  </r>
  <r>
    <n v="917"/>
    <s v="Jauhojaervi Sami"/>
    <x v="9"/>
    <x v="10"/>
    <x v="8"/>
    <x v="25"/>
    <n v="174"/>
    <x v="419"/>
    <x v="0"/>
    <x v="0"/>
    <x v="0"/>
  </r>
  <r>
    <n v="918"/>
    <s v="Jaworski Jakub"/>
    <x v="13"/>
    <x v="25"/>
    <x v="0"/>
    <x v="25"/>
    <n v="177"/>
    <x v="505"/>
    <x v="0"/>
    <x v="0"/>
    <x v="0"/>
  </r>
  <r>
    <n v="919"/>
    <s v="Jay Vincent"/>
    <x v="3"/>
    <x v="16"/>
    <x v="1"/>
    <x v="17"/>
    <n v="180"/>
    <x v="161"/>
    <x v="0"/>
    <x v="0"/>
    <x v="0"/>
  </r>
  <r>
    <n v="920"/>
    <s v="Jayner Travis"/>
    <x v="13"/>
    <x v="1"/>
    <x v="5"/>
    <x v="37"/>
    <n v="185"/>
    <x v="370"/>
    <x v="0"/>
    <x v="0"/>
    <x v="0"/>
  </r>
  <r>
    <n v="921"/>
    <s v="Jazbec Janez"/>
    <x v="0"/>
    <x v="31"/>
    <x v="16"/>
    <x v="49"/>
    <n v="181"/>
    <x v="403"/>
    <x v="0"/>
    <x v="0"/>
    <x v="0"/>
  </r>
  <r>
    <n v="922"/>
    <s v="Jean Olivier"/>
    <x v="13"/>
    <x v="7"/>
    <x v="16"/>
    <x v="4"/>
    <n v="189"/>
    <x v="503"/>
    <x v="0"/>
    <x v="0"/>
    <x v="0"/>
  </r>
  <r>
    <n v="923"/>
    <s v="Jeannin Sandy"/>
    <x v="6"/>
    <x v="9"/>
    <x v="21"/>
    <x v="49"/>
    <n v="180"/>
    <x v="149"/>
    <x v="0"/>
    <x v="0"/>
    <x v="2"/>
  </r>
  <r>
    <n v="924"/>
    <s v="Jekova Alexandra"/>
    <x v="8"/>
    <x v="13"/>
    <x v="4"/>
    <x v="8"/>
    <n v="167"/>
    <x v="80"/>
    <x v="0"/>
    <x v="0"/>
    <x v="0"/>
  </r>
  <r>
    <n v="925"/>
    <s v="Jelusic Ana"/>
    <x v="0"/>
    <x v="39"/>
    <x v="0"/>
    <x v="8"/>
    <n v="166"/>
    <x v="47"/>
    <x v="0"/>
    <x v="0"/>
    <x v="0"/>
  </r>
  <r>
    <n v="926"/>
    <s v="Jensen Angelina"/>
    <x v="11"/>
    <x v="12"/>
    <x v="10"/>
    <x v="0"/>
    <n v="169"/>
    <x v="506"/>
    <x v="0"/>
    <x v="0"/>
    <x v="2"/>
  </r>
  <r>
    <n v="927"/>
    <s v="Jensen Bo"/>
    <x v="11"/>
    <x v="12"/>
    <x v="15"/>
    <x v="0"/>
    <n v="175"/>
    <x v="507"/>
    <x v="0"/>
    <x v="0"/>
    <x v="2"/>
  </r>
  <r>
    <n v="928"/>
    <s v="Jensen Camilla"/>
    <x v="11"/>
    <x v="12"/>
    <x v="5"/>
    <x v="0"/>
    <n v="184"/>
    <x v="508"/>
    <x v="0"/>
    <x v="0"/>
    <x v="0"/>
  </r>
  <r>
    <n v="929"/>
    <s v="Jerman Andrej"/>
    <x v="0"/>
    <x v="31"/>
    <x v="7"/>
    <x v="18"/>
    <n v="186"/>
    <x v="509"/>
    <x v="0"/>
    <x v="0"/>
    <x v="2"/>
  </r>
  <r>
    <n v="930"/>
    <s v="Jewell Tyler"/>
    <x v="8"/>
    <x v="1"/>
    <x v="9"/>
    <x v="12"/>
    <n v="175"/>
    <x v="510"/>
    <x v="0"/>
    <x v="0"/>
    <x v="2"/>
  </r>
  <r>
    <n v="931"/>
    <s v="Jewett Gordon"/>
    <x v="9"/>
    <x v="7"/>
    <x v="9"/>
    <x v="16"/>
    <n v="181"/>
    <x v="18"/>
    <x v="0"/>
    <x v="0"/>
    <x v="2"/>
  </r>
  <r>
    <n v="934"/>
    <s v="Jia Zongyang"/>
    <x v="2"/>
    <x v="44"/>
    <x v="14"/>
    <x v="6"/>
    <n v="174"/>
    <x v="151"/>
    <x v="0"/>
    <x v="0"/>
    <x v="0"/>
  </r>
  <r>
    <n v="935"/>
    <s v="Jiang Na"/>
    <x v="6"/>
    <x v="44"/>
    <x v="3"/>
    <x v="37"/>
    <n v="174"/>
    <x v="200"/>
    <x v="0"/>
    <x v="0"/>
    <x v="0"/>
  </r>
  <r>
    <n v="936"/>
    <s v="Jin Fengling"/>
    <x v="6"/>
    <x v="44"/>
    <x v="5"/>
    <x v="50"/>
    <n v="166"/>
    <x v="228"/>
    <x v="0"/>
    <x v="0"/>
    <x v="0"/>
  </r>
  <r>
    <n v="937"/>
    <s v="Jin Peiyu"/>
    <x v="4"/>
    <x v="44"/>
    <x v="1"/>
    <x v="2"/>
    <n v="175"/>
    <x v="237"/>
    <x v="0"/>
    <x v="0"/>
    <x v="0"/>
  </r>
  <r>
    <n v="938"/>
    <s v="Jira Lubos"/>
    <x v="10"/>
    <x v="26"/>
    <x v="12"/>
    <x v="20"/>
    <n v="190"/>
    <x v="511"/>
    <x v="0"/>
    <x v="0"/>
    <x v="0"/>
  </r>
  <r>
    <n v="939"/>
    <s v="Jitloff Tim"/>
    <x v="0"/>
    <x v="1"/>
    <x v="16"/>
    <x v="12"/>
    <n v="180"/>
    <x v="136"/>
    <x v="0"/>
    <x v="0"/>
    <x v="0"/>
  </r>
  <r>
    <n v="940"/>
    <s v="Jodko Maciej"/>
    <x v="8"/>
    <x v="25"/>
    <x v="5"/>
    <x v="23"/>
    <n v="177"/>
    <x v="417"/>
    <x v="0"/>
    <x v="0"/>
    <x v="0"/>
  </r>
  <r>
    <n v="941"/>
    <s v="Joensson Emil"/>
    <x v="9"/>
    <x v="14"/>
    <x v="1"/>
    <x v="28"/>
    <n v="178"/>
    <x v="512"/>
    <x v="0"/>
    <x v="0"/>
    <x v="0"/>
  </r>
  <r>
    <n v="942"/>
    <s v="Joerg Selina"/>
    <x v="8"/>
    <x v="8"/>
    <x v="4"/>
    <x v="9"/>
    <n v="173"/>
    <x v="513"/>
    <x v="0"/>
    <x v="0"/>
    <x v="0"/>
  </r>
  <r>
    <n v="943"/>
    <s v="Johansson Magnus"/>
    <x v="6"/>
    <x v="14"/>
    <x v="10"/>
    <x v="3"/>
    <n v="178"/>
    <x v="315"/>
    <x v="0"/>
    <x v="0"/>
    <x v="2"/>
  </r>
  <r>
    <n v="944"/>
    <s v="Johansson Norgren Britta"/>
    <x v="9"/>
    <x v="14"/>
    <x v="13"/>
    <x v="26"/>
    <n v="170"/>
    <x v="288"/>
    <x v="0"/>
    <x v="0"/>
    <x v="0"/>
  </r>
  <r>
    <n v="945"/>
    <s v="Johaug Therese"/>
    <x v="9"/>
    <x v="17"/>
    <x v="3"/>
    <x v="0"/>
    <n v="189"/>
    <x v="514"/>
    <x v="0"/>
    <x v="0"/>
    <x v="0"/>
  </r>
  <r>
    <n v="946"/>
    <s v="Johnson Anders"/>
    <x v="7"/>
    <x v="1"/>
    <x v="17"/>
    <x v="24"/>
    <n v="189"/>
    <x v="515"/>
    <x v="0"/>
    <x v="0"/>
    <x v="0"/>
  </r>
  <r>
    <n v="947"/>
    <s v="Johnson Erik"/>
    <x v="6"/>
    <x v="1"/>
    <x v="3"/>
    <x v="27"/>
    <n v="193"/>
    <x v="32"/>
    <x v="1"/>
    <x v="0"/>
    <x v="0"/>
  </r>
  <r>
    <n v="948"/>
    <s v="Johnson Haley"/>
    <x v="3"/>
    <x v="1"/>
    <x v="8"/>
    <x v="14"/>
    <n v="165"/>
    <x v="316"/>
    <x v="0"/>
    <x v="0"/>
    <x v="0"/>
  </r>
  <r>
    <n v="949"/>
    <s v="Johnson Jack"/>
    <x v="6"/>
    <x v="1"/>
    <x v="0"/>
    <x v="29"/>
    <n v="183"/>
    <x v="516"/>
    <x v="0"/>
    <x v="0"/>
    <x v="0"/>
  </r>
  <r>
    <n v="950"/>
    <s v="Johnsrud Sundby Martin"/>
    <x v="9"/>
    <x v="17"/>
    <x v="16"/>
    <x v="0"/>
    <n v="189"/>
    <x v="514"/>
    <x v="0"/>
    <x v="0"/>
    <x v="0"/>
  </r>
  <r>
    <n v="951"/>
    <s v="Johnston Rebecca"/>
    <x v="6"/>
    <x v="7"/>
    <x v="17"/>
    <x v="14"/>
    <n v="170"/>
    <x v="16"/>
    <x v="0"/>
    <x v="0"/>
    <x v="0"/>
  </r>
  <r>
    <n v="952"/>
    <s v="Jokinen Olli"/>
    <x v="6"/>
    <x v="10"/>
    <x v="7"/>
    <x v="31"/>
    <n v="188"/>
    <x v="517"/>
    <x v="0"/>
    <x v="0"/>
    <x v="2"/>
  </r>
  <r>
    <n v="953"/>
    <s v="Jones Perianne"/>
    <x v="9"/>
    <x v="7"/>
    <x v="1"/>
    <x v="0"/>
    <n v="167"/>
    <x v="518"/>
    <x v="0"/>
    <x v="0"/>
    <x v="0"/>
  </r>
  <r>
    <n v="954"/>
    <s v="Jonnier Emmanuel"/>
    <x v="9"/>
    <x v="16"/>
    <x v="15"/>
    <x v="6"/>
    <n v="175"/>
    <x v="179"/>
    <x v="0"/>
    <x v="0"/>
    <x v="2"/>
  </r>
  <r>
    <n v="955"/>
    <s v="Jonsson Helena"/>
    <x v="3"/>
    <x v="14"/>
    <x v="16"/>
    <x v="43"/>
    <n v="172"/>
    <x v="519"/>
    <x v="0"/>
    <x v="0"/>
    <x v="0"/>
  </r>
  <r>
    <n v="956"/>
    <s v="Jonsson Magnus"/>
    <x v="3"/>
    <x v="14"/>
    <x v="5"/>
    <x v="17"/>
    <n v="178"/>
    <x v="124"/>
    <x v="0"/>
    <x v="0"/>
    <x v="0"/>
  </r>
  <r>
    <n v="957"/>
    <s v="Joraanstad Nicole"/>
    <x v="11"/>
    <x v="1"/>
    <x v="19"/>
    <x v="0"/>
    <n v="165"/>
    <x v="453"/>
    <x v="0"/>
    <x v="0"/>
    <x v="0"/>
  </r>
  <r>
    <n v="958"/>
    <s v="Jordansson Isabelle"/>
    <x v="6"/>
    <x v="14"/>
    <x v="14"/>
    <x v="17"/>
    <n v="170"/>
    <x v="19"/>
    <x v="0"/>
    <x v="0"/>
    <x v="0"/>
  </r>
  <r>
    <n v="960"/>
    <s v="Joubert Brian"/>
    <x v="1"/>
    <x v="16"/>
    <x v="16"/>
    <x v="0"/>
    <n v="179"/>
    <x v="520"/>
    <x v="0"/>
    <x v="0"/>
    <x v="0"/>
  </r>
  <r>
    <n v="961"/>
    <s v="Joye Dan"/>
    <x v="10"/>
    <x v="1"/>
    <x v="1"/>
    <x v="24"/>
    <n v="170"/>
    <x v="521"/>
    <x v="0"/>
    <x v="0"/>
    <x v="0"/>
  </r>
  <r>
    <n v="962"/>
    <s v="Juarez Sofie"/>
    <x v="0"/>
    <x v="50"/>
    <x v="14"/>
    <x v="17"/>
    <n v="172"/>
    <x v="384"/>
    <x v="0"/>
    <x v="0"/>
    <x v="0"/>
  </r>
  <r>
    <n v="963"/>
    <s v="Jung Dong-Hyun"/>
    <x v="0"/>
    <x v="42"/>
    <x v="3"/>
    <x v="5"/>
    <n v="180"/>
    <x v="98"/>
    <x v="0"/>
    <x v="0"/>
    <x v="0"/>
  </r>
  <r>
    <n v="964"/>
    <s v="Jurcina Milan"/>
    <x v="6"/>
    <x v="24"/>
    <x v="13"/>
    <x v="10"/>
    <n v="195"/>
    <x v="522"/>
    <x v="1"/>
    <x v="0"/>
    <x v="0"/>
  </r>
  <r>
    <n v="965"/>
    <s v="Jurcova Petra"/>
    <x v="6"/>
    <x v="24"/>
    <x v="4"/>
    <x v="13"/>
    <n v="170"/>
    <x v="196"/>
    <x v="0"/>
    <x v="0"/>
    <x v="0"/>
  </r>
  <r>
    <n v="968"/>
    <s v="Juzhakov Vladislav"/>
    <x v="10"/>
    <x v="5"/>
    <x v="1"/>
    <x v="28"/>
    <n v="184"/>
    <x v="33"/>
    <x v="0"/>
    <x v="0"/>
    <x v="0"/>
  </r>
  <r>
    <n v="969"/>
    <s v="K. P. Keshavan Shiva"/>
    <x v="10"/>
    <x v="57"/>
    <x v="8"/>
    <x v="1"/>
    <n v="183"/>
    <x v="366"/>
    <x v="0"/>
    <x v="0"/>
    <x v="0"/>
  </r>
  <r>
    <n v="970"/>
    <s v="Kaberle Tomas"/>
    <x v="6"/>
    <x v="26"/>
    <x v="7"/>
    <x v="1"/>
    <n v="187"/>
    <x v="523"/>
    <x v="0"/>
    <x v="0"/>
    <x v="2"/>
  </r>
  <r>
    <n v="971"/>
    <s v="Kaldvee Martten"/>
    <x v="3"/>
    <x v="49"/>
    <x v="0"/>
    <x v="13"/>
    <n v="178"/>
    <x v="524"/>
    <x v="0"/>
    <x v="0"/>
    <x v="0"/>
  </r>
  <r>
    <n v="972"/>
    <s v="Kalhor Marjan"/>
    <x v="0"/>
    <x v="58"/>
    <x v="3"/>
    <x v="8"/>
    <n v="168"/>
    <x v="8"/>
    <x v="0"/>
    <x v="0"/>
    <x v="0"/>
  </r>
  <r>
    <n v="974"/>
    <s v="Kalinin Dmitry"/>
    <x v="6"/>
    <x v="5"/>
    <x v="19"/>
    <x v="7"/>
    <n v="189"/>
    <x v="525"/>
    <x v="0"/>
    <x v="0"/>
    <x v="0"/>
  </r>
  <r>
    <n v="975"/>
    <s v="Kalinova Lubomira"/>
    <x v="3"/>
    <x v="24"/>
    <x v="8"/>
    <x v="50"/>
    <n v="170"/>
    <x v="153"/>
    <x v="0"/>
    <x v="0"/>
    <x v="0"/>
  </r>
  <r>
    <n v="977"/>
    <s v="Kalnins Peteris"/>
    <x v="10"/>
    <x v="20"/>
    <x v="3"/>
    <x v="47"/>
    <n v="170"/>
    <x v="526"/>
    <x v="0"/>
    <x v="0"/>
    <x v="0"/>
  </r>
  <r>
    <n v="978"/>
    <s v="Kalyuzhny Aleksei"/>
    <x v="6"/>
    <x v="4"/>
    <x v="9"/>
    <x v="20"/>
    <n v="178"/>
    <x v="59"/>
    <x v="0"/>
    <x v="0"/>
    <x v="2"/>
  </r>
  <r>
    <n v="979"/>
    <s v="Kamer Nadja"/>
    <x v="0"/>
    <x v="9"/>
    <x v="0"/>
    <x v="47"/>
    <n v="179"/>
    <x v="141"/>
    <x v="0"/>
    <x v="0"/>
    <x v="0"/>
  </r>
  <r>
    <n v="980"/>
    <s v="Kamphuis Esme"/>
    <x v="5"/>
    <x v="33"/>
    <x v="13"/>
    <x v="5"/>
    <n v="178"/>
    <x v="441"/>
    <x v="0"/>
    <x v="0"/>
    <x v="0"/>
  </r>
  <r>
    <n v="981"/>
    <s v="Kane Patrick"/>
    <x v="6"/>
    <x v="1"/>
    <x v="3"/>
    <x v="4"/>
    <n v="178"/>
    <x v="527"/>
    <x v="0"/>
    <x v="0"/>
    <x v="0"/>
  </r>
  <r>
    <n v="982"/>
    <s v="Kang Kwang-Bae"/>
    <x v="5"/>
    <x v="42"/>
    <x v="10"/>
    <x v="32"/>
    <n v="180"/>
    <x v="387"/>
    <x v="0"/>
    <x v="0"/>
    <x v="2"/>
  </r>
  <r>
    <n v="983"/>
    <s v="Kapanen Niko"/>
    <x v="6"/>
    <x v="10"/>
    <x v="7"/>
    <x v="23"/>
    <n v="177"/>
    <x v="417"/>
    <x v="0"/>
    <x v="0"/>
    <x v="2"/>
  </r>
  <r>
    <n v="984"/>
    <s v="Kapp Andreas"/>
    <x v="11"/>
    <x v="8"/>
    <x v="26"/>
    <x v="20"/>
    <n v="185"/>
    <x v="528"/>
    <x v="0"/>
    <x v="0"/>
    <x v="2"/>
  </r>
  <r>
    <n v="985"/>
    <s v="Kapustina Alexandra"/>
    <x v="6"/>
    <x v="5"/>
    <x v="16"/>
    <x v="5"/>
    <n v="166"/>
    <x v="529"/>
    <x v="0"/>
    <x v="0"/>
    <x v="0"/>
  </r>
  <r>
    <n v="986"/>
    <s v="Kapustova Jana"/>
    <x v="6"/>
    <x v="24"/>
    <x v="13"/>
    <x v="6"/>
    <n v="171"/>
    <x v="247"/>
    <x v="0"/>
    <x v="0"/>
    <x v="0"/>
  </r>
  <r>
    <n v="987"/>
    <s v="Karademir Tugba"/>
    <x v="1"/>
    <x v="47"/>
    <x v="1"/>
    <x v="20"/>
    <n v="165"/>
    <x v="530"/>
    <x v="0"/>
    <x v="0"/>
    <x v="0"/>
  </r>
  <r>
    <n v="988"/>
    <s v="Karafiatova Iveta"/>
    <x v="6"/>
    <x v="24"/>
    <x v="3"/>
    <x v="13"/>
    <n v="174"/>
    <x v="88"/>
    <x v="0"/>
    <x v="0"/>
    <x v="0"/>
  </r>
  <r>
    <n v="990"/>
    <s v="Karelin Pavel"/>
    <x v="7"/>
    <x v="5"/>
    <x v="12"/>
    <x v="14"/>
    <n v="179"/>
    <x v="531"/>
    <x v="0"/>
    <x v="0"/>
    <x v="0"/>
  </r>
  <r>
    <n v="991"/>
    <s v="Karev Andrei"/>
    <x v="6"/>
    <x v="4"/>
    <x v="16"/>
    <x v="18"/>
    <n v="180"/>
    <x v="416"/>
    <x v="0"/>
    <x v="0"/>
    <x v="0"/>
  </r>
  <r>
    <n v="992"/>
    <s v="Karisik Tanja"/>
    <x v="14"/>
    <x v="59"/>
    <x v="14"/>
    <x v="30"/>
    <n v="168"/>
    <x v="264"/>
    <x v="0"/>
    <x v="0"/>
    <x v="0"/>
  </r>
  <r>
    <n v="993"/>
    <s v="Karl Benjamin"/>
    <x v="8"/>
    <x v="32"/>
    <x v="1"/>
    <x v="15"/>
    <n v="185"/>
    <x v="364"/>
    <x v="0"/>
    <x v="0"/>
    <x v="0"/>
  </r>
  <r>
    <n v="994"/>
    <s v="Karlsen Truls Ove"/>
    <x v="0"/>
    <x v="17"/>
    <x v="15"/>
    <x v="20"/>
    <n v="189"/>
    <x v="290"/>
    <x v="0"/>
    <x v="0"/>
    <x v="2"/>
  </r>
  <r>
    <n v="995"/>
    <s v="Karneyenka Leanid"/>
    <x v="9"/>
    <x v="4"/>
    <x v="4"/>
    <x v="23"/>
    <n v="187"/>
    <x v="532"/>
    <x v="0"/>
    <x v="0"/>
    <x v="0"/>
  </r>
  <r>
    <n v="996"/>
    <s v="Karp Algo"/>
    <x v="9"/>
    <x v="49"/>
    <x v="1"/>
    <x v="4"/>
    <n v="192"/>
    <x v="533"/>
    <x v="0"/>
    <x v="0"/>
    <x v="0"/>
  </r>
  <r>
    <n v="997"/>
    <s v="Karpenko Nikolay"/>
    <x v="7"/>
    <x v="21"/>
    <x v="8"/>
    <x v="33"/>
    <n v="179"/>
    <x v="534"/>
    <x v="0"/>
    <x v="0"/>
    <x v="0"/>
  </r>
  <r>
    <n v="998"/>
    <s v="Karstens Anke"/>
    <x v="8"/>
    <x v="8"/>
    <x v="1"/>
    <x v="2"/>
    <n v="174"/>
    <x v="482"/>
    <x v="0"/>
    <x v="0"/>
    <x v="0"/>
  </r>
  <r>
    <n v="999"/>
    <s v="Karsums Martins"/>
    <x v="6"/>
    <x v="20"/>
    <x v="0"/>
    <x v="23"/>
    <n v="178"/>
    <x v="28"/>
    <x v="0"/>
    <x v="0"/>
    <x v="0"/>
  </r>
  <r>
    <n v="1000"/>
    <s v="Karvinen Michelle"/>
    <x v="6"/>
    <x v="10"/>
    <x v="12"/>
    <x v="25"/>
    <n v="166"/>
    <x v="535"/>
    <x v="0"/>
    <x v="0"/>
    <x v="0"/>
  </r>
  <r>
    <n v="1001"/>
    <s v="Kasai Noriaki"/>
    <x v="7"/>
    <x v="22"/>
    <x v="11"/>
    <x v="8"/>
    <n v="177"/>
    <x v="484"/>
    <x v="0"/>
    <x v="0"/>
    <x v="2"/>
  </r>
  <r>
    <n v="1003"/>
    <s v="Kasper Nolan"/>
    <x v="0"/>
    <x v="1"/>
    <x v="17"/>
    <x v="5"/>
    <n v="173"/>
    <x v="110"/>
    <x v="0"/>
    <x v="0"/>
    <x v="0"/>
  </r>
  <r>
    <n v="1004"/>
    <s v="Kato Joji"/>
    <x v="4"/>
    <x v="22"/>
    <x v="16"/>
    <x v="6"/>
    <n v="165"/>
    <x v="210"/>
    <x v="0"/>
    <x v="0"/>
    <x v="0"/>
  </r>
  <r>
    <n v="1005"/>
    <s v="Kato Taihei"/>
    <x v="12"/>
    <x v="22"/>
    <x v="16"/>
    <x v="43"/>
    <n v="169"/>
    <x v="536"/>
    <x v="0"/>
    <x v="0"/>
    <x v="0"/>
  </r>
  <r>
    <n v="1006"/>
    <s v="Kattilakoski Teemu"/>
    <x v="9"/>
    <x v="10"/>
    <x v="9"/>
    <x v="5"/>
    <n v="181"/>
    <x v="537"/>
    <x v="0"/>
    <x v="0"/>
    <x v="2"/>
  </r>
  <r>
    <n v="1007"/>
    <s v="Kaunismaki Juha"/>
    <x v="6"/>
    <x v="17"/>
    <x v="2"/>
    <x v="20"/>
    <n v="187"/>
    <x v="538"/>
    <x v="0"/>
    <x v="0"/>
    <x v="0"/>
  </r>
  <r>
    <n v="1009"/>
    <s v="Kaykan Svetlana"/>
    <x v="4"/>
    <x v="5"/>
    <x v="7"/>
    <x v="6"/>
    <n v="168"/>
    <x v="103"/>
    <x v="0"/>
    <x v="0"/>
    <x v="2"/>
  </r>
  <r>
    <n v="1010"/>
    <s v="Kazar Matej"/>
    <x v="3"/>
    <x v="24"/>
    <x v="13"/>
    <x v="5"/>
    <n v="186"/>
    <x v="539"/>
    <x v="0"/>
    <x v="0"/>
    <x v="0"/>
  </r>
  <r>
    <n v="1011"/>
    <s v="Kearney Hannah"/>
    <x v="2"/>
    <x v="1"/>
    <x v="0"/>
    <x v="2"/>
    <n v="168"/>
    <x v="115"/>
    <x v="0"/>
    <x v="0"/>
    <x v="0"/>
  </r>
  <r>
    <n v="1012"/>
    <s v="Keith Duncan"/>
    <x v="6"/>
    <x v="7"/>
    <x v="13"/>
    <x v="51"/>
    <n v="185"/>
    <x v="163"/>
    <x v="0"/>
    <x v="0"/>
    <x v="0"/>
  </r>
  <r>
    <n v="1013"/>
    <s v="Keituri Kalle"/>
    <x v="7"/>
    <x v="10"/>
    <x v="16"/>
    <x v="0"/>
    <n v="170"/>
    <x v="540"/>
    <x v="0"/>
    <x v="0"/>
    <x v="0"/>
  </r>
  <r>
    <n v="1014"/>
    <s v="Kelemen Zoltan"/>
    <x v="1"/>
    <x v="18"/>
    <x v="0"/>
    <x v="20"/>
    <n v="170"/>
    <x v="541"/>
    <x v="0"/>
    <x v="0"/>
    <x v="0"/>
  </r>
  <r>
    <n v="1015"/>
    <s v="Kellar Becky"/>
    <x v="6"/>
    <x v="7"/>
    <x v="18"/>
    <x v="19"/>
    <n v="170"/>
    <x v="404"/>
    <x v="0"/>
    <x v="0"/>
    <x v="2"/>
  </r>
  <r>
    <n v="1016"/>
    <s v="Keller Markus"/>
    <x v="8"/>
    <x v="9"/>
    <x v="5"/>
    <x v="33"/>
    <n v="170"/>
    <x v="61"/>
    <x v="0"/>
    <x v="0"/>
    <x v="0"/>
  </r>
  <r>
    <n v="1019"/>
    <s v="Kempf Andreas"/>
    <x v="11"/>
    <x v="8"/>
    <x v="26"/>
    <x v="62"/>
    <n v="180"/>
    <x v="542"/>
    <x v="1"/>
    <x v="0"/>
    <x v="2"/>
  </r>
  <r>
    <n v="1020"/>
    <s v="Kenanov Miroslav"/>
    <x v="3"/>
    <x v="13"/>
    <x v="3"/>
    <x v="24"/>
    <n v="182"/>
    <x v="244"/>
    <x v="0"/>
    <x v="0"/>
    <x v="0"/>
  </r>
  <r>
    <n v="1021"/>
    <s v="Keneshev Dias"/>
    <x v="3"/>
    <x v="21"/>
    <x v="1"/>
    <x v="6"/>
    <n v="172"/>
    <x v="102"/>
    <x v="0"/>
    <x v="0"/>
    <x v="0"/>
  </r>
  <r>
    <n v="1022"/>
    <s v="Kennedy Marc"/>
    <x v="11"/>
    <x v="7"/>
    <x v="8"/>
    <x v="62"/>
    <n v="188"/>
    <x v="543"/>
    <x v="1"/>
    <x v="0"/>
    <x v="0"/>
  </r>
  <r>
    <n v="1023"/>
    <s v="Keppler Stephan"/>
    <x v="0"/>
    <x v="8"/>
    <x v="5"/>
    <x v="31"/>
    <n v="183"/>
    <x v="544"/>
    <x v="0"/>
    <x v="0"/>
    <x v="0"/>
  </r>
  <r>
    <n v="1024"/>
    <s v="Kerr Errol"/>
    <x v="2"/>
    <x v="60"/>
    <x v="0"/>
    <x v="32"/>
    <n v="175"/>
    <x v="545"/>
    <x v="0"/>
    <x v="0"/>
    <x v="0"/>
  </r>
  <r>
    <n v="1025"/>
    <s v="Kerr John"/>
    <x v="1"/>
    <x v="11"/>
    <x v="19"/>
    <x v="62"/>
    <n v="173"/>
    <x v="546"/>
    <x v="1"/>
    <x v="0"/>
    <x v="0"/>
  </r>
  <r>
    <n v="1026"/>
    <s v="Kerr Sinead"/>
    <x v="1"/>
    <x v="11"/>
    <x v="7"/>
    <x v="62"/>
    <n v="168"/>
    <x v="547"/>
    <x v="1"/>
    <x v="0"/>
    <x v="2"/>
  </r>
  <r>
    <n v="1027"/>
    <s v="Kershaw Devon"/>
    <x v="9"/>
    <x v="7"/>
    <x v="5"/>
    <x v="16"/>
    <n v="178"/>
    <x v="295"/>
    <x v="0"/>
    <x v="0"/>
    <x v="0"/>
  </r>
  <r>
    <n v="1028"/>
    <s v="Kerstholt Niels"/>
    <x v="13"/>
    <x v="33"/>
    <x v="13"/>
    <x v="47"/>
    <n v="180"/>
    <x v="548"/>
    <x v="0"/>
    <x v="0"/>
    <x v="0"/>
  </r>
  <r>
    <n v="1029"/>
    <s v="Kesler Ryan"/>
    <x v="6"/>
    <x v="1"/>
    <x v="16"/>
    <x v="31"/>
    <n v="188"/>
    <x v="517"/>
    <x v="0"/>
    <x v="0"/>
    <x v="0"/>
  </r>
  <r>
    <n v="1030"/>
    <s v="Kessel Phil"/>
    <x v="6"/>
    <x v="1"/>
    <x v="4"/>
    <x v="3"/>
    <n v="180"/>
    <x v="65"/>
    <x v="0"/>
    <x v="0"/>
    <x v="0"/>
  </r>
  <r>
    <n v="1031"/>
    <s v="Keszler Andrea"/>
    <x v="13"/>
    <x v="34"/>
    <x v="17"/>
    <x v="22"/>
    <n v="174"/>
    <x v="222"/>
    <x v="0"/>
    <x v="0"/>
    <x v="0"/>
  </r>
  <r>
    <n v="1033"/>
    <s v="Khazova Irina"/>
    <x v="9"/>
    <x v="5"/>
    <x v="16"/>
    <x v="14"/>
    <n v="170"/>
    <x v="16"/>
    <x v="0"/>
    <x v="0"/>
    <x v="0"/>
  </r>
  <r>
    <n v="1034"/>
    <s v="Khelifi Mehdhi-Selim"/>
    <x v="9"/>
    <x v="61"/>
    <x v="23"/>
    <x v="6"/>
    <n v="170"/>
    <x v="101"/>
    <x v="0"/>
    <x v="0"/>
    <x v="0"/>
  </r>
  <r>
    <n v="1036"/>
    <s v="Khomich Alena"/>
    <x v="6"/>
    <x v="5"/>
    <x v="8"/>
    <x v="0"/>
    <n v="168"/>
    <x v="0"/>
    <x v="0"/>
    <x v="0"/>
    <x v="0"/>
  </r>
  <r>
    <n v="1037"/>
    <s v="Khoreva Natalia"/>
    <x v="10"/>
    <x v="5"/>
    <x v="0"/>
    <x v="16"/>
    <n v="168"/>
    <x v="549"/>
    <x v="0"/>
    <x v="0"/>
    <x v="0"/>
  </r>
  <r>
    <n v="1039"/>
    <s v="Khurelbataar Khash-Erdene"/>
    <x v="9"/>
    <x v="62"/>
    <x v="13"/>
    <x v="19"/>
    <n v="180"/>
    <x v="550"/>
    <x v="0"/>
    <x v="0"/>
    <x v="0"/>
  </r>
  <r>
    <n v="1040"/>
    <s v="Khvostenko Oksana"/>
    <x v="3"/>
    <x v="2"/>
    <x v="9"/>
    <x v="8"/>
    <n v="166"/>
    <x v="47"/>
    <x v="0"/>
    <x v="0"/>
    <x v="2"/>
  </r>
  <r>
    <n v="1041"/>
    <s v="Kilner Ben"/>
    <x v="8"/>
    <x v="11"/>
    <x v="3"/>
    <x v="24"/>
    <n v="176"/>
    <x v="239"/>
    <x v="0"/>
    <x v="0"/>
    <x v="0"/>
  </r>
  <r>
    <n v="1042"/>
    <s v="Kilsgaard Markus"/>
    <x v="0"/>
    <x v="12"/>
    <x v="23"/>
    <x v="18"/>
    <n v="185"/>
    <x v="160"/>
    <x v="0"/>
    <x v="0"/>
    <x v="0"/>
  </r>
  <r>
    <n v="1043"/>
    <s v="Kim Donghyun"/>
    <x v="5"/>
    <x v="42"/>
    <x v="4"/>
    <x v="23"/>
    <n v="185"/>
    <x v="483"/>
    <x v="0"/>
    <x v="0"/>
    <x v="0"/>
  </r>
  <r>
    <n v="1044"/>
    <s v="Kim Ho-Jun"/>
    <x v="8"/>
    <x v="42"/>
    <x v="12"/>
    <x v="22"/>
    <n v="175"/>
    <x v="255"/>
    <x v="0"/>
    <x v="0"/>
    <x v="0"/>
  </r>
  <r>
    <n v="1045"/>
    <s v="Kim Hyun-Ki"/>
    <x v="7"/>
    <x v="42"/>
    <x v="5"/>
    <x v="8"/>
    <n v="175"/>
    <x v="359"/>
    <x v="0"/>
    <x v="0"/>
    <x v="0"/>
  </r>
  <r>
    <n v="1046"/>
    <s v="Kim Jung-Su"/>
    <x v="5"/>
    <x v="42"/>
    <x v="8"/>
    <x v="37"/>
    <n v="170"/>
    <x v="85"/>
    <x v="0"/>
    <x v="0"/>
    <x v="0"/>
  </r>
  <r>
    <n v="1048"/>
    <s v="Kim Seoung-Il"/>
    <x v="13"/>
    <x v="42"/>
    <x v="12"/>
    <x v="8"/>
    <n v="174"/>
    <x v="258"/>
    <x v="0"/>
    <x v="0"/>
    <x v="0"/>
  </r>
  <r>
    <n v="1050"/>
    <s v="Kim Woo-Sung"/>
    <x v="0"/>
    <x v="42"/>
    <x v="0"/>
    <x v="48"/>
    <n v="170"/>
    <x v="486"/>
    <x v="0"/>
    <x v="0"/>
    <x v="0"/>
  </r>
  <r>
    <n v="1051"/>
    <s v="Kim You-Lim"/>
    <x v="4"/>
    <x v="42"/>
    <x v="17"/>
    <x v="44"/>
    <n v="166"/>
    <x v="138"/>
    <x v="0"/>
    <x v="0"/>
    <x v="0"/>
  </r>
  <r>
    <n v="1053"/>
    <s v="Kindl Wolfgang"/>
    <x v="10"/>
    <x v="32"/>
    <x v="3"/>
    <x v="23"/>
    <n v="167"/>
    <x v="551"/>
    <x v="0"/>
    <x v="0"/>
    <x v="0"/>
  </r>
  <r>
    <n v="1054"/>
    <s v="King David"/>
    <x v="1"/>
    <x v="11"/>
    <x v="16"/>
    <x v="63"/>
    <n v="184"/>
    <x v="552"/>
    <x v="1"/>
    <x v="0"/>
    <x v="0"/>
  </r>
  <r>
    <n v="1055"/>
    <s v="Kingsbury Gina"/>
    <x v="6"/>
    <x v="7"/>
    <x v="8"/>
    <x v="22"/>
    <n v="173"/>
    <x v="51"/>
    <x v="0"/>
    <x v="0"/>
    <x v="0"/>
  </r>
  <r>
    <n v="1056"/>
    <s v="Kiprusoff Miikka"/>
    <x v="6"/>
    <x v="10"/>
    <x v="21"/>
    <x v="1"/>
    <n v="185"/>
    <x v="469"/>
    <x v="0"/>
    <x v="0"/>
    <x v="2"/>
  </r>
  <r>
    <n v="1057"/>
    <s v="Kiramo Arttu"/>
    <x v="2"/>
    <x v="10"/>
    <x v="12"/>
    <x v="16"/>
    <n v="174"/>
    <x v="553"/>
    <x v="0"/>
    <x v="0"/>
    <x v="0"/>
  </r>
  <r>
    <n v="1058"/>
    <s v="Kircheisen Bjoern"/>
    <x v="12"/>
    <x v="8"/>
    <x v="13"/>
    <x v="37"/>
    <n v="187"/>
    <x v="443"/>
    <x v="0"/>
    <x v="0"/>
    <x v="0"/>
  </r>
  <r>
    <n v="1059"/>
    <s v="Kirchgasser Michaela"/>
    <x v="0"/>
    <x v="32"/>
    <x v="1"/>
    <x v="33"/>
    <n v="168"/>
    <x v="503"/>
    <x v="0"/>
    <x v="0"/>
    <x v="0"/>
  </r>
  <r>
    <n v="1060"/>
    <s v="Kiriasis Sandra"/>
    <x v="5"/>
    <x v="8"/>
    <x v="18"/>
    <x v="3"/>
    <n v="181"/>
    <x v="232"/>
    <x v="0"/>
    <x v="0"/>
    <x v="2"/>
  </r>
  <r>
    <n v="1061"/>
    <s v="Kirkova Maria"/>
    <x v="0"/>
    <x v="13"/>
    <x v="1"/>
    <x v="6"/>
    <n v="165"/>
    <x v="210"/>
    <x v="0"/>
    <x v="0"/>
    <x v="0"/>
  </r>
  <r>
    <n v="1062"/>
    <s v="Kiroska Rosana"/>
    <x v="9"/>
    <x v="45"/>
    <x v="12"/>
    <x v="22"/>
    <n v="173"/>
    <x v="51"/>
    <x v="0"/>
    <x v="0"/>
    <x v="0"/>
  </r>
  <r>
    <n v="1063"/>
    <s v="Kis Andriy"/>
    <x v="10"/>
    <x v="2"/>
    <x v="5"/>
    <x v="31"/>
    <n v="187"/>
    <x v="45"/>
    <x v="0"/>
    <x v="0"/>
    <x v="0"/>
  </r>
  <r>
    <n v="1064"/>
    <s v="Kivlenieks Inars"/>
    <x v="10"/>
    <x v="20"/>
    <x v="0"/>
    <x v="12"/>
    <n v="183"/>
    <x v="12"/>
    <x v="0"/>
    <x v="0"/>
    <x v="0"/>
  </r>
  <r>
    <n v="1065"/>
    <s v="Kjaell Viktor"/>
    <x v="11"/>
    <x v="14"/>
    <x v="1"/>
    <x v="63"/>
    <n v="183"/>
    <x v="554"/>
    <x v="1"/>
    <x v="0"/>
    <x v="0"/>
  </r>
  <r>
    <n v="1066"/>
    <s v="Kjoelstad Johan"/>
    <x v="9"/>
    <x v="17"/>
    <x v="13"/>
    <x v="63"/>
    <n v="189"/>
    <x v="555"/>
    <x v="1"/>
    <x v="0"/>
    <x v="0"/>
  </r>
  <r>
    <n v="1067"/>
    <s v="Klassen Cindy"/>
    <x v="4"/>
    <x v="7"/>
    <x v="2"/>
    <x v="19"/>
    <n v="172"/>
    <x v="492"/>
    <x v="0"/>
    <x v="0"/>
    <x v="0"/>
  </r>
  <r>
    <n v="1068"/>
    <s v="Klavzar Bostjan"/>
    <x v="9"/>
    <x v="31"/>
    <x v="12"/>
    <x v="16"/>
    <n v="181"/>
    <x v="18"/>
    <x v="0"/>
    <x v="0"/>
    <x v="0"/>
  </r>
  <r>
    <n v="1069"/>
    <s v="Klein Aika"/>
    <x v="13"/>
    <x v="8"/>
    <x v="5"/>
    <x v="8"/>
    <n v="169"/>
    <x v="556"/>
    <x v="0"/>
    <x v="0"/>
    <x v="0"/>
  </r>
  <r>
    <n v="1070"/>
    <s v="Kleivdal Roger-S"/>
    <x v="8"/>
    <x v="17"/>
    <x v="3"/>
    <x v="63"/>
    <n v="189"/>
    <x v="555"/>
    <x v="1"/>
    <x v="0"/>
    <x v="0"/>
  </r>
  <r>
    <n v="1071"/>
    <s v="Klenovska Nina"/>
    <x v="3"/>
    <x v="13"/>
    <x v="19"/>
    <x v="9"/>
    <n v="175"/>
    <x v="557"/>
    <x v="0"/>
    <x v="0"/>
    <x v="0"/>
  </r>
  <r>
    <n v="1072"/>
    <s v="Klepic Maja"/>
    <x v="0"/>
    <x v="59"/>
    <x v="3"/>
    <x v="26"/>
    <n v="172"/>
    <x v="558"/>
    <x v="0"/>
    <x v="0"/>
    <x v="0"/>
  </r>
  <r>
    <n v="1074"/>
    <s v="Kling Kajsa"/>
    <x v="0"/>
    <x v="14"/>
    <x v="3"/>
    <x v="24"/>
    <n v="172"/>
    <x v="52"/>
    <x v="0"/>
    <x v="0"/>
    <x v="0"/>
  </r>
  <r>
    <n v="1075"/>
    <s v="Klinge Manuel"/>
    <x v="6"/>
    <x v="8"/>
    <x v="16"/>
    <x v="38"/>
    <n v="186"/>
    <x v="559"/>
    <x v="0"/>
    <x v="0"/>
    <x v="0"/>
  </r>
  <r>
    <n v="1076"/>
    <s v="Klingler Michael"/>
    <x v="5"/>
    <x v="35"/>
    <x v="5"/>
    <x v="18"/>
    <n v="184"/>
    <x v="425"/>
    <x v="0"/>
    <x v="0"/>
    <x v="0"/>
  </r>
  <r>
    <n v="1077"/>
    <s v="Klug Chris"/>
    <x v="8"/>
    <x v="1"/>
    <x v="11"/>
    <x v="34"/>
    <n v="191"/>
    <x v="63"/>
    <x v="1"/>
    <x v="0"/>
    <x v="2"/>
  </r>
  <r>
    <n v="1078"/>
    <s v="Knegt Sjinkie"/>
    <x v="13"/>
    <x v="33"/>
    <x v="17"/>
    <x v="17"/>
    <n v="172"/>
    <x v="384"/>
    <x v="0"/>
    <x v="0"/>
    <x v="0"/>
  </r>
  <r>
    <n v="1079"/>
    <s v="Kneib Viktor"/>
    <x v="10"/>
    <x v="5"/>
    <x v="19"/>
    <x v="36"/>
    <n v="180"/>
    <x v="130"/>
    <x v="0"/>
    <x v="0"/>
    <x v="0"/>
  </r>
  <r>
    <n v="1080"/>
    <s v="Kneller Scott"/>
    <x v="2"/>
    <x v="15"/>
    <x v="17"/>
    <x v="18"/>
    <n v="180"/>
    <x v="416"/>
    <x v="0"/>
    <x v="0"/>
    <x v="0"/>
  </r>
  <r>
    <n v="1081"/>
    <s v="Knight Hilary"/>
    <x v="6"/>
    <x v="1"/>
    <x v="17"/>
    <x v="48"/>
    <n v="178"/>
    <x v="309"/>
    <x v="0"/>
    <x v="0"/>
    <x v="0"/>
  </r>
  <r>
    <n v="1082"/>
    <s v="Knoch Viktor"/>
    <x v="13"/>
    <x v="34"/>
    <x v="17"/>
    <x v="37"/>
    <n v="180"/>
    <x v="201"/>
    <x v="0"/>
    <x v="0"/>
    <x v="0"/>
  </r>
  <r>
    <n v="1084"/>
    <s v="Kobayashi Norihito"/>
    <x v="12"/>
    <x v="22"/>
    <x v="5"/>
    <x v="9"/>
    <n v="174"/>
    <x v="276"/>
    <x v="0"/>
    <x v="0"/>
    <x v="0"/>
  </r>
  <r>
    <n v="1085"/>
    <s v="Kobayashi Ryuichi"/>
    <x v="5"/>
    <x v="22"/>
    <x v="21"/>
    <x v="40"/>
    <n v="183"/>
    <x v="157"/>
    <x v="1"/>
    <x v="0"/>
    <x v="2"/>
  </r>
  <r>
    <n v="1086"/>
    <s v="Kober Amelie"/>
    <x v="8"/>
    <x v="8"/>
    <x v="4"/>
    <x v="21"/>
    <n v="168"/>
    <x v="256"/>
    <x v="0"/>
    <x v="0"/>
    <x v="0"/>
  </r>
  <r>
    <n v="1087"/>
    <s v="Kobian Jan"/>
    <x v="5"/>
    <x v="26"/>
    <x v="24"/>
    <x v="34"/>
    <n v="186"/>
    <x v="560"/>
    <x v="1"/>
    <x v="0"/>
    <x v="2"/>
  </r>
  <r>
    <n v="1088"/>
    <s v="Kobus Miroslaw"/>
    <x v="3"/>
    <x v="25"/>
    <x v="1"/>
    <x v="5"/>
    <n v="185"/>
    <x v="465"/>
    <x v="0"/>
    <x v="0"/>
    <x v="0"/>
  </r>
  <r>
    <n v="1089"/>
    <s v="Koch Martin"/>
    <x v="7"/>
    <x v="32"/>
    <x v="8"/>
    <x v="25"/>
    <n v="186"/>
    <x v="561"/>
    <x v="0"/>
    <x v="0"/>
    <x v="0"/>
  </r>
  <r>
    <n v="1090"/>
    <s v="Kocher Martina"/>
    <x v="10"/>
    <x v="9"/>
    <x v="1"/>
    <x v="8"/>
    <n v="172"/>
    <x v="562"/>
    <x v="0"/>
    <x v="0"/>
    <x v="0"/>
  </r>
  <r>
    <n v="1091"/>
    <s v="Kocher Zina"/>
    <x v="3"/>
    <x v="7"/>
    <x v="5"/>
    <x v="8"/>
    <n v="170"/>
    <x v="356"/>
    <x v="0"/>
    <x v="0"/>
    <x v="0"/>
  </r>
  <r>
    <n v="1092"/>
    <s v="Kocon Yannick"/>
    <x v="1"/>
    <x v="19"/>
    <x v="0"/>
    <x v="63"/>
    <n v="175"/>
    <x v="563"/>
    <x v="1"/>
    <x v="0"/>
    <x v="0"/>
  </r>
  <r>
    <n v="1094"/>
    <s v="Kofler Andreas"/>
    <x v="7"/>
    <x v="32"/>
    <x v="16"/>
    <x v="33"/>
    <n v="180"/>
    <x v="564"/>
    <x v="0"/>
    <x v="0"/>
    <x v="0"/>
  </r>
  <r>
    <n v="1095"/>
    <s v="Kohn Mike"/>
    <x v="5"/>
    <x v="1"/>
    <x v="11"/>
    <x v="46"/>
    <n v="188"/>
    <x v="171"/>
    <x v="0"/>
    <x v="0"/>
    <x v="2"/>
  </r>
  <r>
    <n v="1096"/>
    <s v="Koiv Kauri"/>
    <x v="3"/>
    <x v="49"/>
    <x v="13"/>
    <x v="23"/>
    <n v="187"/>
    <x v="532"/>
    <x v="0"/>
    <x v="0"/>
    <x v="0"/>
  </r>
  <r>
    <n v="1097"/>
    <s v="Koivu Mikko"/>
    <x v="6"/>
    <x v="10"/>
    <x v="13"/>
    <x v="31"/>
    <n v="189"/>
    <x v="347"/>
    <x v="0"/>
    <x v="0"/>
    <x v="0"/>
  </r>
  <r>
    <n v="1098"/>
    <s v="Koivu Saku"/>
    <x v="6"/>
    <x v="10"/>
    <x v="18"/>
    <x v="3"/>
    <n v="179"/>
    <x v="466"/>
    <x v="0"/>
    <x v="0"/>
    <x v="2"/>
  </r>
  <r>
    <n v="1099"/>
    <s v="Koivuranta Anssi"/>
    <x v="12"/>
    <x v="10"/>
    <x v="3"/>
    <x v="8"/>
    <n v="177"/>
    <x v="484"/>
    <x v="0"/>
    <x v="0"/>
    <x v="0"/>
  </r>
  <r>
    <n v="1100"/>
    <s v="Kokk Kaspar"/>
    <x v="9"/>
    <x v="49"/>
    <x v="5"/>
    <x v="17"/>
    <n v="176"/>
    <x v="84"/>
    <x v="0"/>
    <x v="0"/>
    <x v="0"/>
  </r>
  <r>
    <n v="1101"/>
    <s v="Koklaca Agnese"/>
    <x v="10"/>
    <x v="20"/>
    <x v="12"/>
    <x v="37"/>
    <n v="178"/>
    <x v="296"/>
    <x v="0"/>
    <x v="0"/>
    <x v="0"/>
  </r>
  <r>
    <n v="1102"/>
    <s v="Kokslien Mikko"/>
    <x v="12"/>
    <x v="17"/>
    <x v="1"/>
    <x v="63"/>
    <n v="186"/>
    <x v="565"/>
    <x v="1"/>
    <x v="0"/>
    <x v="0"/>
  </r>
  <r>
    <n v="1104"/>
    <s v="Kolb Hanna"/>
    <x v="9"/>
    <x v="8"/>
    <x v="14"/>
    <x v="14"/>
    <n v="173"/>
    <x v="349"/>
    <x v="0"/>
    <x v="0"/>
    <x v="0"/>
  </r>
  <r>
    <n v="1105"/>
    <s v="Koller Patrick"/>
    <x v="2"/>
    <x v="32"/>
    <x v="13"/>
    <x v="34"/>
    <n v="193"/>
    <x v="566"/>
    <x v="1"/>
    <x v="0"/>
    <x v="0"/>
  </r>
  <r>
    <n v="1107"/>
    <s v="Kolosov Sergei"/>
    <x v="6"/>
    <x v="4"/>
    <x v="0"/>
    <x v="31"/>
    <n v="193"/>
    <x v="567"/>
    <x v="0"/>
    <x v="0"/>
    <x v="0"/>
  </r>
  <r>
    <n v="1108"/>
    <s v="Koltsov Konstantin"/>
    <x v="6"/>
    <x v="4"/>
    <x v="8"/>
    <x v="18"/>
    <n v="186"/>
    <x v="509"/>
    <x v="0"/>
    <x v="0"/>
    <x v="0"/>
  </r>
  <r>
    <n v="1110"/>
    <s v="Kong Yingchao"/>
    <x v="3"/>
    <x v="44"/>
    <x v="5"/>
    <x v="0"/>
    <n v="165"/>
    <x v="453"/>
    <x v="0"/>
    <x v="0"/>
    <x v="0"/>
  </r>
  <r>
    <n v="1111"/>
    <s v="Konopova Martina"/>
    <x v="2"/>
    <x v="26"/>
    <x v="0"/>
    <x v="6"/>
    <n v="167"/>
    <x v="6"/>
    <x v="0"/>
    <x v="0"/>
    <x v="0"/>
  </r>
  <r>
    <n v="1112"/>
    <s v="Koons Benjamin"/>
    <x v="9"/>
    <x v="38"/>
    <x v="0"/>
    <x v="51"/>
    <n v="188"/>
    <x v="568"/>
    <x v="0"/>
    <x v="0"/>
    <x v="0"/>
  </r>
  <r>
    <n v="1113"/>
    <s v="Koos Torin"/>
    <x v="9"/>
    <x v="1"/>
    <x v="19"/>
    <x v="20"/>
    <n v="188"/>
    <x v="569"/>
    <x v="0"/>
    <x v="0"/>
    <x v="0"/>
  </r>
  <r>
    <n v="1114"/>
    <s v="Kopecky Tomas"/>
    <x v="6"/>
    <x v="24"/>
    <x v="8"/>
    <x v="38"/>
    <n v="191"/>
    <x v="570"/>
    <x v="0"/>
    <x v="0"/>
    <x v="0"/>
  </r>
  <r>
    <n v="1115"/>
    <s v="Korneev Konstantin"/>
    <x v="6"/>
    <x v="5"/>
    <x v="16"/>
    <x v="3"/>
    <n v="180"/>
    <x v="65"/>
    <x v="0"/>
    <x v="0"/>
    <x v="0"/>
  </r>
  <r>
    <n v="1116"/>
    <s v="Kornilov Denis"/>
    <x v="7"/>
    <x v="5"/>
    <x v="0"/>
    <x v="14"/>
    <n v="181"/>
    <x v="571"/>
    <x v="0"/>
    <x v="0"/>
    <x v="0"/>
  </r>
  <r>
    <n v="1117"/>
    <s v="Korolev Alexey"/>
    <x v="7"/>
    <x v="21"/>
    <x v="4"/>
    <x v="9"/>
    <n v="179"/>
    <x v="572"/>
    <x v="0"/>
    <x v="0"/>
    <x v="0"/>
  </r>
  <r>
    <n v="1119"/>
    <s v="Korotkov Egor"/>
    <x v="2"/>
    <x v="5"/>
    <x v="0"/>
    <x v="24"/>
    <n v="181"/>
    <x v="89"/>
    <x v="0"/>
    <x v="0"/>
    <x v="0"/>
  </r>
  <r>
    <n v="1120"/>
    <s v="Korpi Janne"/>
    <x v="8"/>
    <x v="10"/>
    <x v="1"/>
    <x v="19"/>
    <n v="178"/>
    <x v="323"/>
    <x v="0"/>
    <x v="0"/>
    <x v="0"/>
  </r>
  <r>
    <n v="1121"/>
    <s v="Korpi Kiira"/>
    <x v="1"/>
    <x v="10"/>
    <x v="3"/>
    <x v="63"/>
    <n v="168"/>
    <x v="573"/>
    <x v="1"/>
    <x v="0"/>
    <x v="0"/>
  </r>
  <r>
    <n v="1122"/>
    <s v="Koshevoy Yevgeniy"/>
    <x v="9"/>
    <x v="21"/>
    <x v="16"/>
    <x v="24"/>
    <n v="178"/>
    <x v="211"/>
    <x v="0"/>
    <x v="0"/>
    <x v="0"/>
  </r>
  <r>
    <n v="1123"/>
    <s v="Koshi Kazuhiro"/>
    <x v="15"/>
    <x v="22"/>
    <x v="30"/>
    <x v="3"/>
    <n v="173"/>
    <x v="574"/>
    <x v="0"/>
    <x v="0"/>
    <x v="2"/>
  </r>
  <r>
    <n v="1124"/>
    <s v="Kosic Bojan"/>
    <x v="0"/>
    <x v="63"/>
    <x v="12"/>
    <x v="20"/>
    <n v="178"/>
    <x v="59"/>
    <x v="0"/>
    <x v="0"/>
    <x v="0"/>
  </r>
  <r>
    <n v="1125"/>
    <s v="Kosir Zan"/>
    <x v="8"/>
    <x v="31"/>
    <x v="16"/>
    <x v="48"/>
    <n v="184"/>
    <x v="504"/>
    <x v="0"/>
    <x v="0"/>
    <x v="0"/>
  </r>
  <r>
    <n v="1126"/>
    <s v="Koskela Pekka"/>
    <x v="4"/>
    <x v="10"/>
    <x v="5"/>
    <x v="15"/>
    <n v="187"/>
    <x v="454"/>
    <x v="0"/>
    <x v="0"/>
    <x v="0"/>
  </r>
  <r>
    <n v="1127"/>
    <s v="Koski Markku"/>
    <x v="8"/>
    <x v="10"/>
    <x v="8"/>
    <x v="24"/>
    <n v="181"/>
    <x v="89"/>
    <x v="0"/>
    <x v="0"/>
    <x v="0"/>
  </r>
  <r>
    <n v="1128"/>
    <s v="Kostelic Ivica"/>
    <x v="0"/>
    <x v="39"/>
    <x v="2"/>
    <x v="39"/>
    <n v="182"/>
    <x v="575"/>
    <x v="0"/>
    <x v="0"/>
    <x v="0"/>
  </r>
  <r>
    <n v="1130"/>
    <s v="Kostitsyn Andrei"/>
    <x v="6"/>
    <x v="4"/>
    <x v="16"/>
    <x v="38"/>
    <n v="183"/>
    <x v="280"/>
    <x v="0"/>
    <x v="0"/>
    <x v="0"/>
  </r>
  <r>
    <n v="1131"/>
    <s v="Kostitsyn Sergei"/>
    <x v="6"/>
    <x v="4"/>
    <x v="4"/>
    <x v="51"/>
    <n v="183"/>
    <x v="224"/>
    <x v="0"/>
    <x v="0"/>
    <x v="0"/>
  </r>
  <r>
    <n v="1132"/>
    <s v="Kostiuchenok Viktor"/>
    <x v="6"/>
    <x v="4"/>
    <x v="2"/>
    <x v="39"/>
    <n v="187"/>
    <x v="576"/>
    <x v="0"/>
    <x v="0"/>
    <x v="0"/>
  </r>
  <r>
    <n v="1133"/>
    <s v="Kostner Carolina"/>
    <x v="1"/>
    <x v="19"/>
    <x v="0"/>
    <x v="21"/>
    <n v="170"/>
    <x v="577"/>
    <x v="0"/>
    <x v="0"/>
    <x v="0"/>
  </r>
  <r>
    <n v="1135"/>
    <s v="Koudelka Roman"/>
    <x v="7"/>
    <x v="26"/>
    <x v="17"/>
    <x v="44"/>
    <n v="171"/>
    <x v="407"/>
    <x v="0"/>
    <x v="0"/>
    <x v="0"/>
  </r>
  <r>
    <n v="1136"/>
    <s v="Koukal Martin"/>
    <x v="9"/>
    <x v="26"/>
    <x v="7"/>
    <x v="17"/>
    <n v="176"/>
    <x v="84"/>
    <x v="0"/>
    <x v="0"/>
    <x v="2"/>
  </r>
  <r>
    <n v="1137"/>
    <s v="Koval Vitali"/>
    <x v="6"/>
    <x v="4"/>
    <x v="19"/>
    <x v="40"/>
    <n v="188"/>
    <x v="578"/>
    <x v="1"/>
    <x v="0"/>
    <x v="0"/>
  </r>
  <r>
    <n v="1138"/>
    <s v="Kovalchuk Ilya"/>
    <x v="6"/>
    <x v="5"/>
    <x v="13"/>
    <x v="29"/>
    <n v="188"/>
    <x v="579"/>
    <x v="0"/>
    <x v="0"/>
    <x v="0"/>
  </r>
  <r>
    <n v="1139"/>
    <s v="Kovalevski Anton"/>
    <x v="1"/>
    <x v="2"/>
    <x v="1"/>
    <x v="21"/>
    <n v="169"/>
    <x v="580"/>
    <x v="0"/>
    <x v="0"/>
    <x v="0"/>
  </r>
  <r>
    <n v="1140"/>
    <s v="Kowalczyk Justyna"/>
    <x v="9"/>
    <x v="25"/>
    <x v="5"/>
    <x v="8"/>
    <n v="173"/>
    <x v="581"/>
    <x v="0"/>
    <x v="0"/>
    <x v="0"/>
  </r>
  <r>
    <n v="1141"/>
    <s v="Koyander Ellie"/>
    <x v="2"/>
    <x v="11"/>
    <x v="14"/>
    <x v="13"/>
    <n v="165"/>
    <x v="582"/>
    <x v="0"/>
    <x v="0"/>
    <x v="0"/>
  </r>
  <r>
    <n v="1142"/>
    <s v="Kozisek Dusan"/>
    <x v="9"/>
    <x v="26"/>
    <x v="13"/>
    <x v="48"/>
    <n v="185"/>
    <x v="583"/>
    <x v="0"/>
    <x v="0"/>
    <x v="0"/>
  </r>
  <r>
    <n v="1143"/>
    <s v="Kozlov Victor"/>
    <x v="6"/>
    <x v="5"/>
    <x v="18"/>
    <x v="64"/>
    <n v="195"/>
    <x v="584"/>
    <x v="1"/>
    <x v="0"/>
    <x v="2"/>
  </r>
  <r>
    <n v="1144"/>
    <s v="Kozlovsky Ondrej"/>
    <x v="5"/>
    <x v="26"/>
    <x v="5"/>
    <x v="12"/>
    <n v="180"/>
    <x v="136"/>
    <x v="0"/>
    <x v="0"/>
    <x v="0"/>
  </r>
  <r>
    <n v="1145"/>
    <s v="Kozuka Takahiko"/>
    <x v="1"/>
    <x v="22"/>
    <x v="17"/>
    <x v="21"/>
    <n v="170"/>
    <x v="577"/>
    <x v="0"/>
    <x v="0"/>
    <x v="0"/>
  </r>
  <r>
    <n v="1146"/>
    <s v="Kraas Oliver"/>
    <x v="9"/>
    <x v="64"/>
    <x v="15"/>
    <x v="48"/>
    <n v="182"/>
    <x v="585"/>
    <x v="0"/>
    <x v="0"/>
    <x v="2"/>
  </r>
  <r>
    <n v="1147"/>
    <s v="Krajacic Slaven"/>
    <x v="5"/>
    <x v="39"/>
    <x v="19"/>
    <x v="39"/>
    <n v="182"/>
    <x v="575"/>
    <x v="0"/>
    <x v="0"/>
    <x v="0"/>
  </r>
  <r>
    <n v="1148"/>
    <s v="Kramer Sven"/>
    <x v="4"/>
    <x v="33"/>
    <x v="0"/>
    <x v="23"/>
    <n v="185"/>
    <x v="483"/>
    <x v="0"/>
    <x v="0"/>
    <x v="0"/>
  </r>
  <r>
    <n v="1149"/>
    <s v="Kranjec Robert"/>
    <x v="7"/>
    <x v="31"/>
    <x v="8"/>
    <x v="8"/>
    <n v="175"/>
    <x v="359"/>
    <x v="0"/>
    <x v="0"/>
    <x v="0"/>
  </r>
  <r>
    <n v="1150"/>
    <s v="Kraupp Sebastian"/>
    <x v="11"/>
    <x v="14"/>
    <x v="1"/>
    <x v="21"/>
    <n v="183"/>
    <x v="586"/>
    <x v="0"/>
    <x v="0"/>
    <x v="0"/>
  </r>
  <r>
    <n v="1151"/>
    <s v="Kraus Tomas"/>
    <x v="2"/>
    <x v="26"/>
    <x v="18"/>
    <x v="41"/>
    <n v="183"/>
    <x v="92"/>
    <x v="0"/>
    <x v="0"/>
    <x v="2"/>
  </r>
  <r>
    <n v="1152"/>
    <s v="Kravchuk Stanislav"/>
    <x v="2"/>
    <x v="2"/>
    <x v="7"/>
    <x v="48"/>
    <n v="182"/>
    <x v="585"/>
    <x v="0"/>
    <x v="0"/>
    <x v="2"/>
  </r>
  <r>
    <n v="1153"/>
    <s v="Krech Roman"/>
    <x v="4"/>
    <x v="21"/>
    <x v="17"/>
    <x v="48"/>
    <n v="180"/>
    <x v="448"/>
    <x v="0"/>
    <x v="0"/>
    <x v="0"/>
  </r>
  <r>
    <n v="1154"/>
    <s v="Kreczmer Maciej"/>
    <x v="9"/>
    <x v="25"/>
    <x v="8"/>
    <x v="16"/>
    <n v="177"/>
    <x v="303"/>
    <x v="0"/>
    <x v="0"/>
    <x v="0"/>
  </r>
  <r>
    <n v="1155"/>
    <s v="Kreiner David"/>
    <x v="12"/>
    <x v="32"/>
    <x v="8"/>
    <x v="8"/>
    <n v="172"/>
    <x v="562"/>
    <x v="0"/>
    <x v="0"/>
    <x v="0"/>
  </r>
  <r>
    <n v="1156"/>
    <s v="Kreiner Marion"/>
    <x v="8"/>
    <x v="32"/>
    <x v="8"/>
    <x v="14"/>
    <n v="170"/>
    <x v="16"/>
    <x v="0"/>
    <x v="0"/>
    <x v="0"/>
  </r>
  <r>
    <n v="1157"/>
    <s v="Krejci David"/>
    <x v="6"/>
    <x v="26"/>
    <x v="0"/>
    <x v="23"/>
    <n v="183"/>
    <x v="48"/>
    <x v="0"/>
    <x v="0"/>
    <x v="0"/>
  </r>
  <r>
    <n v="1158"/>
    <s v="Krezelok Janusz"/>
    <x v="9"/>
    <x v="25"/>
    <x v="18"/>
    <x v="24"/>
    <n v="177"/>
    <x v="587"/>
    <x v="0"/>
    <x v="0"/>
    <x v="2"/>
  </r>
  <r>
    <n v="1160"/>
    <s v="Kripps Justin"/>
    <x v="5"/>
    <x v="7"/>
    <x v="0"/>
    <x v="32"/>
    <n v="183"/>
    <x v="50"/>
    <x v="0"/>
    <x v="0"/>
    <x v="0"/>
  </r>
  <r>
    <n v="1161"/>
    <s v="Kristiansen Gro"/>
    <x v="3"/>
    <x v="17"/>
    <x v="9"/>
    <x v="21"/>
    <n v="174"/>
    <x v="588"/>
    <x v="0"/>
    <x v="0"/>
    <x v="2"/>
  </r>
  <r>
    <n v="1163"/>
    <s v="Kristoffersen Marthe"/>
    <x v="9"/>
    <x v="17"/>
    <x v="17"/>
    <x v="21"/>
    <n v="189"/>
    <x v="589"/>
    <x v="0"/>
    <x v="0"/>
    <x v="0"/>
  </r>
  <r>
    <n v="1164"/>
    <s v="Kriukov Nikita"/>
    <x v="9"/>
    <x v="5"/>
    <x v="1"/>
    <x v="5"/>
    <n v="184"/>
    <x v="590"/>
    <x v="0"/>
    <x v="0"/>
    <x v="0"/>
  </r>
  <r>
    <n v="1165"/>
    <s v="Krizaj Andrej"/>
    <x v="0"/>
    <x v="31"/>
    <x v="0"/>
    <x v="20"/>
    <n v="180"/>
    <x v="468"/>
    <x v="0"/>
    <x v="0"/>
    <x v="0"/>
  </r>
  <r>
    <n v="1166"/>
    <s v="Krizova Klara"/>
    <x v="0"/>
    <x v="26"/>
    <x v="17"/>
    <x v="35"/>
    <n v="179"/>
    <x v="591"/>
    <x v="0"/>
    <x v="0"/>
    <x v="0"/>
  </r>
  <r>
    <n v="1167"/>
    <s v="Kroell Klaus"/>
    <x v="0"/>
    <x v="32"/>
    <x v="19"/>
    <x v="32"/>
    <n v="186"/>
    <x v="592"/>
    <x v="0"/>
    <x v="0"/>
    <x v="0"/>
  </r>
  <r>
    <n v="1168"/>
    <s v="Kronwall Niklas"/>
    <x v="6"/>
    <x v="14"/>
    <x v="19"/>
    <x v="15"/>
    <n v="183"/>
    <x v="593"/>
    <x v="0"/>
    <x v="0"/>
    <x v="0"/>
  </r>
  <r>
    <n v="1169"/>
    <s v="Kruglov Nikolay"/>
    <x v="3"/>
    <x v="5"/>
    <x v="8"/>
    <x v="35"/>
    <n v="180"/>
    <x v="345"/>
    <x v="0"/>
    <x v="0"/>
    <x v="0"/>
  </r>
  <r>
    <n v="1170"/>
    <s v="Krumina Gerda"/>
    <x v="3"/>
    <x v="20"/>
    <x v="16"/>
    <x v="50"/>
    <n v="166"/>
    <x v="228"/>
    <x v="0"/>
    <x v="0"/>
    <x v="0"/>
  </r>
  <r>
    <n v="1171"/>
    <s v="Kryzl Krystof"/>
    <x v="0"/>
    <x v="26"/>
    <x v="0"/>
    <x v="15"/>
    <n v="184"/>
    <x v="105"/>
    <x v="0"/>
    <x v="0"/>
    <x v="0"/>
  </r>
  <r>
    <n v="1172"/>
    <s v="Kuba Filip"/>
    <x v="6"/>
    <x v="26"/>
    <x v="21"/>
    <x v="7"/>
    <n v="192"/>
    <x v="191"/>
    <x v="0"/>
    <x v="0"/>
    <x v="2"/>
  </r>
  <r>
    <n v="1173"/>
    <s v="Kubina Pavel"/>
    <x v="6"/>
    <x v="26"/>
    <x v="9"/>
    <x v="34"/>
    <n v="194"/>
    <x v="314"/>
    <x v="1"/>
    <x v="0"/>
    <x v="2"/>
  </r>
  <r>
    <n v="1174"/>
    <s v="Kuck Jonathan"/>
    <x v="4"/>
    <x v="1"/>
    <x v="12"/>
    <x v="28"/>
    <n v="183"/>
    <x v="267"/>
    <x v="0"/>
    <x v="0"/>
    <x v="0"/>
  </r>
  <r>
    <n v="1175"/>
    <s v="Kudo Kohei"/>
    <x v="8"/>
    <x v="22"/>
    <x v="17"/>
    <x v="54"/>
    <n v="166"/>
    <x v="594"/>
    <x v="0"/>
    <x v="0"/>
    <x v="0"/>
  </r>
  <r>
    <n v="1176"/>
    <s v="Kudrashova Olga"/>
    <x v="3"/>
    <x v="4"/>
    <x v="7"/>
    <x v="42"/>
    <n v="165"/>
    <x v="180"/>
    <x v="0"/>
    <x v="0"/>
    <x v="2"/>
  </r>
  <r>
    <n v="1177"/>
    <s v="Kueng Carmen"/>
    <x v="11"/>
    <x v="9"/>
    <x v="9"/>
    <x v="21"/>
    <n v="168"/>
    <x v="256"/>
    <x v="0"/>
    <x v="0"/>
    <x v="2"/>
  </r>
  <r>
    <n v="1178"/>
    <s v="Kuettel Andreas"/>
    <x v="7"/>
    <x v="9"/>
    <x v="2"/>
    <x v="9"/>
    <n v="182"/>
    <x v="595"/>
    <x v="0"/>
    <x v="0"/>
    <x v="0"/>
  </r>
  <r>
    <n v="1179"/>
    <s v="Kuhn Stefan"/>
    <x v="9"/>
    <x v="7"/>
    <x v="2"/>
    <x v="16"/>
    <n v="175"/>
    <x v="431"/>
    <x v="0"/>
    <x v="0"/>
    <x v="0"/>
  </r>
  <r>
    <n v="1180"/>
    <s v="Kuhn Xavier"/>
    <x v="2"/>
    <x v="16"/>
    <x v="7"/>
    <x v="20"/>
    <n v="178"/>
    <x v="59"/>
    <x v="0"/>
    <x v="0"/>
    <x v="2"/>
  </r>
  <r>
    <n v="1181"/>
    <s v="Kuipers Simon"/>
    <x v="4"/>
    <x v="33"/>
    <x v="5"/>
    <x v="1"/>
    <n v="186"/>
    <x v="362"/>
    <x v="0"/>
    <x v="0"/>
    <x v="0"/>
  </r>
  <r>
    <n v="1182"/>
    <s v="Kuisma Mira"/>
    <x v="6"/>
    <x v="10"/>
    <x v="4"/>
    <x v="6"/>
    <n v="168"/>
    <x v="103"/>
    <x v="0"/>
    <x v="0"/>
    <x v="0"/>
  </r>
  <r>
    <n v="1183"/>
    <s v="Kuitunen Virpi"/>
    <x v="9"/>
    <x v="10"/>
    <x v="21"/>
    <x v="6"/>
    <n v="174"/>
    <x v="151"/>
    <x v="0"/>
    <x v="0"/>
    <x v="2"/>
  </r>
  <r>
    <n v="1184"/>
    <s v="Kukkonen Lasse"/>
    <x v="6"/>
    <x v="10"/>
    <x v="8"/>
    <x v="18"/>
    <n v="184"/>
    <x v="425"/>
    <x v="0"/>
    <x v="0"/>
    <x v="0"/>
  </r>
  <r>
    <n v="1185"/>
    <s v="Kulakov Aleksandr"/>
    <x v="6"/>
    <x v="4"/>
    <x v="13"/>
    <x v="51"/>
    <n v="182"/>
    <x v="596"/>
    <x v="0"/>
    <x v="0"/>
    <x v="0"/>
  </r>
  <r>
    <n v="1186"/>
    <s v="Kumaritashvili Nodar"/>
    <x v="10"/>
    <x v="3"/>
    <x v="3"/>
    <x v="23"/>
    <n v="179"/>
    <x v="389"/>
    <x v="0"/>
    <x v="0"/>
    <x v="0"/>
  </r>
  <r>
    <n v="1187"/>
    <s v="Kummel Peeter"/>
    <x v="9"/>
    <x v="49"/>
    <x v="5"/>
    <x v="1"/>
    <n v="191"/>
    <x v="597"/>
    <x v="0"/>
    <x v="0"/>
    <x v="0"/>
  </r>
  <r>
    <n v="1188"/>
    <s v="Kupczyk Dawid"/>
    <x v="5"/>
    <x v="25"/>
    <x v="9"/>
    <x v="11"/>
    <n v="182"/>
    <x v="598"/>
    <x v="0"/>
    <x v="0"/>
    <x v="2"/>
  </r>
  <r>
    <n v="1189"/>
    <s v="Kurowski Maciej"/>
    <x v="10"/>
    <x v="25"/>
    <x v="0"/>
    <x v="18"/>
    <n v="185"/>
    <x v="160"/>
    <x v="0"/>
    <x v="0"/>
    <x v="0"/>
  </r>
  <r>
    <n v="1190"/>
    <s v="Kushnir Anton"/>
    <x v="2"/>
    <x v="4"/>
    <x v="16"/>
    <x v="19"/>
    <n v="176"/>
    <x v="44"/>
    <x v="0"/>
    <x v="0"/>
    <x v="0"/>
  </r>
  <r>
    <n v="1191"/>
    <s v="Kuske Kevin"/>
    <x v="5"/>
    <x v="8"/>
    <x v="7"/>
    <x v="65"/>
    <n v="195"/>
    <x v="599"/>
    <x v="1"/>
    <x v="0"/>
    <x v="2"/>
  </r>
  <r>
    <n v="1192"/>
    <s v="Kuzin Denis"/>
    <x v="4"/>
    <x v="21"/>
    <x v="3"/>
    <x v="23"/>
    <n v="184"/>
    <x v="600"/>
    <x v="0"/>
    <x v="0"/>
    <x v="0"/>
  </r>
  <r>
    <n v="1193"/>
    <s v="Kuzmenka Lizaveta"/>
    <x v="0"/>
    <x v="4"/>
    <x v="4"/>
    <x v="22"/>
    <n v="168"/>
    <x v="175"/>
    <x v="0"/>
    <x v="0"/>
    <x v="0"/>
  </r>
  <r>
    <n v="1194"/>
    <s v="Kuzmich Michail"/>
    <x v="10"/>
    <x v="5"/>
    <x v="5"/>
    <x v="18"/>
    <n v="185"/>
    <x v="160"/>
    <x v="0"/>
    <x v="0"/>
    <x v="0"/>
  </r>
  <r>
    <n v="1195"/>
    <s v="Kuzmina Anastazia"/>
    <x v="3"/>
    <x v="24"/>
    <x v="16"/>
    <x v="2"/>
    <n v="180"/>
    <x v="187"/>
    <x v="0"/>
    <x v="0"/>
    <x v="0"/>
  </r>
  <r>
    <n v="1196"/>
    <s v="Kuzzy Garrott"/>
    <x v="9"/>
    <x v="1"/>
    <x v="5"/>
    <x v="36"/>
    <n v="193"/>
    <x v="601"/>
    <x v="0"/>
    <x v="0"/>
    <x v="0"/>
  </r>
  <r>
    <n v="1198"/>
    <s v="Kvicala Matej"/>
    <x v="10"/>
    <x v="26"/>
    <x v="17"/>
    <x v="35"/>
    <n v="183"/>
    <x v="66"/>
    <x v="0"/>
    <x v="0"/>
    <x v="0"/>
  </r>
  <r>
    <n v="1199"/>
    <s v="Kvinlog Genlid Gro"/>
    <x v="2"/>
    <x v="17"/>
    <x v="21"/>
    <x v="21"/>
    <n v="189"/>
    <x v="589"/>
    <x v="0"/>
    <x v="0"/>
    <x v="2"/>
  </r>
  <r>
    <n v="1200"/>
    <s v="Kwak Adam"/>
    <x v="3"/>
    <x v="25"/>
    <x v="0"/>
    <x v="2"/>
    <n v="170"/>
    <x v="250"/>
    <x v="0"/>
    <x v="0"/>
    <x v="0"/>
  </r>
  <r>
    <n v="1204"/>
    <s v="Laboeck Isabella"/>
    <x v="8"/>
    <x v="8"/>
    <x v="0"/>
    <x v="44"/>
    <n v="167"/>
    <x v="223"/>
    <x v="0"/>
    <x v="0"/>
    <x v="0"/>
  </r>
  <r>
    <n v="1205"/>
    <s v="Labonte Charline"/>
    <x v="6"/>
    <x v="7"/>
    <x v="5"/>
    <x v="48"/>
    <n v="175"/>
    <x v="129"/>
    <x v="0"/>
    <x v="0"/>
    <x v="0"/>
  </r>
  <r>
    <n v="1206"/>
    <s v="Lachkovics Martin"/>
    <x v="5"/>
    <x v="32"/>
    <x v="18"/>
    <x v="31"/>
    <n v="178"/>
    <x v="602"/>
    <x v="0"/>
    <x v="0"/>
    <x v="2"/>
  </r>
  <r>
    <n v="1207"/>
    <s v="Lacroix Sebastien"/>
    <x v="12"/>
    <x v="16"/>
    <x v="13"/>
    <x v="23"/>
    <n v="190"/>
    <x v="603"/>
    <x v="0"/>
    <x v="0"/>
    <x v="0"/>
  </r>
  <r>
    <n v="1208"/>
    <s v="Ladwig Mark"/>
    <x v="1"/>
    <x v="1"/>
    <x v="19"/>
    <x v="21"/>
    <n v="178"/>
    <x v="604"/>
    <x v="0"/>
    <x v="0"/>
    <x v="0"/>
  </r>
  <r>
    <n v="1210"/>
    <s v="Lago Scott"/>
    <x v="8"/>
    <x v="1"/>
    <x v="4"/>
    <x v="35"/>
    <n v="185"/>
    <x v="605"/>
    <x v="0"/>
    <x v="0"/>
    <x v="0"/>
  </r>
  <r>
    <n v="1211"/>
    <s v="Lahdenperae Anton"/>
    <x v="0"/>
    <x v="14"/>
    <x v="1"/>
    <x v="41"/>
    <n v="193"/>
    <x v="606"/>
    <x v="0"/>
    <x v="0"/>
    <x v="0"/>
  </r>
  <r>
    <n v="1212"/>
    <s v="Laheurte Maxime"/>
    <x v="12"/>
    <x v="16"/>
    <x v="1"/>
    <x v="8"/>
    <n v="174"/>
    <x v="258"/>
    <x v="0"/>
    <x v="0"/>
    <x v="0"/>
  </r>
  <r>
    <n v="1214"/>
    <s v="Laird Anne"/>
    <x v="11"/>
    <x v="11"/>
    <x v="24"/>
    <x v="16"/>
    <n v="165"/>
    <x v="287"/>
    <x v="0"/>
    <x v="0"/>
    <x v="2"/>
  </r>
  <r>
    <n v="1215"/>
    <s v="Lajtos Szandra"/>
    <x v="13"/>
    <x v="34"/>
    <x v="0"/>
    <x v="33"/>
    <n v="170"/>
    <x v="61"/>
    <x v="0"/>
    <x v="0"/>
    <x v="0"/>
  </r>
  <r>
    <n v="1216"/>
    <s v="Lalenkov Yevgeny"/>
    <x v="4"/>
    <x v="5"/>
    <x v="8"/>
    <x v="1"/>
    <n v="187"/>
    <x v="523"/>
    <x v="0"/>
    <x v="0"/>
    <x v="0"/>
  </r>
  <r>
    <n v="1217"/>
    <s v="Lallukka Juha"/>
    <x v="9"/>
    <x v="10"/>
    <x v="2"/>
    <x v="25"/>
    <n v="180"/>
    <x v="607"/>
    <x v="0"/>
    <x v="0"/>
    <x v="0"/>
  </r>
  <r>
    <n v="1218"/>
    <s v="Lamb Maria"/>
    <x v="4"/>
    <x v="1"/>
    <x v="1"/>
    <x v="43"/>
    <n v="168"/>
    <x v="312"/>
    <x v="0"/>
    <x v="0"/>
    <x v="0"/>
  </r>
  <r>
    <n v="1219"/>
    <s v="Lambert Michael"/>
    <x v="8"/>
    <x v="7"/>
    <x v="0"/>
    <x v="47"/>
    <n v="178"/>
    <x v="398"/>
    <x v="0"/>
    <x v="0"/>
    <x v="0"/>
  </r>
  <r>
    <n v="1220"/>
    <s v="Lambert Thomas"/>
    <x v="2"/>
    <x v="9"/>
    <x v="16"/>
    <x v="37"/>
    <n v="183"/>
    <x v="169"/>
    <x v="0"/>
    <x v="0"/>
    <x v="0"/>
  </r>
  <r>
    <n v="1221"/>
    <s v="Lambiel Stephane"/>
    <x v="1"/>
    <x v="9"/>
    <x v="1"/>
    <x v="16"/>
    <n v="175"/>
    <x v="431"/>
    <x v="0"/>
    <x v="0"/>
    <x v="0"/>
  </r>
  <r>
    <n v="1222"/>
    <s v="Lamoureux Jocelyne"/>
    <x v="6"/>
    <x v="1"/>
    <x v="17"/>
    <x v="17"/>
    <n v="168"/>
    <x v="608"/>
    <x v="0"/>
    <x v="0"/>
    <x v="0"/>
  </r>
  <r>
    <n v="1223"/>
    <s v="Lamoureux Justin"/>
    <x v="8"/>
    <x v="7"/>
    <x v="21"/>
    <x v="37"/>
    <n v="188"/>
    <x v="609"/>
    <x v="0"/>
    <x v="0"/>
    <x v="2"/>
  </r>
  <r>
    <n v="1224"/>
    <s v="Lamoureux Monique"/>
    <x v="6"/>
    <x v="1"/>
    <x v="17"/>
    <x v="16"/>
    <n v="168"/>
    <x v="549"/>
    <x v="0"/>
    <x v="0"/>
    <x v="0"/>
  </r>
  <r>
    <n v="1225"/>
    <s v="Lamparter Thomas"/>
    <x v="5"/>
    <x v="9"/>
    <x v="7"/>
    <x v="29"/>
    <n v="183"/>
    <x v="516"/>
    <x v="0"/>
    <x v="0"/>
    <x v="2"/>
  </r>
  <r>
    <n v="1226"/>
    <s v="Lamy Chappuis Jason"/>
    <x v="12"/>
    <x v="16"/>
    <x v="0"/>
    <x v="13"/>
    <n v="179"/>
    <x v="281"/>
    <x v="0"/>
    <x v="0"/>
    <x v="0"/>
  </r>
  <r>
    <n v="1227"/>
    <s v="Landertinger Dominik"/>
    <x v="3"/>
    <x v="32"/>
    <x v="4"/>
    <x v="37"/>
    <n v="188"/>
    <x v="609"/>
    <x v="0"/>
    <x v="0"/>
    <x v="0"/>
  </r>
  <r>
    <n v="1228"/>
    <s v="Lang Andreas"/>
    <x v="11"/>
    <x v="8"/>
    <x v="2"/>
    <x v="16"/>
    <n v="186"/>
    <x v="610"/>
    <x v="0"/>
    <x v="0"/>
    <x v="0"/>
  </r>
  <r>
    <n v="1229"/>
    <s v="Lange Andre"/>
    <x v="5"/>
    <x v="8"/>
    <x v="10"/>
    <x v="40"/>
    <n v="188"/>
    <x v="578"/>
    <x v="1"/>
    <x v="0"/>
    <x v="2"/>
  </r>
  <r>
    <n v="1230"/>
    <s v="Langenbrunner Jamie"/>
    <x v="6"/>
    <x v="1"/>
    <x v="15"/>
    <x v="41"/>
    <n v="185"/>
    <x v="249"/>
    <x v="0"/>
    <x v="0"/>
    <x v="2"/>
  </r>
  <r>
    <n v="1231"/>
    <s v="Langenhan Andi"/>
    <x v="10"/>
    <x v="8"/>
    <x v="16"/>
    <x v="20"/>
    <n v="181"/>
    <x v="410"/>
    <x v="0"/>
    <x v="0"/>
    <x v="0"/>
  </r>
  <r>
    <n v="1233"/>
    <s v="Langton Steven"/>
    <x v="5"/>
    <x v="1"/>
    <x v="13"/>
    <x v="34"/>
    <n v="188"/>
    <x v="611"/>
    <x v="1"/>
    <x v="0"/>
    <x v="0"/>
  </r>
  <r>
    <n v="1234"/>
    <s v="Lannes Carlos"/>
    <x v="9"/>
    <x v="52"/>
    <x v="2"/>
    <x v="33"/>
    <n v="174"/>
    <x v="233"/>
    <x v="0"/>
    <x v="0"/>
    <x v="0"/>
  </r>
  <r>
    <n v="1235"/>
    <s v="Lanotte Luca"/>
    <x v="1"/>
    <x v="19"/>
    <x v="1"/>
    <x v="16"/>
    <n v="177"/>
    <x v="303"/>
    <x v="0"/>
    <x v="0"/>
    <x v="0"/>
  </r>
  <r>
    <n v="1236"/>
    <s v="Larionov Yuri"/>
    <x v="1"/>
    <x v="5"/>
    <x v="0"/>
    <x v="16"/>
    <n v="178"/>
    <x v="295"/>
    <x v="0"/>
    <x v="0"/>
    <x v="0"/>
  </r>
  <r>
    <n v="1237"/>
    <s v="Larsen Mikael Flygind"/>
    <x v="4"/>
    <x v="17"/>
    <x v="5"/>
    <x v="16"/>
    <n v="189"/>
    <x v="612"/>
    <x v="0"/>
    <x v="0"/>
    <x v="0"/>
  </r>
  <r>
    <n v="1238"/>
    <s v="Larsson Markus"/>
    <x v="0"/>
    <x v="14"/>
    <x v="7"/>
    <x v="49"/>
    <n v="183"/>
    <x v="378"/>
    <x v="0"/>
    <x v="0"/>
    <x v="2"/>
  </r>
  <r>
    <n v="1239"/>
    <s v="Larsson Mats"/>
    <x v="9"/>
    <x v="14"/>
    <x v="19"/>
    <x v="23"/>
    <n v="183"/>
    <x v="48"/>
    <x v="0"/>
    <x v="0"/>
    <x v="0"/>
  </r>
  <r>
    <n v="1240"/>
    <s v="Lassila Kalle"/>
    <x v="9"/>
    <x v="10"/>
    <x v="16"/>
    <x v="35"/>
    <n v="179"/>
    <x v="591"/>
    <x v="0"/>
    <x v="0"/>
    <x v="0"/>
  </r>
  <r>
    <n v="1242"/>
    <s v="Laukkanen Mari"/>
    <x v="3"/>
    <x v="10"/>
    <x v="4"/>
    <x v="21"/>
    <n v="171"/>
    <x v="117"/>
    <x v="0"/>
    <x v="0"/>
    <x v="0"/>
  </r>
  <r>
    <n v="1243"/>
    <s v="Laumann Ylven Martin"/>
    <x v="6"/>
    <x v="17"/>
    <x v="3"/>
    <x v="18"/>
    <n v="189"/>
    <x v="268"/>
    <x v="0"/>
    <x v="0"/>
    <x v="0"/>
  </r>
  <r>
    <n v="1244"/>
    <s v="Laurent Philippot Karine"/>
    <x v="9"/>
    <x v="16"/>
    <x v="18"/>
    <x v="21"/>
    <n v="168"/>
    <x v="256"/>
    <x v="0"/>
    <x v="0"/>
    <x v="2"/>
  </r>
  <r>
    <n v="1245"/>
    <s v="Lauscher Regan"/>
    <x v="10"/>
    <x v="7"/>
    <x v="19"/>
    <x v="17"/>
    <n v="174"/>
    <x v="77"/>
    <x v="0"/>
    <x v="0"/>
    <x v="0"/>
  </r>
  <r>
    <n v="1246"/>
    <s v="Lavins Rodrigo"/>
    <x v="6"/>
    <x v="20"/>
    <x v="18"/>
    <x v="20"/>
    <n v="180"/>
    <x v="468"/>
    <x v="0"/>
    <x v="0"/>
    <x v="2"/>
  </r>
  <r>
    <n v="1248"/>
    <s v="Lazarovych Oleksandr"/>
    <x v="7"/>
    <x v="2"/>
    <x v="16"/>
    <x v="43"/>
    <n v="174"/>
    <x v="613"/>
    <x v="0"/>
    <x v="0"/>
    <x v="0"/>
  </r>
  <r>
    <n v="1249"/>
    <s v="Lazzaroni David"/>
    <x v="7"/>
    <x v="16"/>
    <x v="16"/>
    <x v="26"/>
    <n v="185"/>
    <x v="614"/>
    <x v="0"/>
    <x v="0"/>
    <x v="0"/>
  </r>
  <r>
    <n v="1250"/>
    <s v="Le Bihan Chris"/>
    <x v="5"/>
    <x v="7"/>
    <x v="9"/>
    <x v="40"/>
    <n v="188"/>
    <x v="578"/>
    <x v="1"/>
    <x v="0"/>
    <x v="2"/>
  </r>
  <r>
    <n v="1251"/>
    <s v="Le Moine Anna"/>
    <x v="11"/>
    <x v="14"/>
    <x v="10"/>
    <x v="16"/>
    <n v="165"/>
    <x v="287"/>
    <x v="0"/>
    <x v="0"/>
    <x v="2"/>
  </r>
  <r>
    <n v="1252"/>
    <s v="Lebedev Aleksandr"/>
    <x v="4"/>
    <x v="5"/>
    <x v="4"/>
    <x v="17"/>
    <n v="178"/>
    <x v="124"/>
    <x v="0"/>
    <x v="0"/>
    <x v="0"/>
  </r>
  <r>
    <n v="1253"/>
    <s v="Lebedeva Anna"/>
    <x v="3"/>
    <x v="21"/>
    <x v="8"/>
    <x v="2"/>
    <n v="179"/>
    <x v="615"/>
    <x v="0"/>
    <x v="0"/>
    <x v="0"/>
  </r>
  <r>
    <n v="1254"/>
    <s v="Lebedeva Ekaterina"/>
    <x v="6"/>
    <x v="5"/>
    <x v="17"/>
    <x v="13"/>
    <n v="166"/>
    <x v="336"/>
    <x v="0"/>
    <x v="0"/>
    <x v="0"/>
  </r>
  <r>
    <n v="1255"/>
    <s v="Lebedeva Marina"/>
    <x v="3"/>
    <x v="21"/>
    <x v="1"/>
    <x v="42"/>
    <n v="165"/>
    <x v="180"/>
    <x v="0"/>
    <x v="0"/>
    <x v="0"/>
  </r>
  <r>
    <n v="1256"/>
    <s v="Leccardi Valerio"/>
    <x v="9"/>
    <x v="9"/>
    <x v="16"/>
    <x v="19"/>
    <n v="174"/>
    <x v="430"/>
    <x v="0"/>
    <x v="0"/>
    <x v="0"/>
  </r>
  <r>
    <n v="1261"/>
    <s v="Lee Ho-Suk"/>
    <x v="13"/>
    <x v="42"/>
    <x v="0"/>
    <x v="22"/>
    <n v="168"/>
    <x v="175"/>
    <x v="0"/>
    <x v="0"/>
    <x v="0"/>
  </r>
  <r>
    <n v="1262"/>
    <s v="Lee In-Bok"/>
    <x v="3"/>
    <x v="42"/>
    <x v="16"/>
    <x v="8"/>
    <n v="172"/>
    <x v="562"/>
    <x v="0"/>
    <x v="0"/>
    <x v="0"/>
  </r>
  <r>
    <n v="1263"/>
    <s v="Lee Jinhee"/>
    <x v="5"/>
    <x v="42"/>
    <x v="16"/>
    <x v="12"/>
    <n v="180"/>
    <x v="136"/>
    <x v="0"/>
    <x v="0"/>
    <x v="0"/>
  </r>
  <r>
    <n v="1264"/>
    <s v="Lee Jongwoo"/>
    <x v="4"/>
    <x v="42"/>
    <x v="1"/>
    <x v="17"/>
    <n v="178"/>
    <x v="124"/>
    <x v="0"/>
    <x v="0"/>
    <x v="0"/>
  </r>
  <r>
    <n v="1265"/>
    <s v="Lee Jun Gil"/>
    <x v="9"/>
    <x v="42"/>
    <x v="1"/>
    <x v="14"/>
    <n v="173"/>
    <x v="349"/>
    <x v="0"/>
    <x v="0"/>
    <x v="0"/>
  </r>
  <r>
    <n v="1266"/>
    <s v="Lee Jung-Su"/>
    <x v="13"/>
    <x v="42"/>
    <x v="17"/>
    <x v="8"/>
    <n v="173"/>
    <x v="581"/>
    <x v="0"/>
    <x v="0"/>
    <x v="0"/>
  </r>
  <r>
    <n v="1268"/>
    <s v="Lee Kang-Seok"/>
    <x v="4"/>
    <x v="42"/>
    <x v="1"/>
    <x v="19"/>
    <n v="178"/>
    <x v="323"/>
    <x v="0"/>
    <x v="0"/>
    <x v="0"/>
  </r>
  <r>
    <n v="1269"/>
    <s v="Lee Ki-Ho"/>
    <x v="4"/>
    <x v="42"/>
    <x v="16"/>
    <x v="5"/>
    <n v="182"/>
    <x v="616"/>
    <x v="0"/>
    <x v="0"/>
    <x v="0"/>
  </r>
  <r>
    <n v="1270"/>
    <s v="Lee Kyou-Hyuk"/>
    <x v="4"/>
    <x v="42"/>
    <x v="7"/>
    <x v="19"/>
    <n v="177"/>
    <x v="617"/>
    <x v="0"/>
    <x v="0"/>
    <x v="2"/>
  </r>
  <r>
    <n v="1272"/>
    <s v="Lee Seung-Hoon"/>
    <x v="4"/>
    <x v="42"/>
    <x v="3"/>
    <x v="17"/>
    <n v="177"/>
    <x v="618"/>
    <x v="0"/>
    <x v="0"/>
    <x v="0"/>
  </r>
  <r>
    <n v="1273"/>
    <s v="Lee Yong"/>
    <x v="10"/>
    <x v="42"/>
    <x v="7"/>
    <x v="47"/>
    <n v="173"/>
    <x v="127"/>
    <x v="0"/>
    <x v="0"/>
    <x v="2"/>
  </r>
  <r>
    <n v="1274"/>
    <s v="Legkov Alexander"/>
    <x v="9"/>
    <x v="5"/>
    <x v="13"/>
    <x v="24"/>
    <n v="178"/>
    <x v="211"/>
    <x v="0"/>
    <x v="0"/>
    <x v="0"/>
  </r>
  <r>
    <n v="1275"/>
    <s v="Leguellec Jean Philippe"/>
    <x v="3"/>
    <x v="7"/>
    <x v="1"/>
    <x v="33"/>
    <n v="171"/>
    <x v="619"/>
    <x v="0"/>
    <x v="0"/>
    <x v="0"/>
  </r>
  <r>
    <n v="1276"/>
    <s v="Lehmann Kathrin"/>
    <x v="6"/>
    <x v="9"/>
    <x v="19"/>
    <x v="17"/>
    <n v="172"/>
    <x v="384"/>
    <x v="0"/>
    <x v="0"/>
    <x v="0"/>
  </r>
  <r>
    <n v="1277"/>
    <s v="Lehmann Robert"/>
    <x v="4"/>
    <x v="8"/>
    <x v="13"/>
    <x v="48"/>
    <n v="182"/>
    <x v="585"/>
    <x v="0"/>
    <x v="0"/>
    <x v="0"/>
  </r>
  <r>
    <n v="1278"/>
    <s v="Lehtinen Jere"/>
    <x v="6"/>
    <x v="10"/>
    <x v="10"/>
    <x v="51"/>
    <n v="182"/>
    <x v="596"/>
    <x v="0"/>
    <x v="0"/>
    <x v="2"/>
  </r>
  <r>
    <n v="1280"/>
    <s v="Lehtonen Lari"/>
    <x v="9"/>
    <x v="10"/>
    <x v="4"/>
    <x v="24"/>
    <n v="176"/>
    <x v="239"/>
    <x v="0"/>
    <x v="0"/>
    <x v="0"/>
  </r>
  <r>
    <n v="1282"/>
    <s v="Leinonen Sanni"/>
    <x v="0"/>
    <x v="10"/>
    <x v="17"/>
    <x v="21"/>
    <n v="165"/>
    <x v="298"/>
    <x v="0"/>
    <x v="0"/>
    <x v="0"/>
  </r>
  <r>
    <n v="1283"/>
    <s v="Leitner Patric"/>
    <x v="10"/>
    <x v="8"/>
    <x v="9"/>
    <x v="31"/>
    <n v="189"/>
    <x v="347"/>
    <x v="0"/>
    <x v="0"/>
    <x v="2"/>
  </r>
  <r>
    <n v="1286"/>
    <s v="Lepisto Sami"/>
    <x v="6"/>
    <x v="10"/>
    <x v="16"/>
    <x v="1"/>
    <n v="178"/>
    <x v="14"/>
    <x v="0"/>
    <x v="0"/>
    <x v="0"/>
  </r>
  <r>
    <n v="1287"/>
    <s v="Lessing Roland"/>
    <x v="3"/>
    <x v="49"/>
    <x v="7"/>
    <x v="48"/>
    <n v="182"/>
    <x v="585"/>
    <x v="0"/>
    <x v="0"/>
    <x v="2"/>
  </r>
  <r>
    <n v="1288"/>
    <s v="Leu Evelyne"/>
    <x v="2"/>
    <x v="9"/>
    <x v="21"/>
    <x v="22"/>
    <n v="167"/>
    <x v="386"/>
    <x v="0"/>
    <x v="0"/>
    <x v="2"/>
  </r>
  <r>
    <n v="1290"/>
    <s v="Lewen Lars"/>
    <x v="2"/>
    <x v="14"/>
    <x v="15"/>
    <x v="18"/>
    <n v="174"/>
    <x v="620"/>
    <x v="0"/>
    <x v="0"/>
    <x v="2"/>
  </r>
  <r>
    <n v="1291"/>
    <s v="Leybyuk Roman"/>
    <x v="9"/>
    <x v="2"/>
    <x v="21"/>
    <x v="5"/>
    <n v="181"/>
    <x v="537"/>
    <x v="0"/>
    <x v="0"/>
    <x v="2"/>
  </r>
  <r>
    <n v="1292"/>
    <s v="Li Hongchen"/>
    <x v="11"/>
    <x v="44"/>
    <x v="15"/>
    <x v="46"/>
    <n v="180"/>
    <x v="257"/>
    <x v="0"/>
    <x v="0"/>
    <x v="2"/>
  </r>
  <r>
    <n v="1294"/>
    <s v="Li Lei"/>
    <x v="0"/>
    <x v="44"/>
    <x v="4"/>
    <x v="37"/>
    <n v="180"/>
    <x v="201"/>
    <x v="0"/>
    <x v="0"/>
    <x v="0"/>
  </r>
  <r>
    <n v="1296"/>
    <s v="Li Xin"/>
    <x v="9"/>
    <x v="44"/>
    <x v="23"/>
    <x v="54"/>
    <n v="171"/>
    <x v="621"/>
    <x v="0"/>
    <x v="0"/>
    <x v="0"/>
  </r>
  <r>
    <n v="1297"/>
    <s v="Liang Wenhao"/>
    <x v="13"/>
    <x v="44"/>
    <x v="23"/>
    <x v="22"/>
    <n v="165"/>
    <x v="41"/>
    <x v="0"/>
    <x v="0"/>
    <x v="0"/>
  </r>
  <r>
    <n v="1298"/>
    <s v="Libietis Kristaps"/>
    <x v="3"/>
    <x v="20"/>
    <x v="5"/>
    <x v="6"/>
    <n v="174"/>
    <x v="151"/>
    <x v="0"/>
    <x v="0"/>
    <x v="0"/>
  </r>
  <r>
    <n v="1299"/>
    <s v="Lidstrom Nicklas"/>
    <x v="6"/>
    <x v="14"/>
    <x v="24"/>
    <x v="36"/>
    <n v="185"/>
    <x v="500"/>
    <x v="0"/>
    <x v="0"/>
    <x v="2"/>
  </r>
  <r>
    <n v="1300"/>
    <s v="Liduma Madara"/>
    <x v="3"/>
    <x v="20"/>
    <x v="5"/>
    <x v="8"/>
    <n v="167"/>
    <x v="80"/>
    <x v="0"/>
    <x v="0"/>
    <x v="0"/>
  </r>
  <r>
    <n v="1301"/>
    <s v="Ligety Ted"/>
    <x v="0"/>
    <x v="1"/>
    <x v="16"/>
    <x v="15"/>
    <n v="180"/>
    <x v="622"/>
    <x v="0"/>
    <x v="0"/>
    <x v="0"/>
  </r>
  <r>
    <n v="1302"/>
    <s v="Ligocka Paulina"/>
    <x v="8"/>
    <x v="25"/>
    <x v="16"/>
    <x v="6"/>
    <n v="169"/>
    <x v="623"/>
    <x v="0"/>
    <x v="0"/>
    <x v="0"/>
  </r>
  <r>
    <n v="1303"/>
    <s v="Ligocki Mateusz"/>
    <x v="8"/>
    <x v="25"/>
    <x v="5"/>
    <x v="35"/>
    <n v="175"/>
    <x v="624"/>
    <x v="0"/>
    <x v="0"/>
    <x v="0"/>
  </r>
  <r>
    <n v="1304"/>
    <s v="Ligocki Michal"/>
    <x v="8"/>
    <x v="25"/>
    <x v="1"/>
    <x v="16"/>
    <n v="177"/>
    <x v="303"/>
    <x v="0"/>
    <x v="0"/>
    <x v="0"/>
  </r>
  <r>
    <n v="1305"/>
    <s v="Likhachova Galina"/>
    <x v="4"/>
    <x v="5"/>
    <x v="9"/>
    <x v="6"/>
    <n v="168"/>
    <x v="103"/>
    <x v="0"/>
    <x v="0"/>
    <x v="2"/>
  </r>
  <r>
    <n v="1307"/>
    <s v="Lincoln-Smith Emma"/>
    <x v="15"/>
    <x v="15"/>
    <x v="1"/>
    <x v="47"/>
    <n v="173"/>
    <x v="127"/>
    <x v="0"/>
    <x v="0"/>
    <x v="0"/>
  </r>
  <r>
    <n v="1308"/>
    <s v="Lind Bjoern"/>
    <x v="9"/>
    <x v="14"/>
    <x v="7"/>
    <x v="15"/>
    <n v="190"/>
    <x v="625"/>
    <x v="0"/>
    <x v="0"/>
    <x v="2"/>
  </r>
  <r>
    <n v="1310"/>
    <s v="Lindberg Fredrik"/>
    <x v="11"/>
    <x v="14"/>
    <x v="1"/>
    <x v="46"/>
    <n v="179"/>
    <x v="626"/>
    <x v="0"/>
    <x v="0"/>
    <x v="0"/>
  </r>
  <r>
    <n v="1311"/>
    <s v="Lindell-Vikarby Jessica"/>
    <x v="0"/>
    <x v="14"/>
    <x v="13"/>
    <x v="26"/>
    <n v="169"/>
    <x v="428"/>
    <x v="0"/>
    <x v="0"/>
    <x v="0"/>
  </r>
  <r>
    <n v="1313"/>
    <s v="Lindsay Sarah"/>
    <x v="13"/>
    <x v="11"/>
    <x v="19"/>
    <x v="22"/>
    <n v="172"/>
    <x v="26"/>
    <x v="0"/>
    <x v="0"/>
    <x v="0"/>
  </r>
  <r>
    <n v="1314"/>
    <s v="Lindsey Jana"/>
    <x v="2"/>
    <x v="1"/>
    <x v="16"/>
    <x v="13"/>
    <n v="170"/>
    <x v="196"/>
    <x v="0"/>
    <x v="0"/>
    <x v="0"/>
  </r>
  <r>
    <n v="1315"/>
    <s v="Lindstedt Rosa"/>
    <x v="6"/>
    <x v="10"/>
    <x v="4"/>
    <x v="23"/>
    <n v="186"/>
    <x v="627"/>
    <x v="0"/>
    <x v="0"/>
    <x v="0"/>
  </r>
  <r>
    <n v="1316"/>
    <s v="Lindstrom Fredrik"/>
    <x v="3"/>
    <x v="14"/>
    <x v="17"/>
    <x v="47"/>
    <n v="180"/>
    <x v="548"/>
    <x v="0"/>
    <x v="0"/>
    <x v="0"/>
  </r>
  <r>
    <n v="1317"/>
    <s v="Linger Andreas"/>
    <x v="10"/>
    <x v="32"/>
    <x v="8"/>
    <x v="23"/>
    <n v="184"/>
    <x v="600"/>
    <x v="0"/>
    <x v="0"/>
    <x v="0"/>
  </r>
  <r>
    <n v="1318"/>
    <s v="Linger Wolfgang"/>
    <x v="10"/>
    <x v="32"/>
    <x v="5"/>
    <x v="16"/>
    <n v="177"/>
    <x v="303"/>
    <x v="0"/>
    <x v="0"/>
    <x v="0"/>
  </r>
  <r>
    <n v="1319"/>
    <s v="Listner Ronny"/>
    <x v="5"/>
    <x v="8"/>
    <x v="7"/>
    <x v="27"/>
    <n v="190"/>
    <x v="628"/>
    <x v="1"/>
    <x v="0"/>
    <x v="2"/>
  </r>
  <r>
    <n v="1320"/>
    <s v="Liu Fangyi"/>
    <x v="4"/>
    <x v="44"/>
    <x v="5"/>
    <x v="23"/>
    <n v="182"/>
    <x v="629"/>
    <x v="0"/>
    <x v="0"/>
    <x v="0"/>
  </r>
  <r>
    <n v="1321"/>
    <s v="Liu Jiayu"/>
    <x v="8"/>
    <x v="44"/>
    <x v="23"/>
    <x v="8"/>
    <n v="170"/>
    <x v="356"/>
    <x v="0"/>
    <x v="0"/>
    <x v="0"/>
  </r>
  <r>
    <n v="1322"/>
    <s v="Liu Jinli"/>
    <x v="11"/>
    <x v="44"/>
    <x v="17"/>
    <x v="46"/>
    <n v="170"/>
    <x v="630"/>
    <x v="0"/>
    <x v="0"/>
    <x v="0"/>
  </r>
  <r>
    <n v="1323"/>
    <s v="Liu Rui"/>
    <x v="11"/>
    <x v="44"/>
    <x v="5"/>
    <x v="46"/>
    <n v="180"/>
    <x v="257"/>
    <x v="0"/>
    <x v="0"/>
    <x v="0"/>
  </r>
  <r>
    <n v="1324"/>
    <s v="Liu Xianwei"/>
    <x v="13"/>
    <x v="44"/>
    <x v="4"/>
    <x v="25"/>
    <n v="175"/>
    <x v="631"/>
    <x v="0"/>
    <x v="0"/>
    <x v="0"/>
  </r>
  <r>
    <n v="1327"/>
    <s v="Liu Yin"/>
    <x v="11"/>
    <x v="44"/>
    <x v="8"/>
    <x v="46"/>
    <n v="165"/>
    <x v="632"/>
    <x v="0"/>
    <x v="0"/>
    <x v="0"/>
  </r>
  <r>
    <n v="1328"/>
    <s v="Liu Yuan-Yuan"/>
    <x v="3"/>
    <x v="44"/>
    <x v="5"/>
    <x v="0"/>
    <n v="165"/>
    <x v="453"/>
    <x v="0"/>
    <x v="0"/>
    <x v="0"/>
  </r>
  <r>
    <n v="1329"/>
    <s v="Liu Zhixin"/>
    <x v="6"/>
    <x v="44"/>
    <x v="6"/>
    <x v="30"/>
    <n v="165"/>
    <x v="43"/>
    <x v="0"/>
    <x v="0"/>
    <x v="1"/>
  </r>
  <r>
    <n v="1330"/>
    <s v="Liu Zhongqing"/>
    <x v="2"/>
    <x v="44"/>
    <x v="1"/>
    <x v="19"/>
    <n v="175"/>
    <x v="37"/>
    <x v="0"/>
    <x v="0"/>
    <x v="0"/>
  </r>
  <r>
    <n v="1331"/>
    <s v="Liv Stefan"/>
    <x v="6"/>
    <x v="14"/>
    <x v="19"/>
    <x v="23"/>
    <n v="184"/>
    <x v="600"/>
    <x v="0"/>
    <x v="0"/>
    <x v="0"/>
  </r>
  <r>
    <n v="1332"/>
    <s v="Livers Toni"/>
    <x v="9"/>
    <x v="9"/>
    <x v="13"/>
    <x v="24"/>
    <n v="182"/>
    <x v="244"/>
    <x v="0"/>
    <x v="0"/>
    <x v="0"/>
  </r>
  <r>
    <n v="1334"/>
    <s v="Lizana Valentina"/>
    <x v="6"/>
    <x v="14"/>
    <x v="12"/>
    <x v="26"/>
    <n v="170"/>
    <x v="288"/>
    <x v="0"/>
    <x v="0"/>
    <x v="0"/>
  </r>
  <r>
    <n v="1335"/>
    <s v="Lizeroux Julien"/>
    <x v="0"/>
    <x v="16"/>
    <x v="2"/>
    <x v="23"/>
    <n v="173"/>
    <x v="388"/>
    <x v="0"/>
    <x v="0"/>
    <x v="0"/>
  </r>
  <r>
    <n v="1336"/>
    <s v="Loacker Juergen"/>
    <x v="5"/>
    <x v="32"/>
    <x v="18"/>
    <x v="41"/>
    <n v="176"/>
    <x v="480"/>
    <x v="0"/>
    <x v="0"/>
    <x v="2"/>
  </r>
  <r>
    <n v="1337"/>
    <s v="Lobkov Dmitry"/>
    <x v="4"/>
    <x v="5"/>
    <x v="19"/>
    <x v="48"/>
    <n v="178"/>
    <x v="309"/>
    <x v="0"/>
    <x v="0"/>
    <x v="0"/>
  </r>
  <r>
    <n v="1338"/>
    <s v="Lobysheva Yekaterina"/>
    <x v="4"/>
    <x v="5"/>
    <x v="1"/>
    <x v="17"/>
    <n v="175"/>
    <x v="236"/>
    <x v="0"/>
    <x v="0"/>
    <x v="0"/>
  </r>
  <r>
    <n v="1339"/>
    <s v="Loch Felix"/>
    <x v="10"/>
    <x v="8"/>
    <x v="17"/>
    <x v="46"/>
    <n v="191"/>
    <x v="234"/>
    <x v="0"/>
    <x v="0"/>
    <x v="0"/>
  </r>
  <r>
    <n v="1340"/>
    <s v="Loch-Wilkinson Astrid"/>
    <x v="5"/>
    <x v="15"/>
    <x v="5"/>
    <x v="9"/>
    <n v="168"/>
    <x v="202"/>
    <x v="0"/>
    <x v="0"/>
    <x v="0"/>
  </r>
  <r>
    <n v="1341"/>
    <s v="Lockhart Jackie"/>
    <x v="11"/>
    <x v="11"/>
    <x v="31"/>
    <x v="46"/>
    <n v="176"/>
    <x v="633"/>
    <x v="0"/>
    <x v="0"/>
    <x v="2"/>
  </r>
  <r>
    <n v="1342"/>
    <s v="Lodwick Todd"/>
    <x v="12"/>
    <x v="1"/>
    <x v="21"/>
    <x v="2"/>
    <n v="179"/>
    <x v="615"/>
    <x v="0"/>
    <x v="0"/>
    <x v="2"/>
  </r>
  <r>
    <n v="1343"/>
    <s v="Loeseth Mona"/>
    <x v="0"/>
    <x v="17"/>
    <x v="14"/>
    <x v="46"/>
    <n v="189"/>
    <x v="634"/>
    <x v="0"/>
    <x v="0"/>
    <x v="0"/>
  </r>
  <r>
    <n v="1344"/>
    <s v="Loevold Thomas"/>
    <x v="11"/>
    <x v="17"/>
    <x v="8"/>
    <x v="43"/>
    <n v="189"/>
    <x v="635"/>
    <x v="0"/>
    <x v="0"/>
    <x v="0"/>
  </r>
  <r>
    <n v="1345"/>
    <s v="Logsch Romy"/>
    <x v="5"/>
    <x v="8"/>
    <x v="8"/>
    <x v="1"/>
    <n v="182"/>
    <x v="216"/>
    <x v="0"/>
    <x v="0"/>
    <x v="0"/>
  </r>
  <r>
    <n v="1346"/>
    <s v="Loitzl Wolfgang"/>
    <x v="7"/>
    <x v="32"/>
    <x v="2"/>
    <x v="9"/>
    <n v="180"/>
    <x v="439"/>
    <x v="0"/>
    <x v="0"/>
    <x v="0"/>
  </r>
  <r>
    <n v="1347"/>
    <s v="Lolovic Jelena"/>
    <x v="0"/>
    <x v="51"/>
    <x v="8"/>
    <x v="22"/>
    <n v="168"/>
    <x v="175"/>
    <x v="0"/>
    <x v="0"/>
    <x v="0"/>
  </r>
  <r>
    <n v="1348"/>
    <s v="Longa Marianna"/>
    <x v="9"/>
    <x v="19"/>
    <x v="2"/>
    <x v="42"/>
    <n v="167"/>
    <x v="220"/>
    <x v="0"/>
    <x v="0"/>
    <x v="0"/>
  </r>
  <r>
    <n v="1349"/>
    <s v="Longhi Jhonatan"/>
    <x v="0"/>
    <x v="43"/>
    <x v="4"/>
    <x v="1"/>
    <n v="178"/>
    <x v="14"/>
    <x v="0"/>
    <x v="0"/>
    <x v="0"/>
  </r>
  <r>
    <n v="1350"/>
    <s v="Longo Arthur"/>
    <x v="8"/>
    <x v="16"/>
    <x v="3"/>
    <x v="6"/>
    <n v="173"/>
    <x v="94"/>
    <x v="0"/>
    <x v="0"/>
    <x v="0"/>
  </r>
  <r>
    <n v="1351"/>
    <s v="Loo Alexa"/>
    <x v="8"/>
    <x v="7"/>
    <x v="11"/>
    <x v="8"/>
    <n v="168"/>
    <x v="8"/>
    <x v="0"/>
    <x v="0"/>
    <x v="2"/>
  </r>
  <r>
    <n v="1352"/>
    <s v="Lopuchovsky Marcel"/>
    <x v="5"/>
    <x v="24"/>
    <x v="9"/>
    <x v="41"/>
    <n v="196"/>
    <x v="636"/>
    <x v="0"/>
    <x v="0"/>
    <x v="2"/>
  </r>
  <r>
    <n v="1354"/>
    <s v="Ludan Lilia"/>
    <x v="10"/>
    <x v="2"/>
    <x v="22"/>
    <x v="18"/>
    <n v="170"/>
    <x v="426"/>
    <x v="0"/>
    <x v="0"/>
    <x v="2"/>
  </r>
  <r>
    <n v="1355"/>
    <s v="Lueders Pierre"/>
    <x v="5"/>
    <x v="7"/>
    <x v="24"/>
    <x v="40"/>
    <n v="184"/>
    <x v="637"/>
    <x v="1"/>
    <x v="0"/>
    <x v="2"/>
  </r>
  <r>
    <n v="1356"/>
    <s v="Luedi Sanna"/>
    <x v="2"/>
    <x v="9"/>
    <x v="0"/>
    <x v="9"/>
    <n v="173"/>
    <x v="513"/>
    <x v="0"/>
    <x v="0"/>
    <x v="0"/>
  </r>
  <r>
    <n v="1357"/>
    <s v="Lumsden Jesse"/>
    <x v="5"/>
    <x v="7"/>
    <x v="5"/>
    <x v="60"/>
    <n v="186"/>
    <x v="638"/>
    <x v="1"/>
    <x v="0"/>
    <x v="0"/>
  </r>
  <r>
    <n v="1358"/>
    <s v="Lund Eva"/>
    <x v="11"/>
    <x v="14"/>
    <x v="20"/>
    <x v="43"/>
    <n v="169"/>
    <x v="536"/>
    <x v="0"/>
    <x v="0"/>
    <x v="2"/>
  </r>
  <r>
    <n v="1359"/>
    <s v="Lund Lars Erik"/>
    <x v="6"/>
    <x v="17"/>
    <x v="18"/>
    <x v="7"/>
    <n v="187"/>
    <x v="639"/>
    <x v="0"/>
    <x v="0"/>
    <x v="2"/>
  </r>
  <r>
    <n v="1360"/>
    <s v="Lund Zach"/>
    <x v="15"/>
    <x v="1"/>
    <x v="2"/>
    <x v="49"/>
    <n v="183"/>
    <x v="378"/>
    <x v="0"/>
    <x v="0"/>
    <x v="0"/>
  </r>
  <r>
    <n v="1361"/>
    <s v="Lundqvist Henrik"/>
    <x v="6"/>
    <x v="14"/>
    <x v="5"/>
    <x v="51"/>
    <n v="185"/>
    <x v="163"/>
    <x v="0"/>
    <x v="0"/>
    <x v="0"/>
  </r>
  <r>
    <n v="1362"/>
    <s v="Lundup Tashi"/>
    <x v="9"/>
    <x v="57"/>
    <x v="16"/>
    <x v="5"/>
    <n v="175"/>
    <x v="317"/>
    <x v="0"/>
    <x v="0"/>
    <x v="0"/>
  </r>
  <r>
    <n v="1363"/>
    <s v="Luongo Roberto"/>
    <x v="6"/>
    <x v="7"/>
    <x v="2"/>
    <x v="39"/>
    <n v="191"/>
    <x v="640"/>
    <x v="0"/>
    <x v="0"/>
    <x v="0"/>
  </r>
  <r>
    <n v="1364"/>
    <s v="Luusua Tapio"/>
    <x v="2"/>
    <x v="10"/>
    <x v="8"/>
    <x v="23"/>
    <n v="185"/>
    <x v="483"/>
    <x v="0"/>
    <x v="0"/>
    <x v="0"/>
  </r>
  <r>
    <n v="1365"/>
    <s v="Lydman Toni"/>
    <x v="6"/>
    <x v="10"/>
    <x v="9"/>
    <x v="18"/>
    <n v="185"/>
    <x v="160"/>
    <x v="0"/>
    <x v="0"/>
    <x v="2"/>
  </r>
  <r>
    <n v="1366"/>
    <s v="Lysacek Evan"/>
    <x v="1"/>
    <x v="1"/>
    <x v="1"/>
    <x v="43"/>
    <n v="188"/>
    <x v="641"/>
    <x v="0"/>
    <x v="0"/>
    <x v="0"/>
  </r>
  <r>
    <n v="1367"/>
    <s v="Lysenstoen Andre"/>
    <x v="6"/>
    <x v="17"/>
    <x v="3"/>
    <x v="59"/>
    <n v="193"/>
    <x v="642"/>
    <x v="1"/>
    <x v="0"/>
    <x v="0"/>
  </r>
  <r>
    <n v="1368"/>
    <s v="Ma Chih-Hung"/>
    <x v="10"/>
    <x v="65"/>
    <x v="1"/>
    <x v="2"/>
    <n v="175"/>
    <x v="237"/>
    <x v="0"/>
    <x v="0"/>
    <x v="0"/>
  </r>
  <r>
    <n v="1369"/>
    <s v="Ma Rui"/>
    <x v="6"/>
    <x v="44"/>
    <x v="17"/>
    <x v="25"/>
    <n v="172"/>
    <x v="58"/>
    <x v="0"/>
    <x v="0"/>
    <x v="0"/>
  </r>
  <r>
    <n v="1370"/>
    <s v="Ma Yunfeng"/>
    <x v="13"/>
    <x v="44"/>
    <x v="13"/>
    <x v="9"/>
    <n v="168"/>
    <x v="202"/>
    <x v="0"/>
    <x v="0"/>
    <x v="0"/>
  </r>
  <r>
    <n v="1371"/>
    <s v="Mabboux Alexandre"/>
    <x v="7"/>
    <x v="16"/>
    <x v="14"/>
    <x v="8"/>
    <n v="174"/>
    <x v="258"/>
    <x v="0"/>
    <x v="0"/>
    <x v="0"/>
  </r>
  <r>
    <n v="1372"/>
    <s v="Macdonald Ewan"/>
    <x v="11"/>
    <x v="11"/>
    <x v="15"/>
    <x v="43"/>
    <n v="177"/>
    <x v="340"/>
    <x v="0"/>
    <x v="0"/>
    <x v="2"/>
  </r>
  <r>
    <n v="1373"/>
    <s v="Mace Benjamin"/>
    <x v="13"/>
    <x v="16"/>
    <x v="17"/>
    <x v="48"/>
    <n v="183"/>
    <x v="433"/>
    <x v="0"/>
    <x v="0"/>
    <x v="0"/>
  </r>
  <r>
    <n v="1374"/>
    <s v="Machnutin Vladimir"/>
    <x v="10"/>
    <x v="5"/>
    <x v="4"/>
    <x v="17"/>
    <n v="176"/>
    <x v="84"/>
    <x v="0"/>
    <x v="0"/>
    <x v="0"/>
  </r>
  <r>
    <n v="1375"/>
    <s v="Maciuszek Paulina"/>
    <x v="9"/>
    <x v="25"/>
    <x v="1"/>
    <x v="0"/>
    <n v="170"/>
    <x v="540"/>
    <x v="0"/>
    <x v="0"/>
    <x v="0"/>
  </r>
  <r>
    <n v="1377"/>
    <s v="Macovei Bogdan"/>
    <x v="10"/>
    <x v="27"/>
    <x v="5"/>
    <x v="17"/>
    <n v="173"/>
    <x v="245"/>
    <x v="0"/>
    <x v="0"/>
    <x v="0"/>
  </r>
  <r>
    <n v="1378"/>
    <s v="Mader Regina"/>
    <x v="0"/>
    <x v="32"/>
    <x v="1"/>
    <x v="14"/>
    <n v="168"/>
    <x v="235"/>
    <x v="0"/>
    <x v="0"/>
    <x v="0"/>
  </r>
  <r>
    <n v="1379"/>
    <s v="Mae Jaak"/>
    <x v="9"/>
    <x v="49"/>
    <x v="11"/>
    <x v="23"/>
    <n v="181"/>
    <x v="195"/>
    <x v="0"/>
    <x v="0"/>
    <x v="2"/>
  </r>
  <r>
    <n v="1380"/>
    <s v="Maegert- Kohli Fraenzi"/>
    <x v="8"/>
    <x v="9"/>
    <x v="5"/>
    <x v="26"/>
    <n v="171"/>
    <x v="643"/>
    <x v="0"/>
    <x v="0"/>
    <x v="0"/>
  </r>
  <r>
    <n v="1381"/>
    <s v="Maffei Cecilia"/>
    <x v="13"/>
    <x v="19"/>
    <x v="16"/>
    <x v="8"/>
    <n v="166"/>
    <x v="47"/>
    <x v="0"/>
    <x v="0"/>
    <x v="0"/>
  </r>
  <r>
    <n v="1382"/>
    <s v="Magal Jiri"/>
    <x v="9"/>
    <x v="26"/>
    <x v="9"/>
    <x v="6"/>
    <n v="174"/>
    <x v="151"/>
    <x v="0"/>
    <x v="0"/>
    <x v="2"/>
  </r>
  <r>
    <n v="1383"/>
    <s v="Mair David"/>
    <x v="10"/>
    <x v="19"/>
    <x v="16"/>
    <x v="4"/>
    <n v="180"/>
    <x v="4"/>
    <x v="0"/>
    <x v="0"/>
    <x v="0"/>
  </r>
  <r>
    <n v="1384"/>
    <s v="Maitakov Sergei"/>
    <x v="0"/>
    <x v="5"/>
    <x v="17"/>
    <x v="35"/>
    <n v="184"/>
    <x v="644"/>
    <x v="0"/>
    <x v="0"/>
    <x v="0"/>
  </r>
  <r>
    <n v="1385"/>
    <s v="Majdic Petra"/>
    <x v="9"/>
    <x v="31"/>
    <x v="2"/>
    <x v="13"/>
    <n v="177"/>
    <x v="645"/>
    <x v="0"/>
    <x v="0"/>
    <x v="0"/>
  </r>
  <r>
    <n v="1386"/>
    <s v="Makarainen Kaisa"/>
    <x v="3"/>
    <x v="10"/>
    <x v="5"/>
    <x v="44"/>
    <n v="171"/>
    <x v="407"/>
    <x v="0"/>
    <x v="0"/>
    <x v="0"/>
  </r>
  <r>
    <n v="1388"/>
    <s v="Makowsky Lucas"/>
    <x v="4"/>
    <x v="7"/>
    <x v="4"/>
    <x v="48"/>
    <n v="180"/>
    <x v="448"/>
    <x v="0"/>
    <x v="0"/>
    <x v="0"/>
  </r>
  <r>
    <n v="1389"/>
    <s v="Makritski Aleksandr"/>
    <x v="6"/>
    <x v="4"/>
    <x v="20"/>
    <x v="18"/>
    <n v="186"/>
    <x v="509"/>
    <x v="0"/>
    <x v="0"/>
    <x v="2"/>
  </r>
  <r>
    <n v="1390"/>
    <s v="Malahova-Shishkina Svetlana"/>
    <x v="9"/>
    <x v="21"/>
    <x v="9"/>
    <x v="26"/>
    <n v="178"/>
    <x v="183"/>
    <x v="0"/>
    <x v="0"/>
    <x v="2"/>
  </r>
  <r>
    <n v="1391"/>
    <s v="Malak Michal"/>
    <x v="9"/>
    <x v="24"/>
    <x v="19"/>
    <x v="17"/>
    <n v="178"/>
    <x v="124"/>
    <x v="0"/>
    <x v="0"/>
    <x v="0"/>
  </r>
  <r>
    <n v="1394"/>
    <s v="Malin Markus"/>
    <x v="8"/>
    <x v="10"/>
    <x v="4"/>
    <x v="13"/>
    <n v="176"/>
    <x v="338"/>
    <x v="0"/>
    <x v="0"/>
    <x v="0"/>
  </r>
  <r>
    <n v="1395"/>
    <s v="Maliszewska Patrycja"/>
    <x v="13"/>
    <x v="25"/>
    <x v="3"/>
    <x v="22"/>
    <n v="172"/>
    <x v="26"/>
    <x v="0"/>
    <x v="0"/>
    <x v="0"/>
  </r>
  <r>
    <n v="1396"/>
    <s v="Maliutin Maksim"/>
    <x v="6"/>
    <x v="4"/>
    <x v="3"/>
    <x v="16"/>
    <n v="179"/>
    <x v="36"/>
    <x v="0"/>
    <x v="0"/>
    <x v="0"/>
  </r>
  <r>
    <n v="1397"/>
    <s v="Malkin Evgeny"/>
    <x v="6"/>
    <x v="5"/>
    <x v="0"/>
    <x v="15"/>
    <n v="191"/>
    <x v="68"/>
    <x v="0"/>
    <x v="0"/>
    <x v="0"/>
  </r>
  <r>
    <n v="1398"/>
    <s v="Malone Jordan"/>
    <x v="13"/>
    <x v="1"/>
    <x v="16"/>
    <x v="6"/>
    <n v="168"/>
    <x v="103"/>
    <x v="0"/>
    <x v="0"/>
    <x v="0"/>
  </r>
  <r>
    <n v="1399"/>
    <s v="Malone Ryan"/>
    <x v="6"/>
    <x v="1"/>
    <x v="2"/>
    <x v="40"/>
    <n v="193"/>
    <x v="446"/>
    <x v="1"/>
    <x v="0"/>
    <x v="0"/>
  </r>
  <r>
    <n v="1400"/>
    <s v="Maltais Dominique"/>
    <x v="8"/>
    <x v="7"/>
    <x v="19"/>
    <x v="19"/>
    <n v="178"/>
    <x v="323"/>
    <x v="0"/>
    <x v="0"/>
    <x v="0"/>
  </r>
  <r>
    <n v="1402"/>
    <s v="Malusa Simone"/>
    <x v="8"/>
    <x v="19"/>
    <x v="10"/>
    <x v="49"/>
    <n v="180"/>
    <x v="149"/>
    <x v="0"/>
    <x v="0"/>
    <x v="2"/>
  </r>
  <r>
    <n v="1403"/>
    <s v="Malysheva Yekaterina"/>
    <x v="4"/>
    <x v="5"/>
    <x v="0"/>
    <x v="22"/>
    <n v="168"/>
    <x v="175"/>
    <x v="0"/>
    <x v="0"/>
    <x v="0"/>
  </r>
  <r>
    <n v="1404"/>
    <s v="Malysz Adam"/>
    <x v="7"/>
    <x v="25"/>
    <x v="9"/>
    <x v="42"/>
    <n v="170"/>
    <x v="143"/>
    <x v="0"/>
    <x v="0"/>
    <x v="2"/>
  </r>
  <r>
    <n v="1405"/>
    <s v="Man Dandan"/>
    <x v="9"/>
    <x v="44"/>
    <x v="17"/>
    <x v="50"/>
    <n v="165"/>
    <x v="284"/>
    <x v="0"/>
    <x v="0"/>
    <x v="0"/>
  </r>
  <r>
    <n v="1406"/>
    <s v="Mancuso Julia"/>
    <x v="0"/>
    <x v="1"/>
    <x v="16"/>
    <x v="33"/>
    <n v="168"/>
    <x v="503"/>
    <x v="0"/>
    <x v="0"/>
    <x v="0"/>
  </r>
  <r>
    <n v="1407"/>
    <s v="Mandru Jorge"/>
    <x v="0"/>
    <x v="28"/>
    <x v="0"/>
    <x v="3"/>
    <n v="182"/>
    <x v="337"/>
    <x v="0"/>
    <x v="0"/>
    <x v="0"/>
  </r>
  <r>
    <n v="1409"/>
    <s v="Manificat Maurice"/>
    <x v="9"/>
    <x v="16"/>
    <x v="0"/>
    <x v="24"/>
    <n v="185"/>
    <x v="326"/>
    <x v="0"/>
    <x v="0"/>
    <x v="0"/>
  </r>
  <r>
    <n v="1410"/>
    <s v="Mann Alex"/>
    <x v="5"/>
    <x v="8"/>
    <x v="19"/>
    <x v="27"/>
    <n v="190"/>
    <x v="628"/>
    <x v="1"/>
    <x v="0"/>
    <x v="0"/>
  </r>
  <r>
    <n v="1412"/>
    <s v="Manninen Hannu"/>
    <x v="12"/>
    <x v="10"/>
    <x v="7"/>
    <x v="49"/>
    <n v="189"/>
    <x v="646"/>
    <x v="0"/>
    <x v="0"/>
    <x v="2"/>
  </r>
  <r>
    <n v="1414"/>
    <s v="March Aaron"/>
    <x v="8"/>
    <x v="19"/>
    <x v="0"/>
    <x v="49"/>
    <n v="186"/>
    <x v="265"/>
    <x v="0"/>
    <x v="0"/>
    <x v="0"/>
  </r>
  <r>
    <n v="1416"/>
    <s v="Marek Kornelia"/>
    <x v="9"/>
    <x v="25"/>
    <x v="1"/>
    <x v="66"/>
    <n v="165"/>
    <x v="647"/>
    <x v="0"/>
    <x v="0"/>
    <x v="0"/>
  </r>
  <r>
    <n v="1417"/>
    <s v="Marguc Rok"/>
    <x v="8"/>
    <x v="31"/>
    <x v="0"/>
    <x v="49"/>
    <n v="180"/>
    <x v="149"/>
    <x v="0"/>
    <x v="0"/>
    <x v="0"/>
  </r>
  <r>
    <n v="1418"/>
    <s v="Maric Igor"/>
    <x v="5"/>
    <x v="39"/>
    <x v="5"/>
    <x v="18"/>
    <n v="190"/>
    <x v="182"/>
    <x v="0"/>
    <x v="0"/>
    <x v="0"/>
  </r>
  <r>
    <n v="1419"/>
    <s v="Maric Janez"/>
    <x v="3"/>
    <x v="31"/>
    <x v="15"/>
    <x v="48"/>
    <n v="182"/>
    <x v="585"/>
    <x v="0"/>
    <x v="0"/>
    <x v="2"/>
  </r>
  <r>
    <n v="1420"/>
    <s v="Marin Tarroch Lluis"/>
    <x v="8"/>
    <x v="50"/>
    <x v="3"/>
    <x v="23"/>
    <n v="186"/>
    <x v="627"/>
    <x v="0"/>
    <x v="0"/>
    <x v="0"/>
  </r>
  <r>
    <n v="1421"/>
    <s v="Marinelli Danko"/>
    <x v="0"/>
    <x v="39"/>
    <x v="4"/>
    <x v="31"/>
    <n v="184"/>
    <x v="648"/>
    <x v="0"/>
    <x v="0"/>
    <x v="0"/>
  </r>
  <r>
    <n v="1422"/>
    <s v="Markov Andrey"/>
    <x v="6"/>
    <x v="5"/>
    <x v="7"/>
    <x v="18"/>
    <n v="183"/>
    <x v="400"/>
    <x v="0"/>
    <x v="0"/>
    <x v="2"/>
  </r>
  <r>
    <n v="1423"/>
    <s v="Marleau Patrick"/>
    <x v="6"/>
    <x v="7"/>
    <x v="2"/>
    <x v="40"/>
    <n v="188"/>
    <x v="578"/>
    <x v="1"/>
    <x v="0"/>
    <x v="0"/>
  </r>
  <r>
    <n v="1424"/>
    <s v="Marmottan Anemone"/>
    <x v="0"/>
    <x v="16"/>
    <x v="3"/>
    <x v="6"/>
    <n v="170"/>
    <x v="101"/>
    <x v="0"/>
    <x v="0"/>
    <x v="0"/>
  </r>
  <r>
    <n v="1425"/>
    <s v="Marquis Vincent"/>
    <x v="2"/>
    <x v="7"/>
    <x v="16"/>
    <x v="16"/>
    <n v="175"/>
    <x v="431"/>
    <x v="0"/>
    <x v="0"/>
    <x v="0"/>
  </r>
  <r>
    <n v="1426"/>
    <s v="Marshall Chelsea"/>
    <x v="0"/>
    <x v="1"/>
    <x v="0"/>
    <x v="5"/>
    <n v="165"/>
    <x v="649"/>
    <x v="0"/>
    <x v="0"/>
    <x v="0"/>
  </r>
  <r>
    <n v="1427"/>
    <s v="Marsicano Trevor"/>
    <x v="4"/>
    <x v="1"/>
    <x v="17"/>
    <x v="47"/>
    <n v="173"/>
    <x v="127"/>
    <x v="0"/>
    <x v="0"/>
    <x v="0"/>
  </r>
  <r>
    <n v="1428"/>
    <s v="Martin Brad"/>
    <x v="8"/>
    <x v="7"/>
    <x v="0"/>
    <x v="4"/>
    <n v="180"/>
    <x v="4"/>
    <x v="0"/>
    <x v="0"/>
    <x v="0"/>
  </r>
  <r>
    <n v="1429"/>
    <s v="Martin Brian"/>
    <x v="10"/>
    <x v="1"/>
    <x v="10"/>
    <x v="47"/>
    <n v="170"/>
    <x v="526"/>
    <x v="0"/>
    <x v="0"/>
    <x v="2"/>
  </r>
  <r>
    <n v="1430"/>
    <s v="Martin Kevin"/>
    <x v="11"/>
    <x v="7"/>
    <x v="28"/>
    <x v="43"/>
    <n v="185"/>
    <x v="650"/>
    <x v="0"/>
    <x v="0"/>
    <x v="2"/>
  </r>
  <r>
    <n v="1431"/>
    <s v="Martin Kim"/>
    <x v="6"/>
    <x v="14"/>
    <x v="0"/>
    <x v="13"/>
    <n v="166"/>
    <x v="336"/>
    <x v="0"/>
    <x v="0"/>
    <x v="0"/>
  </r>
  <r>
    <n v="1432"/>
    <s v="Martini Cathleen"/>
    <x v="5"/>
    <x v="8"/>
    <x v="5"/>
    <x v="5"/>
    <n v="170"/>
    <x v="38"/>
    <x v="0"/>
    <x v="0"/>
    <x v="0"/>
  </r>
  <r>
    <n v="1433"/>
    <s v="Marty Julia"/>
    <x v="6"/>
    <x v="9"/>
    <x v="3"/>
    <x v="16"/>
    <n v="170"/>
    <x v="199"/>
    <x v="0"/>
    <x v="0"/>
    <x v="0"/>
  </r>
  <r>
    <n v="1434"/>
    <s v="Marty Stefanie"/>
    <x v="6"/>
    <x v="9"/>
    <x v="3"/>
    <x v="17"/>
    <n v="168"/>
    <x v="608"/>
    <x v="0"/>
    <x v="0"/>
    <x v="0"/>
  </r>
  <r>
    <n v="1436"/>
    <s v="Marvin Gigi"/>
    <x v="6"/>
    <x v="1"/>
    <x v="4"/>
    <x v="47"/>
    <n v="174"/>
    <x v="651"/>
    <x v="0"/>
    <x v="0"/>
    <x v="0"/>
  </r>
  <r>
    <n v="1437"/>
    <s v="Masalskis Edgars"/>
    <x v="6"/>
    <x v="20"/>
    <x v="19"/>
    <x v="48"/>
    <n v="177"/>
    <x v="246"/>
    <x v="0"/>
    <x v="0"/>
    <x v="0"/>
  </r>
  <r>
    <n v="1438"/>
    <s v="Maskalans Edgars"/>
    <x v="5"/>
    <x v="20"/>
    <x v="5"/>
    <x v="31"/>
    <n v="180"/>
    <x v="652"/>
    <x v="0"/>
    <x v="0"/>
    <x v="0"/>
  </r>
  <r>
    <n v="1439"/>
    <s v="Maslennikov Sergej"/>
    <x v="12"/>
    <x v="5"/>
    <x v="5"/>
    <x v="6"/>
    <n v="175"/>
    <x v="179"/>
    <x v="0"/>
    <x v="0"/>
    <x v="0"/>
  </r>
  <r>
    <n v="1440"/>
    <s v="Masson Jeremy"/>
    <x v="13"/>
    <x v="16"/>
    <x v="4"/>
    <x v="24"/>
    <n v="174"/>
    <x v="491"/>
    <x v="0"/>
    <x v="0"/>
    <x v="0"/>
  </r>
  <r>
    <n v="1441"/>
    <s v="Matejova Michaela"/>
    <x v="6"/>
    <x v="24"/>
    <x v="0"/>
    <x v="44"/>
    <n v="169"/>
    <x v="653"/>
    <x v="0"/>
    <x v="0"/>
    <x v="0"/>
  </r>
  <r>
    <n v="1442"/>
    <s v="Mates Ben"/>
    <x v="8"/>
    <x v="15"/>
    <x v="13"/>
    <x v="28"/>
    <n v="175"/>
    <x v="654"/>
    <x v="0"/>
    <x v="0"/>
    <x v="0"/>
  </r>
  <r>
    <n v="1443"/>
    <s v="Mathieu Raphael"/>
    <x v="11"/>
    <x v="16"/>
    <x v="13"/>
    <x v="43"/>
    <n v="177"/>
    <x v="340"/>
    <x v="0"/>
    <x v="0"/>
    <x v="0"/>
  </r>
  <r>
    <n v="1444"/>
    <s v="Matiasko Marek"/>
    <x v="3"/>
    <x v="24"/>
    <x v="9"/>
    <x v="22"/>
    <n v="172"/>
    <x v="26"/>
    <x v="0"/>
    <x v="0"/>
    <x v="2"/>
  </r>
  <r>
    <n v="1445"/>
    <s v="Matiasko Miroslav"/>
    <x v="3"/>
    <x v="24"/>
    <x v="5"/>
    <x v="16"/>
    <n v="182"/>
    <x v="144"/>
    <x v="0"/>
    <x v="0"/>
    <x v="0"/>
  </r>
  <r>
    <n v="1446"/>
    <s v="Matijevic Slobodan"/>
    <x v="5"/>
    <x v="51"/>
    <x v="3"/>
    <x v="12"/>
    <n v="184"/>
    <x v="64"/>
    <x v="0"/>
    <x v="0"/>
    <x v="0"/>
  </r>
  <r>
    <n v="1447"/>
    <s v="Matrossova Marina"/>
    <x v="9"/>
    <x v="21"/>
    <x v="12"/>
    <x v="2"/>
    <n v="178"/>
    <x v="432"/>
    <x v="0"/>
    <x v="0"/>
    <x v="0"/>
  </r>
  <r>
    <n v="1448"/>
    <s v="Matsotska Bogdana"/>
    <x v="0"/>
    <x v="2"/>
    <x v="17"/>
    <x v="6"/>
    <n v="175"/>
    <x v="179"/>
    <x v="0"/>
    <x v="0"/>
    <x v="0"/>
  </r>
  <r>
    <n v="1449"/>
    <s v="Matt Andreas"/>
    <x v="2"/>
    <x v="32"/>
    <x v="5"/>
    <x v="40"/>
    <n v="192"/>
    <x v="655"/>
    <x v="1"/>
    <x v="0"/>
    <x v="0"/>
  </r>
  <r>
    <n v="1450"/>
    <s v="Matt Mario"/>
    <x v="0"/>
    <x v="32"/>
    <x v="2"/>
    <x v="20"/>
    <n v="188"/>
    <x v="569"/>
    <x v="0"/>
    <x v="0"/>
    <x v="0"/>
  </r>
  <r>
    <n v="1451"/>
    <s v="Mattei Jean Charles"/>
    <x v="13"/>
    <x v="16"/>
    <x v="5"/>
    <x v="47"/>
    <n v="179"/>
    <x v="141"/>
    <x v="0"/>
    <x v="0"/>
    <x v="0"/>
  </r>
  <r>
    <n v="1452"/>
    <s v="Mattscherodt Katrin"/>
    <x v="4"/>
    <x v="8"/>
    <x v="8"/>
    <x v="17"/>
    <n v="165"/>
    <x v="188"/>
    <x v="0"/>
    <x v="0"/>
    <x v="0"/>
  </r>
  <r>
    <n v="1453"/>
    <s v="Mau Asam Liesbeth"/>
    <x v="13"/>
    <x v="33"/>
    <x v="5"/>
    <x v="8"/>
    <n v="173"/>
    <x v="581"/>
    <x v="0"/>
    <x v="0"/>
    <x v="0"/>
  </r>
  <r>
    <n v="1454"/>
    <s v="Mayer Juergen"/>
    <x v="5"/>
    <x v="32"/>
    <x v="21"/>
    <x v="64"/>
    <n v="183"/>
    <x v="656"/>
    <x v="1"/>
    <x v="0"/>
    <x v="2"/>
  </r>
  <r>
    <n v="1455"/>
    <s v="Mazdzer Chris"/>
    <x v="10"/>
    <x v="1"/>
    <x v="3"/>
    <x v="38"/>
    <n v="185"/>
    <x v="107"/>
    <x v="0"/>
    <x v="0"/>
    <x v="0"/>
  </r>
  <r>
    <n v="1456"/>
    <s v="Maze Tina"/>
    <x v="0"/>
    <x v="31"/>
    <x v="5"/>
    <x v="2"/>
    <n v="171"/>
    <x v="75"/>
    <x v="0"/>
    <x v="0"/>
    <x v="0"/>
  </r>
  <r>
    <n v="1458"/>
    <s v="Mccorkell Jenna"/>
    <x v="1"/>
    <x v="11"/>
    <x v="0"/>
    <x v="43"/>
    <n v="165"/>
    <x v="352"/>
    <x v="0"/>
    <x v="0"/>
    <x v="0"/>
  </r>
  <r>
    <n v="1459"/>
    <s v="Mccormick Debbie"/>
    <x v="11"/>
    <x v="1"/>
    <x v="10"/>
    <x v="43"/>
    <n v="170"/>
    <x v="227"/>
    <x v="0"/>
    <x v="0"/>
    <x v="2"/>
  </r>
  <r>
    <n v="1460"/>
    <s v="Mcgarry Kirsten"/>
    <x v="0"/>
    <x v="29"/>
    <x v="1"/>
    <x v="17"/>
    <n v="172"/>
    <x v="384"/>
    <x v="0"/>
    <x v="0"/>
    <x v="0"/>
  </r>
  <r>
    <n v="1462"/>
    <s v="Mcivor Ashleigh"/>
    <x v="2"/>
    <x v="7"/>
    <x v="13"/>
    <x v="13"/>
    <n v="178"/>
    <x v="524"/>
    <x v="0"/>
    <x v="0"/>
    <x v="0"/>
  </r>
  <r>
    <n v="1463"/>
    <s v="Mcjames Megan"/>
    <x v="0"/>
    <x v="1"/>
    <x v="4"/>
    <x v="43"/>
    <n v="168"/>
    <x v="312"/>
    <x v="0"/>
    <x v="0"/>
    <x v="0"/>
  </r>
  <r>
    <n v="1464"/>
    <s v="Mckeever Brian"/>
    <x v="9"/>
    <x v="7"/>
    <x v="2"/>
    <x v="16"/>
    <n v="177"/>
    <x v="303"/>
    <x v="0"/>
    <x v="0"/>
    <x v="0"/>
  </r>
  <r>
    <n v="1466"/>
    <s v="Mckennis Alice"/>
    <x v="0"/>
    <x v="1"/>
    <x v="17"/>
    <x v="25"/>
    <n v="168"/>
    <x v="657"/>
    <x v="0"/>
    <x v="0"/>
    <x v="0"/>
  </r>
  <r>
    <n v="1467"/>
    <s v="Mclaughlin Brianne"/>
    <x v="6"/>
    <x v="1"/>
    <x v="4"/>
    <x v="8"/>
    <n v="174"/>
    <x v="258"/>
    <x v="0"/>
    <x v="0"/>
    <x v="0"/>
  </r>
  <r>
    <n v="1468"/>
    <s v="Mcleish Adam"/>
    <x v="8"/>
    <x v="11"/>
    <x v="2"/>
    <x v="20"/>
    <n v="183"/>
    <x v="172"/>
    <x v="0"/>
    <x v="0"/>
    <x v="0"/>
  </r>
  <r>
    <n v="1469"/>
    <s v="Mcmurtry Brent"/>
    <x v="9"/>
    <x v="7"/>
    <x v="0"/>
    <x v="37"/>
    <n v="175"/>
    <x v="146"/>
    <x v="0"/>
    <x v="0"/>
    <x v="0"/>
  </r>
  <r>
    <n v="1475"/>
    <s v="Meier Christine"/>
    <x v="6"/>
    <x v="9"/>
    <x v="0"/>
    <x v="2"/>
    <n v="169"/>
    <x v="2"/>
    <x v="0"/>
    <x v="0"/>
    <x v="0"/>
  </r>
  <r>
    <n v="1477"/>
    <s v="Meija Gints"/>
    <x v="6"/>
    <x v="20"/>
    <x v="4"/>
    <x v="36"/>
    <n v="186"/>
    <x v="285"/>
    <x v="0"/>
    <x v="0"/>
    <x v="0"/>
  </r>
  <r>
    <n v="1478"/>
    <s v="Meiler Simona"/>
    <x v="8"/>
    <x v="9"/>
    <x v="17"/>
    <x v="22"/>
    <n v="165"/>
    <x v="41"/>
    <x v="0"/>
    <x v="0"/>
    <x v="0"/>
  </r>
  <r>
    <n v="1479"/>
    <s v="Melbardis Oskars"/>
    <x v="5"/>
    <x v="20"/>
    <x v="3"/>
    <x v="40"/>
    <n v="186"/>
    <x v="305"/>
    <x v="1"/>
    <x v="0"/>
    <x v="0"/>
  </r>
  <r>
    <n v="1480"/>
    <s v="Merighetti Daniela"/>
    <x v="0"/>
    <x v="19"/>
    <x v="8"/>
    <x v="13"/>
    <n v="168"/>
    <x v="13"/>
    <x v="0"/>
    <x v="0"/>
    <x v="0"/>
  </r>
  <r>
    <n v="1481"/>
    <s v="Mermillod Blondin Thomas"/>
    <x v="0"/>
    <x v="16"/>
    <x v="13"/>
    <x v="23"/>
    <n v="176"/>
    <x v="275"/>
    <x v="0"/>
    <x v="0"/>
    <x v="0"/>
  </r>
  <r>
    <n v="1482"/>
    <s v="Mertanen Terhi"/>
    <x v="6"/>
    <x v="10"/>
    <x v="8"/>
    <x v="2"/>
    <n v="166"/>
    <x v="397"/>
    <x v="0"/>
    <x v="0"/>
    <x v="0"/>
  </r>
  <r>
    <n v="1484"/>
    <s v="Mesler Steve"/>
    <x v="5"/>
    <x v="1"/>
    <x v="7"/>
    <x v="46"/>
    <n v="188"/>
    <x v="171"/>
    <x v="0"/>
    <x v="0"/>
    <x v="2"/>
  </r>
  <r>
    <n v="1485"/>
    <s v="Mesotitsch Daniel"/>
    <x v="3"/>
    <x v="32"/>
    <x v="21"/>
    <x v="23"/>
    <n v="181"/>
    <x v="195"/>
    <x v="0"/>
    <x v="0"/>
    <x v="2"/>
  </r>
  <r>
    <n v="1486"/>
    <s v="Meszaros Andrej"/>
    <x v="6"/>
    <x v="24"/>
    <x v="1"/>
    <x v="36"/>
    <n v="188"/>
    <x v="413"/>
    <x v="0"/>
    <x v="0"/>
    <x v="0"/>
  </r>
  <r>
    <n v="1487"/>
    <s v="Meyer Fabienne"/>
    <x v="5"/>
    <x v="9"/>
    <x v="8"/>
    <x v="17"/>
    <n v="168"/>
    <x v="608"/>
    <x v="0"/>
    <x v="0"/>
    <x v="0"/>
  </r>
  <r>
    <n v="1488"/>
    <s v="Meyers Elana"/>
    <x v="5"/>
    <x v="1"/>
    <x v="16"/>
    <x v="3"/>
    <n v="173"/>
    <x v="574"/>
    <x v="0"/>
    <x v="0"/>
    <x v="0"/>
  </r>
  <r>
    <n v="1489"/>
    <s v="Mezin Andrei"/>
    <x v="6"/>
    <x v="4"/>
    <x v="18"/>
    <x v="48"/>
    <n v="182"/>
    <x v="585"/>
    <x v="0"/>
    <x v="0"/>
    <x v="2"/>
  </r>
  <r>
    <n v="1490"/>
    <s v="Meznar Mitja"/>
    <x v="7"/>
    <x v="31"/>
    <x v="3"/>
    <x v="17"/>
    <n v="191"/>
    <x v="658"/>
    <x v="0"/>
    <x v="0"/>
    <x v="0"/>
  </r>
  <r>
    <n v="1491"/>
    <s v="Mezulic Mate"/>
    <x v="5"/>
    <x v="39"/>
    <x v="8"/>
    <x v="31"/>
    <n v="181"/>
    <x v="659"/>
    <x v="0"/>
    <x v="0"/>
    <x v="0"/>
  </r>
  <r>
    <n v="1492"/>
    <s v="Miaillier Sylvain"/>
    <x v="2"/>
    <x v="16"/>
    <x v="0"/>
    <x v="48"/>
    <n v="178"/>
    <x v="309"/>
    <x v="0"/>
    <x v="0"/>
    <x v="0"/>
  </r>
  <r>
    <n v="1493"/>
    <s v="Michalek Milan"/>
    <x v="6"/>
    <x v="26"/>
    <x v="16"/>
    <x v="34"/>
    <n v="188"/>
    <x v="611"/>
    <x v="1"/>
    <x v="0"/>
    <x v="0"/>
  </r>
  <r>
    <n v="1494"/>
    <s v="Michalek Zbynek"/>
    <x v="6"/>
    <x v="26"/>
    <x v="1"/>
    <x v="11"/>
    <n v="190"/>
    <x v="660"/>
    <x v="0"/>
    <x v="0"/>
    <x v="0"/>
  </r>
  <r>
    <n v="1495"/>
    <s v="Michielin Rahel"/>
    <x v="6"/>
    <x v="9"/>
    <x v="12"/>
    <x v="30"/>
    <n v="165"/>
    <x v="43"/>
    <x v="0"/>
    <x v="0"/>
    <x v="0"/>
  </r>
  <r>
    <n v="1496"/>
    <s v="Michielli Giuseppe"/>
    <x v="12"/>
    <x v="19"/>
    <x v="1"/>
    <x v="6"/>
    <n v="170"/>
    <x v="101"/>
    <x v="0"/>
    <x v="0"/>
    <x v="0"/>
  </r>
  <r>
    <n v="1497"/>
    <s v="Mielzynski Erin"/>
    <x v="0"/>
    <x v="7"/>
    <x v="12"/>
    <x v="6"/>
    <n v="169"/>
    <x v="623"/>
    <x v="0"/>
    <x v="0"/>
    <x v="0"/>
  </r>
  <r>
    <n v="1498"/>
    <s v="Miettinen Antti"/>
    <x v="6"/>
    <x v="10"/>
    <x v="19"/>
    <x v="12"/>
    <n v="182"/>
    <x v="270"/>
    <x v="0"/>
    <x v="0"/>
    <x v="0"/>
  </r>
  <r>
    <n v="1499"/>
    <s v="Mietus Krzysztof"/>
    <x v="7"/>
    <x v="25"/>
    <x v="14"/>
    <x v="0"/>
    <n v="172"/>
    <x v="661"/>
    <x v="0"/>
    <x v="0"/>
    <x v="0"/>
  </r>
  <r>
    <n v="1500"/>
    <s v="Mikayelyan Sergey"/>
    <x v="9"/>
    <x v="66"/>
    <x v="23"/>
    <x v="6"/>
    <n v="180"/>
    <x v="266"/>
    <x v="0"/>
    <x v="0"/>
    <x v="0"/>
  </r>
  <r>
    <n v="1501"/>
    <s v="Mikhalev Andrei"/>
    <x v="6"/>
    <x v="4"/>
    <x v="7"/>
    <x v="18"/>
    <n v="185"/>
    <x v="160"/>
    <x v="0"/>
    <x v="0"/>
    <x v="2"/>
  </r>
  <r>
    <n v="1502"/>
    <s v="Mikheev Stanislav"/>
    <x v="10"/>
    <x v="5"/>
    <x v="17"/>
    <x v="13"/>
    <n v="172"/>
    <x v="662"/>
    <x v="0"/>
    <x v="0"/>
    <x v="0"/>
  </r>
  <r>
    <n v="1503"/>
    <s v="Mikkelson Meaghan"/>
    <x v="6"/>
    <x v="7"/>
    <x v="16"/>
    <x v="5"/>
    <n v="175"/>
    <x v="317"/>
    <x v="0"/>
    <x v="0"/>
    <x v="0"/>
  </r>
  <r>
    <n v="1505"/>
    <s v="Miller Bode"/>
    <x v="0"/>
    <x v="1"/>
    <x v="9"/>
    <x v="31"/>
    <n v="188"/>
    <x v="517"/>
    <x v="0"/>
    <x v="0"/>
    <x v="2"/>
  </r>
  <r>
    <n v="1506"/>
    <s v="Miller Ryan"/>
    <x v="6"/>
    <x v="1"/>
    <x v="19"/>
    <x v="28"/>
    <n v="188"/>
    <x v="424"/>
    <x v="0"/>
    <x v="0"/>
    <x v="0"/>
  </r>
  <r>
    <n v="1507"/>
    <s v="Minagawa Kentaro"/>
    <x v="0"/>
    <x v="22"/>
    <x v="9"/>
    <x v="12"/>
    <n v="173"/>
    <x v="663"/>
    <x v="0"/>
    <x v="0"/>
    <x v="2"/>
  </r>
  <r>
    <n v="1508"/>
    <s v="Minato Yusuke"/>
    <x v="12"/>
    <x v="22"/>
    <x v="1"/>
    <x v="37"/>
    <n v="183"/>
    <x v="169"/>
    <x v="0"/>
    <x v="0"/>
    <x v="0"/>
  </r>
  <r>
    <n v="1509"/>
    <s v="Minichiello Nicola"/>
    <x v="5"/>
    <x v="11"/>
    <x v="7"/>
    <x v="23"/>
    <n v="165"/>
    <x v="664"/>
    <x v="0"/>
    <x v="0"/>
    <x v="2"/>
  </r>
  <r>
    <n v="1510"/>
    <s v="Minins Janis"/>
    <x v="5"/>
    <x v="20"/>
    <x v="19"/>
    <x v="34"/>
    <n v="182"/>
    <x v="665"/>
    <x v="1"/>
    <x v="0"/>
    <x v="0"/>
  </r>
  <r>
    <n v="1511"/>
    <s v="Mirambell Ander"/>
    <x v="15"/>
    <x v="48"/>
    <x v="13"/>
    <x v="3"/>
    <n v="182"/>
    <x v="337"/>
    <x v="0"/>
    <x v="0"/>
    <x v="0"/>
  </r>
  <r>
    <n v="1512"/>
    <s v="Miranda Cyril"/>
    <x v="9"/>
    <x v="16"/>
    <x v="1"/>
    <x v="4"/>
    <n v="185"/>
    <x v="666"/>
    <x v="0"/>
    <x v="0"/>
    <x v="0"/>
  </r>
  <r>
    <n v="1513"/>
    <s v="Mirhashemi Roteh Seyed Mostafa"/>
    <x v="9"/>
    <x v="58"/>
    <x v="18"/>
    <x v="17"/>
    <n v="178"/>
    <x v="124"/>
    <x v="0"/>
    <x v="0"/>
    <x v="2"/>
  </r>
  <r>
    <n v="1514"/>
    <s v="Missillier Steve"/>
    <x v="0"/>
    <x v="16"/>
    <x v="16"/>
    <x v="23"/>
    <n v="186"/>
    <x v="627"/>
    <x v="0"/>
    <x v="0"/>
    <x v="0"/>
  </r>
  <r>
    <n v="1515"/>
    <s v="Mitchell Eric"/>
    <x v="7"/>
    <x v="7"/>
    <x v="23"/>
    <x v="50"/>
    <n v="174"/>
    <x v="667"/>
    <x v="0"/>
    <x v="0"/>
    <x v="0"/>
  </r>
  <r>
    <n v="1516"/>
    <s v="Miyauchi Masaru"/>
    <x v="5"/>
    <x v="22"/>
    <x v="16"/>
    <x v="34"/>
    <n v="185"/>
    <x v="668"/>
    <x v="1"/>
    <x v="0"/>
    <x v="0"/>
  </r>
  <r>
    <n v="1517"/>
    <s v="Mlynar Peter"/>
    <x v="9"/>
    <x v="24"/>
    <x v="3"/>
    <x v="23"/>
    <n v="186"/>
    <x v="627"/>
    <x v="0"/>
    <x v="0"/>
    <x v="0"/>
  </r>
  <r>
    <n v="1518"/>
    <s v="Mo Tae-Bum"/>
    <x v="4"/>
    <x v="42"/>
    <x v="17"/>
    <x v="16"/>
    <n v="177"/>
    <x v="303"/>
    <x v="0"/>
    <x v="0"/>
    <x v="0"/>
  </r>
  <r>
    <n v="1519"/>
    <s v="Moan Magnus H."/>
    <x v="12"/>
    <x v="17"/>
    <x v="13"/>
    <x v="43"/>
    <n v="190"/>
    <x v="669"/>
    <x v="0"/>
    <x v="0"/>
    <x v="0"/>
  </r>
  <r>
    <n v="1520"/>
    <s v="Modin Fredrik"/>
    <x v="6"/>
    <x v="14"/>
    <x v="18"/>
    <x v="40"/>
    <n v="193"/>
    <x v="446"/>
    <x v="1"/>
    <x v="0"/>
    <x v="2"/>
  </r>
  <r>
    <n v="1521"/>
    <s v="Modin Jesper"/>
    <x v="9"/>
    <x v="14"/>
    <x v="3"/>
    <x v="38"/>
    <n v="200"/>
    <x v="670"/>
    <x v="0"/>
    <x v="0"/>
    <x v="0"/>
  </r>
  <r>
    <n v="1523"/>
    <s v="Moelgg Manfred"/>
    <x v="0"/>
    <x v="19"/>
    <x v="5"/>
    <x v="48"/>
    <n v="179"/>
    <x v="671"/>
    <x v="0"/>
    <x v="0"/>
    <x v="0"/>
  </r>
  <r>
    <n v="1524"/>
    <s v="Moelgg Manuela"/>
    <x v="0"/>
    <x v="19"/>
    <x v="13"/>
    <x v="22"/>
    <n v="169"/>
    <x v="343"/>
    <x v="0"/>
    <x v="0"/>
    <x v="0"/>
  </r>
  <r>
    <n v="1525"/>
    <s v="Moeller David"/>
    <x v="10"/>
    <x v="8"/>
    <x v="8"/>
    <x v="38"/>
    <n v="188"/>
    <x v="73"/>
    <x v="0"/>
    <x v="0"/>
    <x v="0"/>
  </r>
  <r>
    <n v="1526"/>
    <s v="Moenne Loccoz Nelly"/>
    <x v="8"/>
    <x v="16"/>
    <x v="12"/>
    <x v="22"/>
    <n v="166"/>
    <x v="672"/>
    <x v="0"/>
    <x v="0"/>
    <x v="0"/>
  </r>
  <r>
    <n v="1527"/>
    <s v="Moffat Chris"/>
    <x v="10"/>
    <x v="7"/>
    <x v="2"/>
    <x v="32"/>
    <n v="186"/>
    <x v="592"/>
    <x v="0"/>
    <x v="0"/>
    <x v="0"/>
  </r>
  <r>
    <n v="1528"/>
    <s v="Moffat Mike"/>
    <x v="10"/>
    <x v="7"/>
    <x v="5"/>
    <x v="48"/>
    <n v="182"/>
    <x v="585"/>
    <x v="0"/>
    <x v="0"/>
    <x v="0"/>
  </r>
  <r>
    <n v="1529"/>
    <s v="Moir Scott"/>
    <x v="1"/>
    <x v="7"/>
    <x v="4"/>
    <x v="67"/>
    <n v="168"/>
    <x v="673"/>
    <x v="0"/>
    <x v="0"/>
    <x v="0"/>
  </r>
  <r>
    <n v="1530"/>
    <s v="Moiseev Petr"/>
    <x v="5"/>
    <x v="5"/>
    <x v="0"/>
    <x v="41"/>
    <n v="187"/>
    <x v="674"/>
    <x v="0"/>
    <x v="0"/>
    <x v="0"/>
  </r>
  <r>
    <n v="1531"/>
    <s v="Moiseychenkov Denis"/>
    <x v="5"/>
    <x v="5"/>
    <x v="0"/>
    <x v="18"/>
    <n v="182"/>
    <x v="21"/>
    <x v="0"/>
    <x v="0"/>
    <x v="0"/>
  </r>
  <r>
    <n v="1532"/>
    <s v="Mollin Bart"/>
    <x v="0"/>
    <x v="55"/>
    <x v="8"/>
    <x v="18"/>
    <n v="183"/>
    <x v="400"/>
    <x v="0"/>
    <x v="0"/>
    <x v="0"/>
  </r>
  <r>
    <n v="1533"/>
    <s v="Money Dan"/>
    <x v="5"/>
    <x v="11"/>
    <x v="21"/>
    <x v="29"/>
    <n v="183"/>
    <x v="516"/>
    <x v="0"/>
    <x v="0"/>
    <x v="2"/>
  </r>
  <r>
    <n v="1534"/>
    <s v="Monnet Thibaut"/>
    <x v="6"/>
    <x v="9"/>
    <x v="8"/>
    <x v="1"/>
    <n v="182"/>
    <x v="216"/>
    <x v="0"/>
    <x v="0"/>
    <x v="0"/>
  </r>
  <r>
    <n v="1535"/>
    <s v="Montgomery Jon"/>
    <x v="15"/>
    <x v="7"/>
    <x v="2"/>
    <x v="37"/>
    <n v="175"/>
    <x v="146"/>
    <x v="0"/>
    <x v="0"/>
    <x v="0"/>
  </r>
  <r>
    <n v="1536"/>
    <s v="Moore Kristie"/>
    <x v="11"/>
    <x v="7"/>
    <x v="2"/>
    <x v="67"/>
    <n v="173"/>
    <x v="675"/>
    <x v="0"/>
    <x v="0"/>
    <x v="0"/>
  </r>
  <r>
    <n v="1538"/>
    <s v="Morassi Andrea"/>
    <x v="7"/>
    <x v="19"/>
    <x v="3"/>
    <x v="6"/>
    <n v="180"/>
    <x v="266"/>
    <x v="0"/>
    <x v="0"/>
    <x v="0"/>
  </r>
  <r>
    <n v="1539"/>
    <s v="Moravcikova Zuzana"/>
    <x v="6"/>
    <x v="24"/>
    <x v="19"/>
    <x v="8"/>
    <n v="165"/>
    <x v="139"/>
    <x v="0"/>
    <x v="0"/>
    <x v="0"/>
  </r>
  <r>
    <n v="1540"/>
    <s v="Moravec Ondrej"/>
    <x v="3"/>
    <x v="26"/>
    <x v="16"/>
    <x v="16"/>
    <n v="181"/>
    <x v="18"/>
    <x v="0"/>
    <x v="0"/>
    <x v="0"/>
  </r>
  <r>
    <n v="1541"/>
    <s v="Morgenstern Thomas"/>
    <x v="7"/>
    <x v="32"/>
    <x v="0"/>
    <x v="26"/>
    <n v="184"/>
    <x v="212"/>
    <x v="0"/>
    <x v="0"/>
    <x v="0"/>
  </r>
  <r>
    <n v="1542"/>
    <s v="Moriarty Jamie"/>
    <x v="5"/>
    <x v="1"/>
    <x v="8"/>
    <x v="34"/>
    <n v="188"/>
    <x v="611"/>
    <x v="1"/>
    <x v="0"/>
    <x v="0"/>
  </r>
  <r>
    <n v="1543"/>
    <s v="Moriggl Thomas"/>
    <x v="9"/>
    <x v="19"/>
    <x v="8"/>
    <x v="17"/>
    <n v="175"/>
    <x v="236"/>
    <x v="0"/>
    <x v="0"/>
    <x v="0"/>
  </r>
  <r>
    <n v="1544"/>
    <s v="Morilov Nikolay"/>
    <x v="9"/>
    <x v="5"/>
    <x v="0"/>
    <x v="16"/>
    <n v="176"/>
    <x v="112"/>
    <x v="0"/>
    <x v="0"/>
    <x v="0"/>
  </r>
  <r>
    <n v="1545"/>
    <s v="Morison Matthew"/>
    <x v="8"/>
    <x v="7"/>
    <x v="4"/>
    <x v="47"/>
    <n v="180"/>
    <x v="548"/>
    <x v="0"/>
    <x v="0"/>
    <x v="0"/>
  </r>
  <r>
    <n v="1547"/>
    <s v="Morozov Alexey"/>
    <x v="6"/>
    <x v="5"/>
    <x v="9"/>
    <x v="38"/>
    <n v="188"/>
    <x v="73"/>
    <x v="0"/>
    <x v="0"/>
    <x v="2"/>
  </r>
  <r>
    <n v="1548"/>
    <s v="Morozov Stanislav"/>
    <x v="1"/>
    <x v="2"/>
    <x v="7"/>
    <x v="67"/>
    <n v="187"/>
    <x v="676"/>
    <x v="0"/>
    <x v="0"/>
    <x v="2"/>
  </r>
  <r>
    <n v="1549"/>
    <s v="Morrice Trevor"/>
    <x v="7"/>
    <x v="7"/>
    <x v="14"/>
    <x v="17"/>
    <n v="186"/>
    <x v="474"/>
    <x v="0"/>
    <x v="0"/>
    <x v="0"/>
  </r>
  <r>
    <n v="1550"/>
    <s v="Morris David"/>
    <x v="2"/>
    <x v="15"/>
    <x v="16"/>
    <x v="26"/>
    <n v="171"/>
    <x v="643"/>
    <x v="0"/>
    <x v="0"/>
    <x v="0"/>
  </r>
  <r>
    <n v="1551"/>
    <s v="Morris John"/>
    <x v="11"/>
    <x v="7"/>
    <x v="7"/>
    <x v="67"/>
    <n v="188"/>
    <x v="677"/>
    <x v="0"/>
    <x v="0"/>
    <x v="2"/>
  </r>
  <r>
    <n v="1552"/>
    <s v="Morrison Denny"/>
    <x v="4"/>
    <x v="7"/>
    <x v="1"/>
    <x v="4"/>
    <n v="183"/>
    <x v="190"/>
    <x v="0"/>
    <x v="0"/>
    <x v="0"/>
  </r>
  <r>
    <n v="1553"/>
    <s v="Morrow Brenden"/>
    <x v="6"/>
    <x v="7"/>
    <x v="7"/>
    <x v="41"/>
    <n v="183"/>
    <x v="92"/>
    <x v="0"/>
    <x v="0"/>
    <x v="2"/>
  </r>
  <r>
    <n v="1554"/>
    <s v="Morse Michael"/>
    <x v="2"/>
    <x v="1"/>
    <x v="8"/>
    <x v="5"/>
    <n v="173"/>
    <x v="110"/>
    <x v="0"/>
    <x v="0"/>
    <x v="0"/>
  </r>
  <r>
    <n v="1556"/>
    <s v="Mourao Jaqueline"/>
    <x v="9"/>
    <x v="43"/>
    <x v="15"/>
    <x v="42"/>
    <n v="170"/>
    <x v="143"/>
    <x v="0"/>
    <x v="0"/>
    <x v="2"/>
  </r>
  <r>
    <n v="1557"/>
    <s v="Moyse Heather"/>
    <x v="5"/>
    <x v="7"/>
    <x v="7"/>
    <x v="16"/>
    <n v="178"/>
    <x v="295"/>
    <x v="0"/>
    <x v="0"/>
    <x v="2"/>
  </r>
  <r>
    <n v="1558"/>
    <s v="Mroz Pawel"/>
    <x v="5"/>
    <x v="25"/>
    <x v="16"/>
    <x v="18"/>
    <n v="186"/>
    <x v="509"/>
    <x v="0"/>
    <x v="0"/>
    <x v="0"/>
  </r>
  <r>
    <n v="1559"/>
    <s v="Mueller Katrin"/>
    <x v="2"/>
    <x v="9"/>
    <x v="17"/>
    <x v="33"/>
    <n v="168"/>
    <x v="503"/>
    <x v="0"/>
    <x v="0"/>
    <x v="0"/>
  </r>
  <r>
    <n v="1560"/>
    <s v="Mueller Toni"/>
    <x v="11"/>
    <x v="9"/>
    <x v="16"/>
    <x v="67"/>
    <n v="184"/>
    <x v="678"/>
    <x v="0"/>
    <x v="0"/>
    <x v="0"/>
  </r>
  <r>
    <n v="1561"/>
    <s v="Muir Sophie"/>
    <x v="4"/>
    <x v="15"/>
    <x v="13"/>
    <x v="17"/>
    <n v="172"/>
    <x v="384"/>
    <x v="0"/>
    <x v="0"/>
    <x v="0"/>
  </r>
  <r>
    <n v="1562"/>
    <s v="Muirhead Eve"/>
    <x v="11"/>
    <x v="11"/>
    <x v="12"/>
    <x v="67"/>
    <n v="173"/>
    <x v="675"/>
    <x v="0"/>
    <x v="0"/>
    <x v="0"/>
  </r>
  <r>
    <n v="1564"/>
    <s v="Mulder Ronald"/>
    <x v="4"/>
    <x v="33"/>
    <x v="0"/>
    <x v="23"/>
    <n v="185"/>
    <x v="483"/>
    <x v="0"/>
    <x v="0"/>
    <x v="0"/>
  </r>
  <r>
    <n v="1565"/>
    <s v="Muller Marcel"/>
    <x v="6"/>
    <x v="8"/>
    <x v="3"/>
    <x v="46"/>
    <n v="193"/>
    <x v="437"/>
    <x v="0"/>
    <x v="0"/>
    <x v="0"/>
  </r>
  <r>
    <n v="1566"/>
    <s v="Mulock Travis"/>
    <x v="6"/>
    <x v="8"/>
    <x v="1"/>
    <x v="12"/>
    <n v="183"/>
    <x v="12"/>
    <x v="0"/>
    <x v="0"/>
    <x v="0"/>
  </r>
  <r>
    <n v="1567"/>
    <s v="Mun Ji-Hee"/>
    <x v="3"/>
    <x v="42"/>
    <x v="3"/>
    <x v="54"/>
    <n v="165"/>
    <x v="679"/>
    <x v="0"/>
    <x v="0"/>
    <x v="0"/>
  </r>
  <r>
    <n v="1568"/>
    <s v="Mun Joon"/>
    <x v="4"/>
    <x v="42"/>
    <x v="5"/>
    <x v="47"/>
    <n v="184"/>
    <x v="680"/>
    <x v="0"/>
    <x v="0"/>
    <x v="0"/>
  </r>
  <r>
    <n v="1570"/>
    <s v="Murakami Daisuke"/>
    <x v="8"/>
    <x v="22"/>
    <x v="13"/>
    <x v="33"/>
    <n v="166"/>
    <x v="350"/>
    <x v="0"/>
    <x v="0"/>
    <x v="0"/>
  </r>
  <r>
    <n v="1571"/>
    <s v="Muranen Pirjo"/>
    <x v="9"/>
    <x v="10"/>
    <x v="8"/>
    <x v="9"/>
    <n v="174"/>
    <x v="276"/>
    <x v="0"/>
    <x v="0"/>
    <x v="0"/>
  </r>
  <r>
    <n v="1573"/>
    <s v="Murdoch David"/>
    <x v="11"/>
    <x v="11"/>
    <x v="7"/>
    <x v="67"/>
    <n v="178"/>
    <x v="681"/>
    <x v="0"/>
    <x v="0"/>
    <x v="2"/>
  </r>
  <r>
    <n v="1575"/>
    <s v="Murphy Tucker"/>
    <x v="9"/>
    <x v="67"/>
    <x v="8"/>
    <x v="4"/>
    <n v="193"/>
    <x v="682"/>
    <x v="0"/>
    <x v="0"/>
    <x v="0"/>
  </r>
  <r>
    <n v="1576"/>
    <s v="Murray Douglas"/>
    <x v="6"/>
    <x v="14"/>
    <x v="19"/>
    <x v="62"/>
    <n v="191"/>
    <x v="683"/>
    <x v="1"/>
    <x v="0"/>
    <x v="0"/>
  </r>
  <r>
    <n v="1577"/>
    <s v="Murray Julia"/>
    <x v="2"/>
    <x v="7"/>
    <x v="3"/>
    <x v="22"/>
    <n v="168"/>
    <x v="175"/>
    <x v="0"/>
    <x v="0"/>
    <x v="0"/>
  </r>
  <r>
    <n v="1578"/>
    <s v="Murray Paul"/>
    <x v="9"/>
    <x v="15"/>
    <x v="9"/>
    <x v="3"/>
    <n v="191"/>
    <x v="421"/>
    <x v="0"/>
    <x v="0"/>
    <x v="2"/>
  </r>
  <r>
    <n v="1579"/>
    <s v="Musgrave Andrew"/>
    <x v="9"/>
    <x v="11"/>
    <x v="12"/>
    <x v="37"/>
    <n v="180"/>
    <x v="201"/>
    <x v="0"/>
    <x v="0"/>
    <x v="0"/>
  </r>
  <r>
    <n v="1580"/>
    <s v="Mustukovs Ervins"/>
    <x v="6"/>
    <x v="20"/>
    <x v="16"/>
    <x v="1"/>
    <n v="188"/>
    <x v="684"/>
    <x v="0"/>
    <x v="0"/>
    <x v="0"/>
  </r>
  <r>
    <n v="1582"/>
    <s v="Myhrer Andre"/>
    <x v="0"/>
    <x v="14"/>
    <x v="5"/>
    <x v="39"/>
    <n v="189"/>
    <x v="685"/>
    <x v="0"/>
    <x v="0"/>
    <x v="0"/>
  </r>
  <r>
    <n v="1583"/>
    <s v="Myren Klara"/>
    <x v="6"/>
    <x v="14"/>
    <x v="14"/>
    <x v="25"/>
    <n v="172"/>
    <x v="58"/>
    <x v="0"/>
    <x v="0"/>
    <x v="0"/>
  </r>
  <r>
    <n v="1584"/>
    <s v="Myslicki Jason"/>
    <x v="12"/>
    <x v="7"/>
    <x v="9"/>
    <x v="19"/>
    <n v="178"/>
    <x v="323"/>
    <x v="0"/>
    <x v="0"/>
    <x v="2"/>
  </r>
  <r>
    <n v="1585"/>
    <s v="Nabeev Niyaz"/>
    <x v="12"/>
    <x v="5"/>
    <x v="17"/>
    <x v="2"/>
    <n v="182"/>
    <x v="686"/>
    <x v="0"/>
    <x v="0"/>
    <x v="0"/>
  </r>
  <r>
    <n v="1586"/>
    <s v="Nabholz Katrin"/>
    <x v="6"/>
    <x v="9"/>
    <x v="0"/>
    <x v="44"/>
    <n v="167"/>
    <x v="223"/>
    <x v="0"/>
    <x v="0"/>
    <x v="0"/>
  </r>
  <r>
    <n v="1587"/>
    <s v="Nabokov Evgeny"/>
    <x v="6"/>
    <x v="5"/>
    <x v="15"/>
    <x v="38"/>
    <n v="183"/>
    <x v="280"/>
    <x v="0"/>
    <x v="0"/>
    <x v="2"/>
  </r>
  <r>
    <n v="1588"/>
    <s v="Nagashima Keiichiro"/>
    <x v="4"/>
    <x v="22"/>
    <x v="5"/>
    <x v="17"/>
    <n v="174"/>
    <x v="77"/>
    <x v="0"/>
    <x v="0"/>
    <x v="0"/>
  </r>
  <r>
    <n v="1591"/>
    <s v="Namgial Jamyang"/>
    <x v="0"/>
    <x v="57"/>
    <x v="1"/>
    <x v="19"/>
    <n v="170"/>
    <x v="404"/>
    <x v="0"/>
    <x v="0"/>
    <x v="0"/>
  </r>
  <r>
    <n v="1592"/>
    <s v="Nan Ioan-Gabriel"/>
    <x v="0"/>
    <x v="18"/>
    <x v="19"/>
    <x v="17"/>
    <n v="170"/>
    <x v="19"/>
    <x v="0"/>
    <x v="0"/>
    <x v="0"/>
  </r>
  <r>
    <n v="1593"/>
    <s v="Napier John"/>
    <x v="5"/>
    <x v="1"/>
    <x v="0"/>
    <x v="40"/>
    <n v="191"/>
    <x v="687"/>
    <x v="1"/>
    <x v="0"/>
    <x v="0"/>
  </r>
  <r>
    <n v="1594"/>
    <s v="Narovec Petr"/>
    <x v="5"/>
    <x v="24"/>
    <x v="9"/>
    <x v="40"/>
    <n v="189"/>
    <x v="405"/>
    <x v="1"/>
    <x v="0"/>
    <x v="2"/>
  </r>
  <r>
    <n v="1595"/>
    <s v="Naruse Nobu"/>
    <x v="9"/>
    <x v="22"/>
    <x v="16"/>
    <x v="14"/>
    <n v="167"/>
    <x v="193"/>
    <x v="0"/>
    <x v="0"/>
    <x v="0"/>
  </r>
  <r>
    <n v="1596"/>
    <s v="Nash Rick"/>
    <x v="6"/>
    <x v="7"/>
    <x v="16"/>
    <x v="29"/>
    <n v="193"/>
    <x v="688"/>
    <x v="0"/>
    <x v="0"/>
    <x v="0"/>
  </r>
  <r>
    <n v="1598"/>
    <s v="Natsumi Madoka"/>
    <x v="9"/>
    <x v="22"/>
    <x v="7"/>
    <x v="43"/>
    <n v="170"/>
    <x v="227"/>
    <x v="0"/>
    <x v="0"/>
    <x v="2"/>
  </r>
  <r>
    <n v="1599"/>
    <s v="Naumovs Sergejs"/>
    <x v="6"/>
    <x v="20"/>
    <x v="22"/>
    <x v="48"/>
    <n v="177"/>
    <x v="246"/>
    <x v="0"/>
    <x v="0"/>
    <x v="2"/>
  </r>
  <r>
    <n v="1602"/>
    <s v="Neilson Drew"/>
    <x v="8"/>
    <x v="7"/>
    <x v="18"/>
    <x v="3"/>
    <n v="178"/>
    <x v="315"/>
    <x v="0"/>
    <x v="0"/>
    <x v="2"/>
  </r>
  <r>
    <n v="1603"/>
    <s v="Nella Tyler"/>
    <x v="0"/>
    <x v="7"/>
    <x v="3"/>
    <x v="20"/>
    <n v="180"/>
    <x v="468"/>
    <x v="0"/>
    <x v="0"/>
    <x v="0"/>
  </r>
  <r>
    <n v="1604"/>
    <s v="Nemaya Yulia"/>
    <x v="4"/>
    <x v="5"/>
    <x v="9"/>
    <x v="6"/>
    <n v="166"/>
    <x v="418"/>
    <x v="0"/>
    <x v="0"/>
    <x v="2"/>
  </r>
  <r>
    <n v="1606"/>
    <s v="Nersisyan Arsen"/>
    <x v="0"/>
    <x v="66"/>
    <x v="4"/>
    <x v="28"/>
    <n v="179"/>
    <x v="689"/>
    <x v="0"/>
    <x v="0"/>
    <x v="0"/>
  </r>
  <r>
    <n v="1607"/>
    <s v="Nesbitt Christine"/>
    <x v="4"/>
    <x v="7"/>
    <x v="1"/>
    <x v="24"/>
    <n v="171"/>
    <x v="690"/>
    <x v="0"/>
    <x v="0"/>
    <x v="0"/>
  </r>
  <r>
    <n v="1609"/>
    <s v="Netzer Conradign"/>
    <x v="2"/>
    <x v="9"/>
    <x v="19"/>
    <x v="12"/>
    <n v="182"/>
    <x v="270"/>
    <x v="0"/>
    <x v="0"/>
    <x v="0"/>
  </r>
  <r>
    <n v="1610"/>
    <s v="Neumayer Michael"/>
    <x v="7"/>
    <x v="8"/>
    <x v="7"/>
    <x v="6"/>
    <n v="181"/>
    <x v="691"/>
    <x v="0"/>
    <x v="0"/>
    <x v="2"/>
  </r>
  <r>
    <n v="1611"/>
    <s v="Neuner Magdalena"/>
    <x v="14"/>
    <x v="8"/>
    <x v="0"/>
    <x v="43"/>
    <n v="165"/>
    <x v="352"/>
    <x v="0"/>
    <x v="0"/>
    <x v="0"/>
  </r>
  <r>
    <n v="1612"/>
    <s v="Neureuther Felix"/>
    <x v="0"/>
    <x v="8"/>
    <x v="16"/>
    <x v="36"/>
    <n v="184"/>
    <x v="380"/>
    <x v="0"/>
    <x v="0"/>
    <x v="0"/>
  </r>
  <r>
    <n v="1613"/>
    <s v="Nevalainen Frida"/>
    <x v="6"/>
    <x v="14"/>
    <x v="0"/>
    <x v="33"/>
    <n v="165"/>
    <x v="147"/>
    <x v="0"/>
    <x v="0"/>
    <x v="0"/>
  </r>
  <r>
    <n v="1614"/>
    <s v="Newell Andrew"/>
    <x v="9"/>
    <x v="1"/>
    <x v="13"/>
    <x v="24"/>
    <n v="178"/>
    <x v="211"/>
    <x v="0"/>
    <x v="0"/>
    <x v="0"/>
  </r>
  <r>
    <n v="1615"/>
    <s v="Niccum Christian"/>
    <x v="10"/>
    <x v="1"/>
    <x v="9"/>
    <x v="39"/>
    <n v="191"/>
    <x v="640"/>
    <x v="0"/>
    <x v="0"/>
    <x v="2"/>
  </r>
  <r>
    <n v="1616"/>
    <s v="Nicholson Natalie"/>
    <x v="11"/>
    <x v="1"/>
    <x v="21"/>
    <x v="67"/>
    <n v="173"/>
    <x v="675"/>
    <x v="0"/>
    <x v="0"/>
    <x v="2"/>
  </r>
  <r>
    <n v="1618"/>
    <s v="Niedermayer Scott"/>
    <x v="6"/>
    <x v="7"/>
    <x v="10"/>
    <x v="38"/>
    <n v="185"/>
    <x v="107"/>
    <x v="0"/>
    <x v="0"/>
    <x v="2"/>
  </r>
  <r>
    <n v="1619"/>
    <s v="Niedzwiedzki Konrad"/>
    <x v="4"/>
    <x v="25"/>
    <x v="16"/>
    <x v="48"/>
    <n v="180"/>
    <x v="448"/>
    <x v="0"/>
    <x v="0"/>
    <x v="0"/>
  </r>
  <r>
    <n v="1620"/>
    <s v="Nieminen Tuomas"/>
    <x v="4"/>
    <x v="10"/>
    <x v="8"/>
    <x v="4"/>
    <n v="185"/>
    <x v="666"/>
    <x v="0"/>
    <x v="0"/>
    <x v="0"/>
  </r>
  <r>
    <n v="1621"/>
    <s v="Niewiara Marcin Piotr"/>
    <x v="5"/>
    <x v="25"/>
    <x v="8"/>
    <x v="32"/>
    <n v="191"/>
    <x v="467"/>
    <x v="0"/>
    <x v="0"/>
    <x v="0"/>
  </r>
  <r>
    <n v="1622"/>
    <s v="Nigg Marina"/>
    <x v="0"/>
    <x v="35"/>
    <x v="16"/>
    <x v="8"/>
    <n v="167"/>
    <x v="80"/>
    <x v="0"/>
    <x v="0"/>
    <x v="0"/>
  </r>
  <r>
    <n v="1623"/>
    <s v="Niittymaki Antero"/>
    <x v="6"/>
    <x v="10"/>
    <x v="19"/>
    <x v="1"/>
    <n v="183"/>
    <x v="366"/>
    <x v="0"/>
    <x v="0"/>
    <x v="0"/>
  </r>
  <r>
    <n v="1624"/>
    <s v="Nikulin Ilya"/>
    <x v="6"/>
    <x v="5"/>
    <x v="5"/>
    <x v="40"/>
    <n v="191"/>
    <x v="687"/>
    <x v="1"/>
    <x v="0"/>
    <x v="0"/>
  </r>
  <r>
    <n v="1625"/>
    <s v="Nilsson Anna Maria"/>
    <x v="3"/>
    <x v="14"/>
    <x v="13"/>
    <x v="9"/>
    <n v="178"/>
    <x v="692"/>
    <x v="0"/>
    <x v="0"/>
    <x v="0"/>
  </r>
  <r>
    <n v="1626"/>
    <s v="Nilsson Mattias"/>
    <x v="3"/>
    <x v="14"/>
    <x v="5"/>
    <x v="23"/>
    <n v="190"/>
    <x v="603"/>
    <x v="0"/>
    <x v="0"/>
    <x v="0"/>
  </r>
  <r>
    <n v="1627"/>
    <s v="Ninis Jozef"/>
    <x v="10"/>
    <x v="24"/>
    <x v="8"/>
    <x v="23"/>
    <n v="177"/>
    <x v="417"/>
    <x v="0"/>
    <x v="0"/>
    <x v="0"/>
  </r>
  <r>
    <n v="1628"/>
    <s v="Nishi Nobuyuki"/>
    <x v="2"/>
    <x v="22"/>
    <x v="1"/>
    <x v="6"/>
    <n v="165"/>
    <x v="210"/>
    <x v="0"/>
    <x v="0"/>
    <x v="0"/>
  </r>
  <r>
    <n v="1629"/>
    <s v="Niskala Janne"/>
    <x v="6"/>
    <x v="10"/>
    <x v="8"/>
    <x v="18"/>
    <n v="183"/>
    <x v="400"/>
    <x v="0"/>
    <x v="0"/>
    <x v="0"/>
  </r>
  <r>
    <n v="1630"/>
    <s v="Nissen Kyle"/>
    <x v="2"/>
    <x v="7"/>
    <x v="2"/>
    <x v="35"/>
    <n v="177"/>
    <x v="693"/>
    <x v="0"/>
    <x v="0"/>
    <x v="0"/>
  </r>
  <r>
    <n v="1631"/>
    <s v="Nizivijs Aleksandrs"/>
    <x v="6"/>
    <x v="20"/>
    <x v="21"/>
    <x v="48"/>
    <n v="177"/>
    <x v="246"/>
    <x v="0"/>
    <x v="0"/>
    <x v="2"/>
  </r>
  <r>
    <n v="1632"/>
    <s v="Njeim Chirine"/>
    <x v="0"/>
    <x v="6"/>
    <x v="16"/>
    <x v="8"/>
    <n v="168"/>
    <x v="8"/>
    <x v="0"/>
    <x v="0"/>
    <x v="0"/>
  </r>
  <r>
    <n v="1633"/>
    <s v="Nkrumah-Acheampong Kwame"/>
    <x v="0"/>
    <x v="68"/>
    <x v="18"/>
    <x v="1"/>
    <n v="180"/>
    <x v="121"/>
    <x v="0"/>
    <x v="0"/>
    <x v="2"/>
  </r>
  <r>
    <n v="1634"/>
    <s v="Noble Andrew"/>
    <x v="0"/>
    <x v="11"/>
    <x v="16"/>
    <x v="51"/>
    <n v="182"/>
    <x v="596"/>
    <x v="0"/>
    <x v="0"/>
    <x v="0"/>
  </r>
  <r>
    <n v="1635"/>
    <s v="Nobs Olivia"/>
    <x v="8"/>
    <x v="9"/>
    <x v="5"/>
    <x v="21"/>
    <n v="170"/>
    <x v="577"/>
    <x v="0"/>
    <x v="0"/>
    <x v="0"/>
  </r>
  <r>
    <n v="1636"/>
    <s v="Noens Nastasia"/>
    <x v="0"/>
    <x v="16"/>
    <x v="3"/>
    <x v="6"/>
    <n v="177"/>
    <x v="423"/>
    <x v="0"/>
    <x v="0"/>
    <x v="0"/>
  </r>
  <r>
    <n v="1637"/>
    <s v="Nofuji Yuki"/>
    <x v="8"/>
    <x v="22"/>
    <x v="4"/>
    <x v="35"/>
    <n v="177"/>
    <x v="693"/>
    <x v="0"/>
    <x v="0"/>
    <x v="0"/>
  </r>
  <r>
    <n v="1638"/>
    <s v="Noh Seon-Yeong"/>
    <x v="4"/>
    <x v="42"/>
    <x v="17"/>
    <x v="50"/>
    <n v="168"/>
    <x v="301"/>
    <x v="0"/>
    <x v="0"/>
    <x v="0"/>
  </r>
  <r>
    <n v="1639"/>
    <s v="Norberg Anette"/>
    <x v="11"/>
    <x v="14"/>
    <x v="28"/>
    <x v="67"/>
    <n v="174"/>
    <x v="694"/>
    <x v="0"/>
    <x v="0"/>
    <x v="2"/>
  </r>
  <r>
    <n v="1640"/>
    <s v="Nordin Emma"/>
    <x v="6"/>
    <x v="14"/>
    <x v="14"/>
    <x v="2"/>
    <n v="168"/>
    <x v="115"/>
    <x v="0"/>
    <x v="0"/>
    <x v="0"/>
  </r>
  <r>
    <n v="1642"/>
    <s v="Notz Jedrij"/>
    <x v="0"/>
    <x v="30"/>
    <x v="18"/>
    <x v="23"/>
    <n v="189"/>
    <x v="344"/>
    <x v="0"/>
    <x v="0"/>
    <x v="2"/>
  </r>
  <r>
    <n v="1645"/>
    <s v="Novikov Sergey"/>
    <x v="3"/>
    <x v="4"/>
    <x v="2"/>
    <x v="37"/>
    <n v="184"/>
    <x v="97"/>
    <x v="0"/>
    <x v="0"/>
    <x v="0"/>
  </r>
  <r>
    <n v="1646"/>
    <s v="Novikov Sergey"/>
    <x v="9"/>
    <x v="5"/>
    <x v="19"/>
    <x v="23"/>
    <n v="182"/>
    <x v="629"/>
    <x v="0"/>
    <x v="0"/>
    <x v="0"/>
  </r>
  <r>
    <n v="1647"/>
    <s v="Novitski Sergei"/>
    <x v="1"/>
    <x v="5"/>
    <x v="8"/>
    <x v="14"/>
    <n v="179"/>
    <x v="531"/>
    <x v="0"/>
    <x v="0"/>
    <x v="0"/>
  </r>
  <r>
    <n v="1648"/>
    <s v="Novoselic Sofija"/>
    <x v="0"/>
    <x v="39"/>
    <x v="17"/>
    <x v="25"/>
    <n v="166"/>
    <x v="535"/>
    <x v="0"/>
    <x v="0"/>
    <x v="0"/>
  </r>
  <r>
    <n v="1649"/>
    <s v="Novoselski Aleksei"/>
    <x v="9"/>
    <x v="69"/>
    <x v="16"/>
    <x v="20"/>
    <n v="188"/>
    <x v="569"/>
    <x v="0"/>
    <x v="0"/>
    <x v="0"/>
  </r>
  <r>
    <n v="1651"/>
    <s v="Novotny Michal"/>
    <x v="8"/>
    <x v="26"/>
    <x v="8"/>
    <x v="1"/>
    <n v="185"/>
    <x v="469"/>
    <x v="0"/>
    <x v="0"/>
    <x v="0"/>
  </r>
  <r>
    <n v="1653"/>
    <s v="Nurmenkari Ari-Pekka"/>
    <x v="1"/>
    <x v="10"/>
    <x v="13"/>
    <x v="14"/>
    <n v="180"/>
    <x v="20"/>
    <x v="0"/>
    <x v="0"/>
    <x v="0"/>
  </r>
  <r>
    <n v="1654"/>
    <s v="Nussbaum Lucrece"/>
    <x v="6"/>
    <x v="9"/>
    <x v="0"/>
    <x v="26"/>
    <n v="173"/>
    <x v="361"/>
    <x v="0"/>
    <x v="0"/>
    <x v="0"/>
  </r>
  <r>
    <n v="1655"/>
    <s v="Nwume Henry"/>
    <x v="5"/>
    <x v="11"/>
    <x v="21"/>
    <x v="68"/>
    <n v="191"/>
    <x v="695"/>
    <x v="1"/>
    <x v="0"/>
    <x v="2"/>
  </r>
  <r>
    <n v="1656"/>
    <s v="Nyman Steven"/>
    <x v="0"/>
    <x v="1"/>
    <x v="8"/>
    <x v="32"/>
    <n v="193"/>
    <x v="696"/>
    <x v="0"/>
    <x v="0"/>
    <x v="0"/>
  </r>
  <r>
    <n v="1657"/>
    <s v="Nystad Claudia"/>
    <x v="9"/>
    <x v="8"/>
    <x v="9"/>
    <x v="8"/>
    <n v="168"/>
    <x v="8"/>
    <x v="0"/>
    <x v="0"/>
    <x v="2"/>
  </r>
  <r>
    <n v="1659"/>
    <s v="O Connor Shane"/>
    <x v="0"/>
    <x v="29"/>
    <x v="10"/>
    <x v="5"/>
    <n v="175"/>
    <x v="317"/>
    <x v="0"/>
    <x v="0"/>
    <x v="2"/>
  </r>
  <r>
    <n v="1660"/>
    <s v="Obara Tadashi"/>
    <x v="4"/>
    <x v="22"/>
    <x v="13"/>
    <x v="5"/>
    <n v="173"/>
    <x v="110"/>
    <x v="0"/>
    <x v="0"/>
    <x v="0"/>
  </r>
  <r>
    <n v="1662"/>
    <s v="Oberstolz Christian"/>
    <x v="10"/>
    <x v="19"/>
    <x v="9"/>
    <x v="49"/>
    <n v="177"/>
    <x v="487"/>
    <x v="0"/>
    <x v="0"/>
    <x v="2"/>
  </r>
  <r>
    <n v="1665"/>
    <s v="Ochs Pierre"/>
    <x v="2"/>
    <x v="16"/>
    <x v="16"/>
    <x v="5"/>
    <n v="171"/>
    <x v="697"/>
    <x v="0"/>
    <x v="0"/>
    <x v="0"/>
  </r>
  <r>
    <n v="1668"/>
    <s v="Oduya Johnny"/>
    <x v="6"/>
    <x v="14"/>
    <x v="8"/>
    <x v="51"/>
    <n v="182"/>
    <x v="596"/>
    <x v="0"/>
    <x v="0"/>
    <x v="0"/>
  </r>
  <r>
    <n v="1669"/>
    <s v="Oenema Thijsje"/>
    <x v="4"/>
    <x v="33"/>
    <x v="3"/>
    <x v="9"/>
    <n v="165"/>
    <x v="269"/>
    <x v="0"/>
    <x v="0"/>
    <x v="0"/>
  </r>
  <r>
    <n v="1670"/>
    <s v="Oettl Reyes Manfred"/>
    <x v="0"/>
    <x v="40"/>
    <x v="6"/>
    <x v="8"/>
    <n v="165"/>
    <x v="139"/>
    <x v="0"/>
    <x v="0"/>
    <x v="1"/>
  </r>
  <r>
    <n v="1671"/>
    <s v="Oettl Reyes Ornella"/>
    <x v="0"/>
    <x v="40"/>
    <x v="14"/>
    <x v="8"/>
    <n v="168"/>
    <x v="8"/>
    <x v="0"/>
    <x v="0"/>
    <x v="0"/>
  </r>
  <r>
    <n v="1672"/>
    <s v="Ofner Katrin"/>
    <x v="2"/>
    <x v="32"/>
    <x v="12"/>
    <x v="9"/>
    <n v="170"/>
    <x v="93"/>
    <x v="0"/>
    <x v="0"/>
    <x v="0"/>
  </r>
  <r>
    <n v="1673"/>
    <s v="Oglago Sebahattin"/>
    <x v="9"/>
    <x v="47"/>
    <x v="16"/>
    <x v="17"/>
    <n v="174"/>
    <x v="77"/>
    <x v="0"/>
    <x v="0"/>
    <x v="0"/>
  </r>
  <r>
    <n v="1674"/>
    <s v="Oguchi Takahisa"/>
    <x v="10"/>
    <x v="22"/>
    <x v="7"/>
    <x v="15"/>
    <n v="185"/>
    <x v="364"/>
    <x v="0"/>
    <x v="0"/>
    <x v="2"/>
  </r>
  <r>
    <n v="1675"/>
    <s v="Oh Min-Jee"/>
    <x v="4"/>
    <x v="42"/>
    <x v="1"/>
    <x v="54"/>
    <n v="165"/>
    <x v="679"/>
    <x v="0"/>
    <x v="0"/>
    <x v="0"/>
  </r>
  <r>
    <n v="1676"/>
    <s v="Ohlund Mattias"/>
    <x v="6"/>
    <x v="14"/>
    <x v="21"/>
    <x v="40"/>
    <n v="191"/>
    <x v="687"/>
    <x v="1"/>
    <x v="0"/>
    <x v="2"/>
  </r>
  <r>
    <n v="1677"/>
    <s v="Ohmiya Anna"/>
    <x v="11"/>
    <x v="22"/>
    <x v="17"/>
    <x v="14"/>
    <n v="165"/>
    <x v="316"/>
    <x v="0"/>
    <x v="0"/>
    <x v="0"/>
  </r>
  <r>
    <n v="1678"/>
    <s v="Ohno Apolo Anton"/>
    <x v="13"/>
    <x v="1"/>
    <x v="5"/>
    <x v="2"/>
    <n v="170"/>
    <x v="250"/>
    <x v="0"/>
    <x v="0"/>
    <x v="0"/>
  </r>
  <r>
    <n v="1679"/>
    <s v="Ohta Akio"/>
    <x v="4"/>
    <x v="22"/>
    <x v="16"/>
    <x v="24"/>
    <n v="175"/>
    <x v="29"/>
    <x v="0"/>
    <x v="0"/>
    <x v="0"/>
  </r>
  <r>
    <n v="1680"/>
    <s v="Oikawa Yuya"/>
    <x v="4"/>
    <x v="22"/>
    <x v="19"/>
    <x v="16"/>
    <n v="172"/>
    <x v="106"/>
    <x v="0"/>
    <x v="0"/>
    <x v="0"/>
  </r>
  <r>
    <n v="1681"/>
    <s v="Ojaste Triin"/>
    <x v="9"/>
    <x v="49"/>
    <x v="12"/>
    <x v="8"/>
    <n v="165"/>
    <x v="139"/>
    <x v="0"/>
    <x v="0"/>
    <x v="0"/>
  </r>
  <r>
    <n v="1682"/>
    <s v="Okabe Takanobu"/>
    <x v="7"/>
    <x v="22"/>
    <x v="24"/>
    <x v="30"/>
    <n v="165"/>
    <x v="43"/>
    <x v="0"/>
    <x v="0"/>
    <x v="2"/>
  </r>
  <r>
    <n v="1686"/>
    <s v="Olimb Mathis"/>
    <x v="6"/>
    <x v="17"/>
    <x v="1"/>
    <x v="28"/>
    <n v="179"/>
    <x v="689"/>
    <x v="0"/>
    <x v="0"/>
    <x v="0"/>
  </r>
  <r>
    <n v="1687"/>
    <s v="Olli Harri"/>
    <x v="7"/>
    <x v="10"/>
    <x v="16"/>
    <x v="21"/>
    <n v="175"/>
    <x v="698"/>
    <x v="0"/>
    <x v="0"/>
    <x v="0"/>
  </r>
  <r>
    <n v="1689"/>
    <s v="Olsen Justin"/>
    <x v="5"/>
    <x v="1"/>
    <x v="4"/>
    <x v="57"/>
    <n v="188"/>
    <x v="699"/>
    <x v="1"/>
    <x v="0"/>
    <x v="0"/>
  </r>
  <r>
    <n v="1690"/>
    <s v="Olsson Anna"/>
    <x v="9"/>
    <x v="14"/>
    <x v="21"/>
    <x v="8"/>
    <n v="165"/>
    <x v="139"/>
    <x v="0"/>
    <x v="0"/>
    <x v="2"/>
  </r>
  <r>
    <n v="1691"/>
    <s v="Olsson Hans"/>
    <x v="0"/>
    <x v="14"/>
    <x v="16"/>
    <x v="34"/>
    <n v="187"/>
    <x v="700"/>
    <x v="1"/>
    <x v="0"/>
    <x v="0"/>
  </r>
  <r>
    <n v="1692"/>
    <s v="Olsson Johan"/>
    <x v="9"/>
    <x v="14"/>
    <x v="19"/>
    <x v="14"/>
    <n v="181"/>
    <x v="571"/>
    <x v="0"/>
    <x v="0"/>
    <x v="0"/>
  </r>
  <r>
    <n v="1693"/>
    <s v="Omischl Steve"/>
    <x v="2"/>
    <x v="7"/>
    <x v="7"/>
    <x v="9"/>
    <n v="177"/>
    <x v="701"/>
    <x v="0"/>
    <x v="0"/>
    <x v="2"/>
  </r>
  <r>
    <n v="1694"/>
    <s v="Onda Yuichi"/>
    <x v="9"/>
    <x v="22"/>
    <x v="19"/>
    <x v="48"/>
    <n v="180"/>
    <x v="448"/>
    <x v="0"/>
    <x v="0"/>
    <x v="0"/>
  </r>
  <r>
    <n v="1695"/>
    <s v="Onolbaeva Mariya"/>
    <x v="6"/>
    <x v="5"/>
    <x v="7"/>
    <x v="48"/>
    <n v="178"/>
    <x v="309"/>
    <x v="0"/>
    <x v="0"/>
    <x v="2"/>
  </r>
  <r>
    <n v="1696"/>
    <s v="Oprja Deyvid"/>
    <x v="0"/>
    <x v="49"/>
    <x v="5"/>
    <x v="35"/>
    <n v="174"/>
    <x v="702"/>
    <x v="0"/>
    <x v="0"/>
    <x v="0"/>
  </r>
  <r>
    <n v="1697"/>
    <s v="Oranic Mitja"/>
    <x v="12"/>
    <x v="31"/>
    <x v="0"/>
    <x v="26"/>
    <n v="172"/>
    <x v="558"/>
    <x v="0"/>
    <x v="0"/>
    <x v="0"/>
  </r>
  <r>
    <n v="1698"/>
    <s v="Oreshnikov Roman"/>
    <x v="5"/>
    <x v="5"/>
    <x v="5"/>
    <x v="40"/>
    <n v="188"/>
    <x v="578"/>
    <x v="1"/>
    <x v="0"/>
    <x v="0"/>
  </r>
  <r>
    <n v="1699"/>
    <s v="Orgue Laura"/>
    <x v="9"/>
    <x v="48"/>
    <x v="0"/>
    <x v="0"/>
    <n v="173"/>
    <x v="703"/>
    <x v="0"/>
    <x v="0"/>
    <x v="0"/>
  </r>
  <r>
    <n v="1700"/>
    <s v="Orlova Anna"/>
    <x v="10"/>
    <x v="20"/>
    <x v="11"/>
    <x v="1"/>
    <n v="175"/>
    <x v="1"/>
    <x v="0"/>
    <x v="0"/>
    <x v="2"/>
  </r>
  <r>
    <n v="1701"/>
    <s v="Orpik Brooks"/>
    <x v="6"/>
    <x v="1"/>
    <x v="19"/>
    <x v="29"/>
    <n v="188"/>
    <x v="579"/>
    <x v="0"/>
    <x v="0"/>
    <x v="0"/>
  </r>
  <r>
    <n v="1703"/>
    <s v="Osborne-Paradis Manuel"/>
    <x v="0"/>
    <x v="7"/>
    <x v="13"/>
    <x v="39"/>
    <n v="183"/>
    <x v="176"/>
    <x v="0"/>
    <x v="0"/>
    <x v="0"/>
  </r>
  <r>
    <n v="1705"/>
    <s v="Ostberg Cecilia"/>
    <x v="6"/>
    <x v="14"/>
    <x v="12"/>
    <x v="6"/>
    <n v="166"/>
    <x v="418"/>
    <x v="0"/>
    <x v="0"/>
    <x v="0"/>
  </r>
  <r>
    <n v="1706"/>
    <s v="Oswald Pascal"/>
    <x v="15"/>
    <x v="9"/>
    <x v="2"/>
    <x v="1"/>
    <n v="185"/>
    <x v="469"/>
    <x v="0"/>
    <x v="0"/>
    <x v="0"/>
  </r>
  <r>
    <n v="1707"/>
    <s v="Ott Mirjam"/>
    <x v="11"/>
    <x v="9"/>
    <x v="20"/>
    <x v="14"/>
    <n v="165"/>
    <x v="316"/>
    <x v="0"/>
    <x v="0"/>
    <x v="2"/>
  </r>
  <r>
    <n v="1708"/>
    <s v="Oudenaarden Tamara"/>
    <x v="4"/>
    <x v="7"/>
    <x v="4"/>
    <x v="6"/>
    <n v="174"/>
    <x v="151"/>
    <x v="0"/>
    <x v="0"/>
    <x v="0"/>
  </r>
  <r>
    <n v="1709"/>
    <s v="Ouellette Caroline"/>
    <x v="6"/>
    <x v="7"/>
    <x v="2"/>
    <x v="48"/>
    <n v="180"/>
    <x v="448"/>
    <x v="0"/>
    <x v="0"/>
    <x v="0"/>
  </r>
  <r>
    <n v="1710"/>
    <s v="Ovechkin Alexander"/>
    <x v="6"/>
    <x v="5"/>
    <x v="1"/>
    <x v="29"/>
    <n v="188"/>
    <x v="579"/>
    <x v="0"/>
    <x v="0"/>
    <x v="0"/>
  </r>
  <r>
    <n v="1711"/>
    <s v="Owens Jenny"/>
    <x v="2"/>
    <x v="15"/>
    <x v="7"/>
    <x v="9"/>
    <n v="168"/>
    <x v="202"/>
    <x v="0"/>
    <x v="0"/>
    <x v="2"/>
  </r>
  <r>
    <n v="1712"/>
    <s v="Ozaki Kai"/>
    <x v="2"/>
    <x v="22"/>
    <x v="4"/>
    <x v="6"/>
    <n v="165"/>
    <x v="210"/>
    <x v="0"/>
    <x v="0"/>
    <x v="0"/>
  </r>
  <r>
    <n v="1714"/>
    <s v="Paakkonen Lasse"/>
    <x v="9"/>
    <x v="10"/>
    <x v="0"/>
    <x v="35"/>
    <n v="180"/>
    <x v="345"/>
    <x v="0"/>
    <x v="0"/>
    <x v="0"/>
  </r>
  <r>
    <n v="1715"/>
    <s v="Pac Erin"/>
    <x v="5"/>
    <x v="1"/>
    <x v="19"/>
    <x v="47"/>
    <n v="170"/>
    <x v="526"/>
    <x v="0"/>
    <x v="0"/>
    <x v="0"/>
  </r>
  <r>
    <n v="1716"/>
    <s v="Padial Hernandez Victoria"/>
    <x v="3"/>
    <x v="48"/>
    <x v="3"/>
    <x v="54"/>
    <n v="165"/>
    <x v="679"/>
    <x v="0"/>
    <x v="0"/>
    <x v="0"/>
  </r>
  <r>
    <n v="1717"/>
    <s v="Paerson Anja"/>
    <x v="0"/>
    <x v="14"/>
    <x v="8"/>
    <x v="3"/>
    <n v="170"/>
    <x v="704"/>
    <x v="0"/>
    <x v="0"/>
    <x v="0"/>
  </r>
  <r>
    <n v="1718"/>
    <s v="Pahlsson Samuel"/>
    <x v="6"/>
    <x v="14"/>
    <x v="9"/>
    <x v="39"/>
    <n v="181"/>
    <x v="82"/>
    <x v="0"/>
    <x v="0"/>
    <x v="2"/>
  </r>
  <r>
    <n v="1719"/>
    <s v="Pain Jeff"/>
    <x v="15"/>
    <x v="7"/>
    <x v="24"/>
    <x v="18"/>
    <n v="190"/>
    <x v="182"/>
    <x v="0"/>
    <x v="0"/>
    <x v="2"/>
  </r>
  <r>
    <n v="1720"/>
    <s v="Paipals Janis"/>
    <x v="9"/>
    <x v="20"/>
    <x v="13"/>
    <x v="23"/>
    <n v="180"/>
    <x v="214"/>
    <x v="0"/>
    <x v="0"/>
    <x v="0"/>
  </r>
  <r>
    <n v="1721"/>
    <s v="Pajala Magdalena"/>
    <x v="9"/>
    <x v="14"/>
    <x v="1"/>
    <x v="33"/>
    <n v="173"/>
    <x v="204"/>
    <x v="0"/>
    <x v="0"/>
    <x v="0"/>
  </r>
  <r>
    <n v="1722"/>
    <s v="Palffy Zigmund"/>
    <x v="6"/>
    <x v="24"/>
    <x v="11"/>
    <x v="49"/>
    <n v="179"/>
    <x v="705"/>
    <x v="0"/>
    <x v="0"/>
    <x v="2"/>
  </r>
  <r>
    <n v="1724"/>
    <s v="Palka Krystyna"/>
    <x v="3"/>
    <x v="25"/>
    <x v="13"/>
    <x v="50"/>
    <n v="165"/>
    <x v="284"/>
    <x v="0"/>
    <x v="0"/>
    <x v="0"/>
  </r>
  <r>
    <n v="1726"/>
    <s v="Pandov Assen"/>
    <x v="13"/>
    <x v="13"/>
    <x v="16"/>
    <x v="26"/>
    <n v="174"/>
    <x v="226"/>
    <x v="0"/>
    <x v="0"/>
    <x v="0"/>
  </r>
  <r>
    <n v="1728"/>
    <s v="Pankratov Nikolay"/>
    <x v="9"/>
    <x v="5"/>
    <x v="5"/>
    <x v="25"/>
    <n v="178"/>
    <x v="382"/>
    <x v="0"/>
    <x v="0"/>
    <x v="0"/>
  </r>
  <r>
    <n v="1729"/>
    <s v="Panzhinskiy Alexander"/>
    <x v="9"/>
    <x v="5"/>
    <x v="17"/>
    <x v="48"/>
    <n v="184"/>
    <x v="504"/>
    <x v="0"/>
    <x v="0"/>
    <x v="0"/>
  </r>
  <r>
    <n v="1730"/>
    <s v="Papamichalopoulos Christopher"/>
    <x v="0"/>
    <x v="70"/>
    <x v="3"/>
    <x v="37"/>
    <n v="176"/>
    <x v="706"/>
    <x v="0"/>
    <x v="0"/>
    <x v="0"/>
  </r>
  <r>
    <n v="1732"/>
    <s v="Papukchiev Ivan"/>
    <x v="10"/>
    <x v="13"/>
    <x v="0"/>
    <x v="23"/>
    <n v="180"/>
    <x v="214"/>
    <x v="0"/>
    <x v="0"/>
    <x v="0"/>
  </r>
  <r>
    <n v="1733"/>
    <s v="Paris Dominik"/>
    <x v="0"/>
    <x v="19"/>
    <x v="17"/>
    <x v="7"/>
    <n v="183"/>
    <x v="481"/>
    <x v="0"/>
    <x v="0"/>
    <x v="0"/>
  </r>
  <r>
    <n v="1734"/>
    <s v="Parise Zach"/>
    <x v="6"/>
    <x v="1"/>
    <x v="16"/>
    <x v="36"/>
    <n v="180"/>
    <x v="130"/>
    <x v="0"/>
    <x v="0"/>
    <x v="0"/>
  </r>
  <r>
    <n v="1736"/>
    <s v="Park Seung-Hi"/>
    <x v="13"/>
    <x v="42"/>
    <x v="23"/>
    <x v="0"/>
    <n v="168"/>
    <x v="0"/>
    <x v="0"/>
    <x v="0"/>
    <x v="0"/>
  </r>
  <r>
    <n v="1737"/>
    <s v="Parrott Kyle"/>
    <x v="4"/>
    <x v="7"/>
    <x v="1"/>
    <x v="36"/>
    <n v="185"/>
    <x v="500"/>
    <x v="0"/>
    <x v="0"/>
    <x v="0"/>
  </r>
  <r>
    <n v="1738"/>
    <s v="Pasini Fabio"/>
    <x v="9"/>
    <x v="19"/>
    <x v="19"/>
    <x v="47"/>
    <n v="180"/>
    <x v="548"/>
    <x v="0"/>
    <x v="0"/>
    <x v="0"/>
  </r>
  <r>
    <n v="1739"/>
    <s v="Pasini Renato"/>
    <x v="9"/>
    <x v="19"/>
    <x v="9"/>
    <x v="49"/>
    <n v="180"/>
    <x v="149"/>
    <x v="0"/>
    <x v="0"/>
    <x v="2"/>
  </r>
  <r>
    <n v="1740"/>
    <s v="Paterlini Thierry"/>
    <x v="6"/>
    <x v="9"/>
    <x v="15"/>
    <x v="7"/>
    <n v="183"/>
    <x v="481"/>
    <x v="0"/>
    <x v="0"/>
    <x v="2"/>
  </r>
  <r>
    <n v="1741"/>
    <s v="Patzold Dimitri"/>
    <x v="6"/>
    <x v="8"/>
    <x v="5"/>
    <x v="23"/>
    <n v="180"/>
    <x v="214"/>
    <x v="0"/>
    <x v="0"/>
    <x v="0"/>
  </r>
  <r>
    <n v="1742"/>
    <s v="Pavelec Ondrej"/>
    <x v="6"/>
    <x v="26"/>
    <x v="4"/>
    <x v="48"/>
    <n v="182"/>
    <x v="585"/>
    <x v="0"/>
    <x v="0"/>
    <x v="0"/>
  </r>
  <r>
    <n v="1743"/>
    <s v="Pavelski Joe"/>
    <x v="6"/>
    <x v="1"/>
    <x v="16"/>
    <x v="36"/>
    <n v="180"/>
    <x v="130"/>
    <x v="0"/>
    <x v="0"/>
    <x v="0"/>
  </r>
  <r>
    <n v="1744"/>
    <s v="Pearson Nick"/>
    <x v="4"/>
    <x v="1"/>
    <x v="2"/>
    <x v="32"/>
    <n v="193"/>
    <x v="696"/>
    <x v="0"/>
    <x v="0"/>
    <x v="0"/>
  </r>
  <r>
    <n v="1746"/>
    <s v="Pechenkin Evgeny"/>
    <x v="5"/>
    <x v="5"/>
    <x v="10"/>
    <x v="55"/>
    <n v="190"/>
    <x v="707"/>
    <x v="1"/>
    <x v="0"/>
    <x v="2"/>
  </r>
  <r>
    <n v="1749"/>
    <s v="Peiffer Arnd"/>
    <x v="3"/>
    <x v="8"/>
    <x v="4"/>
    <x v="3"/>
    <n v="185"/>
    <x v="99"/>
    <x v="0"/>
    <x v="0"/>
    <x v="0"/>
  </r>
  <r>
    <n v="1750"/>
    <s v="Peltonen Ville"/>
    <x v="6"/>
    <x v="10"/>
    <x v="10"/>
    <x v="20"/>
    <n v="180"/>
    <x v="468"/>
    <x v="0"/>
    <x v="0"/>
    <x v="2"/>
  </r>
  <r>
    <n v="1751"/>
    <s v="Pelttari Heidi"/>
    <x v="6"/>
    <x v="10"/>
    <x v="1"/>
    <x v="26"/>
    <n v="166"/>
    <x v="708"/>
    <x v="0"/>
    <x v="0"/>
    <x v="0"/>
  </r>
  <r>
    <n v="1752"/>
    <s v="Pengilly Adam"/>
    <x v="15"/>
    <x v="11"/>
    <x v="9"/>
    <x v="1"/>
    <n v="178"/>
    <x v="14"/>
    <x v="0"/>
    <x v="0"/>
    <x v="2"/>
  </r>
  <r>
    <n v="1753"/>
    <s v="Penyak Yosyf"/>
    <x v="8"/>
    <x v="2"/>
    <x v="16"/>
    <x v="49"/>
    <n v="170"/>
    <x v="709"/>
    <x v="0"/>
    <x v="0"/>
    <x v="0"/>
  </r>
  <r>
    <n v="1754"/>
    <s v="Pepene Paul Constantin"/>
    <x v="9"/>
    <x v="18"/>
    <x v="3"/>
    <x v="2"/>
    <n v="174"/>
    <x v="482"/>
    <x v="0"/>
    <x v="0"/>
    <x v="0"/>
  </r>
  <r>
    <n v="1755"/>
    <s v="Peraelae Kirsi"/>
    <x v="9"/>
    <x v="10"/>
    <x v="5"/>
    <x v="22"/>
    <n v="168"/>
    <x v="175"/>
    <x v="0"/>
    <x v="0"/>
    <x v="0"/>
  </r>
  <r>
    <n v="1756"/>
    <s v="Perathoner Christa"/>
    <x v="3"/>
    <x v="19"/>
    <x v="4"/>
    <x v="43"/>
    <n v="170"/>
    <x v="227"/>
    <x v="0"/>
    <x v="0"/>
    <x v="0"/>
  </r>
  <r>
    <n v="1758"/>
    <s v="Perko Rok"/>
    <x v="0"/>
    <x v="31"/>
    <x v="1"/>
    <x v="41"/>
    <n v="186"/>
    <x v="185"/>
    <x v="0"/>
    <x v="0"/>
    <x v="0"/>
  </r>
  <r>
    <n v="1759"/>
    <s v="Perl Curdin"/>
    <x v="9"/>
    <x v="9"/>
    <x v="16"/>
    <x v="5"/>
    <n v="181"/>
    <x v="537"/>
    <x v="0"/>
    <x v="0"/>
    <x v="0"/>
  </r>
  <r>
    <n v="1760"/>
    <s v="Permyakova Olga"/>
    <x v="6"/>
    <x v="5"/>
    <x v="5"/>
    <x v="26"/>
    <n v="171"/>
    <x v="643"/>
    <x v="0"/>
    <x v="0"/>
    <x v="0"/>
  </r>
  <r>
    <n v="1761"/>
    <s v="Persyn Karen"/>
    <x v="0"/>
    <x v="55"/>
    <x v="13"/>
    <x v="19"/>
    <n v="173"/>
    <x v="710"/>
    <x v="0"/>
    <x v="0"/>
    <x v="0"/>
  </r>
  <r>
    <n v="1762"/>
    <s v="Pesko Manuela Laura"/>
    <x v="8"/>
    <x v="9"/>
    <x v="7"/>
    <x v="50"/>
    <n v="170"/>
    <x v="153"/>
    <x v="0"/>
    <x v="0"/>
    <x v="2"/>
  </r>
  <r>
    <n v="1763"/>
    <s v="Peterson Jeret"/>
    <x v="2"/>
    <x v="1"/>
    <x v="8"/>
    <x v="28"/>
    <n v="175"/>
    <x v="654"/>
    <x v="0"/>
    <x v="0"/>
    <x v="0"/>
  </r>
  <r>
    <n v="1764"/>
    <s v="Peterson Teodor"/>
    <x v="9"/>
    <x v="14"/>
    <x v="3"/>
    <x v="28"/>
    <n v="186"/>
    <x v="327"/>
    <x v="0"/>
    <x v="0"/>
    <x v="0"/>
  </r>
  <r>
    <n v="1766"/>
    <s v="Petrovic Milanko"/>
    <x v="3"/>
    <x v="51"/>
    <x v="3"/>
    <x v="4"/>
    <n v="188"/>
    <x v="711"/>
    <x v="0"/>
    <x v="0"/>
    <x v="0"/>
  </r>
  <r>
    <n v="1767"/>
    <s v="Petrovskaya Kristina"/>
    <x v="6"/>
    <x v="5"/>
    <x v="19"/>
    <x v="33"/>
    <n v="170"/>
    <x v="61"/>
    <x v="0"/>
    <x v="0"/>
    <x v="0"/>
  </r>
  <r>
    <n v="1769"/>
    <s v="Petukhov Alexey"/>
    <x v="9"/>
    <x v="5"/>
    <x v="13"/>
    <x v="3"/>
    <n v="176"/>
    <x v="3"/>
    <x v="0"/>
    <x v="0"/>
    <x v="0"/>
  </r>
  <r>
    <n v="1770"/>
    <s v="Pfeifer Viktor"/>
    <x v="1"/>
    <x v="32"/>
    <x v="4"/>
    <x v="24"/>
    <n v="180"/>
    <x v="189"/>
    <x v="0"/>
    <x v="0"/>
    <x v="0"/>
  </r>
  <r>
    <n v="1771"/>
    <s v="Pfister Daniel"/>
    <x v="10"/>
    <x v="32"/>
    <x v="0"/>
    <x v="18"/>
    <n v="183"/>
    <x v="400"/>
    <x v="0"/>
    <x v="0"/>
    <x v="0"/>
  </r>
  <r>
    <n v="1772"/>
    <s v="Pfister Manuel"/>
    <x v="10"/>
    <x v="32"/>
    <x v="3"/>
    <x v="36"/>
    <n v="174"/>
    <x v="712"/>
    <x v="0"/>
    <x v="0"/>
    <x v="0"/>
  </r>
  <r>
    <n v="1773"/>
    <s v="Phaneuf Cynthia"/>
    <x v="1"/>
    <x v="7"/>
    <x v="4"/>
    <x v="24"/>
    <n v="168"/>
    <x v="713"/>
    <x v="0"/>
    <x v="0"/>
    <x v="0"/>
  </r>
  <r>
    <n v="1774"/>
    <s v="Piccard Ted"/>
    <x v="2"/>
    <x v="16"/>
    <x v="7"/>
    <x v="48"/>
    <n v="173"/>
    <x v="194"/>
    <x v="0"/>
    <x v="0"/>
    <x v="2"/>
  </r>
  <r>
    <n v="1775"/>
    <s v="Pidhrushna Olena"/>
    <x v="3"/>
    <x v="2"/>
    <x v="0"/>
    <x v="17"/>
    <n v="174"/>
    <x v="77"/>
    <x v="0"/>
    <x v="0"/>
    <x v="0"/>
  </r>
  <r>
    <n v="1776"/>
    <s v="Pieman Isabelle"/>
    <x v="1"/>
    <x v="55"/>
    <x v="13"/>
    <x v="24"/>
    <n v="172"/>
    <x v="52"/>
    <x v="0"/>
    <x v="0"/>
    <x v="0"/>
  </r>
  <r>
    <n v="1777"/>
    <s v="Pierron Veronique"/>
    <x v="13"/>
    <x v="16"/>
    <x v="17"/>
    <x v="22"/>
    <n v="172"/>
    <x v="26"/>
    <x v="0"/>
    <x v="0"/>
    <x v="0"/>
  </r>
  <r>
    <n v="1778"/>
    <s v="Pietilae-Holmner Maria"/>
    <x v="0"/>
    <x v="14"/>
    <x v="0"/>
    <x v="33"/>
    <n v="170"/>
    <x v="61"/>
    <x v="0"/>
    <x v="0"/>
    <x v="0"/>
  </r>
  <r>
    <n v="1779"/>
    <s v="Pietropoli Manuel"/>
    <x v="8"/>
    <x v="19"/>
    <x v="12"/>
    <x v="22"/>
    <n v="170"/>
    <x v="184"/>
    <x v="0"/>
    <x v="0"/>
    <x v="0"/>
  </r>
  <r>
    <n v="1780"/>
    <s v="Piiroinen Peetu"/>
    <x v="8"/>
    <x v="10"/>
    <x v="3"/>
    <x v="8"/>
    <n v="165"/>
    <x v="139"/>
    <x v="0"/>
    <x v="0"/>
    <x v="0"/>
  </r>
  <r>
    <n v="1781"/>
    <s v="Pikl Primoz"/>
    <x v="7"/>
    <x v="31"/>
    <x v="5"/>
    <x v="14"/>
    <n v="180"/>
    <x v="20"/>
    <x v="0"/>
    <x v="0"/>
    <x v="0"/>
  </r>
  <r>
    <n v="1782"/>
    <s v="Piksons Edgars"/>
    <x v="3"/>
    <x v="20"/>
    <x v="13"/>
    <x v="47"/>
    <n v="178"/>
    <x v="398"/>
    <x v="0"/>
    <x v="0"/>
    <x v="0"/>
  </r>
  <r>
    <n v="1783"/>
    <s v="Pikus-Pace Noelle"/>
    <x v="15"/>
    <x v="1"/>
    <x v="5"/>
    <x v="17"/>
    <n v="178"/>
    <x v="124"/>
    <x v="0"/>
    <x v="0"/>
    <x v="0"/>
  </r>
  <r>
    <n v="1784"/>
    <s v="Piller Cottrer Pietro"/>
    <x v="9"/>
    <x v="19"/>
    <x v="18"/>
    <x v="16"/>
    <n v="180"/>
    <x v="70"/>
    <x v="0"/>
    <x v="0"/>
    <x v="2"/>
  </r>
  <r>
    <n v="1785"/>
    <s v="Pinter Friedrich"/>
    <x v="3"/>
    <x v="32"/>
    <x v="7"/>
    <x v="28"/>
    <n v="186"/>
    <x v="327"/>
    <x v="0"/>
    <x v="0"/>
    <x v="2"/>
  </r>
  <r>
    <n v="1786"/>
    <s v="Pinzaru Victor"/>
    <x v="3"/>
    <x v="27"/>
    <x v="14"/>
    <x v="28"/>
    <n v="187"/>
    <x v="714"/>
    <x v="0"/>
    <x v="0"/>
    <x v="0"/>
  </r>
  <r>
    <n v="1787"/>
    <s v="Piper Cherie"/>
    <x v="6"/>
    <x v="7"/>
    <x v="8"/>
    <x v="47"/>
    <n v="168"/>
    <x v="715"/>
    <x v="0"/>
    <x v="0"/>
    <x v="0"/>
  </r>
  <r>
    <n v="1788"/>
    <s v="Pitkanen Joni"/>
    <x v="6"/>
    <x v="10"/>
    <x v="13"/>
    <x v="31"/>
    <n v="191"/>
    <x v="716"/>
    <x v="0"/>
    <x v="0"/>
    <x v="0"/>
  </r>
  <r>
    <n v="1789"/>
    <s v="Pittin Alessandro"/>
    <x v="12"/>
    <x v="19"/>
    <x v="17"/>
    <x v="14"/>
    <n v="166"/>
    <x v="155"/>
    <x v="0"/>
    <x v="0"/>
    <x v="0"/>
  </r>
  <r>
    <n v="1790"/>
    <s v="Plakalovic Mladen"/>
    <x v="9"/>
    <x v="59"/>
    <x v="14"/>
    <x v="16"/>
    <n v="185"/>
    <x v="717"/>
    <x v="0"/>
    <x v="0"/>
    <x v="0"/>
  </r>
  <r>
    <n v="1791"/>
    <s v="Plankensteiner Gerhard"/>
    <x v="10"/>
    <x v="19"/>
    <x v="20"/>
    <x v="46"/>
    <n v="190"/>
    <x v="718"/>
    <x v="0"/>
    <x v="0"/>
    <x v="2"/>
  </r>
  <r>
    <n v="1792"/>
    <s v="Plekanec Tomas"/>
    <x v="6"/>
    <x v="26"/>
    <x v="5"/>
    <x v="4"/>
    <n v="179"/>
    <x v="401"/>
    <x v="0"/>
    <x v="0"/>
    <x v="0"/>
  </r>
  <r>
    <n v="1793"/>
    <s v="Ploner Alexander"/>
    <x v="0"/>
    <x v="19"/>
    <x v="7"/>
    <x v="1"/>
    <n v="181"/>
    <x v="205"/>
    <x v="0"/>
    <x v="0"/>
    <x v="2"/>
  </r>
  <r>
    <n v="1794"/>
    <s v="Plotogea Dana"/>
    <x v="3"/>
    <x v="18"/>
    <x v="8"/>
    <x v="33"/>
    <n v="173"/>
    <x v="204"/>
    <x v="0"/>
    <x v="0"/>
    <x v="0"/>
  </r>
  <r>
    <n v="1795"/>
    <s v="Plushenko Evgeni"/>
    <x v="1"/>
    <x v="5"/>
    <x v="5"/>
    <x v="24"/>
    <n v="176"/>
    <x v="239"/>
    <x v="0"/>
    <x v="0"/>
    <x v="0"/>
  </r>
  <r>
    <n v="1796"/>
    <s v="Pluss Martin"/>
    <x v="6"/>
    <x v="9"/>
    <x v="9"/>
    <x v="1"/>
    <n v="175"/>
    <x v="1"/>
    <x v="0"/>
    <x v="0"/>
    <x v="2"/>
  </r>
  <r>
    <n v="1797"/>
    <s v="Plys Chris"/>
    <x v="11"/>
    <x v="1"/>
    <x v="4"/>
    <x v="24"/>
    <n v="185"/>
    <x v="326"/>
    <x v="0"/>
    <x v="0"/>
    <x v="0"/>
  </r>
  <r>
    <n v="1798"/>
    <s v="Pociecha Domen"/>
    <x v="10"/>
    <x v="31"/>
    <x v="1"/>
    <x v="3"/>
    <n v="184"/>
    <x v="444"/>
    <x v="0"/>
    <x v="0"/>
    <x v="0"/>
  </r>
  <r>
    <n v="1799"/>
    <s v="Podladtchikov Iouri"/>
    <x v="8"/>
    <x v="9"/>
    <x v="3"/>
    <x v="3"/>
    <n v="181"/>
    <x v="232"/>
    <x v="0"/>
    <x v="0"/>
    <x v="0"/>
  </r>
  <r>
    <n v="1800"/>
    <s v="Poirier Paul"/>
    <x v="1"/>
    <x v="7"/>
    <x v="14"/>
    <x v="24"/>
    <n v="175"/>
    <x v="29"/>
    <x v="0"/>
    <x v="0"/>
    <x v="0"/>
  </r>
  <r>
    <n v="1801"/>
    <s v="Poisson David"/>
    <x v="0"/>
    <x v="16"/>
    <x v="5"/>
    <x v="12"/>
    <n v="172"/>
    <x v="719"/>
    <x v="0"/>
    <x v="0"/>
    <x v="0"/>
  </r>
  <r>
    <n v="1802"/>
    <s v="Polak Roman"/>
    <x v="6"/>
    <x v="26"/>
    <x v="0"/>
    <x v="55"/>
    <n v="186"/>
    <x v="720"/>
    <x v="1"/>
    <x v="0"/>
    <x v="0"/>
  </r>
  <r>
    <n v="1803"/>
    <s v="Poleschuk Danielle"/>
    <x v="2"/>
    <x v="7"/>
    <x v="1"/>
    <x v="6"/>
    <n v="165"/>
    <x v="210"/>
    <x v="0"/>
    <x v="0"/>
    <x v="0"/>
  </r>
  <r>
    <n v="1804"/>
    <s v="Poltaranin Alexey"/>
    <x v="9"/>
    <x v="21"/>
    <x v="4"/>
    <x v="24"/>
    <n v="185"/>
    <x v="326"/>
    <x v="0"/>
    <x v="0"/>
    <x v="0"/>
  </r>
  <r>
    <n v="1805"/>
    <s v="Popov Evgeny"/>
    <x v="5"/>
    <x v="5"/>
    <x v="21"/>
    <x v="40"/>
    <n v="181"/>
    <x v="721"/>
    <x v="1"/>
    <x v="0"/>
    <x v="2"/>
  </r>
  <r>
    <n v="1807"/>
    <s v="Postic Teodora"/>
    <x v="1"/>
    <x v="31"/>
    <x v="16"/>
    <x v="24"/>
    <n v="165"/>
    <x v="722"/>
    <x v="0"/>
    <x v="0"/>
    <x v="0"/>
  </r>
  <r>
    <n v="1808"/>
    <s v="Potemkina Valeriya"/>
    <x v="13"/>
    <x v="5"/>
    <x v="1"/>
    <x v="69"/>
    <n v="165"/>
    <x v="723"/>
    <x v="0"/>
    <x v="0"/>
    <x v="0"/>
  </r>
  <r>
    <n v="1811"/>
    <s v="Poulin Marie-Philip"/>
    <x v="6"/>
    <x v="7"/>
    <x v="14"/>
    <x v="16"/>
    <n v="168"/>
    <x v="549"/>
    <x v="0"/>
    <x v="0"/>
    <x v="0"/>
  </r>
  <r>
    <n v="1812"/>
    <s v="Poulsen Mikkel"/>
    <x v="11"/>
    <x v="12"/>
    <x v="16"/>
    <x v="24"/>
    <n v="183"/>
    <x v="479"/>
    <x v="0"/>
    <x v="0"/>
    <x v="0"/>
  </r>
  <r>
    <n v="1813"/>
    <s v="Poutala Mika"/>
    <x v="4"/>
    <x v="10"/>
    <x v="13"/>
    <x v="35"/>
    <n v="177"/>
    <x v="693"/>
    <x v="0"/>
    <x v="0"/>
    <x v="0"/>
  </r>
  <r>
    <n v="1814"/>
    <s v="Poutiainen Tanja"/>
    <x v="0"/>
    <x v="10"/>
    <x v="19"/>
    <x v="26"/>
    <n v="170"/>
    <x v="288"/>
    <x v="0"/>
    <x v="0"/>
    <x v="0"/>
  </r>
  <r>
    <n v="1815"/>
    <s v="Pozzo Oceane"/>
    <x v="8"/>
    <x v="16"/>
    <x v="3"/>
    <x v="8"/>
    <n v="170"/>
    <x v="356"/>
    <x v="0"/>
    <x v="0"/>
    <x v="0"/>
  </r>
  <r>
    <n v="1816"/>
    <s v="Pozzolini Stefano"/>
    <x v="8"/>
    <x v="19"/>
    <x v="9"/>
    <x v="6"/>
    <n v="176"/>
    <x v="240"/>
    <x v="0"/>
    <x v="0"/>
    <x v="2"/>
  </r>
  <r>
    <n v="1817"/>
    <s v="Pranger Manfred"/>
    <x v="0"/>
    <x v="32"/>
    <x v="9"/>
    <x v="51"/>
    <n v="184"/>
    <x v="277"/>
    <x v="0"/>
    <x v="0"/>
    <x v="2"/>
  </r>
  <r>
    <n v="1818"/>
    <s v="Praus Sebastian"/>
    <x v="13"/>
    <x v="8"/>
    <x v="19"/>
    <x v="37"/>
    <n v="182"/>
    <x v="724"/>
    <x v="0"/>
    <x v="0"/>
    <x v="0"/>
  </r>
  <r>
    <n v="1819"/>
    <s v="Pravlikova Petra"/>
    <x v="6"/>
    <x v="24"/>
    <x v="1"/>
    <x v="16"/>
    <n v="175"/>
    <x v="431"/>
    <x v="0"/>
    <x v="0"/>
    <x v="0"/>
  </r>
  <r>
    <n v="1822"/>
    <s v="Prevc Peter"/>
    <x v="7"/>
    <x v="31"/>
    <x v="23"/>
    <x v="50"/>
    <n v="178"/>
    <x v="725"/>
    <x v="0"/>
    <x v="0"/>
    <x v="0"/>
  </r>
  <r>
    <n v="1823"/>
    <s v="Privivkova Ludmila"/>
    <x v="11"/>
    <x v="5"/>
    <x v="0"/>
    <x v="24"/>
    <n v="169"/>
    <x v="371"/>
    <x v="0"/>
    <x v="0"/>
    <x v="0"/>
  </r>
  <r>
    <n v="1824"/>
    <s v="Prochazkova Alena"/>
    <x v="9"/>
    <x v="24"/>
    <x v="16"/>
    <x v="44"/>
    <n v="171"/>
    <x v="407"/>
    <x v="0"/>
    <x v="0"/>
    <x v="0"/>
  </r>
  <r>
    <n v="1825"/>
    <s v="Prommegger Andreas"/>
    <x v="8"/>
    <x v="32"/>
    <x v="19"/>
    <x v="23"/>
    <n v="180"/>
    <x v="214"/>
    <x v="0"/>
    <x v="0"/>
    <x v="0"/>
  </r>
  <r>
    <n v="1826"/>
    <s v="Pronger Chris"/>
    <x v="6"/>
    <x v="7"/>
    <x v="18"/>
    <x v="11"/>
    <n v="198"/>
    <x v="726"/>
    <x v="0"/>
    <x v="0"/>
    <x v="2"/>
  </r>
  <r>
    <n v="1828"/>
    <s v="Prudnikov Sergey"/>
    <x v="5"/>
    <x v="5"/>
    <x v="1"/>
    <x v="55"/>
    <n v="189"/>
    <x v="727"/>
    <x v="1"/>
    <x v="0"/>
    <x v="0"/>
  </r>
  <r>
    <n v="1829"/>
    <s v="Prugova Anna"/>
    <x v="6"/>
    <x v="5"/>
    <x v="6"/>
    <x v="22"/>
    <n v="174"/>
    <x v="222"/>
    <x v="0"/>
    <x v="0"/>
    <x v="1"/>
  </r>
  <r>
    <n v="1830"/>
    <s v="Puckett Casey"/>
    <x v="2"/>
    <x v="1"/>
    <x v="11"/>
    <x v="41"/>
    <n v="178"/>
    <x v="728"/>
    <x v="0"/>
    <x v="0"/>
    <x v="2"/>
  </r>
  <r>
    <n v="1831"/>
    <s v="Pugh Duncan Michael"/>
    <x v="5"/>
    <x v="15"/>
    <x v="18"/>
    <x v="55"/>
    <n v="190"/>
    <x v="707"/>
    <x v="1"/>
    <x v="0"/>
    <x v="2"/>
  </r>
  <r>
    <n v="1832"/>
    <s v="Pujacs Georgijs"/>
    <x v="6"/>
    <x v="20"/>
    <x v="8"/>
    <x v="18"/>
    <n v="184"/>
    <x v="425"/>
    <x v="0"/>
    <x v="0"/>
    <x v="0"/>
  </r>
  <r>
    <n v="1833"/>
    <s v="Pullin Alex"/>
    <x v="8"/>
    <x v="15"/>
    <x v="4"/>
    <x v="20"/>
    <n v="185"/>
    <x v="528"/>
    <x v="0"/>
    <x v="0"/>
    <x v="0"/>
  </r>
  <r>
    <n v="1834"/>
    <s v="Puolakka Markus"/>
    <x v="4"/>
    <x v="10"/>
    <x v="1"/>
    <x v="37"/>
    <n v="180"/>
    <x v="201"/>
    <x v="0"/>
    <x v="0"/>
    <x v="0"/>
  </r>
  <r>
    <n v="1836"/>
    <s v="Putsko Olexandr"/>
    <x v="9"/>
    <x v="2"/>
    <x v="8"/>
    <x v="17"/>
    <n v="172"/>
    <x v="384"/>
    <x v="0"/>
    <x v="0"/>
    <x v="0"/>
  </r>
  <r>
    <n v="1837"/>
    <s v="Putze Martin"/>
    <x v="5"/>
    <x v="8"/>
    <x v="16"/>
    <x v="40"/>
    <n v="181"/>
    <x v="721"/>
    <x v="1"/>
    <x v="0"/>
    <x v="0"/>
  </r>
  <r>
    <n v="1838"/>
    <s v="Puurunen Paavo"/>
    <x v="3"/>
    <x v="10"/>
    <x v="10"/>
    <x v="25"/>
    <n v="179"/>
    <x v="229"/>
    <x v="0"/>
    <x v="0"/>
    <x v="2"/>
  </r>
  <r>
    <n v="1840"/>
    <s v="Qi Guangpu"/>
    <x v="2"/>
    <x v="44"/>
    <x v="12"/>
    <x v="8"/>
    <n v="170"/>
    <x v="356"/>
    <x v="0"/>
    <x v="0"/>
    <x v="0"/>
  </r>
  <r>
    <n v="1842"/>
    <s v="Quick Jonathan"/>
    <x v="6"/>
    <x v="1"/>
    <x v="1"/>
    <x v="60"/>
    <n v="185"/>
    <x v="729"/>
    <x v="1"/>
    <x v="0"/>
    <x v="0"/>
  </r>
  <r>
    <n v="1843"/>
    <s v="Radanova Evgenia"/>
    <x v="13"/>
    <x v="13"/>
    <x v="9"/>
    <x v="6"/>
    <n v="166"/>
    <x v="418"/>
    <x v="0"/>
    <x v="0"/>
    <x v="2"/>
  </r>
  <r>
    <n v="1845"/>
    <s v="Radivojevic Branko"/>
    <x v="6"/>
    <x v="24"/>
    <x v="19"/>
    <x v="18"/>
    <n v="186"/>
    <x v="509"/>
    <x v="0"/>
    <x v="0"/>
    <x v="0"/>
  </r>
  <r>
    <n v="1846"/>
    <s v="Radjenovic Vuk"/>
    <x v="5"/>
    <x v="51"/>
    <x v="13"/>
    <x v="55"/>
    <n v="190"/>
    <x v="707"/>
    <x v="1"/>
    <x v="0"/>
    <x v="0"/>
  </r>
  <r>
    <n v="1847"/>
    <s v="Radkevich Svetlana"/>
    <x v="4"/>
    <x v="4"/>
    <x v="2"/>
    <x v="22"/>
    <n v="166"/>
    <x v="672"/>
    <x v="0"/>
    <x v="0"/>
    <x v="0"/>
  </r>
  <r>
    <n v="1848"/>
    <s v="Radulov Alexander"/>
    <x v="6"/>
    <x v="5"/>
    <x v="0"/>
    <x v="20"/>
    <n v="186"/>
    <x v="319"/>
    <x v="0"/>
    <x v="0"/>
    <x v="0"/>
  </r>
  <r>
    <n v="1849"/>
    <s v="Rafalski Brian"/>
    <x v="6"/>
    <x v="1"/>
    <x v="10"/>
    <x v="12"/>
    <n v="178"/>
    <x v="464"/>
    <x v="0"/>
    <x v="0"/>
    <x v="2"/>
  </r>
  <r>
    <n v="1850"/>
    <s v="Rahlves Daron"/>
    <x v="2"/>
    <x v="1"/>
    <x v="10"/>
    <x v="3"/>
    <n v="175"/>
    <x v="730"/>
    <x v="0"/>
    <x v="0"/>
    <x v="2"/>
  </r>
  <r>
    <n v="1851"/>
    <s v="Raich Benjamin"/>
    <x v="0"/>
    <x v="32"/>
    <x v="7"/>
    <x v="49"/>
    <n v="182"/>
    <x v="393"/>
    <x v="0"/>
    <x v="0"/>
    <x v="2"/>
  </r>
  <r>
    <n v="1852"/>
    <s v="Raimo Federico"/>
    <x v="8"/>
    <x v="19"/>
    <x v="0"/>
    <x v="4"/>
    <n v="174"/>
    <x v="289"/>
    <x v="0"/>
    <x v="0"/>
    <x v="0"/>
  </r>
  <r>
    <n v="1853"/>
    <s v="Rainer Reinhold"/>
    <x v="10"/>
    <x v="19"/>
    <x v="10"/>
    <x v="12"/>
    <n v="181"/>
    <x v="291"/>
    <x v="0"/>
    <x v="0"/>
    <x v="2"/>
  </r>
  <r>
    <n v="1855"/>
    <s v="Rajdlova Kamila"/>
    <x v="9"/>
    <x v="26"/>
    <x v="7"/>
    <x v="14"/>
    <n v="172"/>
    <x v="456"/>
    <x v="0"/>
    <x v="0"/>
    <x v="2"/>
  </r>
  <r>
    <n v="1857"/>
    <s v="Rakimgaliev Abzal"/>
    <x v="1"/>
    <x v="21"/>
    <x v="23"/>
    <x v="24"/>
    <n v="170"/>
    <x v="521"/>
    <x v="0"/>
    <x v="0"/>
    <x v="0"/>
  </r>
  <r>
    <n v="1858"/>
    <s v="Rakova Edita"/>
    <x v="6"/>
    <x v="24"/>
    <x v="7"/>
    <x v="33"/>
    <n v="171"/>
    <x v="619"/>
    <x v="0"/>
    <x v="0"/>
    <x v="2"/>
  </r>
  <r>
    <n v="1860"/>
    <s v="Ramberger Maria"/>
    <x v="8"/>
    <x v="32"/>
    <x v="0"/>
    <x v="42"/>
    <n v="166"/>
    <x v="95"/>
    <x v="0"/>
    <x v="0"/>
    <x v="0"/>
  </r>
  <r>
    <n v="1861"/>
    <s v="Ramoin Tony"/>
    <x v="8"/>
    <x v="16"/>
    <x v="3"/>
    <x v="5"/>
    <n v="183"/>
    <x v="731"/>
    <x v="0"/>
    <x v="0"/>
    <x v="0"/>
  </r>
  <r>
    <n v="1862"/>
    <s v="Rand Taavi"/>
    <x v="1"/>
    <x v="49"/>
    <x v="23"/>
    <x v="24"/>
    <n v="177"/>
    <x v="587"/>
    <x v="0"/>
    <x v="0"/>
    <x v="0"/>
  </r>
  <r>
    <n v="1864"/>
    <s v="Raney-Norman Catherine"/>
    <x v="4"/>
    <x v="1"/>
    <x v="19"/>
    <x v="13"/>
    <n v="168"/>
    <x v="13"/>
    <x v="0"/>
    <x v="0"/>
    <x v="0"/>
  </r>
  <r>
    <n v="1865"/>
    <s v="Ranigler Carmen"/>
    <x v="8"/>
    <x v="19"/>
    <x v="21"/>
    <x v="43"/>
    <n v="167"/>
    <x v="198"/>
    <x v="0"/>
    <x v="0"/>
    <x v="2"/>
  </r>
  <r>
    <n v="1866"/>
    <s v="Rankel Andre"/>
    <x v="6"/>
    <x v="8"/>
    <x v="1"/>
    <x v="31"/>
    <n v="186"/>
    <x v="732"/>
    <x v="0"/>
    <x v="0"/>
    <x v="0"/>
  </r>
  <r>
    <n v="1869"/>
    <s v="Rastorgujevs Andrejs"/>
    <x v="3"/>
    <x v="20"/>
    <x v="3"/>
    <x v="17"/>
    <n v="181"/>
    <x v="733"/>
    <x v="0"/>
    <x v="0"/>
    <x v="0"/>
  </r>
  <r>
    <n v="1870"/>
    <s v="Ratkic Ivan"/>
    <x v="0"/>
    <x v="39"/>
    <x v="0"/>
    <x v="1"/>
    <n v="181"/>
    <x v="205"/>
    <x v="0"/>
    <x v="0"/>
    <x v="0"/>
  </r>
  <r>
    <n v="1871"/>
    <s v="Raty Noora"/>
    <x v="6"/>
    <x v="10"/>
    <x v="17"/>
    <x v="2"/>
    <n v="165"/>
    <x v="734"/>
    <x v="0"/>
    <x v="0"/>
    <x v="0"/>
  </r>
  <r>
    <n v="1872"/>
    <s v="Ravnikar Dijana"/>
    <x v="3"/>
    <x v="31"/>
    <x v="7"/>
    <x v="54"/>
    <n v="168"/>
    <x v="496"/>
    <x v="0"/>
    <x v="0"/>
    <x v="2"/>
  </r>
  <r>
    <n v="1873"/>
    <s v="Rayanova Lyaysan"/>
    <x v="0"/>
    <x v="5"/>
    <x v="3"/>
    <x v="22"/>
    <n v="166"/>
    <x v="672"/>
    <x v="0"/>
    <x v="0"/>
    <x v="0"/>
  </r>
  <r>
    <n v="1874"/>
    <s v="Razym Ales"/>
    <x v="9"/>
    <x v="26"/>
    <x v="0"/>
    <x v="37"/>
    <n v="180"/>
    <x v="201"/>
    <x v="0"/>
    <x v="0"/>
    <x v="0"/>
  </r>
  <r>
    <n v="1875"/>
    <s v="Razzoli Giuliano"/>
    <x v="0"/>
    <x v="19"/>
    <x v="16"/>
    <x v="12"/>
    <n v="182"/>
    <x v="270"/>
    <x v="0"/>
    <x v="0"/>
    <x v="0"/>
  </r>
  <r>
    <n v="1876"/>
    <s v="Read Stefan"/>
    <x v="7"/>
    <x v="7"/>
    <x v="4"/>
    <x v="6"/>
    <n v="176"/>
    <x v="240"/>
    <x v="0"/>
    <x v="0"/>
    <x v="0"/>
  </r>
  <r>
    <n v="1877"/>
    <s v="Rebensburg Viktoria"/>
    <x v="0"/>
    <x v="8"/>
    <x v="17"/>
    <x v="13"/>
    <n v="170"/>
    <x v="196"/>
    <x v="0"/>
    <x v="0"/>
    <x v="0"/>
  </r>
  <r>
    <n v="1878"/>
    <s v="Recchia Lucia"/>
    <x v="0"/>
    <x v="19"/>
    <x v="2"/>
    <x v="17"/>
    <n v="171"/>
    <x v="402"/>
    <x v="0"/>
    <x v="0"/>
    <x v="0"/>
  </r>
  <r>
    <n v="1879"/>
    <s v="Redlihs Krisjanis"/>
    <x v="6"/>
    <x v="20"/>
    <x v="19"/>
    <x v="38"/>
    <n v="190"/>
    <x v="735"/>
    <x v="0"/>
    <x v="0"/>
    <x v="0"/>
  </r>
  <r>
    <n v="1880"/>
    <s v="Redlihs Mikelis"/>
    <x v="6"/>
    <x v="20"/>
    <x v="16"/>
    <x v="23"/>
    <n v="180"/>
    <x v="214"/>
    <x v="0"/>
    <x v="0"/>
    <x v="0"/>
  </r>
  <r>
    <n v="1881"/>
    <s v="Reed Allison"/>
    <x v="1"/>
    <x v="3"/>
    <x v="29"/>
    <x v="24"/>
    <n v="165"/>
    <x v="722"/>
    <x v="0"/>
    <x v="0"/>
    <x v="1"/>
  </r>
  <r>
    <n v="1882"/>
    <s v="Reed Cathy"/>
    <x v="1"/>
    <x v="22"/>
    <x v="4"/>
    <x v="24"/>
    <n v="168"/>
    <x v="713"/>
    <x v="0"/>
    <x v="0"/>
    <x v="0"/>
  </r>
  <r>
    <n v="1883"/>
    <s v="Reed Chris"/>
    <x v="1"/>
    <x v="22"/>
    <x v="17"/>
    <x v="24"/>
    <n v="185"/>
    <x v="326"/>
    <x v="0"/>
    <x v="0"/>
    <x v="0"/>
  </r>
  <r>
    <n v="1884"/>
    <s v="Regec Branislav"/>
    <x v="10"/>
    <x v="24"/>
    <x v="1"/>
    <x v="6"/>
    <n v="167"/>
    <x v="6"/>
    <x v="0"/>
    <x v="0"/>
    <x v="0"/>
  </r>
  <r>
    <n v="1885"/>
    <s v="Rehemaa Aivar"/>
    <x v="9"/>
    <x v="49"/>
    <x v="5"/>
    <x v="47"/>
    <n v="194"/>
    <x v="736"/>
    <x v="0"/>
    <x v="0"/>
    <x v="0"/>
  </r>
  <r>
    <n v="1886"/>
    <s v="Reichelt Hannes"/>
    <x v="0"/>
    <x v="32"/>
    <x v="19"/>
    <x v="36"/>
    <n v="184"/>
    <x v="380"/>
    <x v="0"/>
    <x v="0"/>
    <x v="0"/>
  </r>
  <r>
    <n v="1887"/>
    <s v="Reichelt Tom"/>
    <x v="9"/>
    <x v="8"/>
    <x v="5"/>
    <x v="17"/>
    <n v="175"/>
    <x v="236"/>
    <x v="0"/>
    <x v="0"/>
    <x v="0"/>
  </r>
  <r>
    <n v="1888"/>
    <s v="Reiherd Dmitriy"/>
    <x v="2"/>
    <x v="21"/>
    <x v="3"/>
    <x v="6"/>
    <n v="176"/>
    <x v="240"/>
    <x v="0"/>
    <x v="0"/>
    <x v="0"/>
  </r>
  <r>
    <n v="1889"/>
    <s v="Reithmayer Nina"/>
    <x v="10"/>
    <x v="32"/>
    <x v="16"/>
    <x v="6"/>
    <n v="170"/>
    <x v="101"/>
    <x v="0"/>
    <x v="0"/>
    <x v="0"/>
  </r>
  <r>
    <n v="1892"/>
    <s v="Rekis Arvids"/>
    <x v="6"/>
    <x v="20"/>
    <x v="7"/>
    <x v="18"/>
    <n v="185"/>
    <x v="160"/>
    <x v="0"/>
    <x v="0"/>
    <x v="2"/>
  </r>
  <r>
    <n v="1893"/>
    <s v="Rekis Guntis"/>
    <x v="10"/>
    <x v="20"/>
    <x v="18"/>
    <x v="51"/>
    <n v="177"/>
    <x v="737"/>
    <x v="0"/>
    <x v="0"/>
    <x v="2"/>
  </r>
  <r>
    <n v="1894"/>
    <s v="Rempel Shannon"/>
    <x v="4"/>
    <x v="7"/>
    <x v="16"/>
    <x v="26"/>
    <n v="173"/>
    <x v="361"/>
    <x v="0"/>
    <x v="0"/>
    <x v="0"/>
  </r>
  <r>
    <n v="1895"/>
    <s v="Ren Hui"/>
    <x v="4"/>
    <x v="44"/>
    <x v="13"/>
    <x v="37"/>
    <n v="180"/>
    <x v="201"/>
    <x v="0"/>
    <x v="0"/>
    <x v="0"/>
  </r>
  <r>
    <n v="1896"/>
    <s v="Renner Sara"/>
    <x v="9"/>
    <x v="7"/>
    <x v="21"/>
    <x v="9"/>
    <n v="168"/>
    <x v="202"/>
    <x v="0"/>
    <x v="0"/>
    <x v="2"/>
  </r>
  <r>
    <n v="1897"/>
    <s v="Renzhyn Mykhaylo"/>
    <x v="0"/>
    <x v="71"/>
    <x v="9"/>
    <x v="48"/>
    <n v="182"/>
    <x v="585"/>
    <x v="0"/>
    <x v="0"/>
    <x v="2"/>
  </r>
  <r>
    <n v="1898"/>
    <s v="Resch Alexander"/>
    <x v="10"/>
    <x v="8"/>
    <x v="2"/>
    <x v="37"/>
    <n v="179"/>
    <x v="318"/>
    <x v="0"/>
    <x v="0"/>
    <x v="0"/>
  </r>
  <r>
    <n v="1899"/>
    <s v="Reshetkova Olga"/>
    <x v="9"/>
    <x v="72"/>
    <x v="8"/>
    <x v="6"/>
    <n v="172"/>
    <x v="102"/>
    <x v="0"/>
    <x v="0"/>
    <x v="0"/>
  </r>
  <r>
    <n v="1900"/>
    <s v="Reutter Katherine"/>
    <x v="13"/>
    <x v="1"/>
    <x v="3"/>
    <x v="14"/>
    <n v="170"/>
    <x v="16"/>
    <x v="0"/>
    <x v="0"/>
    <x v="0"/>
  </r>
  <r>
    <n v="1901"/>
    <s v="Revillet Aurelie"/>
    <x v="0"/>
    <x v="16"/>
    <x v="1"/>
    <x v="24"/>
    <n v="173"/>
    <x v="34"/>
    <x v="0"/>
    <x v="0"/>
    <x v="0"/>
  </r>
  <r>
    <n v="1903"/>
    <s v="Ri Song Chol"/>
    <x v="1"/>
    <x v="73"/>
    <x v="0"/>
    <x v="24"/>
    <n v="168"/>
    <x v="713"/>
    <x v="0"/>
    <x v="0"/>
    <x v="0"/>
  </r>
  <r>
    <n v="1904"/>
    <s v="Ribela Leandro"/>
    <x v="9"/>
    <x v="43"/>
    <x v="19"/>
    <x v="4"/>
    <n v="184"/>
    <x v="137"/>
    <x v="0"/>
    <x v="0"/>
    <x v="0"/>
  </r>
  <r>
    <n v="1905"/>
    <s v="Ricciardi Aluan"/>
    <x v="8"/>
    <x v="16"/>
    <x v="4"/>
    <x v="15"/>
    <n v="188"/>
    <x v="738"/>
    <x v="0"/>
    <x v="0"/>
    <x v="0"/>
  </r>
  <r>
    <n v="1906"/>
    <s v="Richard Cyprien"/>
    <x v="0"/>
    <x v="16"/>
    <x v="7"/>
    <x v="48"/>
    <n v="177"/>
    <x v="246"/>
    <x v="0"/>
    <x v="0"/>
    <x v="2"/>
  </r>
  <r>
    <n v="1908"/>
    <s v="Richards Michael"/>
    <x v="6"/>
    <x v="7"/>
    <x v="16"/>
    <x v="51"/>
    <n v="181"/>
    <x v="238"/>
    <x v="0"/>
    <x v="0"/>
    <x v="0"/>
  </r>
  <r>
    <n v="1909"/>
    <s v="Richardson Heather"/>
    <x v="4"/>
    <x v="1"/>
    <x v="17"/>
    <x v="26"/>
    <n v="178"/>
    <x v="183"/>
    <x v="0"/>
    <x v="0"/>
    <x v="0"/>
  </r>
  <r>
    <n v="1910"/>
    <s v="Richardson Kaylin"/>
    <x v="0"/>
    <x v="1"/>
    <x v="16"/>
    <x v="17"/>
    <n v="178"/>
    <x v="124"/>
    <x v="0"/>
    <x v="0"/>
    <x v="0"/>
  </r>
  <r>
    <n v="1911"/>
    <s v="Richardsson Daniel"/>
    <x v="9"/>
    <x v="14"/>
    <x v="5"/>
    <x v="24"/>
    <n v="192"/>
    <x v="739"/>
    <x v="0"/>
    <x v="0"/>
    <x v="0"/>
  </r>
  <r>
    <n v="1912"/>
    <s v="Ricker Maelle"/>
    <x v="8"/>
    <x v="7"/>
    <x v="7"/>
    <x v="9"/>
    <n v="169"/>
    <x v="208"/>
    <x v="0"/>
    <x v="0"/>
    <x v="2"/>
  </r>
  <r>
    <n v="1913"/>
    <s v="Riechsteiner Claudia"/>
    <x v="6"/>
    <x v="9"/>
    <x v="1"/>
    <x v="6"/>
    <n v="167"/>
    <x v="6"/>
    <x v="0"/>
    <x v="0"/>
    <x v="0"/>
  </r>
  <r>
    <n v="1914"/>
    <s v="Riegler Claudia"/>
    <x v="8"/>
    <x v="32"/>
    <x v="10"/>
    <x v="16"/>
    <n v="169"/>
    <x v="740"/>
    <x v="0"/>
    <x v="0"/>
    <x v="2"/>
  </r>
  <r>
    <n v="1915"/>
    <s v="Riegler Manuela"/>
    <x v="8"/>
    <x v="32"/>
    <x v="18"/>
    <x v="33"/>
    <n v="169"/>
    <x v="379"/>
    <x v="0"/>
    <x v="0"/>
    <x v="2"/>
  </r>
  <r>
    <n v="1916"/>
    <s v="Riemen Karolina"/>
    <x v="2"/>
    <x v="25"/>
    <x v="3"/>
    <x v="19"/>
    <n v="175"/>
    <x v="37"/>
    <x v="0"/>
    <x v="0"/>
    <x v="0"/>
  </r>
  <r>
    <n v="1917"/>
    <s v="Rienda Maria Jose"/>
    <x v="0"/>
    <x v="48"/>
    <x v="15"/>
    <x v="2"/>
    <n v="167"/>
    <x v="363"/>
    <x v="0"/>
    <x v="0"/>
    <x v="2"/>
  </r>
  <r>
    <n v="1918"/>
    <s v="Riesch Maria"/>
    <x v="0"/>
    <x v="8"/>
    <x v="16"/>
    <x v="4"/>
    <n v="182"/>
    <x v="741"/>
    <x v="0"/>
    <x v="0"/>
    <x v="0"/>
  </r>
  <r>
    <n v="1919"/>
    <s v="Riesch Susanne"/>
    <x v="0"/>
    <x v="8"/>
    <x v="4"/>
    <x v="28"/>
    <n v="181"/>
    <x v="485"/>
    <x v="0"/>
    <x v="0"/>
    <x v="0"/>
  </r>
  <r>
    <n v="1920"/>
    <s v="Rinaldi Claudio"/>
    <x v="13"/>
    <x v="19"/>
    <x v="4"/>
    <x v="19"/>
    <n v="181"/>
    <x v="742"/>
    <x v="0"/>
    <x v="0"/>
    <x v="0"/>
  </r>
  <r>
    <n v="1921"/>
    <s v="Ristevski Antonio"/>
    <x v="0"/>
    <x v="45"/>
    <x v="17"/>
    <x v="20"/>
    <n v="180"/>
    <x v="468"/>
    <x v="0"/>
    <x v="0"/>
    <x v="0"/>
  </r>
  <r>
    <n v="1922"/>
    <s v="Riva Sergio"/>
    <x v="5"/>
    <x v="19"/>
    <x v="13"/>
    <x v="18"/>
    <n v="180"/>
    <x v="416"/>
    <x v="0"/>
    <x v="0"/>
    <x v="0"/>
  </r>
  <r>
    <n v="1924"/>
    <s v="Roberge Francois-Olivier"/>
    <x v="4"/>
    <x v="7"/>
    <x v="1"/>
    <x v="49"/>
    <n v="186"/>
    <x v="265"/>
    <x v="0"/>
    <x v="0"/>
    <x v="0"/>
  </r>
  <r>
    <n v="1926"/>
    <s v="Roberts Iain"/>
    <x v="15"/>
    <x v="38"/>
    <x v="2"/>
    <x v="47"/>
    <n v="178"/>
    <x v="398"/>
    <x v="0"/>
    <x v="0"/>
    <x v="0"/>
  </r>
  <r>
    <n v="1927"/>
    <s v="Roberts Nathan"/>
    <x v="2"/>
    <x v="1"/>
    <x v="5"/>
    <x v="37"/>
    <n v="178"/>
    <x v="296"/>
    <x v="0"/>
    <x v="0"/>
    <x v="0"/>
  </r>
  <r>
    <n v="1928"/>
    <s v="Roberts Wynn"/>
    <x v="3"/>
    <x v="1"/>
    <x v="3"/>
    <x v="4"/>
    <n v="185"/>
    <x v="666"/>
    <x v="0"/>
    <x v="0"/>
    <x v="0"/>
  </r>
  <r>
    <n v="1929"/>
    <s v="Robertson Mike"/>
    <x v="8"/>
    <x v="7"/>
    <x v="1"/>
    <x v="49"/>
    <n v="185"/>
    <x v="339"/>
    <x v="0"/>
    <x v="0"/>
    <x v="0"/>
  </r>
  <r>
    <n v="1930"/>
    <s v="Robillard Melanie"/>
    <x v="11"/>
    <x v="8"/>
    <x v="5"/>
    <x v="24"/>
    <n v="168"/>
    <x v="713"/>
    <x v="0"/>
    <x v="0"/>
    <x v="0"/>
  </r>
  <r>
    <n v="1931"/>
    <s v="Rochat Laurence"/>
    <x v="9"/>
    <x v="9"/>
    <x v="2"/>
    <x v="22"/>
    <n v="176"/>
    <x v="46"/>
    <x v="0"/>
    <x v="0"/>
    <x v="0"/>
  </r>
  <r>
    <n v="1933"/>
    <s v="Rode Roberts"/>
    <x v="0"/>
    <x v="20"/>
    <x v="4"/>
    <x v="49"/>
    <n v="182"/>
    <x v="393"/>
    <x v="0"/>
    <x v="0"/>
    <x v="0"/>
  </r>
  <r>
    <n v="1934"/>
    <s v="Rodigari Nicola"/>
    <x v="13"/>
    <x v="19"/>
    <x v="8"/>
    <x v="25"/>
    <n v="170"/>
    <x v="743"/>
    <x v="0"/>
    <x v="0"/>
    <x v="0"/>
  </r>
  <r>
    <n v="1935"/>
    <s v="Rodionova Alexandra"/>
    <x v="10"/>
    <x v="5"/>
    <x v="13"/>
    <x v="6"/>
    <n v="172"/>
    <x v="102"/>
    <x v="0"/>
    <x v="0"/>
    <x v="0"/>
  </r>
  <r>
    <n v="1936"/>
    <s v="Rodionova Yuliya"/>
    <x v="2"/>
    <x v="21"/>
    <x v="17"/>
    <x v="50"/>
    <n v="176"/>
    <x v="744"/>
    <x v="0"/>
    <x v="0"/>
    <x v="0"/>
  </r>
  <r>
    <n v="1938"/>
    <s v="Rodriguez Sophie"/>
    <x v="8"/>
    <x v="16"/>
    <x v="3"/>
    <x v="44"/>
    <n v="168"/>
    <x v="170"/>
    <x v="0"/>
    <x v="0"/>
    <x v="0"/>
  </r>
  <r>
    <n v="1939"/>
    <s v="Roediger Alexander"/>
    <x v="5"/>
    <x v="8"/>
    <x v="1"/>
    <x v="32"/>
    <n v="183"/>
    <x v="50"/>
    <x v="0"/>
    <x v="0"/>
    <x v="0"/>
  </r>
  <r>
    <n v="1941"/>
    <s v="Rogelj Rok"/>
    <x v="8"/>
    <x v="31"/>
    <x v="4"/>
    <x v="1"/>
    <n v="181"/>
    <x v="205"/>
    <x v="0"/>
    <x v="0"/>
    <x v="0"/>
  </r>
  <r>
    <n v="1943"/>
    <s v="Rohbock Shauna"/>
    <x v="5"/>
    <x v="1"/>
    <x v="9"/>
    <x v="37"/>
    <n v="173"/>
    <x v="72"/>
    <x v="0"/>
    <x v="0"/>
    <x v="2"/>
  </r>
  <r>
    <n v="1944"/>
    <s v="Rojler Johan"/>
    <x v="4"/>
    <x v="14"/>
    <x v="8"/>
    <x v="3"/>
    <n v="183"/>
    <x v="167"/>
    <x v="0"/>
    <x v="0"/>
    <x v="0"/>
  </r>
  <r>
    <n v="1945"/>
    <s v="Rokita Anna"/>
    <x v="4"/>
    <x v="32"/>
    <x v="1"/>
    <x v="8"/>
    <n v="173"/>
    <x v="581"/>
    <x v="0"/>
    <x v="0"/>
    <x v="0"/>
  </r>
  <r>
    <n v="1946"/>
    <s v="Rolinek Tomas"/>
    <x v="6"/>
    <x v="26"/>
    <x v="19"/>
    <x v="49"/>
    <n v="177"/>
    <x v="487"/>
    <x v="0"/>
    <x v="0"/>
    <x v="0"/>
  </r>
  <r>
    <n v="1947"/>
    <s v="Rolland Marion"/>
    <x v="0"/>
    <x v="16"/>
    <x v="5"/>
    <x v="35"/>
    <n v="167"/>
    <x v="745"/>
    <x v="0"/>
    <x v="0"/>
    <x v="0"/>
  </r>
  <r>
    <n v="1948"/>
    <s v="Rolleston Jeremy"/>
    <x v="5"/>
    <x v="15"/>
    <x v="11"/>
    <x v="46"/>
    <n v="178"/>
    <x v="329"/>
    <x v="0"/>
    <x v="0"/>
    <x v="2"/>
  </r>
  <r>
    <n v="1949"/>
    <s v="Romanini Samuele"/>
    <x v="5"/>
    <x v="19"/>
    <x v="21"/>
    <x v="55"/>
    <n v="186"/>
    <x v="720"/>
    <x v="1"/>
    <x v="0"/>
    <x v="2"/>
  </r>
  <r>
    <n v="1950"/>
    <s v="Romanova Iana"/>
    <x v="3"/>
    <x v="5"/>
    <x v="13"/>
    <x v="14"/>
    <n v="166"/>
    <x v="155"/>
    <x v="0"/>
    <x v="0"/>
    <x v="0"/>
  </r>
  <r>
    <n v="1951"/>
    <s v="Romar Andreas"/>
    <x v="0"/>
    <x v="10"/>
    <x v="17"/>
    <x v="38"/>
    <n v="190"/>
    <x v="735"/>
    <x v="0"/>
    <x v="0"/>
    <x v="0"/>
  </r>
  <r>
    <n v="1952"/>
    <s v="Rommel Frank"/>
    <x v="15"/>
    <x v="8"/>
    <x v="16"/>
    <x v="37"/>
    <n v="182"/>
    <x v="724"/>
    <x v="0"/>
    <x v="0"/>
    <x v="0"/>
  </r>
  <r>
    <n v="1953"/>
    <s v="Romoeren Bjoern Einar"/>
    <x v="7"/>
    <x v="17"/>
    <x v="8"/>
    <x v="25"/>
    <n v="182"/>
    <x v="746"/>
    <x v="0"/>
    <x v="0"/>
    <x v="0"/>
  </r>
  <r>
    <n v="1954"/>
    <s v="Romy Kevin"/>
    <x v="6"/>
    <x v="9"/>
    <x v="16"/>
    <x v="12"/>
    <n v="182"/>
    <x v="270"/>
    <x v="0"/>
    <x v="0"/>
    <x v="0"/>
  </r>
  <r>
    <n v="1955"/>
    <s v="Ronkainen Mikko"/>
    <x v="2"/>
    <x v="10"/>
    <x v="7"/>
    <x v="33"/>
    <n v="166"/>
    <x v="350"/>
    <x v="0"/>
    <x v="0"/>
    <x v="2"/>
  </r>
  <r>
    <n v="1957"/>
    <s v="Rooth Maria"/>
    <x v="6"/>
    <x v="14"/>
    <x v="2"/>
    <x v="16"/>
    <n v="176"/>
    <x v="112"/>
    <x v="0"/>
    <x v="0"/>
    <x v="0"/>
  </r>
  <r>
    <n v="1959"/>
    <s v="Rosen A. J."/>
    <x v="10"/>
    <x v="11"/>
    <x v="16"/>
    <x v="1"/>
    <n v="189"/>
    <x v="747"/>
    <x v="0"/>
    <x v="0"/>
    <x v="0"/>
  </r>
  <r>
    <n v="1960"/>
    <s v="Roshina Tatjana"/>
    <x v="9"/>
    <x v="21"/>
    <x v="4"/>
    <x v="50"/>
    <n v="171"/>
    <x v="262"/>
    <x v="0"/>
    <x v="0"/>
    <x v="0"/>
  </r>
  <r>
    <n v="1961"/>
    <s v="Rosliakov Ilja"/>
    <x v="7"/>
    <x v="5"/>
    <x v="13"/>
    <x v="6"/>
    <n v="185"/>
    <x v="108"/>
    <x v="0"/>
    <x v="0"/>
    <x v="0"/>
  </r>
  <r>
    <n v="1962"/>
    <s v="Rotcheva Olga"/>
    <x v="9"/>
    <x v="5"/>
    <x v="7"/>
    <x v="2"/>
    <n v="178"/>
    <x v="432"/>
    <x v="0"/>
    <x v="0"/>
    <x v="2"/>
  </r>
  <r>
    <n v="1963"/>
    <s v="Rousseau Pierre-Alexandre"/>
    <x v="2"/>
    <x v="7"/>
    <x v="2"/>
    <x v="2"/>
    <n v="174"/>
    <x v="482"/>
    <x v="0"/>
    <x v="0"/>
    <x v="0"/>
  </r>
  <r>
    <n v="1964"/>
    <s v="Roux Christophe"/>
    <x v="0"/>
    <x v="27"/>
    <x v="13"/>
    <x v="48"/>
    <n v="183"/>
    <x v="433"/>
    <x v="0"/>
    <x v="0"/>
    <x v="0"/>
  </r>
  <r>
    <n v="1965"/>
    <s v="Roymark Martin"/>
    <x v="6"/>
    <x v="17"/>
    <x v="0"/>
    <x v="36"/>
    <n v="184"/>
    <x v="380"/>
    <x v="0"/>
    <x v="0"/>
    <x v="0"/>
  </r>
  <r>
    <n v="1966"/>
    <s v="Rubenis Martins"/>
    <x v="10"/>
    <x v="20"/>
    <x v="7"/>
    <x v="1"/>
    <n v="183"/>
    <x v="366"/>
    <x v="0"/>
    <x v="0"/>
    <x v="2"/>
  </r>
  <r>
    <n v="1967"/>
    <s v="Rubens Shona"/>
    <x v="0"/>
    <x v="7"/>
    <x v="0"/>
    <x v="48"/>
    <n v="170"/>
    <x v="486"/>
    <x v="0"/>
    <x v="0"/>
    <x v="0"/>
  </r>
  <r>
    <n v="1969"/>
    <s v="Rudic Marko"/>
    <x v="0"/>
    <x v="59"/>
    <x v="17"/>
    <x v="3"/>
    <n v="184"/>
    <x v="444"/>
    <x v="0"/>
    <x v="0"/>
    <x v="0"/>
  </r>
  <r>
    <n v="1970"/>
    <s v="Rudman Shelley"/>
    <x v="15"/>
    <x v="11"/>
    <x v="8"/>
    <x v="0"/>
    <n v="170"/>
    <x v="540"/>
    <x v="0"/>
    <x v="0"/>
    <x v="0"/>
  </r>
  <r>
    <n v="1971"/>
    <s v="Rueegg Ivo"/>
    <x v="5"/>
    <x v="9"/>
    <x v="20"/>
    <x v="29"/>
    <n v="185"/>
    <x v="748"/>
    <x v="0"/>
    <x v="0"/>
    <x v="2"/>
  </r>
  <r>
    <n v="1972"/>
    <s v="Rueger Ronnie"/>
    <x v="6"/>
    <x v="9"/>
    <x v="10"/>
    <x v="51"/>
    <n v="186"/>
    <x v="381"/>
    <x v="0"/>
    <x v="0"/>
    <x v="2"/>
  </r>
  <r>
    <n v="1973"/>
    <s v="Ruggiero Angela"/>
    <x v="6"/>
    <x v="1"/>
    <x v="2"/>
    <x v="36"/>
    <n v="175"/>
    <x v="749"/>
    <x v="0"/>
    <x v="0"/>
    <x v="0"/>
  </r>
  <r>
    <n v="1974"/>
    <s v="Ruiz Castillo Carolina"/>
    <x v="0"/>
    <x v="48"/>
    <x v="8"/>
    <x v="13"/>
    <n v="165"/>
    <x v="582"/>
    <x v="0"/>
    <x v="0"/>
    <x v="0"/>
  </r>
  <r>
    <n v="1975"/>
    <s v="Ruiz Diego"/>
    <x v="9"/>
    <x v="48"/>
    <x v="9"/>
    <x v="6"/>
    <n v="176"/>
    <x v="240"/>
    <x v="0"/>
    <x v="0"/>
    <x v="2"/>
  </r>
  <r>
    <n v="1976"/>
    <s v="Rukke Christoffer Fagerli"/>
    <x v="4"/>
    <x v="17"/>
    <x v="3"/>
    <x v="25"/>
    <n v="200"/>
    <x v="750"/>
    <x v="0"/>
    <x v="0"/>
    <x v="0"/>
  </r>
  <r>
    <n v="1977"/>
    <s v="Rumiancev Vitalij"/>
    <x v="0"/>
    <x v="69"/>
    <x v="1"/>
    <x v="16"/>
    <n v="178"/>
    <x v="295"/>
    <x v="0"/>
    <x v="0"/>
    <x v="0"/>
  </r>
  <r>
    <n v="1978"/>
    <s v="Rumyantsev Alexander"/>
    <x v="4"/>
    <x v="5"/>
    <x v="0"/>
    <x v="37"/>
    <n v="180"/>
    <x v="201"/>
    <x v="0"/>
    <x v="0"/>
    <x v="0"/>
  </r>
  <r>
    <n v="1979"/>
    <s v="Rundqvist Danijela"/>
    <x v="6"/>
    <x v="14"/>
    <x v="16"/>
    <x v="37"/>
    <n v="178"/>
    <x v="296"/>
    <x v="0"/>
    <x v="0"/>
    <x v="0"/>
  </r>
  <r>
    <n v="1980"/>
    <s v="Runggaldier Lukas"/>
    <x v="12"/>
    <x v="19"/>
    <x v="4"/>
    <x v="8"/>
    <n v="169"/>
    <x v="556"/>
    <x v="0"/>
    <x v="0"/>
    <x v="0"/>
  </r>
  <r>
    <n v="1981"/>
    <s v="Ruotsalainen Ilona"/>
    <x v="8"/>
    <x v="10"/>
    <x v="19"/>
    <x v="9"/>
    <n v="168"/>
    <x v="202"/>
    <x v="0"/>
    <x v="0"/>
    <x v="0"/>
  </r>
  <r>
    <n v="1982"/>
    <s v="Rupil Silvia"/>
    <x v="9"/>
    <x v="19"/>
    <x v="1"/>
    <x v="44"/>
    <n v="173"/>
    <x v="751"/>
    <x v="0"/>
    <x v="0"/>
    <x v="0"/>
  </r>
  <r>
    <n v="1983"/>
    <s v="Rupnik Vasja"/>
    <x v="3"/>
    <x v="31"/>
    <x v="9"/>
    <x v="1"/>
    <n v="189"/>
    <x v="747"/>
    <x v="0"/>
    <x v="0"/>
    <x v="2"/>
  </r>
  <r>
    <n v="1984"/>
    <s v="Rush Lyndon"/>
    <x v="5"/>
    <x v="7"/>
    <x v="19"/>
    <x v="34"/>
    <n v="183"/>
    <x v="440"/>
    <x v="1"/>
    <x v="0"/>
    <x v="0"/>
  </r>
  <r>
    <n v="1985"/>
    <s v="Ruthemann Ivo"/>
    <x v="6"/>
    <x v="9"/>
    <x v="21"/>
    <x v="35"/>
    <n v="173"/>
    <x v="752"/>
    <x v="0"/>
    <x v="0"/>
    <x v="2"/>
  </r>
  <r>
    <n v="1986"/>
    <s v="Rutkowski Lukasz"/>
    <x v="7"/>
    <x v="25"/>
    <x v="4"/>
    <x v="14"/>
    <n v="176"/>
    <x v="753"/>
    <x v="0"/>
    <x v="0"/>
    <x v="0"/>
  </r>
  <r>
    <n v="1987"/>
    <s v="Ruutu Jarkko"/>
    <x v="6"/>
    <x v="10"/>
    <x v="15"/>
    <x v="39"/>
    <n v="188"/>
    <x v="754"/>
    <x v="0"/>
    <x v="0"/>
    <x v="2"/>
  </r>
  <r>
    <n v="1988"/>
    <s v="Ruutu Tuomo"/>
    <x v="6"/>
    <x v="10"/>
    <x v="13"/>
    <x v="39"/>
    <n v="184"/>
    <x v="755"/>
    <x v="0"/>
    <x v="0"/>
    <x v="0"/>
  </r>
  <r>
    <n v="1989"/>
    <s v="Ryadinski Aleksandr"/>
    <x v="6"/>
    <x v="4"/>
    <x v="7"/>
    <x v="41"/>
    <n v="189"/>
    <x v="756"/>
    <x v="0"/>
    <x v="0"/>
    <x v="2"/>
  </r>
  <r>
    <n v="1990"/>
    <s v="Ryan Anthony"/>
    <x v="5"/>
    <x v="15"/>
    <x v="19"/>
    <x v="40"/>
    <n v="185"/>
    <x v="757"/>
    <x v="1"/>
    <x v="0"/>
    <x v="0"/>
  </r>
  <r>
    <n v="1991"/>
    <s v="Ryan Bobby"/>
    <x v="6"/>
    <x v="1"/>
    <x v="4"/>
    <x v="39"/>
    <n v="188"/>
    <x v="754"/>
    <x v="0"/>
    <x v="0"/>
    <x v="0"/>
  </r>
  <r>
    <n v="1992"/>
    <s v="Rybakova Natalya"/>
    <x v="4"/>
    <x v="21"/>
    <x v="8"/>
    <x v="25"/>
    <n v="178"/>
    <x v="382"/>
    <x v="0"/>
    <x v="0"/>
    <x v="0"/>
  </r>
  <r>
    <n v="1994"/>
    <s v="Ryding David"/>
    <x v="0"/>
    <x v="11"/>
    <x v="0"/>
    <x v="5"/>
    <n v="180"/>
    <x v="98"/>
    <x v="0"/>
    <x v="0"/>
    <x v="0"/>
  </r>
  <r>
    <n v="1995"/>
    <s v="Rydzek Johannes"/>
    <x v="12"/>
    <x v="8"/>
    <x v="14"/>
    <x v="14"/>
    <n v="179"/>
    <x v="531"/>
    <x v="0"/>
    <x v="0"/>
    <x v="0"/>
  </r>
  <r>
    <n v="1996"/>
    <s v="Ryynaenen Janne"/>
    <x v="12"/>
    <x v="10"/>
    <x v="4"/>
    <x v="21"/>
    <n v="175"/>
    <x v="698"/>
    <x v="0"/>
    <x v="0"/>
    <x v="0"/>
  </r>
  <r>
    <n v="1997"/>
    <s v="Rzepka Michelle"/>
    <x v="5"/>
    <x v="1"/>
    <x v="13"/>
    <x v="28"/>
    <n v="170"/>
    <x v="283"/>
    <x v="0"/>
    <x v="0"/>
    <x v="0"/>
  </r>
  <r>
    <n v="1998"/>
    <s v="Saarepuu Anti"/>
    <x v="9"/>
    <x v="49"/>
    <x v="13"/>
    <x v="35"/>
    <n v="179"/>
    <x v="591"/>
    <x v="0"/>
    <x v="0"/>
    <x v="0"/>
  </r>
  <r>
    <n v="1999"/>
    <s v="Saarinen Aino- Kaisa"/>
    <x v="9"/>
    <x v="10"/>
    <x v="7"/>
    <x v="21"/>
    <n v="166"/>
    <x v="758"/>
    <x v="0"/>
    <x v="0"/>
    <x v="2"/>
  </r>
  <r>
    <n v="2000"/>
    <s v="Saarinen Mari"/>
    <x v="6"/>
    <x v="10"/>
    <x v="8"/>
    <x v="13"/>
    <n v="172"/>
    <x v="662"/>
    <x v="0"/>
    <x v="0"/>
    <x v="0"/>
  </r>
  <r>
    <n v="2001"/>
    <s v="Sablikova Martina"/>
    <x v="4"/>
    <x v="26"/>
    <x v="4"/>
    <x v="42"/>
    <n v="171"/>
    <x v="759"/>
    <x v="0"/>
    <x v="0"/>
    <x v="0"/>
  </r>
  <r>
    <n v="2002"/>
    <s v="Sabolova Veronika"/>
    <x v="10"/>
    <x v="24"/>
    <x v="19"/>
    <x v="6"/>
    <n v="168"/>
    <x v="103"/>
    <x v="0"/>
    <x v="0"/>
    <x v="0"/>
  </r>
  <r>
    <n v="2004"/>
    <s v="Sachtjen Tracy"/>
    <x v="11"/>
    <x v="1"/>
    <x v="22"/>
    <x v="25"/>
    <n v="173"/>
    <x v="490"/>
    <x v="0"/>
    <x v="0"/>
    <x v="2"/>
  </r>
  <r>
    <n v="2007"/>
    <s v="Safar Zdenek"/>
    <x v="2"/>
    <x v="26"/>
    <x v="7"/>
    <x v="23"/>
    <n v="175"/>
    <x v="355"/>
    <x v="0"/>
    <x v="0"/>
    <x v="2"/>
  </r>
  <r>
    <n v="2008"/>
    <s v="Saint-Genies Gregory"/>
    <x v="15"/>
    <x v="16"/>
    <x v="9"/>
    <x v="48"/>
    <n v="177"/>
    <x v="246"/>
    <x v="0"/>
    <x v="0"/>
    <x v="2"/>
  </r>
  <r>
    <n v="2011"/>
    <s v="Salei Ruslan"/>
    <x v="6"/>
    <x v="4"/>
    <x v="18"/>
    <x v="7"/>
    <n v="184"/>
    <x v="760"/>
    <x v="0"/>
    <x v="0"/>
    <x v="2"/>
  </r>
  <r>
    <n v="2012"/>
    <s v="Salo Sami"/>
    <x v="6"/>
    <x v="10"/>
    <x v="18"/>
    <x v="32"/>
    <n v="192"/>
    <x v="761"/>
    <x v="0"/>
    <x v="0"/>
    <x v="2"/>
  </r>
  <r>
    <n v="2013"/>
    <s v="Samsal Dalibor"/>
    <x v="0"/>
    <x v="39"/>
    <x v="1"/>
    <x v="18"/>
    <n v="184"/>
    <x v="425"/>
    <x v="0"/>
    <x v="0"/>
    <x v="0"/>
  </r>
  <r>
    <n v="2015"/>
    <s v="Sandbech Staale"/>
    <x v="8"/>
    <x v="17"/>
    <x v="6"/>
    <x v="25"/>
    <n v="200"/>
    <x v="750"/>
    <x v="0"/>
    <x v="0"/>
    <x v="1"/>
  </r>
  <r>
    <n v="2016"/>
    <s v="Sandell Marcus"/>
    <x v="0"/>
    <x v="10"/>
    <x v="4"/>
    <x v="49"/>
    <n v="177"/>
    <x v="487"/>
    <x v="0"/>
    <x v="0"/>
    <x v="0"/>
  </r>
  <r>
    <n v="2017"/>
    <s v="Sandford Ben"/>
    <x v="15"/>
    <x v="38"/>
    <x v="2"/>
    <x v="41"/>
    <n v="197"/>
    <x v="332"/>
    <x v="0"/>
    <x v="0"/>
    <x v="0"/>
  </r>
  <r>
    <n v="2018"/>
    <s v="Sannikova Alena"/>
    <x v="9"/>
    <x v="4"/>
    <x v="19"/>
    <x v="9"/>
    <n v="174"/>
    <x v="276"/>
    <x v="0"/>
    <x v="0"/>
    <x v="0"/>
  </r>
  <r>
    <n v="2019"/>
    <s v="Sannitz Raffaele"/>
    <x v="6"/>
    <x v="9"/>
    <x v="13"/>
    <x v="38"/>
    <n v="187"/>
    <x v="762"/>
    <x v="0"/>
    <x v="0"/>
    <x v="0"/>
  </r>
  <r>
    <n v="2021"/>
    <s v="Sarcevic Igor"/>
    <x v="5"/>
    <x v="51"/>
    <x v="16"/>
    <x v="39"/>
    <n v="193"/>
    <x v="763"/>
    <x v="0"/>
    <x v="0"/>
    <x v="0"/>
  </r>
  <r>
    <n v="2022"/>
    <s v="Sasaki Akira"/>
    <x v="0"/>
    <x v="22"/>
    <x v="8"/>
    <x v="12"/>
    <n v="182"/>
    <x v="270"/>
    <x v="0"/>
    <x v="0"/>
    <x v="0"/>
  </r>
  <r>
    <n v="2023"/>
    <s v="Satan Miroslav"/>
    <x v="6"/>
    <x v="24"/>
    <x v="18"/>
    <x v="15"/>
    <n v="188"/>
    <x v="738"/>
    <x v="0"/>
    <x v="0"/>
    <x v="2"/>
  </r>
  <r>
    <n v="2024"/>
    <s v="Satoya Tae"/>
    <x v="2"/>
    <x v="22"/>
    <x v="21"/>
    <x v="0"/>
    <n v="165"/>
    <x v="453"/>
    <x v="0"/>
    <x v="0"/>
    <x v="2"/>
  </r>
  <r>
    <n v="2027"/>
    <s v="Sauvey Sarah"/>
    <x v="2"/>
    <x v="11"/>
    <x v="13"/>
    <x v="14"/>
    <n v="169"/>
    <x v="471"/>
    <x v="0"/>
    <x v="0"/>
    <x v="0"/>
  </r>
  <r>
    <n v="2029"/>
    <s v="Saveh Shemshaki Hossein"/>
    <x v="0"/>
    <x v="58"/>
    <x v="1"/>
    <x v="37"/>
    <n v="180"/>
    <x v="201"/>
    <x v="0"/>
    <x v="0"/>
    <x v="0"/>
  </r>
  <r>
    <n v="2030"/>
    <s v="Saveh Shemshaki Porya"/>
    <x v="0"/>
    <x v="58"/>
    <x v="4"/>
    <x v="33"/>
    <n v="177"/>
    <x v="164"/>
    <x v="0"/>
    <x v="0"/>
    <x v="0"/>
  </r>
  <r>
    <n v="2031"/>
    <s v="Savehshemshaki Hossein"/>
    <x v="9"/>
    <x v="58"/>
    <x v="13"/>
    <x v="2"/>
    <n v="170"/>
    <x v="250"/>
    <x v="0"/>
    <x v="0"/>
    <x v="0"/>
  </r>
  <r>
    <n v="2032"/>
    <s v="Savialova Olga"/>
    <x v="9"/>
    <x v="5"/>
    <x v="11"/>
    <x v="43"/>
    <n v="166"/>
    <x v="764"/>
    <x v="0"/>
    <x v="0"/>
    <x v="2"/>
  </r>
  <r>
    <n v="2033"/>
    <s v="Savic Milos"/>
    <x v="5"/>
    <x v="51"/>
    <x v="4"/>
    <x v="1"/>
    <n v="182"/>
    <x v="216"/>
    <x v="0"/>
    <x v="0"/>
    <x v="0"/>
  </r>
  <r>
    <n v="2034"/>
    <s v="Savin Alina Vera"/>
    <x v="5"/>
    <x v="18"/>
    <x v="3"/>
    <x v="35"/>
    <n v="178"/>
    <x v="174"/>
    <x v="0"/>
    <x v="0"/>
    <x v="0"/>
  </r>
  <r>
    <n v="2035"/>
    <s v="Savitskiy Yan"/>
    <x v="3"/>
    <x v="21"/>
    <x v="4"/>
    <x v="17"/>
    <n v="175"/>
    <x v="236"/>
    <x v="0"/>
    <x v="0"/>
    <x v="0"/>
  </r>
  <r>
    <n v="2036"/>
    <s v="Sbisa Luca"/>
    <x v="6"/>
    <x v="9"/>
    <x v="17"/>
    <x v="41"/>
    <n v="188"/>
    <x v="765"/>
    <x v="0"/>
    <x v="0"/>
    <x v="0"/>
  </r>
  <r>
    <n v="2037"/>
    <s v="Scali Massimo"/>
    <x v="1"/>
    <x v="19"/>
    <x v="2"/>
    <x v="25"/>
    <n v="172"/>
    <x v="58"/>
    <x v="0"/>
    <x v="0"/>
    <x v="0"/>
  </r>
  <r>
    <n v="2038"/>
    <s v="Scanzio Deborah"/>
    <x v="2"/>
    <x v="19"/>
    <x v="0"/>
    <x v="6"/>
    <n v="166"/>
    <x v="418"/>
    <x v="0"/>
    <x v="0"/>
    <x v="0"/>
  </r>
  <r>
    <n v="2039"/>
    <s v="Schaaf Bree"/>
    <x v="5"/>
    <x v="1"/>
    <x v="19"/>
    <x v="37"/>
    <n v="178"/>
    <x v="296"/>
    <x v="0"/>
    <x v="0"/>
    <x v="0"/>
  </r>
  <r>
    <n v="2040"/>
    <s v="Schad Konstantin"/>
    <x v="8"/>
    <x v="8"/>
    <x v="4"/>
    <x v="4"/>
    <n v="177"/>
    <x v="766"/>
    <x v="0"/>
    <x v="0"/>
    <x v="0"/>
  </r>
  <r>
    <n v="2042"/>
    <s v="Schaerer Tanja"/>
    <x v="2"/>
    <x v="9"/>
    <x v="17"/>
    <x v="0"/>
    <n v="167"/>
    <x v="518"/>
    <x v="0"/>
    <x v="0"/>
    <x v="0"/>
  </r>
  <r>
    <n v="2043"/>
    <s v="Schairer Markus"/>
    <x v="8"/>
    <x v="32"/>
    <x v="4"/>
    <x v="49"/>
    <n v="177"/>
    <x v="487"/>
    <x v="0"/>
    <x v="0"/>
    <x v="0"/>
  </r>
  <r>
    <n v="2044"/>
    <s v="Schaus Molly"/>
    <x v="6"/>
    <x v="1"/>
    <x v="3"/>
    <x v="17"/>
    <n v="174"/>
    <x v="77"/>
    <x v="0"/>
    <x v="0"/>
    <x v="0"/>
  </r>
  <r>
    <n v="2045"/>
    <s v="Scheiber Mario"/>
    <x v="0"/>
    <x v="32"/>
    <x v="13"/>
    <x v="20"/>
    <n v="176"/>
    <x v="23"/>
    <x v="0"/>
    <x v="0"/>
    <x v="0"/>
  </r>
  <r>
    <n v="2046"/>
    <s v="Schelling Florence"/>
    <x v="6"/>
    <x v="9"/>
    <x v="17"/>
    <x v="2"/>
    <n v="174"/>
    <x v="482"/>
    <x v="0"/>
    <x v="0"/>
    <x v="0"/>
  </r>
  <r>
    <n v="2047"/>
    <s v="Schempp Simon"/>
    <x v="3"/>
    <x v="8"/>
    <x v="3"/>
    <x v="19"/>
    <n v="179"/>
    <x v="460"/>
    <x v="0"/>
    <x v="0"/>
    <x v="0"/>
  </r>
  <r>
    <n v="2048"/>
    <s v="Schenk Hanne"/>
    <x v="5"/>
    <x v="9"/>
    <x v="16"/>
    <x v="48"/>
    <n v="182"/>
    <x v="585"/>
    <x v="0"/>
    <x v="0"/>
    <x v="0"/>
  </r>
  <r>
    <n v="2049"/>
    <s v="Schiavon Alberto"/>
    <x v="8"/>
    <x v="19"/>
    <x v="7"/>
    <x v="24"/>
    <n v="180"/>
    <x v="189"/>
    <x v="0"/>
    <x v="0"/>
    <x v="2"/>
  </r>
  <r>
    <n v="2050"/>
    <s v="Schiegl Markus"/>
    <x v="10"/>
    <x v="32"/>
    <x v="15"/>
    <x v="24"/>
    <n v="178"/>
    <x v="211"/>
    <x v="0"/>
    <x v="0"/>
    <x v="2"/>
  </r>
  <r>
    <n v="2051"/>
    <s v="Schiegl Tobias"/>
    <x v="10"/>
    <x v="32"/>
    <x v="10"/>
    <x v="51"/>
    <n v="199"/>
    <x v="767"/>
    <x v="0"/>
    <x v="0"/>
    <x v="2"/>
  </r>
  <r>
    <n v="2052"/>
    <s v="Schild Marlies"/>
    <x v="0"/>
    <x v="32"/>
    <x v="8"/>
    <x v="13"/>
    <n v="172"/>
    <x v="662"/>
    <x v="0"/>
    <x v="0"/>
    <x v="0"/>
  </r>
  <r>
    <n v="2054"/>
    <s v="Schlierenzauer Gregor"/>
    <x v="7"/>
    <x v="32"/>
    <x v="17"/>
    <x v="33"/>
    <n v="180"/>
    <x v="564"/>
    <x v="0"/>
    <x v="0"/>
    <x v="0"/>
  </r>
  <r>
    <n v="2055"/>
    <s v="Schmid Daniel"/>
    <x v="5"/>
    <x v="9"/>
    <x v="15"/>
    <x v="34"/>
    <n v="189"/>
    <x v="768"/>
    <x v="1"/>
    <x v="0"/>
    <x v="2"/>
  </r>
  <r>
    <n v="2056"/>
    <s v="Schmid Jan"/>
    <x v="12"/>
    <x v="17"/>
    <x v="13"/>
    <x v="25"/>
    <n v="180"/>
    <x v="607"/>
    <x v="0"/>
    <x v="0"/>
    <x v="0"/>
  </r>
  <r>
    <n v="2057"/>
    <s v="Schmid Michael"/>
    <x v="2"/>
    <x v="9"/>
    <x v="16"/>
    <x v="7"/>
    <n v="193"/>
    <x v="769"/>
    <x v="0"/>
    <x v="0"/>
    <x v="0"/>
  </r>
  <r>
    <n v="2058"/>
    <s v="Schmid Tommy"/>
    <x v="12"/>
    <x v="9"/>
    <x v="3"/>
    <x v="9"/>
    <n v="180"/>
    <x v="439"/>
    <x v="0"/>
    <x v="0"/>
    <x v="0"/>
  </r>
  <r>
    <n v="2060"/>
    <s v="Schmidt Christophe"/>
    <x v="8"/>
    <x v="8"/>
    <x v="13"/>
    <x v="6"/>
    <n v="171"/>
    <x v="247"/>
    <x v="0"/>
    <x v="0"/>
    <x v="0"/>
  </r>
  <r>
    <n v="2061"/>
    <s v="Schmidt Christopher"/>
    <x v="6"/>
    <x v="8"/>
    <x v="21"/>
    <x v="7"/>
    <n v="195"/>
    <x v="770"/>
    <x v="0"/>
    <x v="0"/>
    <x v="2"/>
  </r>
  <r>
    <n v="2062"/>
    <s v="Schmidt Ulrik"/>
    <x v="11"/>
    <x v="12"/>
    <x v="27"/>
    <x v="25"/>
    <n v="180"/>
    <x v="607"/>
    <x v="0"/>
    <x v="0"/>
    <x v="3"/>
  </r>
  <r>
    <n v="2063"/>
    <s v="Schmitt Martin"/>
    <x v="7"/>
    <x v="8"/>
    <x v="9"/>
    <x v="6"/>
    <n v="182"/>
    <x v="771"/>
    <x v="0"/>
    <x v="0"/>
    <x v="2"/>
  </r>
  <r>
    <n v="2064"/>
    <s v="Schnarf Johanna"/>
    <x v="0"/>
    <x v="19"/>
    <x v="16"/>
    <x v="2"/>
    <n v="172"/>
    <x v="394"/>
    <x v="0"/>
    <x v="0"/>
    <x v="0"/>
  </r>
  <r>
    <n v="2065"/>
    <s v="Schneider Roger"/>
    <x v="4"/>
    <x v="9"/>
    <x v="13"/>
    <x v="40"/>
    <n v="203"/>
    <x v="772"/>
    <x v="1"/>
    <x v="0"/>
    <x v="0"/>
  </r>
  <r>
    <n v="2067"/>
    <s v="Schoch Simon"/>
    <x v="8"/>
    <x v="9"/>
    <x v="7"/>
    <x v="1"/>
    <n v="184"/>
    <x v="27"/>
    <x v="0"/>
    <x v="0"/>
    <x v="2"/>
  </r>
  <r>
    <n v="2068"/>
    <s v="Schoenfelder Olivier"/>
    <x v="1"/>
    <x v="16"/>
    <x v="9"/>
    <x v="25"/>
    <n v="183"/>
    <x v="221"/>
    <x v="0"/>
    <x v="0"/>
    <x v="2"/>
  </r>
  <r>
    <n v="2069"/>
    <s v="Schoepp Andrea"/>
    <x v="11"/>
    <x v="8"/>
    <x v="31"/>
    <x v="25"/>
    <n v="173"/>
    <x v="490"/>
    <x v="0"/>
    <x v="0"/>
    <x v="2"/>
  </r>
  <r>
    <n v="2070"/>
    <s v="Schoerghofer Philipp"/>
    <x v="0"/>
    <x v="32"/>
    <x v="5"/>
    <x v="35"/>
    <n v="176"/>
    <x v="773"/>
    <x v="0"/>
    <x v="0"/>
    <x v="0"/>
  </r>
  <r>
    <n v="2071"/>
    <s v="Scholz Corinna"/>
    <x v="11"/>
    <x v="8"/>
    <x v="17"/>
    <x v="44"/>
    <n v="173"/>
    <x v="751"/>
    <x v="0"/>
    <x v="0"/>
    <x v="0"/>
  </r>
  <r>
    <n v="2072"/>
    <s v="Schori Irene"/>
    <x v="11"/>
    <x v="9"/>
    <x v="13"/>
    <x v="44"/>
    <n v="173"/>
    <x v="751"/>
    <x v="0"/>
    <x v="0"/>
    <x v="0"/>
  </r>
  <r>
    <n v="2073"/>
    <s v="Schramm Claudia"/>
    <x v="5"/>
    <x v="8"/>
    <x v="15"/>
    <x v="36"/>
    <n v="183"/>
    <x v="78"/>
    <x v="0"/>
    <x v="0"/>
    <x v="2"/>
  </r>
  <r>
    <n v="2074"/>
    <s v="Schuchkina Olga"/>
    <x v="9"/>
    <x v="5"/>
    <x v="19"/>
    <x v="22"/>
    <n v="178"/>
    <x v="774"/>
    <x v="0"/>
    <x v="0"/>
    <x v="0"/>
  </r>
  <r>
    <n v="2075"/>
    <s v="Schuffenhauer Bill"/>
    <x v="5"/>
    <x v="1"/>
    <x v="10"/>
    <x v="40"/>
    <n v="183"/>
    <x v="157"/>
    <x v="1"/>
    <x v="0"/>
    <x v="2"/>
  </r>
  <r>
    <n v="2076"/>
    <s v="Schultheiss Adrian"/>
    <x v="1"/>
    <x v="14"/>
    <x v="3"/>
    <x v="44"/>
    <n v="172"/>
    <x v="775"/>
    <x v="0"/>
    <x v="0"/>
    <x v="0"/>
  </r>
  <r>
    <n v="2077"/>
    <s v="Schussler Brittany"/>
    <x v="4"/>
    <x v="7"/>
    <x v="1"/>
    <x v="9"/>
    <n v="169"/>
    <x v="208"/>
    <x v="0"/>
    <x v="0"/>
    <x v="0"/>
  </r>
  <r>
    <n v="2078"/>
    <s v="Schwarz Samuel"/>
    <x v="4"/>
    <x v="8"/>
    <x v="13"/>
    <x v="49"/>
    <n v="184"/>
    <x v="134"/>
    <x v="0"/>
    <x v="0"/>
    <x v="0"/>
  </r>
  <r>
    <n v="2079"/>
    <s v="Scott Peter"/>
    <x v="0"/>
    <x v="64"/>
    <x v="12"/>
    <x v="17"/>
    <n v="178"/>
    <x v="124"/>
    <x v="0"/>
    <x v="0"/>
    <x v="0"/>
  </r>
  <r>
    <n v="2080"/>
    <s v="Seabrook Brent"/>
    <x v="6"/>
    <x v="7"/>
    <x v="1"/>
    <x v="40"/>
    <n v="191"/>
    <x v="687"/>
    <x v="1"/>
    <x v="0"/>
    <x v="0"/>
  </r>
  <r>
    <n v="2082"/>
    <s v="Seck Leyti"/>
    <x v="0"/>
    <x v="74"/>
    <x v="8"/>
    <x v="44"/>
    <n v="200"/>
    <x v="776"/>
    <x v="0"/>
    <x v="0"/>
    <x v="0"/>
  </r>
  <r>
    <n v="2083"/>
    <s v="Sedin Daniel"/>
    <x v="6"/>
    <x v="14"/>
    <x v="19"/>
    <x v="20"/>
    <n v="186"/>
    <x v="319"/>
    <x v="0"/>
    <x v="0"/>
    <x v="0"/>
  </r>
  <r>
    <n v="2084"/>
    <s v="Sedin Henrik"/>
    <x v="6"/>
    <x v="14"/>
    <x v="19"/>
    <x v="38"/>
    <n v="188"/>
    <x v="73"/>
    <x v="0"/>
    <x v="0"/>
    <x v="0"/>
  </r>
  <r>
    <n v="2085"/>
    <s v="Sednev Serguei"/>
    <x v="3"/>
    <x v="2"/>
    <x v="13"/>
    <x v="19"/>
    <n v="178"/>
    <x v="323"/>
    <x v="0"/>
    <x v="0"/>
    <x v="0"/>
  </r>
  <r>
    <n v="2086"/>
    <s v="Sedov Petr"/>
    <x v="9"/>
    <x v="5"/>
    <x v="12"/>
    <x v="37"/>
    <n v="187"/>
    <x v="443"/>
    <x v="0"/>
    <x v="0"/>
    <x v="0"/>
  </r>
  <r>
    <n v="2087"/>
    <s v="Seger Mathias"/>
    <x v="6"/>
    <x v="9"/>
    <x v="9"/>
    <x v="36"/>
    <n v="181"/>
    <x v="777"/>
    <x v="0"/>
    <x v="0"/>
    <x v="2"/>
  </r>
  <r>
    <n v="2088"/>
    <s v="Seidenberg Dennis"/>
    <x v="6"/>
    <x v="8"/>
    <x v="8"/>
    <x v="38"/>
    <n v="183"/>
    <x v="280"/>
    <x v="0"/>
    <x v="0"/>
    <x v="0"/>
  </r>
  <r>
    <n v="2089"/>
    <s v="Seifert Robert"/>
    <x v="13"/>
    <x v="8"/>
    <x v="4"/>
    <x v="28"/>
    <n v="181"/>
    <x v="485"/>
    <x v="0"/>
    <x v="0"/>
    <x v="0"/>
  </r>
  <r>
    <n v="2090"/>
    <s v="Sekera Andrej"/>
    <x v="6"/>
    <x v="24"/>
    <x v="0"/>
    <x v="15"/>
    <n v="183"/>
    <x v="593"/>
    <x v="0"/>
    <x v="0"/>
    <x v="0"/>
  </r>
  <r>
    <n v="2091"/>
    <s v="Selanne Teemu"/>
    <x v="6"/>
    <x v="10"/>
    <x v="24"/>
    <x v="41"/>
    <n v="183"/>
    <x v="92"/>
    <x v="0"/>
    <x v="0"/>
    <x v="2"/>
  </r>
  <r>
    <n v="2092"/>
    <s v="Semenov Serhiy"/>
    <x v="3"/>
    <x v="2"/>
    <x v="3"/>
    <x v="17"/>
    <n v="179"/>
    <x v="778"/>
    <x v="0"/>
    <x v="0"/>
    <x v="0"/>
  </r>
  <r>
    <n v="2095"/>
    <s v="Semin Alexander"/>
    <x v="6"/>
    <x v="5"/>
    <x v="16"/>
    <x v="41"/>
    <n v="189"/>
    <x v="756"/>
    <x v="0"/>
    <x v="0"/>
    <x v="0"/>
  </r>
  <r>
    <n v="2096"/>
    <s v="Semple Ryan"/>
    <x v="0"/>
    <x v="7"/>
    <x v="5"/>
    <x v="12"/>
    <n v="183"/>
    <x v="12"/>
    <x v="0"/>
    <x v="0"/>
    <x v="0"/>
  </r>
  <r>
    <n v="2097"/>
    <s v="Senkel Christin"/>
    <x v="5"/>
    <x v="8"/>
    <x v="4"/>
    <x v="5"/>
    <n v="180"/>
    <x v="98"/>
    <x v="0"/>
    <x v="0"/>
    <x v="0"/>
  </r>
  <r>
    <n v="2098"/>
    <s v="Senkiv Taras"/>
    <x v="10"/>
    <x v="2"/>
    <x v="17"/>
    <x v="3"/>
    <n v="180"/>
    <x v="65"/>
    <x v="0"/>
    <x v="0"/>
    <x v="0"/>
  </r>
  <r>
    <n v="2100"/>
    <s v="Serain Emilie"/>
    <x v="2"/>
    <x v="9"/>
    <x v="16"/>
    <x v="21"/>
    <n v="169"/>
    <x v="580"/>
    <x v="0"/>
    <x v="0"/>
    <x v="0"/>
  </r>
  <r>
    <n v="2102"/>
    <s v="Sergejeva Maria"/>
    <x v="1"/>
    <x v="49"/>
    <x v="23"/>
    <x v="44"/>
    <n v="165"/>
    <x v="135"/>
    <x v="0"/>
    <x v="0"/>
    <x v="0"/>
  </r>
  <r>
    <n v="2103"/>
    <s v="Sergina Marina"/>
    <x v="6"/>
    <x v="5"/>
    <x v="0"/>
    <x v="2"/>
    <n v="168"/>
    <x v="115"/>
    <x v="0"/>
    <x v="0"/>
    <x v="0"/>
  </r>
  <r>
    <n v="2105"/>
    <s v="Serra Roberto"/>
    <x v="13"/>
    <x v="19"/>
    <x v="5"/>
    <x v="5"/>
    <n v="178"/>
    <x v="441"/>
    <x v="0"/>
    <x v="0"/>
    <x v="0"/>
  </r>
  <r>
    <n v="2106"/>
    <s v="Servelle Patrice"/>
    <x v="5"/>
    <x v="53"/>
    <x v="18"/>
    <x v="18"/>
    <n v="183"/>
    <x v="400"/>
    <x v="0"/>
    <x v="0"/>
    <x v="2"/>
  </r>
  <r>
    <n v="2107"/>
    <s v="Serwa Kelsey"/>
    <x v="2"/>
    <x v="7"/>
    <x v="17"/>
    <x v="22"/>
    <n v="168"/>
    <x v="175"/>
    <x v="0"/>
    <x v="0"/>
    <x v="0"/>
  </r>
  <r>
    <n v="2108"/>
    <s v="Setina Anze"/>
    <x v="15"/>
    <x v="31"/>
    <x v="0"/>
    <x v="1"/>
    <n v="180"/>
    <x v="121"/>
    <x v="0"/>
    <x v="0"/>
    <x v="0"/>
  </r>
  <r>
    <n v="2109"/>
    <s v="Seyd Seyed Sattar"/>
    <x v="9"/>
    <x v="58"/>
    <x v="4"/>
    <x v="2"/>
    <n v="175"/>
    <x v="237"/>
    <x v="0"/>
    <x v="0"/>
    <x v="0"/>
  </r>
  <r>
    <n v="2110"/>
    <s v="Shabalin Maxim"/>
    <x v="1"/>
    <x v="5"/>
    <x v="8"/>
    <x v="44"/>
    <n v="182"/>
    <x v="779"/>
    <x v="0"/>
    <x v="0"/>
    <x v="0"/>
  </r>
  <r>
    <n v="2111"/>
    <s v="Shabanova Alla"/>
    <x v="4"/>
    <x v="5"/>
    <x v="5"/>
    <x v="2"/>
    <n v="172"/>
    <x v="394"/>
    <x v="0"/>
    <x v="0"/>
    <x v="0"/>
  </r>
  <r>
    <n v="2112"/>
    <s v="Shamaev Oleg"/>
    <x v="0"/>
    <x v="54"/>
    <x v="5"/>
    <x v="6"/>
    <n v="180"/>
    <x v="266"/>
    <x v="0"/>
    <x v="0"/>
    <x v="0"/>
  </r>
  <r>
    <n v="2113"/>
    <s v="Shannon Patrick"/>
    <x v="15"/>
    <x v="29"/>
    <x v="9"/>
    <x v="48"/>
    <n v="178"/>
    <x v="309"/>
    <x v="0"/>
    <x v="0"/>
    <x v="2"/>
  </r>
  <r>
    <n v="2114"/>
    <s v="Shapkin Yury"/>
    <x v="2"/>
    <x v="5"/>
    <x v="4"/>
    <x v="23"/>
    <n v="180"/>
    <x v="214"/>
    <x v="0"/>
    <x v="0"/>
    <x v="0"/>
  </r>
  <r>
    <n v="2115"/>
    <s v="Shapovalova Evgenia"/>
    <x v="9"/>
    <x v="5"/>
    <x v="0"/>
    <x v="44"/>
    <n v="168"/>
    <x v="170"/>
    <x v="0"/>
    <x v="0"/>
    <x v="0"/>
  </r>
  <r>
    <n v="2116"/>
    <s v="Shaw Joh"/>
    <x v="8"/>
    <x v="15"/>
    <x v="5"/>
    <x v="13"/>
    <n v="173"/>
    <x v="274"/>
    <x v="0"/>
    <x v="0"/>
    <x v="0"/>
  </r>
  <r>
    <n v="2118"/>
    <s v="Sherpa Dachhiri"/>
    <x v="9"/>
    <x v="75"/>
    <x v="22"/>
    <x v="5"/>
    <n v="175"/>
    <x v="317"/>
    <x v="0"/>
    <x v="0"/>
    <x v="2"/>
  </r>
  <r>
    <n v="2119"/>
    <s v="Shevchenko Valentina"/>
    <x v="9"/>
    <x v="2"/>
    <x v="15"/>
    <x v="66"/>
    <n v="165"/>
    <x v="647"/>
    <x v="0"/>
    <x v="0"/>
    <x v="2"/>
  </r>
  <r>
    <n v="2120"/>
    <s v="Shi Wancheng"/>
    <x v="8"/>
    <x v="44"/>
    <x v="12"/>
    <x v="5"/>
    <n v="178"/>
    <x v="441"/>
    <x v="0"/>
    <x v="0"/>
    <x v="0"/>
  </r>
  <r>
    <n v="2121"/>
    <s v="Shi Yao"/>
    <x v="6"/>
    <x v="44"/>
    <x v="0"/>
    <x v="17"/>
    <n v="178"/>
    <x v="124"/>
    <x v="0"/>
    <x v="0"/>
    <x v="0"/>
  </r>
  <r>
    <n v="2122"/>
    <s v="Shikhova Yekaterina"/>
    <x v="4"/>
    <x v="5"/>
    <x v="1"/>
    <x v="2"/>
    <n v="172"/>
    <x v="394"/>
    <x v="0"/>
    <x v="0"/>
    <x v="0"/>
  </r>
  <r>
    <n v="2124"/>
    <s v="Shipulin Anton"/>
    <x v="3"/>
    <x v="5"/>
    <x v="4"/>
    <x v="23"/>
    <n v="185"/>
    <x v="483"/>
    <x v="0"/>
    <x v="0"/>
    <x v="0"/>
  </r>
  <r>
    <n v="2125"/>
    <s v="Shiriaev Sergey"/>
    <x v="9"/>
    <x v="5"/>
    <x v="5"/>
    <x v="19"/>
    <n v="181"/>
    <x v="742"/>
    <x v="0"/>
    <x v="0"/>
    <x v="0"/>
  </r>
  <r>
    <n v="2126"/>
    <s v="Shkanova Maria"/>
    <x v="0"/>
    <x v="4"/>
    <x v="17"/>
    <x v="13"/>
    <n v="166"/>
    <x v="336"/>
    <x v="0"/>
    <x v="0"/>
    <x v="0"/>
  </r>
  <r>
    <n v="2127"/>
    <s v="Shouldice Warren"/>
    <x v="2"/>
    <x v="7"/>
    <x v="13"/>
    <x v="17"/>
    <n v="177"/>
    <x v="618"/>
    <x v="0"/>
    <x v="0"/>
    <x v="0"/>
  </r>
  <r>
    <n v="2128"/>
    <s v="Shtork Irina"/>
    <x v="1"/>
    <x v="49"/>
    <x v="6"/>
    <x v="44"/>
    <n v="168"/>
    <x v="170"/>
    <x v="0"/>
    <x v="0"/>
    <x v="1"/>
  </r>
  <r>
    <n v="2129"/>
    <s v="Shumbarets Vitaliy"/>
    <x v="7"/>
    <x v="2"/>
    <x v="13"/>
    <x v="13"/>
    <n v="181"/>
    <x v="53"/>
    <x v="0"/>
    <x v="0"/>
    <x v="0"/>
  </r>
  <r>
    <n v="2130"/>
    <s v="Shuster John"/>
    <x v="11"/>
    <x v="1"/>
    <x v="5"/>
    <x v="44"/>
    <n v="183"/>
    <x v="780"/>
    <x v="0"/>
    <x v="0"/>
    <x v="0"/>
  </r>
  <r>
    <n v="2131"/>
    <s v="Shyam Kumar-Dhakal"/>
    <x v="0"/>
    <x v="75"/>
    <x v="8"/>
    <x v="2"/>
    <n v="165"/>
    <x v="734"/>
    <x v="0"/>
    <x v="0"/>
    <x v="0"/>
  </r>
  <r>
    <n v="2132"/>
    <s v="Siamionau Mikhail"/>
    <x v="3"/>
    <x v="4"/>
    <x v="1"/>
    <x v="33"/>
    <n v="170"/>
    <x v="61"/>
    <x v="0"/>
    <x v="0"/>
    <x v="0"/>
  </r>
  <r>
    <n v="2133"/>
    <s v="Sics Andris"/>
    <x v="10"/>
    <x v="20"/>
    <x v="1"/>
    <x v="15"/>
    <n v="179"/>
    <x v="781"/>
    <x v="0"/>
    <x v="0"/>
    <x v="0"/>
  </r>
  <r>
    <n v="2134"/>
    <s v="Sics Juris"/>
    <x v="10"/>
    <x v="20"/>
    <x v="13"/>
    <x v="3"/>
    <n v="174"/>
    <x v="782"/>
    <x v="0"/>
    <x v="0"/>
    <x v="0"/>
  </r>
  <r>
    <n v="2135"/>
    <s v="Sidorova Anna"/>
    <x v="11"/>
    <x v="5"/>
    <x v="12"/>
    <x v="44"/>
    <n v="170"/>
    <x v="109"/>
    <x v="0"/>
    <x v="0"/>
    <x v="0"/>
  </r>
  <r>
    <n v="2136"/>
    <s v="Sigurgeirsson Stefan Jon"/>
    <x v="0"/>
    <x v="36"/>
    <x v="17"/>
    <x v="1"/>
    <n v="184"/>
    <x v="27"/>
    <x v="0"/>
    <x v="0"/>
    <x v="0"/>
  </r>
  <r>
    <n v="2137"/>
    <s v="Sikora Tomasz"/>
    <x v="3"/>
    <x v="25"/>
    <x v="10"/>
    <x v="48"/>
    <n v="182"/>
    <x v="585"/>
    <x v="0"/>
    <x v="0"/>
    <x v="2"/>
  </r>
  <r>
    <n v="2138"/>
    <s v="Silovs Haralds"/>
    <x v="16"/>
    <x v="20"/>
    <x v="0"/>
    <x v="47"/>
    <n v="178"/>
    <x v="398"/>
    <x v="0"/>
    <x v="0"/>
    <x v="0"/>
  </r>
  <r>
    <n v="2139"/>
    <s v="Silva Danny"/>
    <x v="9"/>
    <x v="76"/>
    <x v="10"/>
    <x v="8"/>
    <n v="165"/>
    <x v="139"/>
    <x v="0"/>
    <x v="0"/>
    <x v="2"/>
  </r>
  <r>
    <n v="2140"/>
    <s v="Sim Ben"/>
    <x v="9"/>
    <x v="15"/>
    <x v="1"/>
    <x v="26"/>
    <n v="178"/>
    <x v="183"/>
    <x v="0"/>
    <x v="0"/>
    <x v="0"/>
  </r>
  <r>
    <n v="2141"/>
    <s v="Simari Birkner Cristian Javier"/>
    <x v="0"/>
    <x v="52"/>
    <x v="19"/>
    <x v="18"/>
    <n v="183"/>
    <x v="400"/>
    <x v="0"/>
    <x v="0"/>
    <x v="0"/>
  </r>
  <r>
    <n v="2142"/>
    <s v="Simari Birkner Macarena"/>
    <x v="0"/>
    <x v="52"/>
    <x v="16"/>
    <x v="22"/>
    <n v="167"/>
    <x v="386"/>
    <x v="0"/>
    <x v="0"/>
    <x v="0"/>
  </r>
  <r>
    <n v="2143"/>
    <s v="Simari Birkner Maria Belen"/>
    <x v="0"/>
    <x v="52"/>
    <x v="5"/>
    <x v="8"/>
    <n v="165"/>
    <x v="139"/>
    <x v="0"/>
    <x v="0"/>
    <x v="0"/>
  </r>
  <r>
    <n v="2144"/>
    <s v="Simionato Chiara"/>
    <x v="4"/>
    <x v="19"/>
    <x v="15"/>
    <x v="9"/>
    <n v="167"/>
    <x v="9"/>
    <x v="0"/>
    <x v="0"/>
    <x v="2"/>
  </r>
  <r>
    <n v="2145"/>
    <s v="Simister Meaghan"/>
    <x v="10"/>
    <x v="7"/>
    <x v="0"/>
    <x v="2"/>
    <n v="171"/>
    <x v="75"/>
    <x v="0"/>
    <x v="0"/>
    <x v="0"/>
  </r>
  <r>
    <n v="2146"/>
    <s v="Simmen Matthias"/>
    <x v="3"/>
    <x v="9"/>
    <x v="20"/>
    <x v="1"/>
    <n v="186"/>
    <x v="362"/>
    <x v="0"/>
    <x v="0"/>
    <x v="2"/>
  </r>
  <r>
    <n v="2147"/>
    <s v="Simmerling Georgia"/>
    <x v="0"/>
    <x v="7"/>
    <x v="17"/>
    <x v="26"/>
    <n v="172"/>
    <x v="558"/>
    <x v="0"/>
    <x v="0"/>
    <x v="0"/>
  </r>
  <r>
    <n v="2148"/>
    <s v="Simocko Dusan"/>
    <x v="3"/>
    <x v="24"/>
    <x v="13"/>
    <x v="6"/>
    <n v="174"/>
    <x v="151"/>
    <x v="0"/>
    <x v="0"/>
    <x v="0"/>
  </r>
  <r>
    <n v="2149"/>
    <s v="Simoncelli Davide"/>
    <x v="0"/>
    <x v="19"/>
    <x v="7"/>
    <x v="37"/>
    <n v="175"/>
    <x v="146"/>
    <x v="0"/>
    <x v="0"/>
    <x v="2"/>
  </r>
  <r>
    <n v="2150"/>
    <s v="Simonlatser Timo"/>
    <x v="9"/>
    <x v="49"/>
    <x v="0"/>
    <x v="17"/>
    <n v="175"/>
    <x v="236"/>
    <x v="0"/>
    <x v="0"/>
    <x v="0"/>
  </r>
  <r>
    <n v="2151"/>
    <s v="Sinclair Rebecca"/>
    <x v="8"/>
    <x v="38"/>
    <x v="14"/>
    <x v="14"/>
    <n v="166"/>
    <x v="155"/>
    <x v="0"/>
    <x v="0"/>
    <x v="0"/>
  </r>
  <r>
    <n v="2152"/>
    <s v="Sindelar Petr"/>
    <x v="8"/>
    <x v="26"/>
    <x v="15"/>
    <x v="1"/>
    <n v="183"/>
    <x v="366"/>
    <x v="0"/>
    <x v="0"/>
    <x v="2"/>
  </r>
  <r>
    <n v="2153"/>
    <s v="Sirokovs Aleksejs"/>
    <x v="6"/>
    <x v="20"/>
    <x v="8"/>
    <x v="12"/>
    <n v="182"/>
    <x v="270"/>
    <x v="0"/>
    <x v="0"/>
    <x v="0"/>
  </r>
  <r>
    <n v="2154"/>
    <s v="Sirvio Saija"/>
    <x v="6"/>
    <x v="10"/>
    <x v="5"/>
    <x v="22"/>
    <n v="172"/>
    <x v="26"/>
    <x v="0"/>
    <x v="0"/>
    <x v="0"/>
  </r>
  <r>
    <n v="2155"/>
    <s v="Sisajova Jana"/>
    <x v="10"/>
    <x v="24"/>
    <x v="16"/>
    <x v="26"/>
    <n v="167"/>
    <x v="489"/>
    <x v="0"/>
    <x v="0"/>
    <x v="0"/>
  </r>
  <r>
    <n v="2156"/>
    <s v="Sivertzen Stian"/>
    <x v="8"/>
    <x v="17"/>
    <x v="17"/>
    <x v="44"/>
    <n v="200"/>
    <x v="776"/>
    <x v="0"/>
    <x v="0"/>
    <x v="0"/>
  </r>
  <r>
    <n v="2157"/>
    <s v="Skalnikova Eva"/>
    <x v="9"/>
    <x v="26"/>
    <x v="16"/>
    <x v="8"/>
    <n v="176"/>
    <x v="231"/>
    <x v="0"/>
    <x v="0"/>
    <x v="0"/>
  </r>
  <r>
    <n v="2159"/>
    <s v="Skjellerup Blake"/>
    <x v="13"/>
    <x v="38"/>
    <x v="1"/>
    <x v="19"/>
    <n v="176"/>
    <x v="44"/>
    <x v="0"/>
    <x v="0"/>
    <x v="0"/>
  </r>
  <r>
    <n v="2160"/>
    <s v="Skobrev Ivan"/>
    <x v="4"/>
    <x v="5"/>
    <x v="5"/>
    <x v="37"/>
    <n v="189"/>
    <x v="783"/>
    <x v="0"/>
    <x v="0"/>
    <x v="0"/>
  </r>
  <r>
    <n v="2161"/>
    <s v="Skofterud Vibeke W"/>
    <x v="9"/>
    <x v="17"/>
    <x v="19"/>
    <x v="44"/>
    <n v="200"/>
    <x v="776"/>
    <x v="0"/>
    <x v="0"/>
    <x v="0"/>
  </r>
  <r>
    <n v="2162"/>
    <s v="Skopin Timofey"/>
    <x v="4"/>
    <x v="5"/>
    <x v="17"/>
    <x v="48"/>
    <n v="183"/>
    <x v="433"/>
    <x v="0"/>
    <x v="0"/>
    <x v="0"/>
  </r>
  <r>
    <n v="2163"/>
    <s v="Skube Matic"/>
    <x v="0"/>
    <x v="31"/>
    <x v="3"/>
    <x v="23"/>
    <n v="184"/>
    <x v="600"/>
    <x v="0"/>
    <x v="0"/>
    <x v="0"/>
  </r>
  <r>
    <n v="2164"/>
    <s v="Skulkina Anastasia"/>
    <x v="5"/>
    <x v="5"/>
    <x v="5"/>
    <x v="22"/>
    <n v="179"/>
    <x v="784"/>
    <x v="0"/>
    <x v="0"/>
    <x v="0"/>
  </r>
  <r>
    <n v="2165"/>
    <s v="Slavik Tomas"/>
    <x v="12"/>
    <x v="26"/>
    <x v="8"/>
    <x v="26"/>
    <n v="179"/>
    <x v="785"/>
    <x v="0"/>
    <x v="0"/>
    <x v="0"/>
  </r>
  <r>
    <n v="2167"/>
    <s v="Slesingr Michal"/>
    <x v="3"/>
    <x v="26"/>
    <x v="5"/>
    <x v="37"/>
    <n v="180"/>
    <x v="201"/>
    <x v="0"/>
    <x v="0"/>
    <x v="0"/>
  </r>
  <r>
    <n v="2168"/>
    <s v="Slettemark Oystein"/>
    <x v="3"/>
    <x v="12"/>
    <x v="26"/>
    <x v="23"/>
    <n v="188"/>
    <x v="186"/>
    <x v="0"/>
    <x v="0"/>
    <x v="2"/>
  </r>
  <r>
    <n v="2169"/>
    <s v="Slivets Assoli"/>
    <x v="2"/>
    <x v="4"/>
    <x v="5"/>
    <x v="8"/>
    <n v="168"/>
    <x v="8"/>
    <x v="0"/>
    <x v="0"/>
    <x v="0"/>
  </r>
  <r>
    <n v="2170"/>
    <s v="Slivets Timofei"/>
    <x v="2"/>
    <x v="4"/>
    <x v="16"/>
    <x v="28"/>
    <n v="184"/>
    <x v="33"/>
    <x v="0"/>
    <x v="0"/>
    <x v="0"/>
  </r>
  <r>
    <n v="2172"/>
    <s v="Smeekens Jan"/>
    <x v="4"/>
    <x v="33"/>
    <x v="0"/>
    <x v="16"/>
    <n v="176"/>
    <x v="112"/>
    <x v="0"/>
    <x v="0"/>
    <x v="0"/>
  </r>
  <r>
    <n v="2173"/>
    <s v="Smigun-Vaehi Kristina"/>
    <x v="9"/>
    <x v="49"/>
    <x v="9"/>
    <x v="21"/>
    <n v="168"/>
    <x v="256"/>
    <x v="0"/>
    <x v="0"/>
    <x v="2"/>
  </r>
  <r>
    <n v="2174"/>
    <s v="Smirnov Alexander"/>
    <x v="1"/>
    <x v="5"/>
    <x v="16"/>
    <x v="44"/>
    <n v="180"/>
    <x v="786"/>
    <x v="0"/>
    <x v="0"/>
    <x v="0"/>
  </r>
  <r>
    <n v="2175"/>
    <s v="Smith Fanny"/>
    <x v="2"/>
    <x v="9"/>
    <x v="23"/>
    <x v="21"/>
    <n v="166"/>
    <x v="758"/>
    <x v="0"/>
    <x v="0"/>
    <x v="0"/>
  </r>
  <r>
    <n v="2176"/>
    <s v="Smith Jason"/>
    <x v="11"/>
    <x v="1"/>
    <x v="13"/>
    <x v="44"/>
    <n v="183"/>
    <x v="780"/>
    <x v="0"/>
    <x v="0"/>
    <x v="0"/>
  </r>
  <r>
    <n v="2177"/>
    <s v="Smith Leanne"/>
    <x v="0"/>
    <x v="1"/>
    <x v="4"/>
    <x v="17"/>
    <n v="165"/>
    <x v="188"/>
    <x v="0"/>
    <x v="0"/>
    <x v="0"/>
  </r>
  <r>
    <n v="2178"/>
    <s v="Smith Peter"/>
    <x v="11"/>
    <x v="11"/>
    <x v="30"/>
    <x v="44"/>
    <n v="189"/>
    <x v="787"/>
    <x v="0"/>
    <x v="0"/>
    <x v="2"/>
  </r>
  <r>
    <n v="2179"/>
    <s v="Smith Ruben"/>
    <x v="6"/>
    <x v="17"/>
    <x v="4"/>
    <x v="37"/>
    <n v="182"/>
    <x v="724"/>
    <x v="0"/>
    <x v="0"/>
    <x v="0"/>
  </r>
  <r>
    <n v="2180"/>
    <s v="Smolentseva Ekaterina"/>
    <x v="6"/>
    <x v="5"/>
    <x v="8"/>
    <x v="6"/>
    <n v="176"/>
    <x v="240"/>
    <x v="0"/>
    <x v="0"/>
    <x v="0"/>
  </r>
  <r>
    <n v="2181"/>
    <s v="Smrkovic Belma"/>
    <x v="9"/>
    <x v="51"/>
    <x v="12"/>
    <x v="25"/>
    <n v="174"/>
    <x v="419"/>
    <x v="0"/>
    <x v="0"/>
    <x v="0"/>
  </r>
  <r>
    <n v="2182"/>
    <s v="Smutna Katerina"/>
    <x v="9"/>
    <x v="32"/>
    <x v="13"/>
    <x v="21"/>
    <n v="171"/>
    <x v="117"/>
    <x v="0"/>
    <x v="0"/>
    <x v="0"/>
  </r>
  <r>
    <n v="2183"/>
    <s v="Smyshlyaev Alexandr"/>
    <x v="2"/>
    <x v="5"/>
    <x v="4"/>
    <x v="2"/>
    <n v="170"/>
    <x v="250"/>
    <x v="0"/>
    <x v="0"/>
    <x v="0"/>
  </r>
  <r>
    <n v="2184"/>
    <s v="Snith Justin"/>
    <x v="10"/>
    <x v="7"/>
    <x v="14"/>
    <x v="17"/>
    <n v="176"/>
    <x v="84"/>
    <x v="0"/>
    <x v="0"/>
    <x v="0"/>
  </r>
  <r>
    <n v="2185"/>
    <s v="Soedergren Anders"/>
    <x v="9"/>
    <x v="14"/>
    <x v="9"/>
    <x v="48"/>
    <n v="182"/>
    <x v="585"/>
    <x v="0"/>
    <x v="0"/>
    <x v="2"/>
  </r>
  <r>
    <n v="2186"/>
    <s v="Soklic Mirjam"/>
    <x v="9"/>
    <x v="31"/>
    <x v="13"/>
    <x v="13"/>
    <n v="173"/>
    <x v="274"/>
    <x v="0"/>
    <x v="0"/>
    <x v="0"/>
  </r>
  <r>
    <n v="2187"/>
    <s v="Sola Ivan"/>
    <x v="5"/>
    <x v="39"/>
    <x v="32"/>
    <x v="31"/>
    <n v="190"/>
    <x v="788"/>
    <x v="0"/>
    <x v="0"/>
    <x v="3"/>
  </r>
  <r>
    <n v="2188"/>
    <s v="Soloviev Dmitri"/>
    <x v="1"/>
    <x v="5"/>
    <x v="17"/>
    <x v="70"/>
    <n v="184"/>
    <x v="789"/>
    <x v="0"/>
    <x v="0"/>
    <x v="0"/>
  </r>
  <r>
    <n v="2189"/>
    <s v="Sommerfeldt Rene"/>
    <x v="9"/>
    <x v="8"/>
    <x v="18"/>
    <x v="17"/>
    <n v="175"/>
    <x v="236"/>
    <x v="0"/>
    <x v="0"/>
    <x v="2"/>
  </r>
  <r>
    <n v="2190"/>
    <s v="Song Chaoqing"/>
    <x v="3"/>
    <x v="44"/>
    <x v="14"/>
    <x v="8"/>
    <n v="170"/>
    <x v="356"/>
    <x v="0"/>
    <x v="0"/>
    <x v="0"/>
  </r>
  <r>
    <n v="2191"/>
    <s v="Song Weilong"/>
    <x v="13"/>
    <x v="44"/>
    <x v="17"/>
    <x v="26"/>
    <n v="179"/>
    <x v="785"/>
    <x v="0"/>
    <x v="0"/>
    <x v="0"/>
  </r>
  <r>
    <n v="2194"/>
    <s v="Sotnieks Kristaps"/>
    <x v="6"/>
    <x v="20"/>
    <x v="0"/>
    <x v="12"/>
    <n v="184"/>
    <x v="64"/>
    <x v="0"/>
    <x v="0"/>
    <x v="0"/>
  </r>
  <r>
    <n v="2195"/>
    <s v="Sotnikova Tatiana"/>
    <x v="6"/>
    <x v="5"/>
    <x v="19"/>
    <x v="43"/>
    <n v="167"/>
    <x v="198"/>
    <x v="0"/>
    <x v="0"/>
    <x v="0"/>
  </r>
  <r>
    <n v="2196"/>
    <s v="Soukalova Gabriela"/>
    <x v="3"/>
    <x v="26"/>
    <x v="17"/>
    <x v="14"/>
    <n v="169"/>
    <x v="471"/>
    <x v="0"/>
    <x v="0"/>
    <x v="0"/>
  </r>
  <r>
    <n v="2197"/>
    <s v="Soukup Jaroslav"/>
    <x v="3"/>
    <x v="26"/>
    <x v="5"/>
    <x v="2"/>
    <n v="184"/>
    <x v="790"/>
    <x v="0"/>
    <x v="0"/>
    <x v="0"/>
  </r>
  <r>
    <n v="2198"/>
    <s v="Soulie Francois"/>
    <x v="9"/>
    <x v="50"/>
    <x v="7"/>
    <x v="2"/>
    <n v="180"/>
    <x v="187"/>
    <x v="0"/>
    <x v="0"/>
    <x v="2"/>
  </r>
  <r>
    <n v="2199"/>
    <s v="Southam James"/>
    <x v="9"/>
    <x v="1"/>
    <x v="7"/>
    <x v="25"/>
    <n v="178"/>
    <x v="382"/>
    <x v="0"/>
    <x v="0"/>
    <x v="2"/>
  </r>
  <r>
    <n v="2200"/>
    <s v="Spahni Caroline"/>
    <x v="5"/>
    <x v="9"/>
    <x v="5"/>
    <x v="17"/>
    <n v="172"/>
    <x v="384"/>
    <x v="0"/>
    <x v="0"/>
    <x v="0"/>
  </r>
  <r>
    <n v="2201"/>
    <s v="Spalinger Richard"/>
    <x v="2"/>
    <x v="9"/>
    <x v="15"/>
    <x v="18"/>
    <n v="178"/>
    <x v="791"/>
    <x v="0"/>
    <x v="0"/>
    <x v="2"/>
  </r>
  <r>
    <n v="2203"/>
    <s v="Speiser David"/>
    <x v="8"/>
    <x v="8"/>
    <x v="19"/>
    <x v="31"/>
    <n v="189"/>
    <x v="347"/>
    <x v="0"/>
    <x v="0"/>
    <x v="0"/>
  </r>
  <r>
    <n v="2204"/>
    <s v="Spence Brad"/>
    <x v="0"/>
    <x v="7"/>
    <x v="16"/>
    <x v="32"/>
    <n v="184"/>
    <x v="792"/>
    <x v="0"/>
    <x v="0"/>
    <x v="0"/>
  </r>
  <r>
    <n v="2205"/>
    <s v="Spillane Johnny"/>
    <x v="12"/>
    <x v="1"/>
    <x v="19"/>
    <x v="26"/>
    <n v="183"/>
    <x v="793"/>
    <x v="0"/>
    <x v="0"/>
    <x v="0"/>
  </r>
  <r>
    <n v="2206"/>
    <s v="Sporn Andrej"/>
    <x v="0"/>
    <x v="31"/>
    <x v="8"/>
    <x v="38"/>
    <n v="188"/>
    <x v="73"/>
    <x v="0"/>
    <x v="0"/>
    <x v="0"/>
  </r>
  <r>
    <n v="2207"/>
    <s v="Spring Christopher"/>
    <x v="5"/>
    <x v="15"/>
    <x v="16"/>
    <x v="60"/>
    <n v="181"/>
    <x v="794"/>
    <x v="1"/>
    <x v="0"/>
    <x v="0"/>
  </r>
  <r>
    <n v="2208"/>
    <s v="Sprukts Janis"/>
    <x v="6"/>
    <x v="20"/>
    <x v="8"/>
    <x v="32"/>
    <n v="192"/>
    <x v="761"/>
    <x v="0"/>
    <x v="0"/>
    <x v="0"/>
  </r>
  <r>
    <n v="2209"/>
    <s v="Sprunger Julien"/>
    <x v="6"/>
    <x v="9"/>
    <x v="1"/>
    <x v="18"/>
    <n v="194"/>
    <x v="795"/>
    <x v="0"/>
    <x v="0"/>
    <x v="0"/>
  </r>
  <r>
    <n v="2210"/>
    <s v="St. Onge Ryan"/>
    <x v="2"/>
    <x v="1"/>
    <x v="5"/>
    <x v="37"/>
    <n v="175"/>
    <x v="146"/>
    <x v="0"/>
    <x v="0"/>
    <x v="0"/>
  </r>
  <r>
    <n v="2211"/>
    <s v="Staal Eric"/>
    <x v="6"/>
    <x v="7"/>
    <x v="16"/>
    <x v="41"/>
    <n v="191"/>
    <x v="796"/>
    <x v="0"/>
    <x v="0"/>
    <x v="0"/>
  </r>
  <r>
    <n v="2212"/>
    <s v="Stack Kelli"/>
    <x v="6"/>
    <x v="1"/>
    <x v="4"/>
    <x v="22"/>
    <n v="165"/>
    <x v="41"/>
    <x v="0"/>
    <x v="0"/>
    <x v="0"/>
  </r>
  <r>
    <n v="2213"/>
    <s v="Staicu Dragos"/>
    <x v="0"/>
    <x v="18"/>
    <x v="1"/>
    <x v="39"/>
    <n v="191"/>
    <x v="640"/>
    <x v="0"/>
    <x v="0"/>
    <x v="0"/>
  </r>
  <r>
    <n v="2214"/>
    <s v="Stampfer Wolfgang"/>
    <x v="5"/>
    <x v="32"/>
    <x v="11"/>
    <x v="46"/>
    <n v="191"/>
    <x v="234"/>
    <x v="0"/>
    <x v="0"/>
    <x v="2"/>
  </r>
  <r>
    <n v="2215"/>
    <s v="Stana Rastislav"/>
    <x v="6"/>
    <x v="24"/>
    <x v="2"/>
    <x v="36"/>
    <n v="186"/>
    <x v="285"/>
    <x v="0"/>
    <x v="0"/>
    <x v="0"/>
  </r>
  <r>
    <n v="2216"/>
    <s v="Stas Andrei"/>
    <x v="6"/>
    <x v="4"/>
    <x v="3"/>
    <x v="49"/>
    <n v="187"/>
    <x v="218"/>
    <x v="0"/>
    <x v="0"/>
    <x v="0"/>
  </r>
  <r>
    <n v="2217"/>
    <s v="Stasenko Nikolai"/>
    <x v="6"/>
    <x v="4"/>
    <x v="4"/>
    <x v="45"/>
    <n v="195"/>
    <x v="797"/>
    <x v="1"/>
    <x v="0"/>
    <x v="0"/>
  </r>
  <r>
    <n v="2218"/>
    <s v="Stastny Paul"/>
    <x v="6"/>
    <x v="1"/>
    <x v="1"/>
    <x v="41"/>
    <n v="183"/>
    <x v="92"/>
    <x v="0"/>
    <x v="0"/>
    <x v="0"/>
  </r>
  <r>
    <n v="2219"/>
    <s v="Staszulonek Ewelina"/>
    <x v="10"/>
    <x v="25"/>
    <x v="1"/>
    <x v="8"/>
    <n v="170"/>
    <x v="356"/>
    <x v="0"/>
    <x v="0"/>
    <x v="0"/>
  </r>
  <r>
    <n v="2220"/>
    <s v="Staudacher Patrick"/>
    <x v="0"/>
    <x v="19"/>
    <x v="19"/>
    <x v="41"/>
    <n v="190"/>
    <x v="798"/>
    <x v="0"/>
    <x v="0"/>
    <x v="0"/>
  </r>
  <r>
    <n v="2221"/>
    <s v="Stecher Mario"/>
    <x v="12"/>
    <x v="32"/>
    <x v="9"/>
    <x v="9"/>
    <n v="177"/>
    <x v="701"/>
    <x v="0"/>
    <x v="0"/>
    <x v="2"/>
  </r>
  <r>
    <n v="2222"/>
    <s v="Stechert Gina"/>
    <x v="0"/>
    <x v="8"/>
    <x v="4"/>
    <x v="37"/>
    <n v="172"/>
    <x v="434"/>
    <x v="0"/>
    <x v="0"/>
    <x v="0"/>
  </r>
  <r>
    <n v="2223"/>
    <s v="Stefani Luca"/>
    <x v="4"/>
    <x v="19"/>
    <x v="4"/>
    <x v="18"/>
    <n v="193"/>
    <x v="799"/>
    <x v="0"/>
    <x v="0"/>
    <x v="0"/>
  </r>
  <r>
    <n v="2224"/>
    <s v="Steira Kristin Stoermer"/>
    <x v="9"/>
    <x v="17"/>
    <x v="8"/>
    <x v="70"/>
    <n v="200"/>
    <x v="800"/>
    <x v="0"/>
    <x v="0"/>
    <x v="0"/>
  </r>
  <r>
    <n v="2225"/>
    <s v="Stepanek Jakub"/>
    <x v="6"/>
    <x v="26"/>
    <x v="0"/>
    <x v="19"/>
    <n v="187"/>
    <x v="801"/>
    <x v="0"/>
    <x v="0"/>
    <x v="0"/>
  </r>
  <r>
    <n v="2226"/>
    <s v="Stephan Christoph"/>
    <x v="3"/>
    <x v="8"/>
    <x v="1"/>
    <x v="1"/>
    <n v="186"/>
    <x v="362"/>
    <x v="0"/>
    <x v="0"/>
    <x v="0"/>
  </r>
  <r>
    <n v="2227"/>
    <s v="Stephan Tobias"/>
    <x v="6"/>
    <x v="9"/>
    <x v="13"/>
    <x v="1"/>
    <n v="192"/>
    <x v="802"/>
    <x v="0"/>
    <x v="0"/>
    <x v="0"/>
  </r>
  <r>
    <n v="2229"/>
    <s v="Stepushkin Dmitry"/>
    <x v="5"/>
    <x v="5"/>
    <x v="15"/>
    <x v="40"/>
    <n v="186"/>
    <x v="305"/>
    <x v="1"/>
    <x v="0"/>
    <x v="2"/>
  </r>
  <r>
    <n v="2231"/>
    <s v="Stickl Simon"/>
    <x v="2"/>
    <x v="8"/>
    <x v="4"/>
    <x v="23"/>
    <n v="180"/>
    <x v="214"/>
    <x v="0"/>
    <x v="0"/>
    <x v="0"/>
  </r>
  <r>
    <n v="2233"/>
    <s v="Stielicke Sandro"/>
    <x v="15"/>
    <x v="8"/>
    <x v="0"/>
    <x v="12"/>
    <n v="190"/>
    <x v="803"/>
    <x v="0"/>
    <x v="0"/>
    <x v="0"/>
  </r>
  <r>
    <n v="2234"/>
    <s v="Stipanicic Andrijana"/>
    <x v="3"/>
    <x v="39"/>
    <x v="8"/>
    <x v="8"/>
    <n v="173"/>
    <x v="581"/>
    <x v="0"/>
    <x v="0"/>
    <x v="0"/>
  </r>
  <r>
    <n v="2235"/>
    <s v="Stoch Kamil"/>
    <x v="7"/>
    <x v="25"/>
    <x v="4"/>
    <x v="54"/>
    <n v="173"/>
    <x v="804"/>
    <x v="0"/>
    <x v="0"/>
    <x v="0"/>
  </r>
  <r>
    <n v="2236"/>
    <s v="Stoddard Tionette"/>
    <x v="15"/>
    <x v="38"/>
    <x v="18"/>
    <x v="22"/>
    <n v="165"/>
    <x v="41"/>
    <x v="0"/>
    <x v="0"/>
    <x v="2"/>
  </r>
  <r>
    <n v="2237"/>
    <s v="Stoeckli Ralph"/>
    <x v="11"/>
    <x v="9"/>
    <x v="21"/>
    <x v="70"/>
    <n v="176"/>
    <x v="805"/>
    <x v="0"/>
    <x v="0"/>
    <x v="2"/>
  </r>
  <r>
    <n v="2238"/>
    <s v="Stoian Alexandra"/>
    <x v="3"/>
    <x v="18"/>
    <x v="13"/>
    <x v="44"/>
    <n v="168"/>
    <x v="170"/>
    <x v="0"/>
    <x v="0"/>
    <x v="0"/>
  </r>
  <r>
    <n v="2239"/>
    <s v="Stoklaska Jan"/>
    <x v="5"/>
    <x v="26"/>
    <x v="5"/>
    <x v="31"/>
    <n v="190"/>
    <x v="788"/>
    <x v="0"/>
    <x v="0"/>
    <x v="0"/>
  </r>
  <r>
    <n v="2240"/>
    <s v="Stolyarova Ekaterina"/>
    <x v="2"/>
    <x v="5"/>
    <x v="3"/>
    <x v="22"/>
    <n v="176"/>
    <x v="46"/>
    <x v="0"/>
    <x v="0"/>
    <x v="0"/>
  </r>
  <r>
    <n v="2241"/>
    <s v="Storti Cecile"/>
    <x v="9"/>
    <x v="16"/>
    <x v="13"/>
    <x v="30"/>
    <n v="165"/>
    <x v="43"/>
    <x v="0"/>
    <x v="0"/>
    <x v="0"/>
  </r>
  <r>
    <n v="2242"/>
    <s v="St-Pierre Kim"/>
    <x v="6"/>
    <x v="7"/>
    <x v="7"/>
    <x v="19"/>
    <n v="175"/>
    <x v="37"/>
    <x v="0"/>
    <x v="0"/>
    <x v="2"/>
  </r>
  <r>
    <n v="2243"/>
    <s v="Stramaturaru Raluca"/>
    <x v="10"/>
    <x v="18"/>
    <x v="1"/>
    <x v="48"/>
    <n v="173"/>
    <x v="194"/>
    <x v="0"/>
    <x v="0"/>
    <x v="0"/>
  </r>
  <r>
    <n v="2244"/>
    <s v="Stramaturaru Violeta"/>
    <x v="10"/>
    <x v="18"/>
    <x v="3"/>
    <x v="35"/>
    <n v="175"/>
    <x v="624"/>
    <x v="0"/>
    <x v="0"/>
    <x v="0"/>
  </r>
  <r>
    <n v="2245"/>
    <s v="Strandvall Matias"/>
    <x v="9"/>
    <x v="10"/>
    <x v="1"/>
    <x v="1"/>
    <n v="191"/>
    <x v="597"/>
    <x v="0"/>
    <x v="0"/>
    <x v="0"/>
  </r>
  <r>
    <n v="2246"/>
    <s v="Strbak Martin"/>
    <x v="6"/>
    <x v="24"/>
    <x v="18"/>
    <x v="7"/>
    <n v="191"/>
    <x v="806"/>
    <x v="0"/>
    <x v="0"/>
    <x v="2"/>
  </r>
  <r>
    <n v="2247"/>
    <s v="Streit Mark"/>
    <x v="6"/>
    <x v="9"/>
    <x v="9"/>
    <x v="41"/>
    <n v="181"/>
    <x v="807"/>
    <x v="0"/>
    <x v="0"/>
    <x v="2"/>
  </r>
  <r>
    <n v="2248"/>
    <s v="Streitberger Georg"/>
    <x v="0"/>
    <x v="32"/>
    <x v="8"/>
    <x v="39"/>
    <n v="185"/>
    <x v="399"/>
    <x v="0"/>
    <x v="0"/>
    <x v="0"/>
  </r>
  <r>
    <n v="2249"/>
    <s v="Strolia Mantas"/>
    <x v="9"/>
    <x v="69"/>
    <x v="0"/>
    <x v="35"/>
    <n v="178"/>
    <x v="174"/>
    <x v="0"/>
    <x v="0"/>
    <x v="0"/>
  </r>
  <r>
    <n v="2250"/>
    <s v="Struebin Simon"/>
    <x v="11"/>
    <x v="9"/>
    <x v="2"/>
    <x v="70"/>
    <n v="181"/>
    <x v="808"/>
    <x v="0"/>
    <x v="0"/>
    <x v="0"/>
  </r>
  <r>
    <n v="2251"/>
    <s v="Studebaker Sara"/>
    <x v="3"/>
    <x v="1"/>
    <x v="16"/>
    <x v="8"/>
    <n v="168"/>
    <x v="8"/>
    <x v="0"/>
    <x v="0"/>
    <x v="0"/>
  </r>
  <r>
    <n v="2252"/>
    <s v="Stumpel Jozef"/>
    <x v="6"/>
    <x v="24"/>
    <x v="11"/>
    <x v="40"/>
    <n v="190"/>
    <x v="809"/>
    <x v="1"/>
    <x v="0"/>
    <x v="2"/>
  </r>
  <r>
    <n v="2253"/>
    <s v="Sturm Marco"/>
    <x v="6"/>
    <x v="8"/>
    <x v="7"/>
    <x v="18"/>
    <n v="181"/>
    <x v="181"/>
    <x v="0"/>
    <x v="0"/>
    <x v="2"/>
  </r>
  <r>
    <n v="2254"/>
    <s v="Styger Nadia"/>
    <x v="0"/>
    <x v="9"/>
    <x v="7"/>
    <x v="17"/>
    <n v="171"/>
    <x v="402"/>
    <x v="0"/>
    <x v="0"/>
    <x v="2"/>
  </r>
  <r>
    <n v="2255"/>
    <s v="Suchy Dominik"/>
    <x v="5"/>
    <x v="26"/>
    <x v="4"/>
    <x v="46"/>
    <n v="185"/>
    <x v="810"/>
    <x v="0"/>
    <x v="0"/>
    <x v="0"/>
  </r>
  <r>
    <n v="2258"/>
    <s v="Sugimori Teruhiro"/>
    <x v="4"/>
    <x v="22"/>
    <x v="5"/>
    <x v="23"/>
    <n v="178"/>
    <x v="28"/>
    <x v="0"/>
    <x v="0"/>
    <x v="0"/>
  </r>
  <r>
    <n v="2260"/>
    <s v="Sullivan Marco"/>
    <x v="0"/>
    <x v="1"/>
    <x v="19"/>
    <x v="32"/>
    <n v="183"/>
    <x v="50"/>
    <x v="0"/>
    <x v="0"/>
    <x v="0"/>
  </r>
  <r>
    <n v="2261"/>
    <s v="Sulzer Alexander"/>
    <x v="6"/>
    <x v="8"/>
    <x v="16"/>
    <x v="31"/>
    <n v="187"/>
    <x v="45"/>
    <x v="0"/>
    <x v="0"/>
    <x v="0"/>
  </r>
  <r>
    <n v="2262"/>
    <s v="Sun Qinghai"/>
    <x v="9"/>
    <x v="44"/>
    <x v="4"/>
    <x v="49"/>
    <n v="188"/>
    <x v="811"/>
    <x v="0"/>
    <x v="0"/>
    <x v="0"/>
  </r>
  <r>
    <n v="2263"/>
    <s v="Sun Rui"/>
    <x v="6"/>
    <x v="44"/>
    <x v="5"/>
    <x v="8"/>
    <n v="169"/>
    <x v="556"/>
    <x v="0"/>
    <x v="0"/>
    <x v="0"/>
  </r>
  <r>
    <n v="2265"/>
    <s v="Sung Si-Bak"/>
    <x v="13"/>
    <x v="42"/>
    <x v="4"/>
    <x v="6"/>
    <n v="178"/>
    <x v="812"/>
    <x v="0"/>
    <x v="0"/>
    <x v="0"/>
  </r>
  <r>
    <n v="2266"/>
    <s v="Sustersic Izidor"/>
    <x v="8"/>
    <x v="31"/>
    <x v="9"/>
    <x v="23"/>
    <n v="185"/>
    <x v="483"/>
    <x v="0"/>
    <x v="0"/>
    <x v="2"/>
  </r>
  <r>
    <n v="2267"/>
    <s v="Suter Fabienne"/>
    <x v="0"/>
    <x v="9"/>
    <x v="16"/>
    <x v="9"/>
    <n v="167"/>
    <x v="9"/>
    <x v="0"/>
    <x v="0"/>
    <x v="0"/>
  </r>
  <r>
    <n v="2268"/>
    <s v="Suter Ryan"/>
    <x v="6"/>
    <x v="1"/>
    <x v="16"/>
    <x v="18"/>
    <n v="185"/>
    <x v="160"/>
    <x v="0"/>
    <x v="0"/>
    <x v="0"/>
  </r>
  <r>
    <n v="2271"/>
    <s v="Suzuki Hiroshi"/>
    <x v="5"/>
    <x v="22"/>
    <x v="10"/>
    <x v="12"/>
    <n v="175"/>
    <x v="510"/>
    <x v="0"/>
    <x v="0"/>
    <x v="2"/>
  </r>
  <r>
    <n v="2272"/>
    <s v="Svae Christoffer"/>
    <x v="11"/>
    <x v="17"/>
    <x v="5"/>
    <x v="70"/>
    <n v="200"/>
    <x v="800"/>
    <x v="0"/>
    <x v="0"/>
    <x v="0"/>
  </r>
  <r>
    <n v="2273"/>
    <s v="Svartedal Jens Arne"/>
    <x v="9"/>
    <x v="17"/>
    <x v="15"/>
    <x v="70"/>
    <n v="200"/>
    <x v="800"/>
    <x v="0"/>
    <x v="0"/>
    <x v="2"/>
  </r>
  <r>
    <n v="2274"/>
    <s v="Svedin Thunstrom Frida"/>
    <x v="6"/>
    <x v="14"/>
    <x v="17"/>
    <x v="37"/>
    <n v="172"/>
    <x v="434"/>
    <x v="0"/>
    <x v="0"/>
    <x v="0"/>
  </r>
  <r>
    <n v="2275"/>
    <s v="Svendsen Emil Hegle"/>
    <x v="3"/>
    <x v="17"/>
    <x v="1"/>
    <x v="70"/>
    <n v="200"/>
    <x v="800"/>
    <x v="0"/>
    <x v="0"/>
    <x v="0"/>
  </r>
  <r>
    <n v="2276"/>
    <s v="Svindal Aksel Lund"/>
    <x v="0"/>
    <x v="17"/>
    <x v="5"/>
    <x v="70"/>
    <n v="200"/>
    <x v="800"/>
    <x v="0"/>
    <x v="0"/>
    <x v="0"/>
  </r>
  <r>
    <n v="2277"/>
    <s v="Sweeney Megan"/>
    <x v="10"/>
    <x v="1"/>
    <x v="4"/>
    <x v="17"/>
    <n v="165"/>
    <x v="188"/>
    <x v="0"/>
    <x v="0"/>
    <x v="0"/>
  </r>
  <r>
    <n v="2278"/>
    <s v="Swider-Peltz Jr. Nancy"/>
    <x v="4"/>
    <x v="1"/>
    <x v="0"/>
    <x v="2"/>
    <n v="173"/>
    <x v="203"/>
    <x v="0"/>
    <x v="0"/>
    <x v="0"/>
  </r>
  <r>
    <n v="2279"/>
    <s v="Syman Alexandr"/>
    <x v="3"/>
    <x v="4"/>
    <x v="9"/>
    <x v="24"/>
    <n v="177"/>
    <x v="587"/>
    <x v="0"/>
    <x v="0"/>
    <x v="2"/>
  </r>
  <r>
    <n v="2280"/>
    <s v="Szabados Shannon"/>
    <x v="6"/>
    <x v="7"/>
    <x v="0"/>
    <x v="13"/>
    <n v="173"/>
    <x v="274"/>
    <x v="0"/>
    <x v="0"/>
    <x v="0"/>
  </r>
  <r>
    <n v="2281"/>
    <s v="Szczurek Lukasz"/>
    <x v="3"/>
    <x v="25"/>
    <x v="3"/>
    <x v="22"/>
    <n v="178"/>
    <x v="774"/>
    <x v="0"/>
    <x v="0"/>
    <x v="0"/>
  </r>
  <r>
    <n v="2282"/>
    <s v="Szolkowy Robin"/>
    <x v="1"/>
    <x v="8"/>
    <x v="2"/>
    <x v="70"/>
    <n v="175"/>
    <x v="813"/>
    <x v="0"/>
    <x v="0"/>
    <x v="0"/>
  </r>
  <r>
    <n v="2285"/>
    <s v="Tagscherer Imre"/>
    <x v="3"/>
    <x v="34"/>
    <x v="11"/>
    <x v="16"/>
    <n v="182"/>
    <x v="144"/>
    <x v="0"/>
    <x v="0"/>
    <x v="2"/>
  </r>
  <r>
    <n v="2286"/>
    <s v="Tagscherer Zoltan"/>
    <x v="9"/>
    <x v="34"/>
    <x v="21"/>
    <x v="48"/>
    <n v="182"/>
    <x v="585"/>
    <x v="0"/>
    <x v="0"/>
    <x v="2"/>
  </r>
  <r>
    <n v="2288"/>
    <s v="Takahashi Daisuke"/>
    <x v="1"/>
    <x v="22"/>
    <x v="0"/>
    <x v="70"/>
    <n v="165"/>
    <x v="814"/>
    <x v="0"/>
    <x v="0"/>
    <x v="0"/>
  </r>
  <r>
    <n v="2289"/>
    <s v="Takahashi Daito"/>
    <x v="12"/>
    <x v="22"/>
    <x v="19"/>
    <x v="9"/>
    <n v="171"/>
    <x v="57"/>
    <x v="0"/>
    <x v="0"/>
    <x v="0"/>
  </r>
  <r>
    <n v="2290"/>
    <s v="Takamido Yuzo"/>
    <x v="13"/>
    <x v="22"/>
    <x v="4"/>
    <x v="13"/>
    <n v="170"/>
    <x v="196"/>
    <x v="0"/>
    <x v="0"/>
    <x v="0"/>
  </r>
  <r>
    <n v="2291"/>
    <s v="Takeuchi Taku"/>
    <x v="7"/>
    <x v="22"/>
    <x v="4"/>
    <x v="14"/>
    <n v="175"/>
    <x v="815"/>
    <x v="0"/>
    <x v="0"/>
    <x v="0"/>
  </r>
  <r>
    <n v="2292"/>
    <s v="Takeuchi Tomoka"/>
    <x v="8"/>
    <x v="22"/>
    <x v="13"/>
    <x v="33"/>
    <n v="165"/>
    <x v="147"/>
    <x v="0"/>
    <x v="0"/>
    <x v="0"/>
  </r>
  <r>
    <n v="2293"/>
    <s v="Takizawa Hiroomi"/>
    <x v="2"/>
    <x v="22"/>
    <x v="10"/>
    <x v="36"/>
    <n v="177"/>
    <x v="165"/>
    <x v="0"/>
    <x v="0"/>
    <x v="2"/>
  </r>
  <r>
    <n v="2294"/>
    <s v="Talan Roman"/>
    <x v="1"/>
    <x v="2"/>
    <x v="4"/>
    <x v="70"/>
    <n v="177"/>
    <x v="816"/>
    <x v="0"/>
    <x v="0"/>
    <x v="0"/>
  </r>
  <r>
    <n v="2295"/>
    <s v="Tallinder Henrik"/>
    <x v="6"/>
    <x v="14"/>
    <x v="7"/>
    <x v="46"/>
    <n v="193"/>
    <x v="437"/>
    <x v="0"/>
    <x v="0"/>
    <x v="2"/>
  </r>
  <r>
    <n v="2296"/>
    <s v="Tallus Jaakko"/>
    <x v="12"/>
    <x v="10"/>
    <x v="8"/>
    <x v="50"/>
    <n v="166"/>
    <x v="228"/>
    <x v="0"/>
    <x v="0"/>
    <x v="0"/>
  </r>
  <r>
    <n v="2297"/>
    <s v="Tambornino Eligius"/>
    <x v="9"/>
    <x v="9"/>
    <x v="0"/>
    <x v="16"/>
    <n v="183"/>
    <x v="406"/>
    <x v="0"/>
    <x v="0"/>
    <x v="0"/>
  </r>
  <r>
    <n v="2298"/>
    <s v="Tammjarv Karel"/>
    <x v="9"/>
    <x v="49"/>
    <x v="17"/>
    <x v="36"/>
    <n v="193"/>
    <x v="601"/>
    <x v="0"/>
    <x v="0"/>
    <x v="0"/>
  </r>
  <r>
    <n v="2299"/>
    <s v="Tan Anqi"/>
    <x v="6"/>
    <x v="44"/>
    <x v="0"/>
    <x v="26"/>
    <n v="175"/>
    <x v="461"/>
    <x v="0"/>
    <x v="0"/>
    <x v="0"/>
  </r>
  <r>
    <n v="2300"/>
    <s v="Tande Petter L."/>
    <x v="12"/>
    <x v="17"/>
    <x v="1"/>
    <x v="70"/>
    <n v="181"/>
    <x v="808"/>
    <x v="0"/>
    <x v="0"/>
    <x v="0"/>
  </r>
  <r>
    <n v="2301"/>
    <s v="Tandy Megan"/>
    <x v="3"/>
    <x v="7"/>
    <x v="3"/>
    <x v="43"/>
    <n v="170"/>
    <x v="227"/>
    <x v="0"/>
    <x v="0"/>
    <x v="0"/>
  </r>
  <r>
    <n v="2303"/>
    <s v="Taran Ionut"/>
    <x v="10"/>
    <x v="18"/>
    <x v="4"/>
    <x v="1"/>
    <n v="177"/>
    <x v="39"/>
    <x v="0"/>
    <x v="0"/>
    <x v="0"/>
  </r>
  <r>
    <n v="2304"/>
    <s v="Tayama Shinsuke"/>
    <x v="15"/>
    <x v="22"/>
    <x v="5"/>
    <x v="48"/>
    <n v="177"/>
    <x v="246"/>
    <x v="0"/>
    <x v="0"/>
    <x v="0"/>
  </r>
  <r>
    <n v="2306"/>
    <s v="Tcherezov Ivan"/>
    <x v="3"/>
    <x v="5"/>
    <x v="19"/>
    <x v="24"/>
    <n v="173"/>
    <x v="34"/>
    <x v="0"/>
    <x v="0"/>
    <x v="0"/>
  </r>
  <r>
    <n v="2307"/>
    <s v="Tchoudov Maxim"/>
    <x v="3"/>
    <x v="5"/>
    <x v="5"/>
    <x v="6"/>
    <n v="169"/>
    <x v="623"/>
    <x v="0"/>
    <x v="0"/>
    <x v="0"/>
  </r>
  <r>
    <n v="2308"/>
    <s v="Teela Jeremy"/>
    <x v="3"/>
    <x v="1"/>
    <x v="21"/>
    <x v="3"/>
    <n v="180"/>
    <x v="65"/>
    <x v="0"/>
    <x v="0"/>
    <x v="2"/>
  </r>
  <r>
    <n v="2309"/>
    <s v="Teichmann Axel"/>
    <x v="9"/>
    <x v="8"/>
    <x v="2"/>
    <x v="1"/>
    <n v="186"/>
    <x v="362"/>
    <x v="0"/>
    <x v="0"/>
    <x v="0"/>
  </r>
  <r>
    <n v="2310"/>
    <s v="Teklemariam Robel Zeimichael"/>
    <x v="9"/>
    <x v="77"/>
    <x v="18"/>
    <x v="9"/>
    <n v="177"/>
    <x v="701"/>
    <x v="0"/>
    <x v="0"/>
    <x v="2"/>
  </r>
  <r>
    <n v="2312"/>
    <s v="Ter Mors Jorien"/>
    <x v="13"/>
    <x v="33"/>
    <x v="17"/>
    <x v="24"/>
    <n v="182"/>
    <x v="244"/>
    <x v="0"/>
    <x v="0"/>
    <x v="0"/>
  </r>
  <r>
    <n v="2314"/>
    <s v="Terentjeva Irina"/>
    <x v="9"/>
    <x v="69"/>
    <x v="16"/>
    <x v="8"/>
    <n v="168"/>
    <x v="8"/>
    <x v="0"/>
    <x v="0"/>
    <x v="0"/>
  </r>
  <r>
    <n v="2315"/>
    <s v="Terra Ferran"/>
    <x v="0"/>
    <x v="48"/>
    <x v="4"/>
    <x v="1"/>
    <n v="178"/>
    <x v="14"/>
    <x v="0"/>
    <x v="0"/>
    <x v="0"/>
  </r>
  <r>
    <n v="2316"/>
    <s v="Tesovic Martin"/>
    <x v="5"/>
    <x v="24"/>
    <x v="18"/>
    <x v="55"/>
    <n v="182"/>
    <x v="817"/>
    <x v="1"/>
    <x v="0"/>
    <x v="2"/>
  </r>
  <r>
    <n v="2317"/>
    <s v="Teter Hannah"/>
    <x v="8"/>
    <x v="1"/>
    <x v="0"/>
    <x v="14"/>
    <n v="170"/>
    <x v="16"/>
    <x v="0"/>
    <x v="0"/>
    <x v="0"/>
  </r>
  <r>
    <n v="2318"/>
    <s v="Thaler Patrick"/>
    <x v="0"/>
    <x v="19"/>
    <x v="7"/>
    <x v="23"/>
    <n v="177"/>
    <x v="417"/>
    <x v="0"/>
    <x v="0"/>
    <x v="2"/>
  </r>
  <r>
    <n v="2320"/>
    <s v="Thomas Tim"/>
    <x v="6"/>
    <x v="1"/>
    <x v="18"/>
    <x v="38"/>
    <n v="180"/>
    <x v="818"/>
    <x v="0"/>
    <x v="0"/>
    <x v="2"/>
  </r>
  <r>
    <n v="2321"/>
    <s v="Thor Olsen Jonas"/>
    <x v="9"/>
    <x v="12"/>
    <x v="9"/>
    <x v="19"/>
    <n v="187"/>
    <x v="801"/>
    <x v="0"/>
    <x v="0"/>
    <x v="2"/>
  </r>
  <r>
    <n v="2322"/>
    <s v="Thoresen Patrick"/>
    <x v="6"/>
    <x v="17"/>
    <x v="13"/>
    <x v="36"/>
    <n v="180"/>
    <x v="130"/>
    <x v="0"/>
    <x v="0"/>
    <x v="0"/>
  </r>
  <r>
    <n v="2323"/>
    <s v="Thornton Joe"/>
    <x v="6"/>
    <x v="7"/>
    <x v="2"/>
    <x v="27"/>
    <n v="193"/>
    <x v="32"/>
    <x v="1"/>
    <x v="0"/>
    <x v="0"/>
  </r>
  <r>
    <n v="2324"/>
    <s v="Thorvaldsson Arni"/>
    <x v="0"/>
    <x v="36"/>
    <x v="16"/>
    <x v="36"/>
    <n v="183"/>
    <x v="78"/>
    <x v="0"/>
    <x v="0"/>
    <x v="0"/>
  </r>
  <r>
    <n v="2325"/>
    <s v="Thovex Mirabelle"/>
    <x v="8"/>
    <x v="16"/>
    <x v="14"/>
    <x v="8"/>
    <n v="167"/>
    <x v="80"/>
    <x v="0"/>
    <x v="0"/>
    <x v="0"/>
  </r>
  <r>
    <n v="2326"/>
    <s v="Tikkinen Nina"/>
    <x v="6"/>
    <x v="10"/>
    <x v="0"/>
    <x v="13"/>
    <n v="170"/>
    <x v="196"/>
    <x v="0"/>
    <x v="0"/>
    <x v="0"/>
  </r>
  <r>
    <n v="2327"/>
    <s v="Timglas Katarina"/>
    <x v="6"/>
    <x v="14"/>
    <x v="1"/>
    <x v="22"/>
    <n v="168"/>
    <x v="175"/>
    <x v="0"/>
    <x v="0"/>
    <x v="0"/>
  </r>
  <r>
    <n v="2328"/>
    <s v="Timofeeva Yulia"/>
    <x v="5"/>
    <x v="5"/>
    <x v="11"/>
    <x v="24"/>
    <n v="173"/>
    <x v="34"/>
    <x v="0"/>
    <x v="0"/>
    <x v="2"/>
  </r>
  <r>
    <n v="2329"/>
    <s v="Timonen Kimmo"/>
    <x v="6"/>
    <x v="10"/>
    <x v="15"/>
    <x v="12"/>
    <n v="178"/>
    <x v="464"/>
    <x v="0"/>
    <x v="0"/>
    <x v="2"/>
  </r>
  <r>
    <n v="2330"/>
    <s v="Tiruma Maija"/>
    <x v="10"/>
    <x v="20"/>
    <x v="13"/>
    <x v="26"/>
    <n v="172"/>
    <x v="558"/>
    <x v="0"/>
    <x v="0"/>
    <x v="0"/>
  </r>
  <r>
    <n v="2331"/>
    <s v="Tischer Janine"/>
    <x v="5"/>
    <x v="8"/>
    <x v="16"/>
    <x v="37"/>
    <n v="170"/>
    <x v="85"/>
    <x v="0"/>
    <x v="0"/>
    <x v="0"/>
  </r>
  <r>
    <n v="2332"/>
    <s v="Tissot Maxime"/>
    <x v="0"/>
    <x v="16"/>
    <x v="0"/>
    <x v="4"/>
    <n v="184"/>
    <x v="137"/>
    <x v="0"/>
    <x v="0"/>
    <x v="0"/>
  </r>
  <r>
    <n v="2333"/>
    <s v="Tkacheva Svetlana"/>
    <x v="6"/>
    <x v="5"/>
    <x v="16"/>
    <x v="9"/>
    <n v="170"/>
    <x v="93"/>
    <x v="0"/>
    <x v="0"/>
    <x v="0"/>
  </r>
  <r>
    <n v="2334"/>
    <s v="Tobreluts Indrek"/>
    <x v="3"/>
    <x v="49"/>
    <x v="21"/>
    <x v="24"/>
    <n v="184"/>
    <x v="819"/>
    <x v="0"/>
    <x v="0"/>
    <x v="2"/>
  </r>
  <r>
    <n v="2335"/>
    <s v="Tochimoto Shohei"/>
    <x v="7"/>
    <x v="22"/>
    <x v="17"/>
    <x v="21"/>
    <n v="174"/>
    <x v="588"/>
    <x v="0"/>
    <x v="0"/>
    <x v="0"/>
  </r>
  <r>
    <n v="2336"/>
    <s v="Toews Jonathan"/>
    <x v="6"/>
    <x v="7"/>
    <x v="3"/>
    <x v="32"/>
    <n v="188"/>
    <x v="328"/>
    <x v="0"/>
    <x v="0"/>
    <x v="0"/>
  </r>
  <r>
    <n v="2337"/>
    <s v="Tofalvi Eva"/>
    <x v="3"/>
    <x v="18"/>
    <x v="7"/>
    <x v="8"/>
    <n v="172"/>
    <x v="562"/>
    <x v="0"/>
    <x v="0"/>
    <x v="2"/>
  </r>
  <r>
    <n v="2338"/>
    <s v="Tola Erjon"/>
    <x v="0"/>
    <x v="78"/>
    <x v="0"/>
    <x v="5"/>
    <n v="181"/>
    <x v="537"/>
    <x v="0"/>
    <x v="0"/>
    <x v="0"/>
  </r>
  <r>
    <n v="2339"/>
    <s v="Tollefsen Ole Kristian"/>
    <x v="6"/>
    <x v="17"/>
    <x v="16"/>
    <x v="7"/>
    <n v="188"/>
    <x v="820"/>
    <x v="0"/>
    <x v="0"/>
    <x v="0"/>
  </r>
  <r>
    <n v="2340"/>
    <s v="Tomasevicz Curtis"/>
    <x v="5"/>
    <x v="1"/>
    <x v="19"/>
    <x v="34"/>
    <n v="185"/>
    <x v="668"/>
    <x v="1"/>
    <x v="0"/>
    <x v="0"/>
  </r>
  <r>
    <n v="2341"/>
    <s v="Tomcikova Zuzana"/>
    <x v="6"/>
    <x v="24"/>
    <x v="3"/>
    <x v="24"/>
    <n v="176"/>
    <x v="239"/>
    <x v="0"/>
    <x v="0"/>
    <x v="0"/>
  </r>
  <r>
    <n v="2342"/>
    <s v="Tong Jian"/>
    <x v="1"/>
    <x v="44"/>
    <x v="2"/>
    <x v="70"/>
    <n v="180"/>
    <x v="821"/>
    <x v="0"/>
    <x v="0"/>
    <x v="0"/>
  </r>
  <r>
    <n v="2343"/>
    <s v="Torres Agustin"/>
    <x v="0"/>
    <x v="52"/>
    <x v="7"/>
    <x v="16"/>
    <n v="171"/>
    <x v="822"/>
    <x v="0"/>
    <x v="0"/>
    <x v="2"/>
  </r>
  <r>
    <n v="2344"/>
    <s v="Tosini Fabrizio"/>
    <x v="5"/>
    <x v="19"/>
    <x v="22"/>
    <x v="70"/>
    <n v="200"/>
    <x v="800"/>
    <x v="0"/>
    <x v="0"/>
    <x v="2"/>
  </r>
  <r>
    <n v="2345"/>
    <s v="Trachsel Doris"/>
    <x v="9"/>
    <x v="9"/>
    <x v="16"/>
    <x v="6"/>
    <n v="175"/>
    <x v="179"/>
    <x v="0"/>
    <x v="0"/>
    <x v="0"/>
  </r>
  <r>
    <n v="2346"/>
    <s v="Trachuk Volodymyr"/>
    <x v="12"/>
    <x v="2"/>
    <x v="16"/>
    <x v="26"/>
    <n v="176"/>
    <x v="375"/>
    <x v="0"/>
    <x v="0"/>
    <x v="0"/>
  </r>
  <r>
    <n v="2347"/>
    <s v="Trankov Maxim"/>
    <x v="1"/>
    <x v="5"/>
    <x v="13"/>
    <x v="71"/>
    <n v="186"/>
    <x v="823"/>
    <x v="0"/>
    <x v="0"/>
    <x v="0"/>
  </r>
  <r>
    <n v="2348"/>
    <s v="Travers Dow"/>
    <x v="0"/>
    <x v="79"/>
    <x v="4"/>
    <x v="36"/>
    <n v="180"/>
    <x v="130"/>
    <x v="0"/>
    <x v="0"/>
    <x v="0"/>
  </r>
  <r>
    <n v="2349"/>
    <s v="Trejbal Filip"/>
    <x v="0"/>
    <x v="26"/>
    <x v="16"/>
    <x v="29"/>
    <n v="193"/>
    <x v="688"/>
    <x v="0"/>
    <x v="0"/>
    <x v="0"/>
  </r>
  <r>
    <n v="2350"/>
    <s v="Trelevski Dmitry"/>
    <x v="0"/>
    <x v="72"/>
    <x v="13"/>
    <x v="37"/>
    <n v="182"/>
    <x v="724"/>
    <x v="0"/>
    <x v="0"/>
    <x v="0"/>
  </r>
  <r>
    <n v="2351"/>
    <s v="Tremblay Francois-Louis"/>
    <x v="13"/>
    <x v="7"/>
    <x v="19"/>
    <x v="24"/>
    <n v="173"/>
    <x v="34"/>
    <x v="0"/>
    <x v="0"/>
    <x v="0"/>
  </r>
  <r>
    <n v="2352"/>
    <s v="Tretiakov Alexander"/>
    <x v="15"/>
    <x v="5"/>
    <x v="1"/>
    <x v="16"/>
    <n v="184"/>
    <x v="452"/>
    <x v="0"/>
    <x v="0"/>
    <x v="0"/>
  </r>
  <r>
    <n v="2353"/>
    <s v="Trifonov Alexandr"/>
    <x v="3"/>
    <x v="21"/>
    <x v="0"/>
    <x v="37"/>
    <n v="180"/>
    <x v="201"/>
    <x v="0"/>
    <x v="0"/>
    <x v="0"/>
  </r>
  <r>
    <n v="2354"/>
    <s v="Tripp John"/>
    <x v="6"/>
    <x v="8"/>
    <x v="9"/>
    <x v="57"/>
    <n v="192"/>
    <x v="824"/>
    <x v="1"/>
    <x v="0"/>
    <x v="2"/>
  </r>
  <r>
    <n v="2355"/>
    <s v="Trmcic Marija"/>
    <x v="0"/>
    <x v="51"/>
    <x v="0"/>
    <x v="26"/>
    <n v="173"/>
    <x v="361"/>
    <x v="0"/>
    <x v="0"/>
    <x v="0"/>
  </r>
  <r>
    <n v="2356"/>
    <s v="Trott Marion"/>
    <x v="15"/>
    <x v="8"/>
    <x v="16"/>
    <x v="9"/>
    <n v="168"/>
    <x v="202"/>
    <x v="0"/>
    <x v="0"/>
    <x v="0"/>
  </r>
  <r>
    <n v="2357"/>
    <s v="Trunenkov Dmitry"/>
    <x v="5"/>
    <x v="5"/>
    <x v="16"/>
    <x v="45"/>
    <n v="186"/>
    <x v="825"/>
    <x v="1"/>
    <x v="0"/>
    <x v="0"/>
  </r>
  <r>
    <n v="2358"/>
    <s v="Trunova Svetlana"/>
    <x v="15"/>
    <x v="5"/>
    <x v="13"/>
    <x v="8"/>
    <n v="165"/>
    <x v="139"/>
    <x v="0"/>
    <x v="0"/>
    <x v="0"/>
  </r>
  <r>
    <n v="2359"/>
    <s v="Trygg Mats"/>
    <x v="6"/>
    <x v="17"/>
    <x v="21"/>
    <x v="49"/>
    <n v="179"/>
    <x v="705"/>
    <x v="0"/>
    <x v="0"/>
    <x v="2"/>
  </r>
  <r>
    <n v="2360"/>
    <s v="Tsakiri Panagiota"/>
    <x v="3"/>
    <x v="46"/>
    <x v="12"/>
    <x v="21"/>
    <n v="172"/>
    <x v="422"/>
    <x v="0"/>
    <x v="0"/>
    <x v="0"/>
  </r>
  <r>
    <n v="2361"/>
    <s v="Tsakiris Athanassios"/>
    <x v="3"/>
    <x v="46"/>
    <x v="30"/>
    <x v="17"/>
    <n v="180"/>
    <x v="161"/>
    <x v="0"/>
    <x v="0"/>
    <x v="2"/>
  </r>
  <r>
    <n v="2362"/>
    <s v="Tscharnke Tim"/>
    <x v="9"/>
    <x v="8"/>
    <x v="17"/>
    <x v="37"/>
    <n v="182"/>
    <x v="724"/>
    <x v="0"/>
    <x v="0"/>
    <x v="0"/>
  </r>
  <r>
    <n v="2363"/>
    <s v="Tsiklauri Nino"/>
    <x v="0"/>
    <x v="3"/>
    <x v="6"/>
    <x v="8"/>
    <n v="168"/>
    <x v="8"/>
    <x v="0"/>
    <x v="0"/>
    <x v="1"/>
  </r>
  <r>
    <n v="2364"/>
    <s v="Tsimikalis Stephanos"/>
    <x v="0"/>
    <x v="46"/>
    <x v="1"/>
    <x v="3"/>
    <n v="178"/>
    <x v="315"/>
    <x v="0"/>
    <x v="0"/>
    <x v="0"/>
  </r>
  <r>
    <n v="2365"/>
    <s v="Tsukita Yugo"/>
    <x v="2"/>
    <x v="22"/>
    <x v="21"/>
    <x v="25"/>
    <n v="172"/>
    <x v="58"/>
    <x v="0"/>
    <x v="0"/>
    <x v="2"/>
  </r>
  <r>
    <n v="2368"/>
    <s v="Tuitert Mark"/>
    <x v="4"/>
    <x v="33"/>
    <x v="19"/>
    <x v="20"/>
    <n v="182"/>
    <x v="360"/>
    <x v="0"/>
    <x v="0"/>
    <x v="0"/>
  </r>
  <r>
    <n v="2369"/>
    <s v="Tulubjevs Pavels"/>
    <x v="5"/>
    <x v="20"/>
    <x v="1"/>
    <x v="40"/>
    <n v="188"/>
    <x v="578"/>
    <x v="1"/>
    <x v="0"/>
    <x v="0"/>
  </r>
  <r>
    <n v="2370"/>
    <s v="Tuominen Minnamari"/>
    <x v="6"/>
    <x v="10"/>
    <x v="12"/>
    <x v="26"/>
    <n v="165"/>
    <x v="826"/>
    <x v="0"/>
    <x v="0"/>
    <x v="0"/>
  </r>
  <r>
    <n v="2371"/>
    <s v="Tuominen Saara"/>
    <x v="6"/>
    <x v="10"/>
    <x v="1"/>
    <x v="6"/>
    <n v="169"/>
    <x v="623"/>
    <x v="0"/>
    <x v="0"/>
    <x v="0"/>
  </r>
  <r>
    <n v="2372"/>
    <s v="Turksever Erdinc"/>
    <x v="0"/>
    <x v="47"/>
    <x v="1"/>
    <x v="3"/>
    <n v="183"/>
    <x v="167"/>
    <x v="0"/>
    <x v="0"/>
    <x v="0"/>
  </r>
  <r>
    <n v="2373"/>
    <s v="Turri Mirko"/>
    <x v="5"/>
    <x v="19"/>
    <x v="8"/>
    <x v="20"/>
    <n v="175"/>
    <x v="293"/>
    <x v="0"/>
    <x v="0"/>
    <x v="0"/>
  </r>
  <r>
    <n v="2374"/>
    <s v="Turysheva Elena"/>
    <x v="9"/>
    <x v="5"/>
    <x v="1"/>
    <x v="0"/>
    <n v="171"/>
    <x v="827"/>
    <x v="0"/>
    <x v="0"/>
    <x v="0"/>
  </r>
  <r>
    <n v="2375"/>
    <s v="Tyutin Fedor"/>
    <x v="6"/>
    <x v="5"/>
    <x v="13"/>
    <x v="31"/>
    <n v="188"/>
    <x v="517"/>
    <x v="0"/>
    <x v="0"/>
    <x v="0"/>
  </r>
  <r>
    <n v="2376"/>
    <s v="Tzinzov Veselin"/>
    <x v="9"/>
    <x v="13"/>
    <x v="0"/>
    <x v="6"/>
    <n v="170"/>
    <x v="101"/>
    <x v="0"/>
    <x v="0"/>
    <x v="0"/>
  </r>
  <r>
    <n v="2377"/>
    <s v="Ugarov Aleksei"/>
    <x v="6"/>
    <x v="4"/>
    <x v="16"/>
    <x v="23"/>
    <n v="179"/>
    <x v="389"/>
    <x v="0"/>
    <x v="0"/>
    <x v="0"/>
  </r>
  <r>
    <n v="2379"/>
    <s v="Uhrmann Michael"/>
    <x v="7"/>
    <x v="8"/>
    <x v="7"/>
    <x v="26"/>
    <n v="182"/>
    <x v="828"/>
    <x v="0"/>
    <x v="0"/>
    <x v="2"/>
  </r>
  <r>
    <n v="2380"/>
    <s v="Ulrich Renato"/>
    <x v="2"/>
    <x v="9"/>
    <x v="13"/>
    <x v="2"/>
    <n v="178"/>
    <x v="432"/>
    <x v="0"/>
    <x v="0"/>
    <x v="0"/>
  </r>
  <r>
    <n v="2381"/>
    <s v="Ulsrud Thomas"/>
    <x v="11"/>
    <x v="17"/>
    <x v="20"/>
    <x v="71"/>
    <n v="202"/>
    <x v="829"/>
    <x v="0"/>
    <x v="0"/>
    <x v="2"/>
  </r>
  <r>
    <n v="2382"/>
    <s v="Upperton Helen"/>
    <x v="5"/>
    <x v="7"/>
    <x v="2"/>
    <x v="24"/>
    <n v="176"/>
    <x v="239"/>
    <x v="0"/>
    <x v="0"/>
    <x v="0"/>
  </r>
  <r>
    <n v="2383"/>
    <s v="Urbas Gregor"/>
    <x v="1"/>
    <x v="31"/>
    <x v="5"/>
    <x v="71"/>
    <n v="177"/>
    <x v="830"/>
    <x v="0"/>
    <x v="0"/>
    <x v="0"/>
  </r>
  <r>
    <n v="2384"/>
    <s v="Ustynowicz Maciej"/>
    <x v="4"/>
    <x v="25"/>
    <x v="13"/>
    <x v="37"/>
    <n v="177"/>
    <x v="294"/>
    <x v="0"/>
    <x v="0"/>
    <x v="0"/>
  </r>
  <r>
    <n v="2385"/>
    <s v="Ustyugov Evgeny"/>
    <x v="3"/>
    <x v="5"/>
    <x v="1"/>
    <x v="6"/>
    <n v="168"/>
    <x v="103"/>
    <x v="0"/>
    <x v="0"/>
    <x v="0"/>
  </r>
  <r>
    <n v="2386"/>
    <s v="Vaculik Lukas"/>
    <x v="2"/>
    <x v="26"/>
    <x v="0"/>
    <x v="33"/>
    <n v="169"/>
    <x v="379"/>
    <x v="0"/>
    <x v="0"/>
    <x v="0"/>
  </r>
  <r>
    <n v="2388"/>
    <s v="Vaeaenaenen Jesse"/>
    <x v="9"/>
    <x v="10"/>
    <x v="13"/>
    <x v="38"/>
    <n v="197"/>
    <x v="831"/>
    <x v="0"/>
    <x v="0"/>
    <x v="0"/>
  </r>
  <r>
    <n v="2389"/>
    <s v="Vafina Aleksandra"/>
    <x v="6"/>
    <x v="5"/>
    <x v="12"/>
    <x v="44"/>
    <n v="168"/>
    <x v="170"/>
    <x v="0"/>
    <x v="0"/>
    <x v="0"/>
  </r>
  <r>
    <n v="2390"/>
    <s v="Vaiciulis Modestas"/>
    <x v="9"/>
    <x v="69"/>
    <x v="17"/>
    <x v="28"/>
    <n v="183"/>
    <x v="267"/>
    <x v="0"/>
    <x v="0"/>
    <x v="0"/>
  </r>
  <r>
    <n v="2391"/>
    <s v="Vaillancourt Sarah"/>
    <x v="6"/>
    <x v="7"/>
    <x v="1"/>
    <x v="9"/>
    <n v="168"/>
    <x v="202"/>
    <x v="0"/>
    <x v="0"/>
    <x v="0"/>
  </r>
  <r>
    <n v="2392"/>
    <s v="Vajdic Bernard"/>
    <x v="0"/>
    <x v="31"/>
    <x v="19"/>
    <x v="20"/>
    <n v="179"/>
    <x v="832"/>
    <x v="0"/>
    <x v="0"/>
    <x v="0"/>
  </r>
  <r>
    <n v="2393"/>
    <s v="Valbusa Sabina"/>
    <x v="9"/>
    <x v="19"/>
    <x v="20"/>
    <x v="21"/>
    <n v="167"/>
    <x v="154"/>
    <x v="0"/>
    <x v="0"/>
    <x v="2"/>
  </r>
  <r>
    <n v="2394"/>
    <s v="Valcepina Martina"/>
    <x v="13"/>
    <x v="19"/>
    <x v="23"/>
    <x v="21"/>
    <n v="168"/>
    <x v="256"/>
    <x v="0"/>
    <x v="0"/>
    <x v="0"/>
  </r>
  <r>
    <n v="2395"/>
    <s v="Valencic Mitja"/>
    <x v="0"/>
    <x v="31"/>
    <x v="9"/>
    <x v="23"/>
    <n v="178"/>
    <x v="28"/>
    <x v="0"/>
    <x v="0"/>
    <x v="2"/>
  </r>
  <r>
    <n v="2396"/>
    <s v="Valimaki Linda"/>
    <x v="6"/>
    <x v="10"/>
    <x v="12"/>
    <x v="22"/>
    <n v="165"/>
    <x v="41"/>
    <x v="0"/>
    <x v="0"/>
    <x v="0"/>
  </r>
  <r>
    <n v="2397"/>
    <s v="Valiullin Rustam"/>
    <x v="3"/>
    <x v="4"/>
    <x v="21"/>
    <x v="5"/>
    <n v="180"/>
    <x v="98"/>
    <x v="0"/>
    <x v="0"/>
    <x v="2"/>
  </r>
  <r>
    <n v="2398"/>
    <s v="Valkenburg Diane"/>
    <x v="4"/>
    <x v="33"/>
    <x v="16"/>
    <x v="13"/>
    <n v="172"/>
    <x v="662"/>
    <x v="0"/>
    <x v="0"/>
    <x v="0"/>
  </r>
  <r>
    <n v="2399"/>
    <s v="Van Calker Arnold"/>
    <x v="5"/>
    <x v="33"/>
    <x v="21"/>
    <x v="27"/>
    <n v="191"/>
    <x v="833"/>
    <x v="1"/>
    <x v="0"/>
    <x v="2"/>
  </r>
  <r>
    <n v="2400"/>
    <s v="Van Calker Edwin"/>
    <x v="5"/>
    <x v="33"/>
    <x v="2"/>
    <x v="29"/>
    <n v="187"/>
    <x v="834"/>
    <x v="0"/>
    <x v="0"/>
    <x v="0"/>
  </r>
  <r>
    <n v="2401"/>
    <s v="Van De Kieft Arjen"/>
    <x v="4"/>
    <x v="33"/>
    <x v="1"/>
    <x v="71"/>
    <n v="201"/>
    <x v="835"/>
    <x v="0"/>
    <x v="0"/>
    <x v="0"/>
  </r>
  <r>
    <n v="2402"/>
    <s v="Van Den Bogaert Jeroen"/>
    <x v="0"/>
    <x v="55"/>
    <x v="2"/>
    <x v="48"/>
    <n v="181"/>
    <x v="219"/>
    <x v="0"/>
    <x v="0"/>
    <x v="0"/>
  </r>
  <r>
    <n v="2403"/>
    <s v="Van Der Horst Fredrik"/>
    <x v="4"/>
    <x v="17"/>
    <x v="17"/>
    <x v="71"/>
    <n v="167"/>
    <x v="836"/>
    <x v="0"/>
    <x v="0"/>
    <x v="0"/>
  </r>
  <r>
    <n v="2404"/>
    <s v="Van Der Perren Kevin"/>
    <x v="1"/>
    <x v="55"/>
    <x v="5"/>
    <x v="71"/>
    <n v="177"/>
    <x v="830"/>
    <x v="0"/>
    <x v="0"/>
    <x v="0"/>
  </r>
  <r>
    <n v="2405"/>
    <s v="Van Der Wal, Dolf"/>
    <x v="8"/>
    <x v="33"/>
    <x v="4"/>
    <x v="49"/>
    <n v="187"/>
    <x v="218"/>
    <x v="0"/>
    <x v="0"/>
    <x v="0"/>
  </r>
  <r>
    <n v="2406"/>
    <s v="Van Doorn Annita"/>
    <x v="13"/>
    <x v="33"/>
    <x v="13"/>
    <x v="8"/>
    <n v="168"/>
    <x v="8"/>
    <x v="0"/>
    <x v="0"/>
    <x v="0"/>
  </r>
  <r>
    <n v="2408"/>
    <s v="Van Riessen Laurine"/>
    <x v="4"/>
    <x v="33"/>
    <x v="4"/>
    <x v="22"/>
    <n v="167"/>
    <x v="386"/>
    <x v="0"/>
    <x v="0"/>
    <x v="0"/>
  </r>
  <r>
    <n v="2409"/>
    <s v="Vanhatalo Anna"/>
    <x v="6"/>
    <x v="10"/>
    <x v="16"/>
    <x v="6"/>
    <n v="178"/>
    <x v="812"/>
    <x v="0"/>
    <x v="0"/>
    <x v="0"/>
  </r>
  <r>
    <n v="2410"/>
    <s v="Varlamov Semen"/>
    <x v="6"/>
    <x v="5"/>
    <x v="3"/>
    <x v="12"/>
    <n v="182"/>
    <x v="270"/>
    <x v="0"/>
    <x v="0"/>
    <x v="0"/>
  </r>
  <r>
    <n v="2411"/>
    <s v="Vasicek Josef"/>
    <x v="6"/>
    <x v="26"/>
    <x v="19"/>
    <x v="38"/>
    <n v="194"/>
    <x v="837"/>
    <x v="0"/>
    <x v="0"/>
    <x v="0"/>
  </r>
  <r>
    <n v="2412"/>
    <s v="Vasiljevs Herberts"/>
    <x v="6"/>
    <x v="20"/>
    <x v="21"/>
    <x v="3"/>
    <n v="181"/>
    <x v="232"/>
    <x v="0"/>
    <x v="0"/>
    <x v="2"/>
  </r>
  <r>
    <n v="2413"/>
    <s v="Vasiljonok Olga"/>
    <x v="9"/>
    <x v="4"/>
    <x v="19"/>
    <x v="17"/>
    <n v="177"/>
    <x v="618"/>
    <x v="0"/>
    <x v="0"/>
    <x v="0"/>
  </r>
  <r>
    <n v="2414"/>
    <s v="Vasilyev Victor"/>
    <x v="3"/>
    <x v="5"/>
    <x v="4"/>
    <x v="37"/>
    <n v="181"/>
    <x v="838"/>
    <x v="0"/>
    <x v="0"/>
    <x v="0"/>
  </r>
  <r>
    <n v="2415"/>
    <s v="Vaultier Pierre"/>
    <x v="8"/>
    <x v="16"/>
    <x v="4"/>
    <x v="47"/>
    <n v="186"/>
    <x v="839"/>
    <x v="0"/>
    <x v="0"/>
    <x v="0"/>
  </r>
  <r>
    <n v="2417"/>
    <s v="Veenstra Tine"/>
    <x v="5"/>
    <x v="33"/>
    <x v="13"/>
    <x v="48"/>
    <n v="183"/>
    <x v="433"/>
    <x v="0"/>
    <x v="0"/>
    <x v="0"/>
  </r>
  <r>
    <n v="2418"/>
    <s v="Veerpalu Andrus"/>
    <x v="9"/>
    <x v="49"/>
    <x v="24"/>
    <x v="37"/>
    <n v="182"/>
    <x v="724"/>
    <x v="0"/>
    <x v="0"/>
    <x v="2"/>
  </r>
  <r>
    <n v="2419"/>
    <s v="Vejnarova Zdenka"/>
    <x v="3"/>
    <x v="26"/>
    <x v="8"/>
    <x v="30"/>
    <n v="169"/>
    <x v="840"/>
    <x v="0"/>
    <x v="0"/>
    <x v="0"/>
  </r>
  <r>
    <n v="2420"/>
    <s v="Velichko Yevgeniy"/>
    <x v="9"/>
    <x v="21"/>
    <x v="4"/>
    <x v="17"/>
    <n v="178"/>
    <x v="124"/>
    <x v="0"/>
    <x v="0"/>
    <x v="0"/>
  </r>
  <r>
    <n v="2422"/>
    <s v="Verbillo Sergei"/>
    <x v="1"/>
    <x v="2"/>
    <x v="16"/>
    <x v="71"/>
    <n v="182"/>
    <x v="841"/>
    <x v="0"/>
    <x v="0"/>
    <x v="0"/>
  </r>
  <r>
    <n v="2423"/>
    <s v="Verges Ruben"/>
    <x v="8"/>
    <x v="48"/>
    <x v="4"/>
    <x v="23"/>
    <n v="182"/>
    <x v="629"/>
    <x v="0"/>
    <x v="0"/>
    <x v="0"/>
  </r>
  <r>
    <n v="2424"/>
    <s v="Verner Tomas"/>
    <x v="1"/>
    <x v="26"/>
    <x v="0"/>
    <x v="71"/>
    <n v="180"/>
    <x v="842"/>
    <x v="0"/>
    <x v="0"/>
    <x v="0"/>
  </r>
  <r>
    <n v="2425"/>
    <s v="Vesely Milos"/>
    <x v="5"/>
    <x v="26"/>
    <x v="11"/>
    <x v="11"/>
    <n v="180"/>
    <x v="11"/>
    <x v="0"/>
    <x v="0"/>
    <x v="2"/>
  </r>
  <r>
    <n v="2426"/>
    <s v="Vetter Jessie"/>
    <x v="6"/>
    <x v="1"/>
    <x v="1"/>
    <x v="17"/>
    <n v="174"/>
    <x v="77"/>
    <x v="0"/>
    <x v="0"/>
    <x v="0"/>
  </r>
  <r>
    <n v="2427"/>
    <s v="Vevers Lorna"/>
    <x v="11"/>
    <x v="11"/>
    <x v="19"/>
    <x v="71"/>
    <n v="170"/>
    <x v="843"/>
    <x v="0"/>
    <x v="0"/>
    <x v="0"/>
  </r>
  <r>
    <n v="2428"/>
    <s v="Viigipuu Kristel"/>
    <x v="3"/>
    <x v="49"/>
    <x v="12"/>
    <x v="44"/>
    <n v="166"/>
    <x v="138"/>
    <x v="0"/>
    <x v="0"/>
    <x v="0"/>
  </r>
  <r>
    <n v="2429"/>
    <s v="Vikingstad Tore"/>
    <x v="6"/>
    <x v="17"/>
    <x v="15"/>
    <x v="41"/>
    <n v="191"/>
    <x v="796"/>
    <x v="0"/>
    <x v="0"/>
    <x v="2"/>
  </r>
  <r>
    <n v="2430"/>
    <s v="Viks Priit"/>
    <x v="3"/>
    <x v="49"/>
    <x v="8"/>
    <x v="5"/>
    <n v="180"/>
    <x v="98"/>
    <x v="0"/>
    <x v="0"/>
    <x v="0"/>
  </r>
  <r>
    <n v="2431"/>
    <s v="Vilandt Lars"/>
    <x v="11"/>
    <x v="12"/>
    <x v="18"/>
    <x v="71"/>
    <n v="184"/>
    <x v="844"/>
    <x v="0"/>
    <x v="0"/>
    <x v="2"/>
  </r>
  <r>
    <n v="2432"/>
    <s v="Vilarrubla Vicenc"/>
    <x v="9"/>
    <x v="48"/>
    <x v="19"/>
    <x v="17"/>
    <n v="177"/>
    <x v="618"/>
    <x v="0"/>
    <x v="0"/>
    <x v="0"/>
  </r>
  <r>
    <n v="2433"/>
    <s v="Viletta Sandro"/>
    <x v="0"/>
    <x v="9"/>
    <x v="1"/>
    <x v="35"/>
    <n v="177"/>
    <x v="693"/>
    <x v="0"/>
    <x v="0"/>
    <x v="0"/>
  </r>
  <r>
    <n v="2435"/>
    <s v="Vincour David"/>
    <x v="1"/>
    <x v="26"/>
    <x v="16"/>
    <x v="57"/>
    <n v="190"/>
    <x v="845"/>
    <x v="1"/>
    <x v="0"/>
    <x v="0"/>
  </r>
  <r>
    <n v="2437"/>
    <s v="Visnar Katja"/>
    <x v="9"/>
    <x v="31"/>
    <x v="16"/>
    <x v="9"/>
    <n v="174"/>
    <x v="276"/>
    <x v="0"/>
    <x v="0"/>
    <x v="0"/>
  </r>
  <r>
    <n v="2438"/>
    <s v="Visnovsky Lubomir"/>
    <x v="6"/>
    <x v="24"/>
    <x v="21"/>
    <x v="1"/>
    <n v="177"/>
    <x v="39"/>
    <x v="0"/>
    <x v="0"/>
    <x v="2"/>
  </r>
  <r>
    <n v="2439"/>
    <s v="Vitek Zdenek"/>
    <x v="3"/>
    <x v="26"/>
    <x v="9"/>
    <x v="5"/>
    <n v="180"/>
    <x v="98"/>
    <x v="0"/>
    <x v="0"/>
    <x v="2"/>
  </r>
  <r>
    <n v="2440"/>
    <s v="Vitkova Veronika"/>
    <x v="3"/>
    <x v="26"/>
    <x v="3"/>
    <x v="44"/>
    <n v="166"/>
    <x v="138"/>
    <x v="0"/>
    <x v="0"/>
    <x v="0"/>
  </r>
  <r>
    <n v="2441"/>
    <s v="Vito Louie"/>
    <x v="8"/>
    <x v="1"/>
    <x v="3"/>
    <x v="2"/>
    <n v="165"/>
    <x v="734"/>
    <x v="0"/>
    <x v="0"/>
    <x v="0"/>
  </r>
  <r>
    <n v="2442"/>
    <s v="Vittoz Vincent"/>
    <x v="9"/>
    <x v="16"/>
    <x v="15"/>
    <x v="19"/>
    <n v="181"/>
    <x v="742"/>
    <x v="0"/>
    <x v="0"/>
    <x v="2"/>
  </r>
  <r>
    <n v="2443"/>
    <s v="Vodsedalek Ales"/>
    <x v="12"/>
    <x v="26"/>
    <x v="1"/>
    <x v="2"/>
    <n v="182"/>
    <x v="686"/>
    <x v="0"/>
    <x v="0"/>
    <x v="0"/>
  </r>
  <r>
    <n v="2444"/>
    <s v="Voevoda Alexey"/>
    <x v="5"/>
    <x v="5"/>
    <x v="19"/>
    <x v="53"/>
    <n v="194"/>
    <x v="846"/>
    <x v="1"/>
    <x v="0"/>
    <x v="0"/>
  </r>
  <r>
    <n v="2445"/>
    <s v="Vokoun Tomas"/>
    <x v="6"/>
    <x v="26"/>
    <x v="21"/>
    <x v="1"/>
    <n v="187"/>
    <x v="523"/>
    <x v="0"/>
    <x v="0"/>
    <x v="2"/>
  </r>
  <r>
    <n v="2446"/>
    <s v="Volchenkov Anton"/>
    <x v="6"/>
    <x v="5"/>
    <x v="5"/>
    <x v="55"/>
    <n v="187"/>
    <x v="263"/>
    <x v="1"/>
    <x v="0"/>
    <x v="0"/>
  </r>
  <r>
    <n v="2447"/>
    <s v="Volkov Andrey"/>
    <x v="2"/>
    <x v="5"/>
    <x v="0"/>
    <x v="17"/>
    <n v="172"/>
    <x v="384"/>
    <x v="0"/>
    <x v="0"/>
    <x v="0"/>
  </r>
  <r>
    <n v="2448"/>
    <s v="Volkov Sergey"/>
    <x v="2"/>
    <x v="5"/>
    <x v="4"/>
    <x v="35"/>
    <n v="178"/>
    <x v="174"/>
    <x v="0"/>
    <x v="0"/>
    <x v="0"/>
  </r>
  <r>
    <n v="2451"/>
    <s v="Von Allmen Peter"/>
    <x v="9"/>
    <x v="9"/>
    <x v="9"/>
    <x v="49"/>
    <n v="188"/>
    <x v="811"/>
    <x v="0"/>
    <x v="0"/>
    <x v="2"/>
  </r>
  <r>
    <n v="2452"/>
    <s v="Von Hohenlohe Hubertus"/>
    <x v="0"/>
    <x v="80"/>
    <x v="33"/>
    <x v="3"/>
    <n v="184"/>
    <x v="444"/>
    <x v="0"/>
    <x v="0"/>
    <x v="3"/>
  </r>
  <r>
    <n v="2453"/>
    <s v="Vonn Lindsey"/>
    <x v="0"/>
    <x v="1"/>
    <x v="16"/>
    <x v="37"/>
    <n v="178"/>
    <x v="296"/>
    <x v="0"/>
    <x v="0"/>
    <x v="0"/>
  </r>
  <r>
    <n v="2454"/>
    <s v="Voorhuis Jorien"/>
    <x v="4"/>
    <x v="33"/>
    <x v="16"/>
    <x v="2"/>
    <n v="175"/>
    <x v="237"/>
    <x v="0"/>
    <x v="0"/>
    <x v="0"/>
  </r>
  <r>
    <n v="2456"/>
    <s v="Voutilainen Marjo"/>
    <x v="6"/>
    <x v="10"/>
    <x v="8"/>
    <x v="17"/>
    <n v="168"/>
    <x v="608"/>
    <x v="0"/>
    <x v="0"/>
    <x v="0"/>
  </r>
  <r>
    <n v="2457"/>
    <s v="Vrablik Martin"/>
    <x v="0"/>
    <x v="26"/>
    <x v="5"/>
    <x v="3"/>
    <n v="175"/>
    <x v="730"/>
    <x v="0"/>
    <x v="0"/>
    <x v="0"/>
  </r>
  <r>
    <n v="2458"/>
    <s v="Vrba Jan"/>
    <x v="5"/>
    <x v="26"/>
    <x v="8"/>
    <x v="1"/>
    <n v="186"/>
    <x v="362"/>
    <x v="0"/>
    <x v="0"/>
    <x v="0"/>
  </r>
  <r>
    <n v="2459"/>
    <s v="Vuillermoz Rene Laurent"/>
    <x v="3"/>
    <x v="19"/>
    <x v="9"/>
    <x v="37"/>
    <n v="179"/>
    <x v="318"/>
    <x v="0"/>
    <x v="0"/>
    <x v="2"/>
  </r>
  <r>
    <n v="2460"/>
    <s v="Vylegzhanin Maxim"/>
    <x v="9"/>
    <x v="5"/>
    <x v="5"/>
    <x v="2"/>
    <n v="174"/>
    <x v="482"/>
    <x v="0"/>
    <x v="0"/>
    <x v="0"/>
  </r>
  <r>
    <n v="2461"/>
    <s v="Vysokova Svetlana"/>
    <x v="4"/>
    <x v="5"/>
    <x v="11"/>
    <x v="6"/>
    <n v="168"/>
    <x v="103"/>
    <x v="0"/>
    <x v="0"/>
    <x v="2"/>
  </r>
  <r>
    <n v="2462"/>
    <s v="Wagner Monika"/>
    <x v="11"/>
    <x v="8"/>
    <x v="31"/>
    <x v="57"/>
    <n v="170"/>
    <x v="847"/>
    <x v="1"/>
    <x v="0"/>
    <x v="2"/>
  </r>
  <r>
    <n v="2463"/>
    <s v="Walchhofer Michael"/>
    <x v="0"/>
    <x v="32"/>
    <x v="15"/>
    <x v="60"/>
    <n v="192"/>
    <x v="848"/>
    <x v="1"/>
    <x v="0"/>
    <x v="2"/>
  </r>
  <r>
    <n v="2464"/>
    <s v="Walden Bengt"/>
    <x v="10"/>
    <x v="1"/>
    <x v="10"/>
    <x v="12"/>
    <n v="180"/>
    <x v="136"/>
    <x v="0"/>
    <x v="0"/>
    <x v="2"/>
  </r>
  <r>
    <n v="2465"/>
    <s v="Walder Ingemar"/>
    <x v="8"/>
    <x v="32"/>
    <x v="7"/>
    <x v="3"/>
    <n v="177"/>
    <x v="849"/>
    <x v="0"/>
    <x v="0"/>
    <x v="2"/>
  </r>
  <r>
    <n v="2466"/>
    <s v="Walker Paula"/>
    <x v="5"/>
    <x v="11"/>
    <x v="0"/>
    <x v="31"/>
    <n v="181"/>
    <x v="659"/>
    <x v="0"/>
    <x v="0"/>
    <x v="0"/>
  </r>
  <r>
    <n v="2467"/>
    <s v="Walker Tristan"/>
    <x v="10"/>
    <x v="7"/>
    <x v="14"/>
    <x v="23"/>
    <n v="185"/>
    <x v="483"/>
    <x v="0"/>
    <x v="0"/>
    <x v="0"/>
  </r>
  <r>
    <n v="2468"/>
    <s v="Wang Beixing"/>
    <x v="4"/>
    <x v="44"/>
    <x v="1"/>
    <x v="33"/>
    <n v="172"/>
    <x v="390"/>
    <x v="0"/>
    <x v="0"/>
    <x v="0"/>
  </r>
  <r>
    <n v="2469"/>
    <s v="Wang Bingyu"/>
    <x v="11"/>
    <x v="44"/>
    <x v="16"/>
    <x v="57"/>
    <n v="165"/>
    <x v="850"/>
    <x v="1"/>
    <x v="0"/>
    <x v="0"/>
  </r>
  <r>
    <n v="2470"/>
    <s v="Wang Chunli"/>
    <x v="3"/>
    <x v="44"/>
    <x v="13"/>
    <x v="0"/>
    <n v="165"/>
    <x v="453"/>
    <x v="0"/>
    <x v="0"/>
    <x v="0"/>
  </r>
  <r>
    <n v="2471"/>
    <s v="Wang Fei"/>
    <x v="4"/>
    <x v="44"/>
    <x v="5"/>
    <x v="13"/>
    <n v="168"/>
    <x v="13"/>
    <x v="0"/>
    <x v="0"/>
    <x v="0"/>
  </r>
  <r>
    <n v="2472"/>
    <s v="Wang Fengchun"/>
    <x v="11"/>
    <x v="44"/>
    <x v="8"/>
    <x v="57"/>
    <n v="180"/>
    <x v="851"/>
    <x v="1"/>
    <x v="0"/>
    <x v="0"/>
  </r>
  <r>
    <n v="2474"/>
    <s v="Wang Meng"/>
    <x v="13"/>
    <x v="44"/>
    <x v="1"/>
    <x v="21"/>
    <n v="167"/>
    <x v="154"/>
    <x v="0"/>
    <x v="0"/>
    <x v="0"/>
  </r>
  <r>
    <n v="2475"/>
    <s v="Wang Nan"/>
    <x v="4"/>
    <x v="44"/>
    <x v="4"/>
    <x v="37"/>
    <n v="180"/>
    <x v="201"/>
    <x v="0"/>
    <x v="0"/>
    <x v="0"/>
  </r>
  <r>
    <n v="2476"/>
    <s v="Wank Andreas"/>
    <x v="7"/>
    <x v="8"/>
    <x v="3"/>
    <x v="16"/>
    <n v="189"/>
    <x v="612"/>
    <x v="0"/>
    <x v="0"/>
    <x v="0"/>
  </r>
  <r>
    <n v="2477"/>
    <s v="Ward Catherine"/>
    <x v="6"/>
    <x v="7"/>
    <x v="4"/>
    <x v="14"/>
    <n v="168"/>
    <x v="235"/>
    <x v="0"/>
    <x v="0"/>
    <x v="0"/>
  </r>
  <r>
    <n v="2478"/>
    <s v="Watabe Akito"/>
    <x v="12"/>
    <x v="22"/>
    <x v="3"/>
    <x v="8"/>
    <n v="173"/>
    <x v="581"/>
    <x v="0"/>
    <x v="0"/>
    <x v="0"/>
  </r>
  <r>
    <n v="2479"/>
    <s v="Watanabe Graham"/>
    <x v="8"/>
    <x v="1"/>
    <x v="5"/>
    <x v="17"/>
    <n v="168"/>
    <x v="608"/>
    <x v="0"/>
    <x v="0"/>
    <x v="0"/>
  </r>
  <r>
    <n v="2480"/>
    <s v="Weber Marco"/>
    <x v="4"/>
    <x v="8"/>
    <x v="5"/>
    <x v="47"/>
    <n v="178"/>
    <x v="398"/>
    <x v="0"/>
    <x v="0"/>
    <x v="0"/>
  </r>
  <r>
    <n v="2481"/>
    <s v="Weber Shea"/>
    <x v="6"/>
    <x v="7"/>
    <x v="1"/>
    <x v="55"/>
    <n v="193"/>
    <x v="852"/>
    <x v="1"/>
    <x v="0"/>
    <x v="0"/>
  </r>
  <r>
    <n v="2482"/>
    <s v="Weber Yannick"/>
    <x v="6"/>
    <x v="9"/>
    <x v="3"/>
    <x v="51"/>
    <n v="179"/>
    <x v="358"/>
    <x v="0"/>
    <x v="0"/>
    <x v="0"/>
  </r>
  <r>
    <n v="2483"/>
    <s v="Webster Brittany"/>
    <x v="9"/>
    <x v="7"/>
    <x v="4"/>
    <x v="44"/>
    <n v="168"/>
    <x v="170"/>
    <x v="0"/>
    <x v="0"/>
    <x v="0"/>
  </r>
  <r>
    <n v="2484"/>
    <s v="Weger Benjamin"/>
    <x v="3"/>
    <x v="9"/>
    <x v="17"/>
    <x v="16"/>
    <n v="180"/>
    <x v="70"/>
    <x v="0"/>
    <x v="0"/>
    <x v="0"/>
  </r>
  <r>
    <n v="2485"/>
    <s v="Weibrecht Andrew"/>
    <x v="0"/>
    <x v="1"/>
    <x v="1"/>
    <x v="20"/>
    <n v="170"/>
    <x v="541"/>
    <x v="0"/>
    <x v="0"/>
    <x v="0"/>
  </r>
  <r>
    <n v="2487"/>
    <s v="Weinhandl Mattias"/>
    <x v="6"/>
    <x v="14"/>
    <x v="19"/>
    <x v="12"/>
    <n v="182"/>
    <x v="270"/>
    <x v="0"/>
    <x v="0"/>
    <x v="0"/>
  </r>
  <r>
    <n v="2488"/>
    <s v="Weir Johnny"/>
    <x v="1"/>
    <x v="1"/>
    <x v="16"/>
    <x v="57"/>
    <n v="175"/>
    <x v="853"/>
    <x v="1"/>
    <x v="0"/>
    <x v="0"/>
  </r>
  <r>
    <n v="2489"/>
    <s v="Wende Daniel"/>
    <x v="1"/>
    <x v="8"/>
    <x v="16"/>
    <x v="57"/>
    <n v="181"/>
    <x v="854"/>
    <x v="1"/>
    <x v="0"/>
    <x v="0"/>
  </r>
  <r>
    <n v="2490"/>
    <s v="Wendel Lundholdt Julie"/>
    <x v="8"/>
    <x v="12"/>
    <x v="13"/>
    <x v="23"/>
    <n v="179"/>
    <x v="389"/>
    <x v="0"/>
    <x v="0"/>
    <x v="0"/>
  </r>
  <r>
    <n v="2491"/>
    <s v="Wendel Ole-Christian"/>
    <x v="12"/>
    <x v="17"/>
    <x v="14"/>
    <x v="57"/>
    <n v="180"/>
    <x v="851"/>
    <x v="1"/>
    <x v="0"/>
    <x v="0"/>
  </r>
  <r>
    <n v="2492"/>
    <s v="Wenzl Josef"/>
    <x v="9"/>
    <x v="8"/>
    <x v="16"/>
    <x v="36"/>
    <n v="188"/>
    <x v="413"/>
    <x v="0"/>
    <x v="0"/>
    <x v="0"/>
  </r>
  <r>
    <n v="2493"/>
    <s v="Wescott Seth"/>
    <x v="8"/>
    <x v="1"/>
    <x v="21"/>
    <x v="38"/>
    <n v="185"/>
    <x v="107"/>
    <x v="0"/>
    <x v="0"/>
    <x v="2"/>
  </r>
  <r>
    <n v="2494"/>
    <s v="Whelbourne Jack"/>
    <x v="13"/>
    <x v="11"/>
    <x v="14"/>
    <x v="14"/>
    <n v="176"/>
    <x v="753"/>
    <x v="0"/>
    <x v="0"/>
    <x v="0"/>
  </r>
  <r>
    <n v="2495"/>
    <s v="White Charlie"/>
    <x v="1"/>
    <x v="1"/>
    <x v="4"/>
    <x v="57"/>
    <n v="175"/>
    <x v="853"/>
    <x v="1"/>
    <x v="0"/>
    <x v="0"/>
  </r>
  <r>
    <n v="2496"/>
    <s v="White Shaun"/>
    <x v="8"/>
    <x v="1"/>
    <x v="0"/>
    <x v="17"/>
    <n v="175"/>
    <x v="236"/>
    <x v="0"/>
    <x v="0"/>
    <x v="0"/>
  </r>
  <r>
    <n v="2497"/>
    <s v="White Trevor"/>
    <x v="0"/>
    <x v="7"/>
    <x v="16"/>
    <x v="35"/>
    <n v="175"/>
    <x v="624"/>
    <x v="0"/>
    <x v="0"/>
    <x v="0"/>
  </r>
  <r>
    <n v="2498"/>
    <s v="Whitmore Mitchell"/>
    <x v="4"/>
    <x v="1"/>
    <x v="17"/>
    <x v="35"/>
    <n v="178"/>
    <x v="174"/>
    <x v="0"/>
    <x v="0"/>
    <x v="0"/>
  </r>
  <r>
    <n v="2499"/>
    <s v="Whitney Ryan"/>
    <x v="6"/>
    <x v="1"/>
    <x v="13"/>
    <x v="29"/>
    <n v="193"/>
    <x v="688"/>
    <x v="0"/>
    <x v="0"/>
    <x v="0"/>
  </r>
  <r>
    <n v="2500"/>
    <s v="Wick Roman"/>
    <x v="6"/>
    <x v="9"/>
    <x v="1"/>
    <x v="18"/>
    <n v="187"/>
    <x v="116"/>
    <x v="0"/>
    <x v="0"/>
    <x v="0"/>
  </r>
  <r>
    <n v="2501"/>
    <s v="Wickenheiser Hayley"/>
    <x v="6"/>
    <x v="7"/>
    <x v="7"/>
    <x v="35"/>
    <n v="178"/>
    <x v="174"/>
    <x v="0"/>
    <x v="0"/>
    <x v="2"/>
  </r>
  <r>
    <n v="2502"/>
    <s v="Wiik Lisa"/>
    <x v="8"/>
    <x v="17"/>
    <x v="2"/>
    <x v="59"/>
    <n v="189"/>
    <x v="855"/>
    <x v="1"/>
    <x v="0"/>
    <x v="0"/>
  </r>
  <r>
    <n v="2503"/>
    <s v="Wilhelm Kati"/>
    <x v="3"/>
    <x v="8"/>
    <x v="21"/>
    <x v="9"/>
    <n v="172"/>
    <x v="856"/>
    <x v="0"/>
    <x v="0"/>
    <x v="2"/>
  </r>
  <r>
    <n v="2504"/>
    <s v="Willemarck Eva"/>
    <x v="5"/>
    <x v="55"/>
    <x v="16"/>
    <x v="17"/>
    <n v="172"/>
    <x v="384"/>
    <x v="0"/>
    <x v="0"/>
    <x v="0"/>
  </r>
  <r>
    <n v="2505"/>
    <s v="Willemsen Elfje"/>
    <x v="5"/>
    <x v="55"/>
    <x v="16"/>
    <x v="47"/>
    <n v="174"/>
    <x v="651"/>
    <x v="0"/>
    <x v="0"/>
    <x v="0"/>
  </r>
  <r>
    <n v="2506"/>
    <s v="Williams Amy"/>
    <x v="15"/>
    <x v="11"/>
    <x v="5"/>
    <x v="8"/>
    <n v="173"/>
    <x v="581"/>
    <x v="0"/>
    <x v="0"/>
    <x v="0"/>
  </r>
  <r>
    <n v="2508"/>
    <s v="Wilson Bryon"/>
    <x v="2"/>
    <x v="1"/>
    <x v="3"/>
    <x v="24"/>
    <n v="178"/>
    <x v="211"/>
    <x v="0"/>
    <x v="0"/>
    <x v="0"/>
  </r>
  <r>
    <n v="2509"/>
    <s v="Winberg Pernilla"/>
    <x v="6"/>
    <x v="14"/>
    <x v="17"/>
    <x v="9"/>
    <n v="165"/>
    <x v="269"/>
    <x v="0"/>
    <x v="0"/>
    <x v="0"/>
  </r>
  <r>
    <n v="2510"/>
    <s v="Windisch Markus"/>
    <x v="3"/>
    <x v="19"/>
    <x v="16"/>
    <x v="28"/>
    <n v="185"/>
    <x v="857"/>
    <x v="0"/>
    <x v="0"/>
    <x v="0"/>
  </r>
  <r>
    <n v="2512"/>
    <s v="Wischnewski Anke"/>
    <x v="10"/>
    <x v="8"/>
    <x v="9"/>
    <x v="49"/>
    <n v="178"/>
    <x v="858"/>
    <x v="0"/>
    <x v="0"/>
    <x v="2"/>
  </r>
  <r>
    <n v="2513"/>
    <s v="Witek Lukasz"/>
    <x v="3"/>
    <x v="25"/>
    <x v="1"/>
    <x v="48"/>
    <n v="180"/>
    <x v="448"/>
    <x v="0"/>
    <x v="0"/>
    <x v="0"/>
  </r>
  <r>
    <n v="2514"/>
    <s v="Wittner Markus"/>
    <x v="2"/>
    <x v="32"/>
    <x v="10"/>
    <x v="20"/>
    <n v="174"/>
    <x v="859"/>
    <x v="0"/>
    <x v="0"/>
    <x v="2"/>
  </r>
  <r>
    <n v="2515"/>
    <s v="Woerner Anna"/>
    <x v="2"/>
    <x v="8"/>
    <x v="17"/>
    <x v="28"/>
    <n v="175"/>
    <x v="654"/>
    <x v="0"/>
    <x v="0"/>
    <x v="0"/>
  </r>
  <r>
    <n v="2516"/>
    <s v="Wolf Alexander"/>
    <x v="3"/>
    <x v="8"/>
    <x v="7"/>
    <x v="18"/>
    <n v="191"/>
    <x v="860"/>
    <x v="0"/>
    <x v="0"/>
    <x v="2"/>
  </r>
  <r>
    <n v="2517"/>
    <s v="Wolf Michael"/>
    <x v="6"/>
    <x v="8"/>
    <x v="19"/>
    <x v="23"/>
    <n v="177"/>
    <x v="417"/>
    <x v="0"/>
    <x v="0"/>
    <x v="0"/>
  </r>
  <r>
    <n v="2520"/>
    <s v="Worth Paul"/>
    <x v="13"/>
    <x v="11"/>
    <x v="1"/>
    <x v="1"/>
    <n v="181"/>
    <x v="205"/>
    <x v="0"/>
    <x v="0"/>
    <x v="0"/>
  </r>
  <r>
    <n v="2521"/>
    <s v="Wotherspoon Jeremy"/>
    <x v="4"/>
    <x v="7"/>
    <x v="21"/>
    <x v="1"/>
    <n v="190"/>
    <x v="152"/>
    <x v="0"/>
    <x v="0"/>
    <x v="2"/>
  </r>
  <r>
    <n v="2522"/>
    <s v="Wozniak Katarzyna"/>
    <x v="4"/>
    <x v="25"/>
    <x v="17"/>
    <x v="8"/>
    <n v="174"/>
    <x v="258"/>
    <x v="0"/>
    <x v="0"/>
    <x v="0"/>
  </r>
  <r>
    <n v="2523"/>
    <s v="Wright Neville"/>
    <x v="5"/>
    <x v="7"/>
    <x v="19"/>
    <x v="11"/>
    <n v="183"/>
    <x v="861"/>
    <x v="0"/>
    <x v="0"/>
    <x v="0"/>
  </r>
  <r>
    <n v="2524"/>
    <s v="Wunder Richard"/>
    <x v="5"/>
    <x v="35"/>
    <x v="16"/>
    <x v="1"/>
    <n v="183"/>
    <x v="366"/>
    <x v="0"/>
    <x v="0"/>
    <x v="0"/>
  </r>
  <r>
    <n v="2525"/>
    <s v="Wust Ireen"/>
    <x v="4"/>
    <x v="33"/>
    <x v="0"/>
    <x v="6"/>
    <n v="168"/>
    <x v="103"/>
    <x v="0"/>
    <x v="0"/>
    <x v="0"/>
  </r>
  <r>
    <n v="2526"/>
    <s v="Wustlich Torsten"/>
    <x v="10"/>
    <x v="8"/>
    <x v="21"/>
    <x v="16"/>
    <n v="170"/>
    <x v="199"/>
    <x v="0"/>
    <x v="0"/>
    <x v="2"/>
  </r>
  <r>
    <n v="2529"/>
    <s v="Xing Aihua"/>
    <x v="4"/>
    <x v="44"/>
    <x v="9"/>
    <x v="9"/>
    <n v="168"/>
    <x v="202"/>
    <x v="0"/>
    <x v="0"/>
    <x v="2"/>
  </r>
  <r>
    <n v="2530"/>
    <s v="Xu Mengtao"/>
    <x v="2"/>
    <x v="44"/>
    <x v="12"/>
    <x v="0"/>
    <n v="165"/>
    <x v="453"/>
    <x v="0"/>
    <x v="0"/>
    <x v="0"/>
  </r>
  <r>
    <n v="2531"/>
    <s v="Xu Wenlong"/>
    <x v="9"/>
    <x v="44"/>
    <x v="4"/>
    <x v="17"/>
    <n v="172"/>
    <x v="384"/>
    <x v="0"/>
    <x v="0"/>
    <x v="0"/>
  </r>
  <r>
    <n v="2532"/>
    <s v="Yakushenko Nataliia"/>
    <x v="10"/>
    <x v="2"/>
    <x v="11"/>
    <x v="23"/>
    <n v="174"/>
    <x v="862"/>
    <x v="0"/>
    <x v="0"/>
    <x v="2"/>
  </r>
  <r>
    <n v="2535"/>
    <s v="Yanetani Eri"/>
    <x v="8"/>
    <x v="22"/>
    <x v="16"/>
    <x v="6"/>
    <n v="171"/>
    <x v="247"/>
    <x v="0"/>
    <x v="0"/>
    <x v="0"/>
  </r>
  <r>
    <n v="2537"/>
    <s v="Yesin Aleksey"/>
    <x v="4"/>
    <x v="5"/>
    <x v="4"/>
    <x v="1"/>
    <n v="178"/>
    <x v="14"/>
    <x v="0"/>
    <x v="0"/>
    <x v="0"/>
  </r>
  <r>
    <n v="2538"/>
    <s v="Yoshii Sayuri"/>
    <x v="4"/>
    <x v="22"/>
    <x v="16"/>
    <x v="8"/>
    <n v="167"/>
    <x v="80"/>
    <x v="0"/>
    <x v="0"/>
    <x v="0"/>
  </r>
  <r>
    <n v="2539"/>
    <s v="Yoshizawa Jumpei"/>
    <x v="13"/>
    <x v="22"/>
    <x v="1"/>
    <x v="33"/>
    <n v="170"/>
    <x v="61"/>
    <x v="0"/>
    <x v="0"/>
    <x v="0"/>
  </r>
  <r>
    <n v="2540"/>
    <s v="Young Andrew"/>
    <x v="9"/>
    <x v="11"/>
    <x v="23"/>
    <x v="49"/>
    <n v="193"/>
    <x v="863"/>
    <x v="0"/>
    <x v="0"/>
    <x v="0"/>
  </r>
  <r>
    <n v="2541"/>
    <s v="Yu Baiwei"/>
    <x v="6"/>
    <x v="44"/>
    <x v="3"/>
    <x v="2"/>
    <n v="166"/>
    <x v="397"/>
    <x v="0"/>
    <x v="0"/>
    <x v="0"/>
  </r>
  <r>
    <n v="2542"/>
    <s v="Yu Fengtong"/>
    <x v="4"/>
    <x v="44"/>
    <x v="16"/>
    <x v="37"/>
    <n v="170"/>
    <x v="85"/>
    <x v="0"/>
    <x v="0"/>
    <x v="0"/>
  </r>
  <r>
    <n v="2544"/>
    <s v="Yudina Elena"/>
    <x v="15"/>
    <x v="5"/>
    <x v="3"/>
    <x v="13"/>
    <n v="170"/>
    <x v="196"/>
    <x v="0"/>
    <x v="0"/>
    <x v="0"/>
  </r>
  <r>
    <n v="2545"/>
    <s v="Yue Qingshuang"/>
    <x v="11"/>
    <x v="44"/>
    <x v="1"/>
    <x v="59"/>
    <n v="165"/>
    <x v="864"/>
    <x v="1"/>
    <x v="0"/>
    <x v="0"/>
  </r>
  <r>
    <n v="2546"/>
    <s v="Zacher Heidi"/>
    <x v="2"/>
    <x v="8"/>
    <x v="3"/>
    <x v="21"/>
    <n v="167"/>
    <x v="154"/>
    <x v="0"/>
    <x v="0"/>
    <x v="0"/>
  </r>
  <r>
    <n v="2547"/>
    <s v="Zadelenov Sergei"/>
    <x v="6"/>
    <x v="4"/>
    <x v="21"/>
    <x v="12"/>
    <n v="178"/>
    <x v="464"/>
    <x v="0"/>
    <x v="0"/>
    <x v="2"/>
  </r>
  <r>
    <n v="2549"/>
    <s v="Zahrobska Sarka"/>
    <x v="0"/>
    <x v="26"/>
    <x v="16"/>
    <x v="17"/>
    <n v="175"/>
    <x v="236"/>
    <x v="0"/>
    <x v="0"/>
    <x v="0"/>
  </r>
  <r>
    <n v="2550"/>
    <s v="Zahrobsky Petr"/>
    <x v="0"/>
    <x v="26"/>
    <x v="19"/>
    <x v="41"/>
    <n v="180"/>
    <x v="145"/>
    <x v="0"/>
    <x v="0"/>
    <x v="0"/>
  </r>
  <r>
    <n v="2551"/>
    <s v="Zaitseva Olga"/>
    <x v="3"/>
    <x v="5"/>
    <x v="7"/>
    <x v="33"/>
    <n v="169"/>
    <x v="379"/>
    <x v="0"/>
    <x v="0"/>
    <x v="2"/>
  </r>
  <r>
    <n v="2552"/>
    <s v="Zakharkiv Roman"/>
    <x v="10"/>
    <x v="2"/>
    <x v="12"/>
    <x v="4"/>
    <n v="176"/>
    <x v="865"/>
    <x v="0"/>
    <x v="0"/>
    <x v="0"/>
  </r>
  <r>
    <n v="2553"/>
    <s v="Zakharov Ruslan"/>
    <x v="13"/>
    <x v="5"/>
    <x v="4"/>
    <x v="17"/>
    <n v="170"/>
    <x v="19"/>
    <x v="0"/>
    <x v="0"/>
    <x v="0"/>
  </r>
  <r>
    <n v="2554"/>
    <s v="Zakourilova Petra"/>
    <x v="0"/>
    <x v="26"/>
    <x v="7"/>
    <x v="2"/>
    <n v="170"/>
    <x v="250"/>
    <x v="0"/>
    <x v="0"/>
    <x v="2"/>
  </r>
  <r>
    <n v="2555"/>
    <s v="Zakreski Kimiko"/>
    <x v="8"/>
    <x v="7"/>
    <x v="13"/>
    <x v="13"/>
    <n v="173"/>
    <x v="274"/>
    <x v="0"/>
    <x v="0"/>
    <x v="0"/>
  </r>
  <r>
    <n v="2556"/>
    <s v="Zakurdaev Igor"/>
    <x v="0"/>
    <x v="21"/>
    <x v="0"/>
    <x v="46"/>
    <n v="187"/>
    <x v="866"/>
    <x v="0"/>
    <x v="0"/>
    <x v="0"/>
  </r>
  <r>
    <n v="2557"/>
    <s v="Zalims Ugis"/>
    <x v="5"/>
    <x v="20"/>
    <x v="0"/>
    <x v="31"/>
    <n v="182"/>
    <x v="306"/>
    <x v="0"/>
    <x v="0"/>
    <x v="0"/>
  </r>
  <r>
    <n v="2558"/>
    <s v="Zamansky Jake"/>
    <x v="0"/>
    <x v="1"/>
    <x v="8"/>
    <x v="20"/>
    <n v="178"/>
    <x v="59"/>
    <x v="0"/>
    <x v="0"/>
    <x v="0"/>
  </r>
  <r>
    <n v="2559"/>
    <s v="Zang Jialiang"/>
    <x v="11"/>
    <x v="44"/>
    <x v="4"/>
    <x v="59"/>
    <n v="175"/>
    <x v="867"/>
    <x v="1"/>
    <x v="0"/>
    <x v="0"/>
  </r>
  <r>
    <n v="2560"/>
    <s v="Zangerl Thomas"/>
    <x v="2"/>
    <x v="32"/>
    <x v="13"/>
    <x v="37"/>
    <n v="180"/>
    <x v="201"/>
    <x v="0"/>
    <x v="0"/>
    <x v="0"/>
  </r>
  <r>
    <n v="2561"/>
    <s v="Zanoletti Costanza"/>
    <x v="15"/>
    <x v="19"/>
    <x v="19"/>
    <x v="8"/>
    <n v="173"/>
    <x v="581"/>
    <x v="0"/>
    <x v="0"/>
    <x v="0"/>
  </r>
  <r>
    <n v="2563"/>
    <s v="Zaretsky Roman"/>
    <x v="1"/>
    <x v="71"/>
    <x v="13"/>
    <x v="59"/>
    <n v="180"/>
    <x v="868"/>
    <x v="1"/>
    <x v="0"/>
    <x v="0"/>
  </r>
  <r>
    <n v="2564"/>
    <s v="Zaripov Danis"/>
    <x v="6"/>
    <x v="5"/>
    <x v="8"/>
    <x v="28"/>
    <n v="184"/>
    <x v="33"/>
    <x v="0"/>
    <x v="0"/>
    <x v="0"/>
  </r>
  <r>
    <n v="2565"/>
    <s v="Zaugg-Siergiej Jinelle"/>
    <x v="6"/>
    <x v="1"/>
    <x v="0"/>
    <x v="23"/>
    <n v="183"/>
    <x v="48"/>
    <x v="0"/>
    <x v="0"/>
    <x v="0"/>
  </r>
  <r>
    <n v="2567"/>
    <s v="Zavarzina Alena"/>
    <x v="8"/>
    <x v="5"/>
    <x v="17"/>
    <x v="8"/>
    <n v="175"/>
    <x v="359"/>
    <x v="0"/>
    <x v="0"/>
    <x v="0"/>
  </r>
  <r>
    <n v="2568"/>
    <s v="Zavozin Maxim"/>
    <x v="1"/>
    <x v="34"/>
    <x v="1"/>
    <x v="59"/>
    <n v="179"/>
    <x v="341"/>
    <x v="1"/>
    <x v="0"/>
    <x v="0"/>
  </r>
  <r>
    <n v="2569"/>
    <s v="Zblewski Michal"/>
    <x v="5"/>
    <x v="25"/>
    <x v="19"/>
    <x v="32"/>
    <n v="186"/>
    <x v="592"/>
    <x v="0"/>
    <x v="0"/>
    <x v="0"/>
  </r>
  <r>
    <n v="2570"/>
    <s v="Zebrowski Gary"/>
    <x v="8"/>
    <x v="16"/>
    <x v="16"/>
    <x v="37"/>
    <n v="180"/>
    <x v="201"/>
    <x v="0"/>
    <x v="0"/>
    <x v="0"/>
  </r>
  <r>
    <n v="2571"/>
    <s v="Zednik Richard"/>
    <x v="6"/>
    <x v="24"/>
    <x v="15"/>
    <x v="15"/>
    <n v="186"/>
    <x v="81"/>
    <x v="0"/>
    <x v="0"/>
    <x v="2"/>
  </r>
  <r>
    <n v="2572"/>
    <s v="Zeller Katrin"/>
    <x v="9"/>
    <x v="8"/>
    <x v="2"/>
    <x v="22"/>
    <n v="171"/>
    <x v="473"/>
    <x v="0"/>
    <x v="0"/>
    <x v="0"/>
  </r>
  <r>
    <n v="2573"/>
    <s v="Zeng Xiaoye"/>
    <x v="8"/>
    <x v="44"/>
    <x v="14"/>
    <x v="8"/>
    <n v="175"/>
    <x v="359"/>
    <x v="0"/>
    <x v="0"/>
    <x v="0"/>
  </r>
  <r>
    <n v="2574"/>
    <s v="Zettel Kathrin"/>
    <x v="0"/>
    <x v="32"/>
    <x v="0"/>
    <x v="9"/>
    <n v="167"/>
    <x v="9"/>
    <x v="0"/>
    <x v="0"/>
    <x v="0"/>
  </r>
  <r>
    <n v="2575"/>
    <s v="Zetterberg Henrik"/>
    <x v="6"/>
    <x v="14"/>
    <x v="19"/>
    <x v="36"/>
    <n v="183"/>
    <x v="78"/>
    <x v="0"/>
    <x v="0"/>
    <x v="0"/>
  </r>
  <r>
    <n v="2576"/>
    <s v="Zhang Ben"/>
    <x v="6"/>
    <x v="44"/>
    <x v="1"/>
    <x v="14"/>
    <n v="170"/>
    <x v="16"/>
    <x v="0"/>
    <x v="0"/>
    <x v="0"/>
  </r>
  <r>
    <n v="2577"/>
    <s v="Zhang Chengye"/>
    <x v="3"/>
    <x v="44"/>
    <x v="5"/>
    <x v="17"/>
    <n v="175"/>
    <x v="236"/>
    <x v="0"/>
    <x v="0"/>
    <x v="0"/>
  </r>
  <r>
    <n v="2578"/>
    <s v="Zhang Dan"/>
    <x v="1"/>
    <x v="44"/>
    <x v="1"/>
    <x v="59"/>
    <n v="167"/>
    <x v="869"/>
    <x v="1"/>
    <x v="0"/>
    <x v="0"/>
  </r>
  <r>
    <n v="2579"/>
    <s v="Zhang Hao"/>
    <x v="1"/>
    <x v="44"/>
    <x v="16"/>
    <x v="59"/>
    <n v="181"/>
    <x v="870"/>
    <x v="1"/>
    <x v="0"/>
    <x v="0"/>
  </r>
  <r>
    <n v="2581"/>
    <s v="Zhang Mengying"/>
    <x v="6"/>
    <x v="44"/>
    <x v="6"/>
    <x v="0"/>
    <n v="166"/>
    <x v="871"/>
    <x v="0"/>
    <x v="0"/>
    <x v="1"/>
  </r>
  <r>
    <n v="2582"/>
    <s v="Zhang Shuang"/>
    <x v="4"/>
    <x v="44"/>
    <x v="0"/>
    <x v="8"/>
    <n v="165"/>
    <x v="139"/>
    <x v="0"/>
    <x v="0"/>
    <x v="0"/>
  </r>
  <r>
    <n v="2584"/>
    <s v="Zhang Zhongqi"/>
    <x v="4"/>
    <x v="44"/>
    <x v="5"/>
    <x v="48"/>
    <n v="181"/>
    <x v="219"/>
    <x v="0"/>
    <x v="0"/>
    <x v="0"/>
  </r>
  <r>
    <n v="2585"/>
    <s v="Zhao Hongbo"/>
    <x v="1"/>
    <x v="44"/>
    <x v="10"/>
    <x v="59"/>
    <n v="177"/>
    <x v="872"/>
    <x v="1"/>
    <x v="0"/>
    <x v="2"/>
  </r>
  <r>
    <n v="2587"/>
    <s v="Zheng Xun"/>
    <x v="1"/>
    <x v="44"/>
    <x v="4"/>
    <x v="72"/>
    <n v="188"/>
    <x v="873"/>
    <x v="0"/>
    <x v="0"/>
    <x v="0"/>
  </r>
  <r>
    <n v="2588"/>
    <s v="Zhou Yan"/>
    <x v="11"/>
    <x v="44"/>
    <x v="5"/>
    <x v="21"/>
    <n v="165"/>
    <x v="298"/>
    <x v="0"/>
    <x v="0"/>
    <x v="0"/>
  </r>
  <r>
    <n v="2589"/>
    <s v="Zhou Yang"/>
    <x v="13"/>
    <x v="44"/>
    <x v="14"/>
    <x v="44"/>
    <n v="165"/>
    <x v="135"/>
    <x v="0"/>
    <x v="0"/>
    <x v="0"/>
  </r>
  <r>
    <n v="2590"/>
    <s v="Zidlicky Marek"/>
    <x v="6"/>
    <x v="26"/>
    <x v="21"/>
    <x v="4"/>
    <n v="178"/>
    <x v="527"/>
    <x v="0"/>
    <x v="0"/>
    <x v="2"/>
  </r>
  <r>
    <n v="2593"/>
    <s v="Zinovyev Sergey"/>
    <x v="6"/>
    <x v="5"/>
    <x v="19"/>
    <x v="48"/>
    <n v="180"/>
    <x v="448"/>
    <x v="0"/>
    <x v="0"/>
    <x v="0"/>
  </r>
  <r>
    <n v="2595"/>
    <s v="Zmoray Tomas"/>
    <x v="7"/>
    <x v="24"/>
    <x v="17"/>
    <x v="26"/>
    <n v="187"/>
    <x v="874"/>
    <x v="0"/>
    <x v="0"/>
    <x v="0"/>
  </r>
  <r>
    <n v="2596"/>
    <s v="Zoeggeler Armin"/>
    <x v="10"/>
    <x v="19"/>
    <x v="10"/>
    <x v="36"/>
    <n v="180"/>
    <x v="130"/>
    <x v="0"/>
    <x v="0"/>
    <x v="2"/>
  </r>
  <r>
    <n v="2598"/>
    <s v="Zorzi Cristian"/>
    <x v="9"/>
    <x v="19"/>
    <x v="11"/>
    <x v="48"/>
    <n v="184"/>
    <x v="504"/>
    <x v="0"/>
    <x v="0"/>
    <x v="2"/>
  </r>
  <r>
    <n v="2599"/>
    <s v="Zrncic-Dim Natko"/>
    <x v="0"/>
    <x v="39"/>
    <x v="0"/>
    <x v="36"/>
    <n v="177"/>
    <x v="165"/>
    <x v="0"/>
    <x v="0"/>
    <x v="0"/>
  </r>
  <r>
    <n v="2600"/>
    <s v="Zubkov Alexsandr"/>
    <x v="5"/>
    <x v="5"/>
    <x v="18"/>
    <x v="55"/>
    <n v="187"/>
    <x v="263"/>
    <x v="1"/>
    <x v="0"/>
    <x v="2"/>
  </r>
  <r>
    <n v="2601"/>
    <s v="Zuccarello Aasen Mats"/>
    <x v="6"/>
    <x v="17"/>
    <x v="4"/>
    <x v="24"/>
    <n v="171"/>
    <x v="690"/>
    <x v="0"/>
    <x v="0"/>
    <x v="0"/>
  </r>
  <r>
    <n v="2602"/>
    <s v="Zuev Stepan"/>
    <x v="0"/>
    <x v="5"/>
    <x v="3"/>
    <x v="18"/>
    <n v="189"/>
    <x v="268"/>
    <x v="0"/>
    <x v="0"/>
    <x v="0"/>
  </r>
  <r>
    <n v="2603"/>
    <s v="Zurbriggen Silvan"/>
    <x v="0"/>
    <x v="9"/>
    <x v="8"/>
    <x v="39"/>
    <n v="185"/>
    <x v="399"/>
    <x v="0"/>
    <x v="0"/>
    <x v="0"/>
  </r>
  <r>
    <n v="2604"/>
    <s v="Zuzulova Veronika"/>
    <x v="0"/>
    <x v="24"/>
    <x v="16"/>
    <x v="16"/>
    <n v="172"/>
    <x v="106"/>
    <x v="0"/>
    <x v="0"/>
    <x v="0"/>
  </r>
  <r>
    <n v="2605"/>
    <s v="Zvaricova Veronika"/>
    <x v="3"/>
    <x v="26"/>
    <x v="3"/>
    <x v="22"/>
    <n v="176"/>
    <x v="46"/>
    <x v="0"/>
    <x v="0"/>
    <x v="0"/>
  </r>
  <r>
    <n v="2606"/>
    <s v="Zvejnieks Kristaps"/>
    <x v="0"/>
    <x v="20"/>
    <x v="23"/>
    <x v="15"/>
    <n v="185"/>
    <x v="364"/>
    <x v="0"/>
    <x v="0"/>
    <x v="0"/>
  </r>
  <r>
    <n v="62"/>
    <s v="Aydova Yekaterina"/>
    <x v="4"/>
    <x v="21"/>
    <x v="14"/>
    <x v="17"/>
    <n v="164"/>
    <x v="875"/>
    <x v="0"/>
    <x v="1"/>
    <x v="0"/>
  </r>
  <r>
    <n v="68"/>
    <s v="Babonyova Natalie"/>
    <x v="6"/>
    <x v="24"/>
    <x v="13"/>
    <x v="0"/>
    <n v="164"/>
    <x v="876"/>
    <x v="0"/>
    <x v="1"/>
    <x v="0"/>
  </r>
  <r>
    <n v="88"/>
    <s v="Barioz Taina"/>
    <x v="0"/>
    <x v="16"/>
    <x v="3"/>
    <x v="44"/>
    <n v="164"/>
    <x v="877"/>
    <x v="0"/>
    <x v="1"/>
    <x v="0"/>
  </r>
  <r>
    <n v="206"/>
    <s v="Bouvier Stephanie"/>
    <x v="13"/>
    <x v="16"/>
    <x v="8"/>
    <x v="8"/>
    <n v="164"/>
    <x v="878"/>
    <x v="0"/>
    <x v="1"/>
    <x v="0"/>
  </r>
  <r>
    <n v="224"/>
    <s v="Brice Anete"/>
    <x v="9"/>
    <x v="20"/>
    <x v="14"/>
    <x v="69"/>
    <n v="164"/>
    <x v="879"/>
    <x v="0"/>
    <x v="1"/>
    <x v="0"/>
  </r>
  <r>
    <n v="246"/>
    <s v="Bucher Silvana"/>
    <x v="9"/>
    <x v="9"/>
    <x v="13"/>
    <x v="0"/>
    <n v="164"/>
    <x v="876"/>
    <x v="0"/>
    <x v="1"/>
    <x v="0"/>
  </r>
  <r>
    <n v="293"/>
    <s v="Cherkasova Marina"/>
    <x v="2"/>
    <x v="5"/>
    <x v="11"/>
    <x v="22"/>
    <n v="164"/>
    <x v="880"/>
    <x v="0"/>
    <x v="1"/>
    <x v="2"/>
  </r>
  <r>
    <n v="331"/>
    <s v="Coletti Alexandra"/>
    <x v="0"/>
    <x v="53"/>
    <x v="13"/>
    <x v="8"/>
    <n v="164"/>
    <x v="878"/>
    <x v="0"/>
    <x v="1"/>
    <x v="0"/>
  </r>
  <r>
    <n v="384"/>
    <s v="Dautherives Claire"/>
    <x v="0"/>
    <x v="16"/>
    <x v="5"/>
    <x v="17"/>
    <n v="164"/>
    <x v="875"/>
    <x v="0"/>
    <x v="1"/>
    <x v="0"/>
  </r>
  <r>
    <n v="402"/>
    <s v="Delgado Rocio"/>
    <x v="2"/>
    <x v="48"/>
    <x v="9"/>
    <x v="14"/>
    <n v="164"/>
    <x v="881"/>
    <x v="0"/>
    <x v="1"/>
    <x v="2"/>
  </r>
  <r>
    <n v="420"/>
    <s v="Desmares Nathalie"/>
    <x v="8"/>
    <x v="16"/>
    <x v="11"/>
    <x v="42"/>
    <n v="164"/>
    <x v="882"/>
    <x v="0"/>
    <x v="1"/>
    <x v="2"/>
  </r>
  <r>
    <n v="428"/>
    <s v="Didenko Nadiya"/>
    <x v="2"/>
    <x v="2"/>
    <x v="0"/>
    <x v="33"/>
    <n v="164"/>
    <x v="883"/>
    <x v="0"/>
    <x v="1"/>
    <x v="0"/>
  </r>
  <r>
    <n v="526"/>
    <s v="Fanchini Elena"/>
    <x v="0"/>
    <x v="19"/>
    <x v="1"/>
    <x v="25"/>
    <n v="164"/>
    <x v="884"/>
    <x v="0"/>
    <x v="1"/>
    <x v="0"/>
  </r>
  <r>
    <n v="554"/>
    <s v="Fischbacher Andrea"/>
    <x v="0"/>
    <x v="32"/>
    <x v="1"/>
    <x v="8"/>
    <n v="164"/>
    <x v="878"/>
    <x v="0"/>
    <x v="1"/>
    <x v="0"/>
  </r>
  <r>
    <n v="572"/>
    <s v="Fontana Arianna"/>
    <x v="13"/>
    <x v="19"/>
    <x v="12"/>
    <x v="21"/>
    <n v="164"/>
    <x v="885"/>
    <x v="0"/>
    <x v="1"/>
    <x v="0"/>
  </r>
  <r>
    <n v="612"/>
    <s v="Gashennikova Irina"/>
    <x v="6"/>
    <x v="5"/>
    <x v="15"/>
    <x v="13"/>
    <n v="164"/>
    <x v="886"/>
    <x v="0"/>
    <x v="1"/>
    <x v="2"/>
  </r>
  <r>
    <n v="627"/>
    <s v="Georges Chloe"/>
    <x v="2"/>
    <x v="16"/>
    <x v="19"/>
    <x v="44"/>
    <n v="164"/>
    <x v="877"/>
    <x v="0"/>
    <x v="1"/>
    <x v="0"/>
  </r>
  <r>
    <n v="659"/>
    <s v="Gough Amy"/>
    <x v="15"/>
    <x v="7"/>
    <x v="9"/>
    <x v="33"/>
    <n v="164"/>
    <x v="883"/>
    <x v="0"/>
    <x v="1"/>
    <x v="2"/>
  </r>
  <r>
    <n v="725"/>
    <s v="Halinarova Martina"/>
    <x v="3"/>
    <x v="24"/>
    <x v="10"/>
    <x v="66"/>
    <n v="164"/>
    <x v="887"/>
    <x v="0"/>
    <x v="1"/>
    <x v="2"/>
  </r>
  <r>
    <n v="748"/>
    <s v="Harada Madoka"/>
    <x v="10"/>
    <x v="22"/>
    <x v="1"/>
    <x v="2"/>
    <n v="164"/>
    <x v="888"/>
    <x v="0"/>
    <x v="1"/>
    <x v="0"/>
  </r>
  <r>
    <n v="855"/>
    <s v="Huszar Erika"/>
    <x v="13"/>
    <x v="34"/>
    <x v="13"/>
    <x v="50"/>
    <n v="164"/>
    <x v="889"/>
    <x v="0"/>
    <x v="1"/>
    <x v="0"/>
  </r>
  <r>
    <n v="856"/>
    <s v="Huttary Karin"/>
    <x v="2"/>
    <x v="32"/>
    <x v="9"/>
    <x v="22"/>
    <n v="164"/>
    <x v="880"/>
    <x v="0"/>
    <x v="1"/>
    <x v="2"/>
  </r>
  <r>
    <n v="973"/>
    <s v="Kalinchik Liudmila"/>
    <x v="3"/>
    <x v="4"/>
    <x v="5"/>
    <x v="43"/>
    <n v="164"/>
    <x v="890"/>
    <x v="0"/>
    <x v="1"/>
    <x v="0"/>
  </r>
  <r>
    <n v="1052"/>
    <s v="Kim Yu-Na"/>
    <x v="1"/>
    <x v="42"/>
    <x v="12"/>
    <x v="62"/>
    <n v="164"/>
    <x v="891"/>
    <x v="1"/>
    <x v="1"/>
    <x v="0"/>
  </r>
  <r>
    <n v="1093"/>
    <s v="Kodaira Nao"/>
    <x v="4"/>
    <x v="22"/>
    <x v="0"/>
    <x v="8"/>
    <n v="164"/>
    <x v="878"/>
    <x v="0"/>
    <x v="1"/>
    <x v="0"/>
  </r>
  <r>
    <n v="1103"/>
    <s v="Kokubo Kazuhiro"/>
    <x v="8"/>
    <x v="22"/>
    <x v="3"/>
    <x v="42"/>
    <n v="164"/>
    <x v="882"/>
    <x v="0"/>
    <x v="1"/>
    <x v="0"/>
  </r>
  <r>
    <n v="1197"/>
    <s v="Kvakova Monika"/>
    <x v="6"/>
    <x v="24"/>
    <x v="3"/>
    <x v="14"/>
    <n v="164"/>
    <x v="881"/>
    <x v="0"/>
    <x v="1"/>
    <x v="0"/>
  </r>
  <r>
    <n v="1202"/>
    <s v="Kwak Yoon-Gy"/>
    <x v="13"/>
    <x v="42"/>
    <x v="17"/>
    <x v="44"/>
    <n v="164"/>
    <x v="877"/>
    <x v="0"/>
    <x v="1"/>
    <x v="0"/>
  </r>
  <r>
    <n v="1257"/>
    <s v="Lee Bo-Ra"/>
    <x v="4"/>
    <x v="42"/>
    <x v="0"/>
    <x v="0"/>
    <n v="164"/>
    <x v="876"/>
    <x v="0"/>
    <x v="1"/>
    <x v="0"/>
  </r>
  <r>
    <n v="1285"/>
    <s v="Lepisto Laura"/>
    <x v="1"/>
    <x v="10"/>
    <x v="3"/>
    <x v="46"/>
    <n v="164"/>
    <x v="892"/>
    <x v="0"/>
    <x v="1"/>
    <x v="0"/>
  </r>
  <r>
    <n v="1326"/>
    <s v="Liu Yan"/>
    <x v="1"/>
    <x v="44"/>
    <x v="16"/>
    <x v="46"/>
    <n v="164"/>
    <x v="892"/>
    <x v="0"/>
    <x v="1"/>
    <x v="0"/>
  </r>
  <r>
    <n v="1333"/>
    <s v="Livinskaya Yulia"/>
    <x v="2"/>
    <x v="5"/>
    <x v="12"/>
    <x v="44"/>
    <n v="164"/>
    <x v="877"/>
    <x v="0"/>
    <x v="1"/>
    <x v="0"/>
  </r>
  <r>
    <n v="1415"/>
    <s v="Marchand-Arvier Marie"/>
    <x v="0"/>
    <x v="16"/>
    <x v="1"/>
    <x v="33"/>
    <n v="164"/>
    <x v="883"/>
    <x v="0"/>
    <x v="1"/>
    <x v="0"/>
  </r>
  <r>
    <n v="1435"/>
    <s v="Marushchak Dmitry"/>
    <x v="2"/>
    <x v="5"/>
    <x v="19"/>
    <x v="22"/>
    <n v="164"/>
    <x v="880"/>
    <x v="0"/>
    <x v="1"/>
    <x v="0"/>
  </r>
  <r>
    <n v="1476"/>
    <s v="Meier Sarah"/>
    <x v="1"/>
    <x v="9"/>
    <x v="16"/>
    <x v="43"/>
    <n v="164"/>
    <x v="890"/>
    <x v="0"/>
    <x v="1"/>
    <x v="0"/>
  </r>
  <r>
    <n v="1600"/>
    <s v="Nazarova Olga"/>
    <x v="3"/>
    <x v="4"/>
    <x v="9"/>
    <x v="42"/>
    <n v="164"/>
    <x v="882"/>
    <x v="0"/>
    <x v="1"/>
    <x v="2"/>
  </r>
  <r>
    <n v="1643"/>
    <s v="Novakovic Zana"/>
    <x v="0"/>
    <x v="59"/>
    <x v="1"/>
    <x v="21"/>
    <n v="164"/>
    <x v="885"/>
    <x v="0"/>
    <x v="1"/>
    <x v="0"/>
  </r>
  <r>
    <n v="1661"/>
    <s v="Oberhofer Karin"/>
    <x v="3"/>
    <x v="19"/>
    <x v="1"/>
    <x v="0"/>
    <n v="164"/>
    <x v="876"/>
    <x v="0"/>
    <x v="1"/>
    <x v="0"/>
  </r>
  <r>
    <n v="1663"/>
    <s v="Ochirsuren Erdene-Ochir"/>
    <x v="9"/>
    <x v="62"/>
    <x v="1"/>
    <x v="14"/>
    <n v="164"/>
    <x v="881"/>
    <x v="0"/>
    <x v="1"/>
    <x v="0"/>
  </r>
  <r>
    <n v="1667"/>
    <s v="Oda Nobunari"/>
    <x v="1"/>
    <x v="22"/>
    <x v="4"/>
    <x v="14"/>
    <n v="164"/>
    <x v="881"/>
    <x v="0"/>
    <x v="1"/>
    <x v="0"/>
  </r>
  <r>
    <n v="1704"/>
    <s v="Ost Isabell"/>
    <x v="4"/>
    <x v="8"/>
    <x v="3"/>
    <x v="2"/>
    <n v="164"/>
    <x v="888"/>
    <x v="0"/>
    <x v="1"/>
    <x v="0"/>
  </r>
  <r>
    <n v="1757"/>
    <s v="Peretti Lucia"/>
    <x v="13"/>
    <x v="19"/>
    <x v="12"/>
    <x v="42"/>
    <n v="164"/>
    <x v="882"/>
    <x v="0"/>
    <x v="1"/>
    <x v="0"/>
  </r>
  <r>
    <n v="1806"/>
    <s v="Posa Mariia"/>
    <x v="6"/>
    <x v="10"/>
    <x v="3"/>
    <x v="43"/>
    <n v="164"/>
    <x v="890"/>
    <x v="0"/>
    <x v="1"/>
    <x v="0"/>
  </r>
  <r>
    <n v="1835"/>
    <s v="Purdea Mihaela"/>
    <x v="3"/>
    <x v="18"/>
    <x v="5"/>
    <x v="42"/>
    <n v="164"/>
    <x v="882"/>
    <x v="0"/>
    <x v="1"/>
    <x v="0"/>
  </r>
  <r>
    <n v="1839"/>
    <s v="Pysarenko Lyudmyla"/>
    <x v="3"/>
    <x v="2"/>
    <x v="13"/>
    <x v="44"/>
    <n v="164"/>
    <x v="877"/>
    <x v="0"/>
    <x v="1"/>
    <x v="0"/>
  </r>
  <r>
    <n v="1844"/>
    <s v="Radenovic Carmen"/>
    <x v="5"/>
    <x v="18"/>
    <x v="8"/>
    <x v="2"/>
    <n v="164"/>
    <x v="888"/>
    <x v="0"/>
    <x v="1"/>
    <x v="0"/>
  </r>
  <r>
    <n v="1854"/>
    <s v="Rajahuhta Annina"/>
    <x v="6"/>
    <x v="10"/>
    <x v="17"/>
    <x v="22"/>
    <n v="164"/>
    <x v="880"/>
    <x v="0"/>
    <x v="1"/>
    <x v="0"/>
  </r>
  <r>
    <n v="1890"/>
    <s v="Reitmayerova Ivana"/>
    <x v="1"/>
    <x v="24"/>
    <x v="23"/>
    <x v="24"/>
    <n v="164"/>
    <x v="893"/>
    <x v="0"/>
    <x v="1"/>
    <x v="0"/>
  </r>
  <r>
    <n v="2006"/>
    <s v="Sadar Cilka"/>
    <x v="8"/>
    <x v="31"/>
    <x v="14"/>
    <x v="21"/>
    <n v="164"/>
    <x v="885"/>
    <x v="0"/>
    <x v="1"/>
    <x v="0"/>
  </r>
  <r>
    <n v="2020"/>
    <s v="Sarasoja Riikka"/>
    <x v="9"/>
    <x v="10"/>
    <x v="5"/>
    <x v="0"/>
    <n v="164"/>
    <x v="876"/>
    <x v="0"/>
    <x v="1"/>
    <x v="0"/>
  </r>
  <r>
    <n v="2081"/>
    <s v="Sebestyen Julia"/>
    <x v="1"/>
    <x v="34"/>
    <x v="8"/>
    <x v="44"/>
    <n v="164"/>
    <x v="877"/>
    <x v="0"/>
    <x v="1"/>
    <x v="0"/>
  </r>
  <r>
    <n v="2283"/>
    <s v="Szymkowiak Kerstin"/>
    <x v="15"/>
    <x v="8"/>
    <x v="9"/>
    <x v="25"/>
    <n v="164"/>
    <x v="884"/>
    <x v="0"/>
    <x v="1"/>
    <x v="2"/>
  </r>
  <r>
    <n v="2311"/>
    <s v="Ten Denis"/>
    <x v="1"/>
    <x v="21"/>
    <x v="6"/>
    <x v="70"/>
    <n v="164"/>
    <x v="894"/>
    <x v="0"/>
    <x v="1"/>
    <x v="1"/>
  </r>
  <r>
    <n v="2527"/>
    <s v="Wyss Stefanie"/>
    <x v="6"/>
    <x v="9"/>
    <x v="1"/>
    <x v="22"/>
    <n v="164"/>
    <x v="880"/>
    <x v="0"/>
    <x v="1"/>
    <x v="0"/>
  </r>
  <r>
    <n v="2534"/>
    <s v="Yamaura Mayo"/>
    <x v="11"/>
    <x v="22"/>
    <x v="16"/>
    <x v="59"/>
    <n v="164"/>
    <x v="895"/>
    <x v="1"/>
    <x v="1"/>
    <x v="0"/>
  </r>
  <r>
    <n v="2536"/>
    <s v="Yasuda Aya"/>
    <x v="10"/>
    <x v="22"/>
    <x v="5"/>
    <x v="8"/>
    <n v="164"/>
    <x v="878"/>
    <x v="0"/>
    <x v="1"/>
    <x v="0"/>
  </r>
  <r>
    <n v="2548"/>
    <s v="Zadorozhniuk Anna"/>
    <x v="1"/>
    <x v="2"/>
    <x v="16"/>
    <x v="59"/>
    <n v="164"/>
    <x v="895"/>
    <x v="1"/>
    <x v="1"/>
    <x v="0"/>
  </r>
  <r>
    <n v="2592"/>
    <s v="Zini Katia"/>
    <x v="13"/>
    <x v="19"/>
    <x v="8"/>
    <x v="21"/>
    <n v="164"/>
    <x v="885"/>
    <x v="0"/>
    <x v="1"/>
    <x v="0"/>
  </r>
  <r>
    <n v="16"/>
    <s v="Ahn Jee-Min"/>
    <x v="4"/>
    <x v="42"/>
    <x v="23"/>
    <x v="30"/>
    <n v="163"/>
    <x v="896"/>
    <x v="0"/>
    <x v="2"/>
    <x v="0"/>
  </r>
  <r>
    <n v="34"/>
    <s v="Ando Miki"/>
    <x v="1"/>
    <x v="22"/>
    <x v="4"/>
    <x v="1"/>
    <n v="162"/>
    <x v="897"/>
    <x v="0"/>
    <x v="2"/>
    <x v="0"/>
  </r>
  <r>
    <n v="50"/>
    <s v="Antsybor Maryna"/>
    <x v="9"/>
    <x v="2"/>
    <x v="4"/>
    <x v="42"/>
    <n v="161"/>
    <x v="898"/>
    <x v="0"/>
    <x v="2"/>
    <x v="0"/>
  </r>
  <r>
    <n v="55"/>
    <s v="Arritola Morgan"/>
    <x v="9"/>
    <x v="1"/>
    <x v="0"/>
    <x v="54"/>
    <n v="163"/>
    <x v="899"/>
    <x v="0"/>
    <x v="2"/>
    <x v="0"/>
  </r>
  <r>
    <n v="56"/>
    <s v="Asada Mao"/>
    <x v="1"/>
    <x v="22"/>
    <x v="12"/>
    <x v="1"/>
    <n v="163"/>
    <x v="900"/>
    <x v="0"/>
    <x v="2"/>
    <x v="0"/>
  </r>
  <r>
    <n v="77"/>
    <s v="Bahrke Shannon"/>
    <x v="2"/>
    <x v="1"/>
    <x v="19"/>
    <x v="21"/>
    <n v="163"/>
    <x v="901"/>
    <x v="0"/>
    <x v="2"/>
    <x v="0"/>
  </r>
  <r>
    <n v="90"/>
    <s v="Barnes Lanny"/>
    <x v="3"/>
    <x v="1"/>
    <x v="5"/>
    <x v="42"/>
    <n v="160"/>
    <x v="902"/>
    <x v="0"/>
    <x v="2"/>
    <x v="0"/>
  </r>
  <r>
    <n v="112"/>
    <s v="Baver Allison"/>
    <x v="13"/>
    <x v="1"/>
    <x v="19"/>
    <x v="44"/>
    <n v="160"/>
    <x v="903"/>
    <x v="0"/>
    <x v="2"/>
    <x v="0"/>
  </r>
  <r>
    <n v="113"/>
    <s v="Bazarova Vera"/>
    <x v="1"/>
    <x v="5"/>
    <x v="23"/>
    <x v="6"/>
    <n v="160"/>
    <x v="904"/>
    <x v="0"/>
    <x v="2"/>
    <x v="0"/>
  </r>
  <r>
    <n v="117"/>
    <s v="Beck Martina"/>
    <x v="3"/>
    <x v="8"/>
    <x v="2"/>
    <x v="69"/>
    <n v="156"/>
    <x v="905"/>
    <x v="0"/>
    <x v="2"/>
    <x v="0"/>
  </r>
  <r>
    <n v="123"/>
    <s v="Bednarik Nina"/>
    <x v="2"/>
    <x v="31"/>
    <x v="5"/>
    <x v="6"/>
    <n v="160"/>
    <x v="904"/>
    <x v="0"/>
    <x v="2"/>
    <x v="0"/>
  </r>
  <r>
    <n v="136"/>
    <s v="Benz Sara"/>
    <x v="6"/>
    <x v="9"/>
    <x v="23"/>
    <x v="0"/>
    <n v="163"/>
    <x v="906"/>
    <x v="0"/>
    <x v="2"/>
    <x v="0"/>
  </r>
  <r>
    <n v="149"/>
    <s v="Bernard Cheryl"/>
    <x v="11"/>
    <x v="7"/>
    <x v="28"/>
    <x v="21"/>
    <n v="163"/>
    <x v="901"/>
    <x v="0"/>
    <x v="2"/>
    <x v="2"/>
  </r>
  <r>
    <n v="154"/>
    <s v="Bertrand Olivia"/>
    <x v="0"/>
    <x v="16"/>
    <x v="3"/>
    <x v="42"/>
    <n v="158"/>
    <x v="907"/>
    <x v="0"/>
    <x v="2"/>
    <x v="0"/>
  </r>
  <r>
    <n v="197"/>
    <s v="Borodulina Tatiana"/>
    <x v="13"/>
    <x v="15"/>
    <x v="16"/>
    <x v="30"/>
    <n v="156"/>
    <x v="908"/>
    <x v="0"/>
    <x v="2"/>
    <x v="0"/>
  </r>
  <r>
    <n v="214"/>
    <s v="Brankovic-Likozar Tadeja"/>
    <x v="3"/>
    <x v="31"/>
    <x v="2"/>
    <x v="6"/>
    <n v="163"/>
    <x v="909"/>
    <x v="0"/>
    <x v="2"/>
    <x v="0"/>
  </r>
  <r>
    <n v="218"/>
    <s v="Brem Eva-Maria"/>
    <x v="0"/>
    <x v="32"/>
    <x v="3"/>
    <x v="44"/>
    <n v="160"/>
    <x v="903"/>
    <x v="0"/>
    <x v="2"/>
    <x v="0"/>
  </r>
  <r>
    <n v="220"/>
    <s v="Brendengen Jensen Julie"/>
    <x v="2"/>
    <x v="17"/>
    <x v="12"/>
    <x v="40"/>
    <n v="158"/>
    <x v="910"/>
    <x v="1"/>
    <x v="2"/>
    <x v="0"/>
  </r>
  <r>
    <n v="226"/>
    <s v="Bright Torah"/>
    <x v="8"/>
    <x v="15"/>
    <x v="0"/>
    <x v="69"/>
    <n v="160"/>
    <x v="911"/>
    <x v="0"/>
    <x v="2"/>
    <x v="0"/>
  </r>
  <r>
    <n v="228"/>
    <s v="Brocard Elisa"/>
    <x v="9"/>
    <x v="19"/>
    <x v="16"/>
    <x v="66"/>
    <n v="162"/>
    <x v="912"/>
    <x v="0"/>
    <x v="2"/>
    <x v="0"/>
  </r>
  <r>
    <n v="235"/>
    <s v="Brown Kendall"/>
    <x v="8"/>
    <x v="38"/>
    <x v="17"/>
    <x v="56"/>
    <n v="153"/>
    <x v="913"/>
    <x v="0"/>
    <x v="2"/>
    <x v="0"/>
  </r>
  <r>
    <n v="241"/>
    <s v="Brun-Lie Celine"/>
    <x v="9"/>
    <x v="17"/>
    <x v="3"/>
    <x v="40"/>
    <n v="158"/>
    <x v="910"/>
    <x v="1"/>
    <x v="2"/>
    <x v="0"/>
  </r>
  <r>
    <n v="242"/>
    <s v="Brutto Raffaella"/>
    <x v="8"/>
    <x v="19"/>
    <x v="4"/>
    <x v="21"/>
    <n v="162"/>
    <x v="914"/>
    <x v="0"/>
    <x v="2"/>
    <x v="0"/>
  </r>
  <r>
    <n v="245"/>
    <s v="Buaas Kjersti"/>
    <x v="8"/>
    <x v="17"/>
    <x v="8"/>
    <x v="40"/>
    <n v="158"/>
    <x v="910"/>
    <x v="1"/>
    <x v="2"/>
    <x v="0"/>
  </r>
  <r>
    <n v="252"/>
    <s v="Bullo Nicole"/>
    <x v="6"/>
    <x v="9"/>
    <x v="4"/>
    <x v="42"/>
    <n v="160"/>
    <x v="902"/>
    <x v="0"/>
    <x v="2"/>
    <x v="0"/>
  </r>
  <r>
    <n v="264"/>
    <s v="Cahow Caitlin"/>
    <x v="6"/>
    <x v="1"/>
    <x v="1"/>
    <x v="2"/>
    <n v="163"/>
    <x v="915"/>
    <x v="0"/>
    <x v="2"/>
    <x v="0"/>
  </r>
  <r>
    <n v="265"/>
    <s v="Cai Xuetong"/>
    <x v="8"/>
    <x v="44"/>
    <x v="6"/>
    <x v="0"/>
    <n v="161"/>
    <x v="916"/>
    <x v="0"/>
    <x v="2"/>
    <x v="1"/>
  </r>
  <r>
    <n v="267"/>
    <s v="Calder Katherine"/>
    <x v="9"/>
    <x v="38"/>
    <x v="19"/>
    <x v="54"/>
    <n v="163"/>
    <x v="899"/>
    <x v="0"/>
    <x v="2"/>
    <x v="0"/>
  </r>
  <r>
    <n v="271"/>
    <s v="Camenscic Alexandra"/>
    <x v="9"/>
    <x v="27"/>
    <x v="3"/>
    <x v="58"/>
    <n v="158"/>
    <x v="917"/>
    <x v="0"/>
    <x v="2"/>
    <x v="0"/>
  </r>
  <r>
    <n v="274"/>
    <s v="Cappellini Anna"/>
    <x v="1"/>
    <x v="19"/>
    <x v="4"/>
    <x v="52"/>
    <n v="163"/>
    <x v="918"/>
    <x v="0"/>
    <x v="2"/>
    <x v="0"/>
  </r>
  <r>
    <n v="278"/>
    <s v="Castellet Queralt"/>
    <x v="8"/>
    <x v="48"/>
    <x v="17"/>
    <x v="30"/>
    <n v="156"/>
    <x v="908"/>
    <x v="0"/>
    <x v="2"/>
    <x v="0"/>
  </r>
  <r>
    <n v="282"/>
    <s v="Cetinkaya Kelime"/>
    <x v="9"/>
    <x v="47"/>
    <x v="5"/>
    <x v="42"/>
    <n v="160"/>
    <x v="902"/>
    <x v="0"/>
    <x v="2"/>
    <x v="0"/>
  </r>
  <r>
    <n v="291"/>
    <s v="Cheng Shuang"/>
    <x v="2"/>
    <x v="44"/>
    <x v="0"/>
    <x v="69"/>
    <n v="160"/>
    <x v="911"/>
    <x v="0"/>
    <x v="2"/>
    <x v="0"/>
  </r>
  <r>
    <n v="306"/>
    <s v="Choi Yong-Jik"/>
    <x v="7"/>
    <x v="42"/>
    <x v="5"/>
    <x v="54"/>
    <n v="162"/>
    <x v="919"/>
    <x v="0"/>
    <x v="2"/>
    <x v="0"/>
  </r>
  <r>
    <n v="308"/>
    <s v="Christiansen Henrik"/>
    <x v="4"/>
    <x v="17"/>
    <x v="5"/>
    <x v="52"/>
    <n v="158"/>
    <x v="920"/>
    <x v="0"/>
    <x v="2"/>
    <x v="0"/>
  </r>
  <r>
    <n v="309"/>
    <s v="Christie Elise"/>
    <x v="13"/>
    <x v="11"/>
    <x v="12"/>
    <x v="42"/>
    <n v="160"/>
    <x v="902"/>
    <x v="0"/>
    <x v="2"/>
    <x v="0"/>
  </r>
  <r>
    <n v="317"/>
    <s v="Chythlook-Sifsof Callan"/>
    <x v="8"/>
    <x v="1"/>
    <x v="3"/>
    <x v="6"/>
    <n v="163"/>
    <x v="909"/>
    <x v="0"/>
    <x v="2"/>
    <x v="0"/>
  </r>
  <r>
    <n v="323"/>
    <s v="Clark Kelly"/>
    <x v="8"/>
    <x v="1"/>
    <x v="13"/>
    <x v="14"/>
    <n v="163"/>
    <x v="921"/>
    <x v="0"/>
    <x v="2"/>
    <x v="0"/>
  </r>
  <r>
    <n v="339"/>
    <s v="Conrad Sarah"/>
    <x v="8"/>
    <x v="7"/>
    <x v="1"/>
    <x v="21"/>
    <n v="162"/>
    <x v="914"/>
    <x v="0"/>
    <x v="2"/>
    <x v="0"/>
  </r>
  <r>
    <n v="342"/>
    <s v="Cook Emily"/>
    <x v="2"/>
    <x v="1"/>
    <x v="2"/>
    <x v="42"/>
    <n v="160"/>
    <x v="902"/>
    <x v="0"/>
    <x v="2"/>
    <x v="0"/>
  </r>
  <r>
    <n v="343"/>
    <s v="Cook Stacey"/>
    <x v="0"/>
    <x v="1"/>
    <x v="16"/>
    <x v="17"/>
    <n v="163"/>
    <x v="922"/>
    <x v="0"/>
    <x v="2"/>
    <x v="0"/>
  </r>
  <r>
    <n v="345"/>
    <s v="Coomes Penny"/>
    <x v="1"/>
    <x v="11"/>
    <x v="17"/>
    <x v="56"/>
    <n v="152"/>
    <x v="923"/>
    <x v="0"/>
    <x v="2"/>
    <x v="0"/>
  </r>
  <r>
    <n v="350"/>
    <s v="Cox Britteny"/>
    <x v="2"/>
    <x v="15"/>
    <x v="29"/>
    <x v="42"/>
    <n v="160"/>
    <x v="902"/>
    <x v="0"/>
    <x v="2"/>
    <x v="1"/>
  </r>
  <r>
    <n v="358"/>
    <s v="Crone Vanessa"/>
    <x v="1"/>
    <x v="7"/>
    <x v="12"/>
    <x v="56"/>
    <n v="160"/>
    <x v="924"/>
    <x v="0"/>
    <x v="2"/>
    <x v="0"/>
  </r>
  <r>
    <n v="367"/>
    <s v="Cyl Agnieszka"/>
    <x v="3"/>
    <x v="25"/>
    <x v="16"/>
    <x v="66"/>
    <n v="158"/>
    <x v="925"/>
    <x v="0"/>
    <x v="2"/>
    <x v="0"/>
  </r>
  <r>
    <n v="378"/>
    <s v="Darwitz Natalie"/>
    <x v="6"/>
    <x v="1"/>
    <x v="13"/>
    <x v="6"/>
    <n v="160"/>
    <x v="904"/>
    <x v="0"/>
    <x v="2"/>
    <x v="0"/>
  </r>
  <r>
    <n v="386"/>
    <s v="Davis Meryl"/>
    <x v="1"/>
    <x v="1"/>
    <x v="0"/>
    <x v="56"/>
    <n v="160"/>
    <x v="924"/>
    <x v="0"/>
    <x v="2"/>
    <x v="0"/>
  </r>
  <r>
    <n v="389"/>
    <s v="De Faucompret Camille"/>
    <x v="8"/>
    <x v="16"/>
    <x v="1"/>
    <x v="42"/>
    <n v="160"/>
    <x v="902"/>
    <x v="0"/>
    <x v="2"/>
    <x v="0"/>
  </r>
  <r>
    <n v="403"/>
    <s v="Della Monica Nicole"/>
    <x v="1"/>
    <x v="19"/>
    <x v="17"/>
    <x v="56"/>
    <n v="155"/>
    <x v="926"/>
    <x v="0"/>
    <x v="2"/>
    <x v="0"/>
  </r>
  <r>
    <n v="405"/>
    <s v="Delobel Isabelle"/>
    <x v="1"/>
    <x v="16"/>
    <x v="7"/>
    <x v="56"/>
    <n v="163"/>
    <x v="927"/>
    <x v="0"/>
    <x v="2"/>
    <x v="2"/>
  </r>
  <r>
    <n v="412"/>
    <s v="Denney Caydee"/>
    <x v="1"/>
    <x v="1"/>
    <x v="6"/>
    <x v="56"/>
    <n v="152"/>
    <x v="923"/>
    <x v="0"/>
    <x v="2"/>
    <x v="1"/>
  </r>
  <r>
    <n v="413"/>
    <s v="Denzler Cynthia"/>
    <x v="0"/>
    <x v="81"/>
    <x v="13"/>
    <x v="30"/>
    <n v="161"/>
    <x v="928"/>
    <x v="0"/>
    <x v="2"/>
    <x v="0"/>
  </r>
  <r>
    <n v="432"/>
    <s v="Doeme Zsofia"/>
    <x v="0"/>
    <x v="34"/>
    <x v="23"/>
    <x v="0"/>
    <n v="162"/>
    <x v="929"/>
    <x v="0"/>
    <x v="2"/>
    <x v="0"/>
  </r>
  <r>
    <n v="433"/>
    <s v="Doi Natsuko"/>
    <x v="8"/>
    <x v="22"/>
    <x v="2"/>
    <x v="50"/>
    <n v="157"/>
    <x v="930"/>
    <x v="0"/>
    <x v="2"/>
    <x v="0"/>
  </r>
  <r>
    <n v="437"/>
    <s v="Dolezalova Zuzana"/>
    <x v="8"/>
    <x v="26"/>
    <x v="19"/>
    <x v="44"/>
    <n v="163"/>
    <x v="931"/>
    <x v="0"/>
    <x v="2"/>
    <x v="0"/>
  </r>
  <r>
    <n v="460"/>
    <s v="Drygin Andrey"/>
    <x v="0"/>
    <x v="82"/>
    <x v="9"/>
    <x v="58"/>
    <n v="158"/>
    <x v="917"/>
    <x v="0"/>
    <x v="2"/>
    <x v="2"/>
  </r>
  <r>
    <n v="462"/>
    <s v="Dube Jessica"/>
    <x v="1"/>
    <x v="7"/>
    <x v="4"/>
    <x v="58"/>
    <n v="150"/>
    <x v="932"/>
    <x v="0"/>
    <x v="2"/>
    <x v="0"/>
  </r>
  <r>
    <n v="482"/>
    <s v="Dzurnakova Anna"/>
    <x v="6"/>
    <x v="24"/>
    <x v="5"/>
    <x v="14"/>
    <n v="161"/>
    <x v="933"/>
    <x v="0"/>
    <x v="2"/>
    <x v="0"/>
  </r>
  <r>
    <n v="493"/>
    <s v="Eikeland Liv Kjersti"/>
    <x v="3"/>
    <x v="17"/>
    <x v="2"/>
    <x v="43"/>
    <n v="158"/>
    <x v="934"/>
    <x v="0"/>
    <x v="2"/>
    <x v="0"/>
  </r>
  <r>
    <n v="515"/>
    <s v="Evora Amanda"/>
    <x v="1"/>
    <x v="1"/>
    <x v="16"/>
    <x v="59"/>
    <n v="152"/>
    <x v="935"/>
    <x v="1"/>
    <x v="2"/>
    <x v="0"/>
  </r>
  <r>
    <n v="525"/>
    <s v="Falla Maiken Caspersen"/>
    <x v="9"/>
    <x v="17"/>
    <x v="12"/>
    <x v="59"/>
    <n v="158"/>
    <x v="936"/>
    <x v="1"/>
    <x v="2"/>
    <x v="0"/>
  </r>
  <r>
    <n v="527"/>
    <s v="Faric Sasa"/>
    <x v="2"/>
    <x v="31"/>
    <x v="16"/>
    <x v="8"/>
    <n v="159"/>
    <x v="937"/>
    <x v="0"/>
    <x v="2"/>
    <x v="0"/>
  </r>
  <r>
    <n v="553"/>
    <s v="Fimbauere Liene"/>
    <x v="0"/>
    <x v="20"/>
    <x v="3"/>
    <x v="0"/>
    <n v="156"/>
    <x v="938"/>
    <x v="0"/>
    <x v="2"/>
    <x v="0"/>
  </r>
  <r>
    <n v="559"/>
    <s v="Flatland Ann Kristin Aafedt"/>
    <x v="3"/>
    <x v="17"/>
    <x v="5"/>
    <x v="34"/>
    <n v="158"/>
    <x v="939"/>
    <x v="1"/>
    <x v="2"/>
    <x v="0"/>
  </r>
  <r>
    <n v="560"/>
    <s v="Flatt Rachael"/>
    <x v="1"/>
    <x v="1"/>
    <x v="23"/>
    <x v="34"/>
    <n v="157"/>
    <x v="940"/>
    <x v="1"/>
    <x v="2"/>
    <x v="0"/>
  </r>
  <r>
    <n v="569"/>
    <s v="Follis Arianna"/>
    <x v="9"/>
    <x v="19"/>
    <x v="9"/>
    <x v="30"/>
    <n v="162"/>
    <x v="941"/>
    <x v="0"/>
    <x v="2"/>
    <x v="2"/>
  </r>
  <r>
    <n v="592"/>
    <s v="Fu Chunyan"/>
    <x v="4"/>
    <x v="44"/>
    <x v="17"/>
    <x v="0"/>
    <n v="160"/>
    <x v="942"/>
    <x v="0"/>
    <x v="2"/>
    <x v="0"/>
  </r>
  <r>
    <n v="594"/>
    <s v="Fujimori Yuka"/>
    <x v="8"/>
    <x v="22"/>
    <x v="0"/>
    <x v="54"/>
    <n v="159"/>
    <x v="943"/>
    <x v="0"/>
    <x v="2"/>
    <x v="0"/>
  </r>
  <r>
    <n v="597"/>
    <s v="Fukushima Noriko"/>
    <x v="2"/>
    <x v="22"/>
    <x v="2"/>
    <x v="42"/>
    <n v="160"/>
    <x v="902"/>
    <x v="0"/>
    <x v="2"/>
    <x v="0"/>
  </r>
  <r>
    <n v="607"/>
    <s v="Gao Fujin"/>
    <x v="6"/>
    <x v="44"/>
    <x v="16"/>
    <x v="6"/>
    <n v="162"/>
    <x v="944"/>
    <x v="0"/>
    <x v="2"/>
    <x v="0"/>
  </r>
  <r>
    <n v="610"/>
    <s v="Gardner Elizabeth"/>
    <x v="2"/>
    <x v="15"/>
    <x v="19"/>
    <x v="0"/>
    <n v="157"/>
    <x v="945"/>
    <x v="0"/>
    <x v="2"/>
    <x v="0"/>
  </r>
  <r>
    <n v="613"/>
    <s v="Gasienica Daniel Agnieszka"/>
    <x v="0"/>
    <x v="25"/>
    <x v="4"/>
    <x v="21"/>
    <n v="159"/>
    <x v="946"/>
    <x v="0"/>
    <x v="2"/>
    <x v="0"/>
  </r>
  <r>
    <n v="614"/>
    <s v="Gasparin Selina"/>
    <x v="3"/>
    <x v="9"/>
    <x v="16"/>
    <x v="30"/>
    <n v="163"/>
    <x v="896"/>
    <x v="0"/>
    <x v="2"/>
    <x v="0"/>
  </r>
  <r>
    <n v="621"/>
    <s v="Gedevanishvili Elene"/>
    <x v="1"/>
    <x v="3"/>
    <x v="17"/>
    <x v="34"/>
    <n v="155"/>
    <x v="947"/>
    <x v="1"/>
    <x v="2"/>
    <x v="0"/>
  </r>
  <r>
    <n v="629"/>
    <s v="Georgieva-Nikolova Marina"/>
    <x v="13"/>
    <x v="13"/>
    <x v="19"/>
    <x v="42"/>
    <n v="160"/>
    <x v="902"/>
    <x v="0"/>
    <x v="2"/>
    <x v="0"/>
  </r>
  <r>
    <n v="642"/>
    <s v="Gius Nicole"/>
    <x v="0"/>
    <x v="19"/>
    <x v="19"/>
    <x v="43"/>
    <n v="159"/>
    <x v="948"/>
    <x v="0"/>
    <x v="2"/>
    <x v="0"/>
  </r>
  <r>
    <n v="643"/>
    <s v="Gjerdalen Tord Asle"/>
    <x v="9"/>
    <x v="17"/>
    <x v="13"/>
    <x v="34"/>
    <n v="158"/>
    <x v="939"/>
    <x v="1"/>
    <x v="2"/>
    <x v="0"/>
  </r>
  <r>
    <n v="654"/>
    <s v="Gorgone Michelle"/>
    <x v="8"/>
    <x v="1"/>
    <x v="13"/>
    <x v="35"/>
    <n v="160"/>
    <x v="949"/>
    <x v="0"/>
    <x v="2"/>
    <x v="0"/>
  </r>
  <r>
    <n v="682"/>
    <s v="Groenvold Audun"/>
    <x v="2"/>
    <x v="17"/>
    <x v="21"/>
    <x v="18"/>
    <n v="158"/>
    <x v="950"/>
    <x v="0"/>
    <x v="2"/>
    <x v="2"/>
  </r>
  <r>
    <n v="699"/>
    <s v="Gulini Faye"/>
    <x v="8"/>
    <x v="1"/>
    <x v="23"/>
    <x v="0"/>
    <n v="163"/>
    <x v="906"/>
    <x v="0"/>
    <x v="2"/>
    <x v="0"/>
  </r>
  <r>
    <n v="700"/>
    <s v="Guo Xinxin"/>
    <x v="2"/>
    <x v="44"/>
    <x v="13"/>
    <x v="8"/>
    <n v="155"/>
    <x v="951"/>
    <x v="0"/>
    <x v="2"/>
    <x v="0"/>
  </r>
  <r>
    <n v="705"/>
    <s v="Gutierrez Mireia"/>
    <x v="0"/>
    <x v="50"/>
    <x v="3"/>
    <x v="8"/>
    <n v="162"/>
    <x v="952"/>
    <x v="0"/>
    <x v="2"/>
    <x v="0"/>
  </r>
  <r>
    <n v="707"/>
    <s v="Gyorgy Monika"/>
    <x v="9"/>
    <x v="18"/>
    <x v="5"/>
    <x v="66"/>
    <n v="162"/>
    <x v="912"/>
    <x v="0"/>
    <x v="2"/>
    <x v="0"/>
  </r>
  <r>
    <n v="710"/>
    <s v="Haag Anna"/>
    <x v="9"/>
    <x v="14"/>
    <x v="0"/>
    <x v="21"/>
    <n v="163"/>
    <x v="901"/>
    <x v="0"/>
    <x v="2"/>
    <x v="0"/>
  </r>
  <r>
    <n v="713"/>
    <s v="Hafliger Melanie"/>
    <x v="6"/>
    <x v="9"/>
    <x v="5"/>
    <x v="0"/>
    <n v="159"/>
    <x v="953"/>
    <x v="0"/>
    <x v="2"/>
    <x v="0"/>
  </r>
  <r>
    <n v="715"/>
    <s v="Hafsas Ronny"/>
    <x v="9"/>
    <x v="17"/>
    <x v="1"/>
    <x v="18"/>
    <n v="158"/>
    <x v="950"/>
    <x v="0"/>
    <x v="2"/>
    <x v="0"/>
  </r>
  <r>
    <n v="728"/>
    <s v="Haller Katja"/>
    <x v="3"/>
    <x v="19"/>
    <x v="19"/>
    <x v="14"/>
    <n v="163"/>
    <x v="921"/>
    <x v="0"/>
    <x v="2"/>
    <x v="0"/>
  </r>
  <r>
    <n v="741"/>
    <s v="Hanevold Halvard"/>
    <x v="3"/>
    <x v="17"/>
    <x v="22"/>
    <x v="18"/>
    <n v="145"/>
    <x v="954"/>
    <x v="0"/>
    <x v="2"/>
    <x v="2"/>
  </r>
  <r>
    <n v="751"/>
    <s v="Harrisson Maya"/>
    <x v="0"/>
    <x v="43"/>
    <x v="23"/>
    <x v="54"/>
    <n v="161"/>
    <x v="955"/>
    <x v="0"/>
    <x v="2"/>
    <x v="0"/>
  </r>
  <r>
    <n v="755"/>
    <s v="Hattestad Ola Vigen"/>
    <x v="9"/>
    <x v="17"/>
    <x v="5"/>
    <x v="37"/>
    <n v="145"/>
    <x v="956"/>
    <x v="0"/>
    <x v="2"/>
    <x v="0"/>
  </r>
  <r>
    <n v="756"/>
    <s v="Haug Linn"/>
    <x v="8"/>
    <x v="17"/>
    <x v="12"/>
    <x v="37"/>
    <n v="145"/>
    <x v="956"/>
    <x v="0"/>
    <x v="2"/>
    <x v="0"/>
  </r>
  <r>
    <n v="757"/>
    <s v="Haugen Leif Kristian"/>
    <x v="0"/>
    <x v="17"/>
    <x v="4"/>
    <x v="37"/>
    <n v="145"/>
    <x v="956"/>
    <x v="0"/>
    <x v="2"/>
    <x v="0"/>
  </r>
  <r>
    <n v="758"/>
    <s v="Haugli Maren"/>
    <x v="4"/>
    <x v="17"/>
    <x v="1"/>
    <x v="37"/>
    <n v="145"/>
    <x v="956"/>
    <x v="0"/>
    <x v="2"/>
    <x v="0"/>
  </r>
  <r>
    <n v="759"/>
    <s v="Haugli Sverre"/>
    <x v="4"/>
    <x v="17"/>
    <x v="5"/>
    <x v="37"/>
    <n v="145"/>
    <x v="956"/>
    <x v="0"/>
    <x v="2"/>
    <x v="0"/>
  </r>
  <r>
    <n v="761"/>
    <s v="Hausch Maylin"/>
    <x v="1"/>
    <x v="8"/>
    <x v="3"/>
    <x v="37"/>
    <n v="154"/>
    <x v="957"/>
    <x v="0"/>
    <x v="2"/>
    <x v="0"/>
  </r>
  <r>
    <n v="765"/>
    <s v="Havikhagen Joachim"/>
    <x v="8"/>
    <x v="17"/>
    <x v="14"/>
    <x v="37"/>
    <n v="145"/>
    <x v="956"/>
    <x v="0"/>
    <x v="2"/>
    <x v="0"/>
  </r>
  <r>
    <n v="783"/>
    <s v="Heil Jennifer"/>
    <x v="2"/>
    <x v="7"/>
    <x v="13"/>
    <x v="0"/>
    <n v="162"/>
    <x v="929"/>
    <x v="0"/>
    <x v="2"/>
    <x v="0"/>
  </r>
  <r>
    <n v="789"/>
    <s v="Henkel Andrea"/>
    <x v="3"/>
    <x v="8"/>
    <x v="9"/>
    <x v="69"/>
    <n v="158"/>
    <x v="958"/>
    <x v="0"/>
    <x v="2"/>
    <x v="2"/>
  </r>
  <r>
    <n v="795"/>
    <s v="Hesse Judith"/>
    <x v="4"/>
    <x v="8"/>
    <x v="5"/>
    <x v="54"/>
    <n v="158"/>
    <x v="959"/>
    <x v="0"/>
    <x v="2"/>
    <x v="0"/>
  </r>
  <r>
    <n v="799"/>
    <s v="Hight Elena"/>
    <x v="8"/>
    <x v="1"/>
    <x v="17"/>
    <x v="30"/>
    <n v="155"/>
    <x v="960"/>
    <x v="0"/>
    <x v="2"/>
    <x v="0"/>
  </r>
  <r>
    <n v="800"/>
    <s v="Hiirikoski Jenni"/>
    <x v="6"/>
    <x v="10"/>
    <x v="4"/>
    <x v="8"/>
    <n v="161"/>
    <x v="961"/>
    <x v="0"/>
    <x v="2"/>
    <x v="0"/>
  </r>
  <r>
    <n v="803"/>
    <s v="Hino Manami"/>
    <x v="5"/>
    <x v="22"/>
    <x v="2"/>
    <x v="8"/>
    <n v="160"/>
    <x v="962"/>
    <x v="0"/>
    <x v="2"/>
    <x v="0"/>
  </r>
  <r>
    <n v="806"/>
    <s v="Hjelmeset Odd-Bjoern"/>
    <x v="9"/>
    <x v="17"/>
    <x v="20"/>
    <x v="4"/>
    <n v="145"/>
    <x v="963"/>
    <x v="0"/>
    <x v="2"/>
    <x v="2"/>
  </r>
  <r>
    <n v="811"/>
    <s v="Hoeie Gjefsen Marte"/>
    <x v="2"/>
    <x v="17"/>
    <x v="17"/>
    <x v="4"/>
    <n v="145"/>
    <x v="963"/>
    <x v="0"/>
    <x v="2"/>
    <x v="0"/>
  </r>
  <r>
    <n v="812"/>
    <s v="Hoelzl Kathrin"/>
    <x v="0"/>
    <x v="8"/>
    <x v="16"/>
    <x v="8"/>
    <n v="163"/>
    <x v="964"/>
    <x v="0"/>
    <x v="2"/>
    <x v="0"/>
  </r>
  <r>
    <n v="831"/>
    <s v="Holvik Tore-V."/>
    <x v="8"/>
    <x v="17"/>
    <x v="3"/>
    <x v="4"/>
    <n v="145"/>
    <x v="963"/>
    <x v="0"/>
    <x v="2"/>
    <x v="0"/>
  </r>
  <r>
    <n v="840"/>
    <s v="Hozumi Masako"/>
    <x v="4"/>
    <x v="22"/>
    <x v="0"/>
    <x v="44"/>
    <n v="161"/>
    <x v="965"/>
    <x v="0"/>
    <x v="2"/>
    <x v="0"/>
  </r>
  <r>
    <n v="848"/>
    <s v="Hughes Fiona-Elizabeth"/>
    <x v="9"/>
    <x v="11"/>
    <x v="12"/>
    <x v="44"/>
    <n v="159"/>
    <x v="966"/>
    <x v="0"/>
    <x v="2"/>
    <x v="0"/>
  </r>
  <r>
    <n v="851"/>
    <s v="Huo Cui"/>
    <x v="6"/>
    <x v="44"/>
    <x v="3"/>
    <x v="42"/>
    <n v="160"/>
    <x v="902"/>
    <x v="0"/>
    <x v="2"/>
    <x v="0"/>
  </r>
  <r>
    <n v="868"/>
    <s v="Ilyukhina Ekaterina"/>
    <x v="8"/>
    <x v="5"/>
    <x v="4"/>
    <x v="8"/>
    <n v="157"/>
    <x v="967"/>
    <x v="0"/>
    <x v="2"/>
    <x v="0"/>
  </r>
  <r>
    <n v="881"/>
    <s v="Ishida Masako"/>
    <x v="9"/>
    <x v="22"/>
    <x v="19"/>
    <x v="54"/>
    <n v="161"/>
    <x v="955"/>
    <x v="0"/>
    <x v="2"/>
    <x v="0"/>
  </r>
  <r>
    <n v="886"/>
    <s v="Ito Ayuko"/>
    <x v="13"/>
    <x v="22"/>
    <x v="0"/>
    <x v="42"/>
    <n v="160"/>
    <x v="902"/>
    <x v="0"/>
    <x v="2"/>
    <x v="0"/>
  </r>
  <r>
    <n v="888"/>
    <s v="Ito Miki"/>
    <x v="2"/>
    <x v="22"/>
    <x v="4"/>
    <x v="66"/>
    <n v="162"/>
    <x v="912"/>
    <x v="0"/>
    <x v="2"/>
    <x v="0"/>
  </r>
  <r>
    <n v="896"/>
    <s v="Jacobsen Astrid Uhrenholdt"/>
    <x v="9"/>
    <x v="17"/>
    <x v="0"/>
    <x v="48"/>
    <n v="145"/>
    <x v="968"/>
    <x v="0"/>
    <x v="2"/>
    <x v="0"/>
  </r>
  <r>
    <n v="905"/>
    <s v="James Vanessa"/>
    <x v="1"/>
    <x v="16"/>
    <x v="4"/>
    <x v="48"/>
    <n v="159"/>
    <x v="969"/>
    <x v="0"/>
    <x v="2"/>
    <x v="0"/>
  </r>
  <r>
    <n v="907"/>
    <s v="Janeckova Ivana"/>
    <x v="9"/>
    <x v="26"/>
    <x v="16"/>
    <x v="42"/>
    <n v="158"/>
    <x v="907"/>
    <x v="0"/>
    <x v="2"/>
    <x v="0"/>
  </r>
  <r>
    <n v="915"/>
    <s v="Jaskowiec Sylwia"/>
    <x v="9"/>
    <x v="25"/>
    <x v="0"/>
    <x v="0"/>
    <n v="160"/>
    <x v="942"/>
    <x v="0"/>
    <x v="2"/>
    <x v="0"/>
  </r>
  <r>
    <n v="916"/>
    <s v="Jatskaja Oxana"/>
    <x v="9"/>
    <x v="21"/>
    <x v="7"/>
    <x v="54"/>
    <n v="159"/>
    <x v="943"/>
    <x v="0"/>
    <x v="2"/>
    <x v="2"/>
  </r>
  <r>
    <n v="932"/>
    <s v="Jezersek Barbara"/>
    <x v="9"/>
    <x v="31"/>
    <x v="0"/>
    <x v="21"/>
    <n v="158"/>
    <x v="970"/>
    <x v="0"/>
    <x v="2"/>
    <x v="0"/>
  </r>
  <r>
    <n v="933"/>
    <s v="Jia Dandan"/>
    <x v="6"/>
    <x v="44"/>
    <x v="5"/>
    <x v="0"/>
    <n v="163"/>
    <x v="906"/>
    <x v="0"/>
    <x v="2"/>
    <x v="0"/>
  </r>
  <r>
    <n v="959"/>
    <s v="Josserand Marion"/>
    <x v="2"/>
    <x v="16"/>
    <x v="0"/>
    <x v="42"/>
    <n v="162"/>
    <x v="971"/>
    <x v="0"/>
    <x v="2"/>
    <x v="0"/>
  </r>
  <r>
    <n v="966"/>
    <s v="Jurkiewicz Anna"/>
    <x v="1"/>
    <x v="25"/>
    <x v="13"/>
    <x v="20"/>
    <n v="155"/>
    <x v="972"/>
    <x v="0"/>
    <x v="2"/>
    <x v="0"/>
  </r>
  <r>
    <n v="967"/>
    <s v="Juskane Zanna"/>
    <x v="3"/>
    <x v="20"/>
    <x v="17"/>
    <x v="50"/>
    <n v="157"/>
    <x v="930"/>
    <x v="0"/>
    <x v="2"/>
    <x v="0"/>
  </r>
  <r>
    <n v="976"/>
    <s v="Kalla Charlotte"/>
    <x v="9"/>
    <x v="14"/>
    <x v="4"/>
    <x v="8"/>
    <n v="162"/>
    <x v="952"/>
    <x v="0"/>
    <x v="2"/>
    <x v="0"/>
  </r>
  <r>
    <n v="989"/>
    <s v="Karbon Denise"/>
    <x v="0"/>
    <x v="19"/>
    <x v="19"/>
    <x v="8"/>
    <n v="160"/>
    <x v="962"/>
    <x v="0"/>
    <x v="2"/>
    <x v="0"/>
  </r>
  <r>
    <n v="1002"/>
    <s v="Kashiwabara Michiko"/>
    <x v="9"/>
    <x v="22"/>
    <x v="14"/>
    <x v="54"/>
    <n v="160"/>
    <x v="973"/>
    <x v="0"/>
    <x v="2"/>
    <x v="0"/>
  </r>
  <r>
    <n v="1008"/>
    <s v="Kavaguti Yuko"/>
    <x v="1"/>
    <x v="5"/>
    <x v="8"/>
    <x v="20"/>
    <n v="157"/>
    <x v="974"/>
    <x v="0"/>
    <x v="2"/>
    <x v="0"/>
  </r>
  <r>
    <n v="1017"/>
    <s v="Kelly Michelle"/>
    <x v="15"/>
    <x v="7"/>
    <x v="18"/>
    <x v="22"/>
    <n v="162"/>
    <x v="975"/>
    <x v="0"/>
    <x v="2"/>
    <x v="2"/>
  </r>
  <r>
    <n v="1018"/>
    <s v="Kemp Stacey"/>
    <x v="1"/>
    <x v="11"/>
    <x v="3"/>
    <x v="62"/>
    <n v="154"/>
    <x v="976"/>
    <x v="1"/>
    <x v="2"/>
    <x v="0"/>
  </r>
  <r>
    <n v="1032"/>
    <s v="Khachatryan Kristine"/>
    <x v="9"/>
    <x v="66"/>
    <x v="17"/>
    <x v="0"/>
    <n v="160"/>
    <x v="942"/>
    <x v="0"/>
    <x v="2"/>
    <x v="0"/>
  </r>
  <r>
    <n v="1035"/>
    <s v="Khokhlova Jana"/>
    <x v="1"/>
    <x v="5"/>
    <x v="1"/>
    <x v="62"/>
    <n v="155"/>
    <x v="977"/>
    <x v="1"/>
    <x v="2"/>
    <x v="0"/>
  </r>
  <r>
    <n v="1038"/>
    <s v="Khrustaleva Elena"/>
    <x v="3"/>
    <x v="21"/>
    <x v="19"/>
    <x v="54"/>
    <n v="162"/>
    <x v="919"/>
    <x v="0"/>
    <x v="2"/>
    <x v="0"/>
  </r>
  <r>
    <n v="1047"/>
    <s v="Kim Min-Jung"/>
    <x v="13"/>
    <x v="42"/>
    <x v="1"/>
    <x v="58"/>
    <n v="160"/>
    <x v="978"/>
    <x v="0"/>
    <x v="2"/>
    <x v="0"/>
  </r>
  <r>
    <n v="1049"/>
    <s v="Kim Sun Joo"/>
    <x v="0"/>
    <x v="42"/>
    <x v="1"/>
    <x v="54"/>
    <n v="156"/>
    <x v="979"/>
    <x v="0"/>
    <x v="2"/>
    <x v="0"/>
  </r>
  <r>
    <n v="1073"/>
    <s v="Kletcherov Michail"/>
    <x v="3"/>
    <x v="13"/>
    <x v="5"/>
    <x v="66"/>
    <n v="161"/>
    <x v="980"/>
    <x v="0"/>
    <x v="2"/>
    <x v="0"/>
  </r>
  <r>
    <n v="1083"/>
    <s v="Ko Hyon-Suk"/>
    <x v="4"/>
    <x v="73"/>
    <x v="1"/>
    <x v="50"/>
    <n v="157"/>
    <x v="930"/>
    <x v="0"/>
    <x v="2"/>
    <x v="0"/>
  </r>
  <r>
    <n v="1106"/>
    <s v="Kolomina Elena"/>
    <x v="9"/>
    <x v="21"/>
    <x v="19"/>
    <x v="30"/>
    <n v="159"/>
    <x v="981"/>
    <x v="0"/>
    <x v="2"/>
    <x v="0"/>
  </r>
  <r>
    <n v="1109"/>
    <s v="Komuro Nozomi"/>
    <x v="15"/>
    <x v="22"/>
    <x v="1"/>
    <x v="9"/>
    <n v="162"/>
    <x v="982"/>
    <x v="0"/>
    <x v="2"/>
    <x v="0"/>
  </r>
  <r>
    <n v="1118"/>
    <s v="Korosteleva Natalia"/>
    <x v="9"/>
    <x v="5"/>
    <x v="8"/>
    <x v="0"/>
    <n v="162"/>
    <x v="929"/>
    <x v="0"/>
    <x v="2"/>
    <x v="0"/>
  </r>
  <r>
    <n v="1129"/>
    <s v="Kostenko Ekaterina"/>
    <x v="1"/>
    <x v="2"/>
    <x v="16"/>
    <x v="63"/>
    <n v="163"/>
    <x v="983"/>
    <x v="1"/>
    <x v="2"/>
    <x v="0"/>
  </r>
  <r>
    <n v="1134"/>
    <s v="Kotnik Glorija"/>
    <x v="8"/>
    <x v="31"/>
    <x v="17"/>
    <x v="54"/>
    <n v="160"/>
    <x v="973"/>
    <x v="0"/>
    <x v="2"/>
    <x v="0"/>
  </r>
  <r>
    <n v="1159"/>
    <s v="Krings Doresia"/>
    <x v="8"/>
    <x v="32"/>
    <x v="9"/>
    <x v="0"/>
    <n v="160"/>
    <x v="942"/>
    <x v="0"/>
    <x v="2"/>
    <x v="2"/>
  </r>
  <r>
    <n v="1162"/>
    <s v="Kristo Katalin"/>
    <x v="13"/>
    <x v="18"/>
    <x v="13"/>
    <x v="42"/>
    <n v="160"/>
    <x v="902"/>
    <x v="0"/>
    <x v="2"/>
    <x v="0"/>
  </r>
  <r>
    <n v="1201"/>
    <s v="Kwak Min-Jung"/>
    <x v="1"/>
    <x v="42"/>
    <x v="6"/>
    <x v="21"/>
    <n v="159"/>
    <x v="946"/>
    <x v="0"/>
    <x v="2"/>
    <x v="1"/>
  </r>
  <r>
    <n v="1203"/>
    <s v="Laaksonen Emma"/>
    <x v="6"/>
    <x v="10"/>
    <x v="8"/>
    <x v="21"/>
    <n v="159"/>
    <x v="946"/>
    <x v="0"/>
    <x v="2"/>
    <x v="0"/>
  </r>
  <r>
    <n v="1209"/>
    <s v="Lafuente Sonia"/>
    <x v="1"/>
    <x v="48"/>
    <x v="14"/>
    <x v="16"/>
    <n v="162"/>
    <x v="984"/>
    <x v="0"/>
    <x v="2"/>
    <x v="0"/>
  </r>
  <r>
    <n v="1213"/>
    <s v="Lahteenmaki Krista"/>
    <x v="9"/>
    <x v="10"/>
    <x v="12"/>
    <x v="50"/>
    <n v="160"/>
    <x v="985"/>
    <x v="0"/>
    <x v="2"/>
    <x v="0"/>
  </r>
  <r>
    <n v="1232"/>
    <s v="Langlois Anabelle"/>
    <x v="1"/>
    <x v="7"/>
    <x v="8"/>
    <x v="16"/>
    <n v="149"/>
    <x v="986"/>
    <x v="0"/>
    <x v="2"/>
    <x v="0"/>
  </r>
  <r>
    <n v="1241"/>
    <s v="Lassila Lydia"/>
    <x v="2"/>
    <x v="15"/>
    <x v="8"/>
    <x v="42"/>
    <n v="157"/>
    <x v="987"/>
    <x v="0"/>
    <x v="2"/>
    <x v="0"/>
  </r>
  <r>
    <n v="1247"/>
    <s v="Lawler Erika"/>
    <x v="6"/>
    <x v="1"/>
    <x v="0"/>
    <x v="43"/>
    <n v="152"/>
    <x v="988"/>
    <x v="0"/>
    <x v="2"/>
    <x v="0"/>
  </r>
  <r>
    <n v="1258"/>
    <s v="Lee Chae-Won"/>
    <x v="9"/>
    <x v="42"/>
    <x v="8"/>
    <x v="58"/>
    <n v="154"/>
    <x v="989"/>
    <x v="0"/>
    <x v="2"/>
    <x v="0"/>
  </r>
  <r>
    <n v="1259"/>
    <s v="Lee Cheltzie"/>
    <x v="1"/>
    <x v="15"/>
    <x v="6"/>
    <x v="16"/>
    <n v="154"/>
    <x v="990"/>
    <x v="0"/>
    <x v="2"/>
    <x v="1"/>
  </r>
  <r>
    <n v="1260"/>
    <s v="Lee Eun-Byul"/>
    <x v="13"/>
    <x v="42"/>
    <x v="14"/>
    <x v="56"/>
    <n v="154"/>
    <x v="991"/>
    <x v="0"/>
    <x v="2"/>
    <x v="0"/>
  </r>
  <r>
    <n v="1267"/>
    <s v="Lee Ju-Youn"/>
    <x v="4"/>
    <x v="42"/>
    <x v="4"/>
    <x v="30"/>
    <n v="163"/>
    <x v="896"/>
    <x v="0"/>
    <x v="2"/>
    <x v="0"/>
  </r>
  <r>
    <n v="1271"/>
    <s v="Lee Sang-Hwa"/>
    <x v="4"/>
    <x v="42"/>
    <x v="17"/>
    <x v="21"/>
    <n v="163"/>
    <x v="901"/>
    <x v="0"/>
    <x v="2"/>
    <x v="0"/>
  </r>
  <r>
    <n v="1279"/>
    <s v="Lehtla Kadri"/>
    <x v="3"/>
    <x v="49"/>
    <x v="1"/>
    <x v="0"/>
    <n v="157"/>
    <x v="945"/>
    <x v="0"/>
    <x v="2"/>
    <x v="0"/>
  </r>
  <r>
    <n v="1281"/>
    <s v="Leimgruber Darcia"/>
    <x v="6"/>
    <x v="9"/>
    <x v="17"/>
    <x v="22"/>
    <n v="162"/>
    <x v="975"/>
    <x v="0"/>
    <x v="2"/>
    <x v="0"/>
  </r>
  <r>
    <n v="1284"/>
    <s v="Leonova Alena"/>
    <x v="1"/>
    <x v="5"/>
    <x v="12"/>
    <x v="46"/>
    <n v="158"/>
    <x v="992"/>
    <x v="0"/>
    <x v="2"/>
    <x v="0"/>
  </r>
  <r>
    <n v="1289"/>
    <s v="Levchenkova Natalia"/>
    <x v="3"/>
    <x v="27"/>
    <x v="9"/>
    <x v="30"/>
    <n v="160"/>
    <x v="993"/>
    <x v="0"/>
    <x v="2"/>
    <x v="2"/>
  </r>
  <r>
    <n v="1293"/>
    <s v="Li Hongxue"/>
    <x v="9"/>
    <x v="44"/>
    <x v="16"/>
    <x v="58"/>
    <n v="163"/>
    <x v="994"/>
    <x v="0"/>
    <x v="2"/>
    <x v="0"/>
  </r>
  <r>
    <n v="1295"/>
    <s v="Li Nina"/>
    <x v="2"/>
    <x v="44"/>
    <x v="5"/>
    <x v="69"/>
    <n v="160"/>
    <x v="911"/>
    <x v="0"/>
    <x v="2"/>
    <x v="0"/>
  </r>
  <r>
    <n v="1306"/>
    <s v="Limbacher Andrea"/>
    <x v="2"/>
    <x v="32"/>
    <x v="17"/>
    <x v="8"/>
    <n v="162"/>
    <x v="952"/>
    <x v="0"/>
    <x v="2"/>
    <x v="0"/>
  </r>
  <r>
    <n v="1309"/>
    <s v="Lindahl Cathrine"/>
    <x v="11"/>
    <x v="14"/>
    <x v="24"/>
    <x v="46"/>
    <n v="163"/>
    <x v="995"/>
    <x v="0"/>
    <x v="2"/>
    <x v="2"/>
  </r>
  <r>
    <n v="1312"/>
    <s v="Lindemann Stefan"/>
    <x v="1"/>
    <x v="8"/>
    <x v="19"/>
    <x v="46"/>
    <n v="162"/>
    <x v="996"/>
    <x v="0"/>
    <x v="2"/>
    <x v="0"/>
  </r>
  <r>
    <n v="1325"/>
    <s v="Liu Xianying"/>
    <x v="3"/>
    <x v="44"/>
    <x v="9"/>
    <x v="69"/>
    <n v="160"/>
    <x v="911"/>
    <x v="0"/>
    <x v="2"/>
    <x v="2"/>
  </r>
  <r>
    <n v="1353"/>
    <s v="Lou Yue"/>
    <x v="6"/>
    <x v="44"/>
    <x v="4"/>
    <x v="8"/>
    <n v="160"/>
    <x v="962"/>
    <x v="0"/>
    <x v="2"/>
    <x v="0"/>
  </r>
  <r>
    <n v="1376"/>
    <s v="Macleod Carla"/>
    <x v="6"/>
    <x v="7"/>
    <x v="5"/>
    <x v="8"/>
    <n v="163"/>
    <x v="964"/>
    <x v="0"/>
    <x v="2"/>
    <x v="0"/>
  </r>
  <r>
    <n v="1387"/>
    <s v="Makarova Ksenia"/>
    <x v="1"/>
    <x v="5"/>
    <x v="23"/>
    <x v="43"/>
    <n v="162"/>
    <x v="997"/>
    <x v="0"/>
    <x v="2"/>
    <x v="0"/>
  </r>
  <r>
    <n v="1392"/>
    <s v="Malcheva Teodora"/>
    <x v="9"/>
    <x v="13"/>
    <x v="5"/>
    <x v="42"/>
    <n v="160"/>
    <x v="902"/>
    <x v="0"/>
    <x v="2"/>
    <x v="0"/>
  </r>
  <r>
    <n v="1393"/>
    <s v="Mali Andreja"/>
    <x v="3"/>
    <x v="31"/>
    <x v="9"/>
    <x v="42"/>
    <n v="160"/>
    <x v="902"/>
    <x v="0"/>
    <x v="2"/>
    <x v="2"/>
  </r>
  <r>
    <n v="1401"/>
    <s v="Maltais Valerie"/>
    <x v="13"/>
    <x v="7"/>
    <x v="17"/>
    <x v="30"/>
    <n v="163"/>
    <x v="896"/>
    <x v="0"/>
    <x v="2"/>
    <x v="0"/>
  </r>
  <r>
    <n v="1408"/>
    <s v="Manhard Julia"/>
    <x v="2"/>
    <x v="8"/>
    <x v="4"/>
    <x v="14"/>
    <n v="163"/>
    <x v="921"/>
    <x v="0"/>
    <x v="2"/>
    <x v="0"/>
  </r>
  <r>
    <n v="1411"/>
    <s v="Mannima Tatjana"/>
    <x v="9"/>
    <x v="49"/>
    <x v="2"/>
    <x v="30"/>
    <n v="158"/>
    <x v="998"/>
    <x v="0"/>
    <x v="2"/>
    <x v="0"/>
  </r>
  <r>
    <n v="1413"/>
    <s v="Marbler Margarita"/>
    <x v="2"/>
    <x v="32"/>
    <x v="15"/>
    <x v="69"/>
    <n v="157"/>
    <x v="999"/>
    <x v="0"/>
    <x v="2"/>
    <x v="2"/>
  </r>
  <r>
    <n v="1457"/>
    <s v="Mazilu Maria Marinela"/>
    <x v="15"/>
    <x v="18"/>
    <x v="14"/>
    <x v="8"/>
    <n v="158"/>
    <x v="1000"/>
    <x v="0"/>
    <x v="2"/>
    <x v="0"/>
  </r>
  <r>
    <n v="1461"/>
    <s v="Mcintosh Cecilia"/>
    <x v="5"/>
    <x v="15"/>
    <x v="2"/>
    <x v="0"/>
    <n v="160"/>
    <x v="942"/>
    <x v="0"/>
    <x v="2"/>
    <x v="0"/>
  </r>
  <r>
    <n v="1465"/>
    <s v="Mckenna Lesley"/>
    <x v="8"/>
    <x v="11"/>
    <x v="18"/>
    <x v="50"/>
    <n v="160"/>
    <x v="985"/>
    <x v="0"/>
    <x v="2"/>
    <x v="2"/>
  </r>
  <r>
    <n v="1470"/>
    <s v="Mcphie Heather"/>
    <x v="2"/>
    <x v="1"/>
    <x v="16"/>
    <x v="21"/>
    <n v="160"/>
    <x v="1001"/>
    <x v="0"/>
    <x v="2"/>
    <x v="0"/>
  </r>
  <r>
    <n v="1471"/>
    <s v="Mcrorie Carolyn"/>
    <x v="11"/>
    <x v="7"/>
    <x v="34"/>
    <x v="43"/>
    <n v="143"/>
    <x v="1002"/>
    <x v="0"/>
    <x v="2"/>
    <x v="3"/>
  </r>
  <r>
    <n v="1472"/>
    <s v="Medvedeva Evgenia"/>
    <x v="9"/>
    <x v="5"/>
    <x v="21"/>
    <x v="0"/>
    <n v="158"/>
    <x v="1003"/>
    <x v="0"/>
    <x v="2"/>
    <x v="2"/>
  </r>
  <r>
    <n v="1473"/>
    <s v="Medvedtseva Olga"/>
    <x v="3"/>
    <x v="5"/>
    <x v="15"/>
    <x v="43"/>
    <n v="163"/>
    <x v="1004"/>
    <x v="0"/>
    <x v="2"/>
    <x v="2"/>
  </r>
  <r>
    <n v="1474"/>
    <s v="Meguro Moe"/>
    <x v="11"/>
    <x v="22"/>
    <x v="16"/>
    <x v="43"/>
    <n v="163"/>
    <x v="1004"/>
    <x v="0"/>
    <x v="2"/>
    <x v="0"/>
  </r>
  <r>
    <n v="1483"/>
    <s v="Meschik Ina"/>
    <x v="8"/>
    <x v="32"/>
    <x v="12"/>
    <x v="44"/>
    <n v="160"/>
    <x v="903"/>
    <x v="0"/>
    <x v="2"/>
    <x v="0"/>
  </r>
  <r>
    <n v="1504"/>
    <s v="Miklos Edith"/>
    <x v="0"/>
    <x v="18"/>
    <x v="3"/>
    <x v="17"/>
    <n v="163"/>
    <x v="922"/>
    <x v="0"/>
    <x v="2"/>
    <x v="0"/>
  </r>
  <r>
    <n v="1522"/>
    <s v="Moe-Lange Yina"/>
    <x v="0"/>
    <x v="12"/>
    <x v="6"/>
    <x v="0"/>
    <n v="156"/>
    <x v="938"/>
    <x v="0"/>
    <x v="2"/>
    <x v="1"/>
  </r>
  <r>
    <n v="1537"/>
    <s v="Morand Anais"/>
    <x v="1"/>
    <x v="9"/>
    <x v="6"/>
    <x v="67"/>
    <n v="153"/>
    <x v="1005"/>
    <x v="0"/>
    <x v="2"/>
    <x v="1"/>
  </r>
  <r>
    <n v="1546"/>
    <s v="Moroder Karin"/>
    <x v="9"/>
    <x v="19"/>
    <x v="18"/>
    <x v="43"/>
    <n v="163"/>
    <x v="1004"/>
    <x v="0"/>
    <x v="2"/>
    <x v="2"/>
  </r>
  <r>
    <n v="1555"/>
    <s v="Motohashi Mari"/>
    <x v="11"/>
    <x v="22"/>
    <x v="0"/>
    <x v="67"/>
    <n v="161"/>
    <x v="1006"/>
    <x v="0"/>
    <x v="2"/>
    <x v="0"/>
  </r>
  <r>
    <n v="1563"/>
    <s v="Mukhortova Maria"/>
    <x v="1"/>
    <x v="5"/>
    <x v="1"/>
    <x v="67"/>
    <n v="160"/>
    <x v="1007"/>
    <x v="0"/>
    <x v="2"/>
    <x v="0"/>
  </r>
  <r>
    <n v="1569"/>
    <s v="Munro Bree"/>
    <x v="2"/>
    <x v="15"/>
    <x v="8"/>
    <x v="22"/>
    <n v="162"/>
    <x v="975"/>
    <x v="0"/>
    <x v="2"/>
    <x v="0"/>
  </r>
  <r>
    <n v="1572"/>
    <s v="Murata Arisa"/>
    <x v="2"/>
    <x v="22"/>
    <x v="12"/>
    <x v="58"/>
    <n v="151"/>
    <x v="1008"/>
    <x v="0"/>
    <x v="2"/>
    <x v="0"/>
  </r>
  <r>
    <n v="1574"/>
    <s v="Murphy Sarah"/>
    <x v="3"/>
    <x v="38"/>
    <x v="3"/>
    <x v="43"/>
    <n v="152"/>
    <x v="988"/>
    <x v="0"/>
    <x v="2"/>
    <x v="0"/>
  </r>
  <r>
    <n v="1581"/>
    <s v="Myhre Lars Elton"/>
    <x v="0"/>
    <x v="17"/>
    <x v="16"/>
    <x v="67"/>
    <n v="143"/>
    <x v="1009"/>
    <x v="0"/>
    <x v="2"/>
    <x v="0"/>
  </r>
  <r>
    <n v="1589"/>
    <s v="Nagasu Mirai"/>
    <x v="1"/>
    <x v="1"/>
    <x v="6"/>
    <x v="67"/>
    <n v="160"/>
    <x v="1007"/>
    <x v="0"/>
    <x v="2"/>
    <x v="1"/>
  </r>
  <r>
    <n v="1590"/>
    <s v="Nakashima Shiho"/>
    <x v="8"/>
    <x v="22"/>
    <x v="7"/>
    <x v="58"/>
    <n v="157"/>
    <x v="1010"/>
    <x v="0"/>
    <x v="2"/>
    <x v="2"/>
  </r>
  <r>
    <n v="1597"/>
    <s v="Natori Eri"/>
    <x v="4"/>
    <x v="22"/>
    <x v="1"/>
    <x v="8"/>
    <n v="162"/>
    <x v="952"/>
    <x v="0"/>
    <x v="2"/>
    <x v="0"/>
  </r>
  <r>
    <n v="1601"/>
    <s v="Nedelcu Ruxandra"/>
    <x v="2"/>
    <x v="18"/>
    <x v="16"/>
    <x v="67"/>
    <n v="161"/>
    <x v="1006"/>
    <x v="0"/>
    <x v="2"/>
    <x v="0"/>
  </r>
  <r>
    <n v="1605"/>
    <s v="Nergaard Torger"/>
    <x v="11"/>
    <x v="17"/>
    <x v="18"/>
    <x v="67"/>
    <n v="143"/>
    <x v="1009"/>
    <x v="0"/>
    <x v="2"/>
    <x v="2"/>
  </r>
  <r>
    <n v="1608"/>
    <s v="Nesterenko Lada"/>
    <x v="9"/>
    <x v="2"/>
    <x v="21"/>
    <x v="66"/>
    <n v="161"/>
    <x v="980"/>
    <x v="0"/>
    <x v="2"/>
    <x v="2"/>
  </r>
  <r>
    <n v="1617"/>
    <s v="Nicoll Mercedes"/>
    <x v="8"/>
    <x v="7"/>
    <x v="13"/>
    <x v="21"/>
    <n v="163"/>
    <x v="901"/>
    <x v="0"/>
    <x v="2"/>
    <x v="0"/>
  </r>
  <r>
    <n v="1641"/>
    <s v="Northug Petter Jr."/>
    <x v="9"/>
    <x v="17"/>
    <x v="1"/>
    <x v="67"/>
    <n v="143"/>
    <x v="1009"/>
    <x v="0"/>
    <x v="2"/>
    <x v="0"/>
  </r>
  <r>
    <n v="1644"/>
    <s v="Novakowska Weronika"/>
    <x v="3"/>
    <x v="25"/>
    <x v="0"/>
    <x v="66"/>
    <n v="158"/>
    <x v="925"/>
    <x v="0"/>
    <x v="2"/>
    <x v="0"/>
  </r>
  <r>
    <n v="1650"/>
    <s v="Novotna Katerina"/>
    <x v="13"/>
    <x v="26"/>
    <x v="16"/>
    <x v="21"/>
    <n v="161"/>
    <x v="1011"/>
    <x v="0"/>
    <x v="2"/>
    <x v="0"/>
  </r>
  <r>
    <n v="1652"/>
    <s v="Nurmberg Tiiu"/>
    <x v="0"/>
    <x v="49"/>
    <x v="8"/>
    <x v="43"/>
    <n v="160"/>
    <x v="1012"/>
    <x v="0"/>
    <x v="2"/>
    <x v="0"/>
  </r>
  <r>
    <n v="1658"/>
    <s v="Nyvltova Eva"/>
    <x v="9"/>
    <x v="26"/>
    <x v="1"/>
    <x v="44"/>
    <n v="162"/>
    <x v="1013"/>
    <x v="0"/>
    <x v="2"/>
    <x v="0"/>
  </r>
  <r>
    <n v="1664"/>
    <s v="Ochowicz Elli"/>
    <x v="4"/>
    <x v="1"/>
    <x v="13"/>
    <x v="14"/>
    <n v="160"/>
    <x v="1014"/>
    <x v="0"/>
    <x v="2"/>
    <x v="0"/>
  </r>
  <r>
    <n v="1666"/>
    <s v="O'Connor Susan"/>
    <x v="11"/>
    <x v="7"/>
    <x v="9"/>
    <x v="14"/>
    <n v="163"/>
    <x v="921"/>
    <x v="0"/>
    <x v="2"/>
    <x v="2"/>
  </r>
  <r>
    <n v="1683"/>
    <s v="Okada Rana"/>
    <x v="8"/>
    <x v="22"/>
    <x v="12"/>
    <x v="69"/>
    <n v="162"/>
    <x v="1015"/>
    <x v="0"/>
    <x v="2"/>
    <x v="0"/>
  </r>
  <r>
    <n v="1684"/>
    <s v="Okazaki Tomomi"/>
    <x v="4"/>
    <x v="22"/>
    <x v="20"/>
    <x v="44"/>
    <n v="163"/>
    <x v="931"/>
    <x v="0"/>
    <x v="2"/>
    <x v="2"/>
  </r>
  <r>
    <n v="1685"/>
    <s v="Olafsen Helene"/>
    <x v="8"/>
    <x v="17"/>
    <x v="12"/>
    <x v="14"/>
    <n v="143"/>
    <x v="1016"/>
    <x v="0"/>
    <x v="2"/>
    <x v="0"/>
  </r>
  <r>
    <n v="1688"/>
    <s v="Olofsson-Zidek Anna Carin"/>
    <x v="3"/>
    <x v="14"/>
    <x v="10"/>
    <x v="42"/>
    <n v="159"/>
    <x v="1017"/>
    <x v="0"/>
    <x v="2"/>
    <x v="2"/>
  </r>
  <r>
    <n v="1702"/>
    <s v="Os Alexander"/>
    <x v="3"/>
    <x v="17"/>
    <x v="2"/>
    <x v="14"/>
    <n v="143"/>
    <x v="1016"/>
    <x v="0"/>
    <x v="2"/>
    <x v="0"/>
  </r>
  <r>
    <n v="1713"/>
    <s v="Ozawa Mika"/>
    <x v="13"/>
    <x v="22"/>
    <x v="1"/>
    <x v="30"/>
    <n v="161"/>
    <x v="928"/>
    <x v="0"/>
    <x v="2"/>
    <x v="0"/>
  </r>
  <r>
    <n v="1723"/>
    <s v="Palic Tea"/>
    <x v="0"/>
    <x v="39"/>
    <x v="14"/>
    <x v="43"/>
    <n v="161"/>
    <x v="1018"/>
    <x v="0"/>
    <x v="2"/>
    <x v="0"/>
  </r>
  <r>
    <n v="1725"/>
    <s v="Pancochova Sarka"/>
    <x v="8"/>
    <x v="26"/>
    <x v="12"/>
    <x v="54"/>
    <n v="156"/>
    <x v="979"/>
    <x v="0"/>
    <x v="2"/>
    <x v="0"/>
  </r>
  <r>
    <n v="1727"/>
    <s v="Pang Qing"/>
    <x v="1"/>
    <x v="44"/>
    <x v="2"/>
    <x v="14"/>
    <n v="160"/>
    <x v="1014"/>
    <x v="0"/>
    <x v="2"/>
    <x v="0"/>
  </r>
  <r>
    <n v="1731"/>
    <s v="Papamichalopoulou Sophia"/>
    <x v="0"/>
    <x v="70"/>
    <x v="12"/>
    <x v="50"/>
    <n v="160"/>
    <x v="985"/>
    <x v="0"/>
    <x v="2"/>
    <x v="0"/>
  </r>
  <r>
    <n v="1735"/>
    <s v="Park Do-Yeong"/>
    <x v="4"/>
    <x v="42"/>
    <x v="23"/>
    <x v="52"/>
    <n v="158"/>
    <x v="920"/>
    <x v="0"/>
    <x v="2"/>
    <x v="0"/>
  </r>
  <r>
    <n v="1745"/>
    <s v="Pechalat Nathalie"/>
    <x v="1"/>
    <x v="16"/>
    <x v="13"/>
    <x v="24"/>
    <n v="163"/>
    <x v="1019"/>
    <x v="0"/>
    <x v="2"/>
    <x v="0"/>
  </r>
  <r>
    <n v="1747"/>
    <s v="Pedersen Maya"/>
    <x v="15"/>
    <x v="9"/>
    <x v="11"/>
    <x v="54"/>
    <n v="162"/>
    <x v="919"/>
    <x v="0"/>
    <x v="2"/>
    <x v="2"/>
  </r>
  <r>
    <n v="1748"/>
    <s v="Pedersen Sverre Lunde"/>
    <x v="4"/>
    <x v="17"/>
    <x v="23"/>
    <x v="24"/>
    <n v="143"/>
    <x v="1020"/>
    <x v="0"/>
    <x v="2"/>
    <x v="0"/>
  </r>
  <r>
    <n v="1765"/>
    <s v="Petersson Haavard Vad"/>
    <x v="11"/>
    <x v="17"/>
    <x v="13"/>
    <x v="24"/>
    <n v="143"/>
    <x v="1020"/>
    <x v="0"/>
    <x v="2"/>
    <x v="0"/>
  </r>
  <r>
    <n v="1768"/>
    <s v="Pettersen Oeystein"/>
    <x v="9"/>
    <x v="17"/>
    <x v="5"/>
    <x v="24"/>
    <n v="143"/>
    <x v="1020"/>
    <x v="0"/>
    <x v="2"/>
    <x v="0"/>
  </r>
  <r>
    <n v="1809"/>
    <s v="Potter Jenny"/>
    <x v="6"/>
    <x v="1"/>
    <x v="7"/>
    <x v="13"/>
    <n v="163"/>
    <x v="1021"/>
    <x v="0"/>
    <x v="2"/>
    <x v="2"/>
  </r>
  <r>
    <n v="1810"/>
    <s v="Pottinger Allison"/>
    <x v="11"/>
    <x v="1"/>
    <x v="10"/>
    <x v="24"/>
    <n v="155"/>
    <x v="1022"/>
    <x v="0"/>
    <x v="2"/>
    <x v="2"/>
  </r>
  <r>
    <n v="1820"/>
    <s v="Prefontaine Marie-Pier"/>
    <x v="0"/>
    <x v="7"/>
    <x v="3"/>
    <x v="13"/>
    <n v="162"/>
    <x v="1023"/>
    <x v="0"/>
    <x v="2"/>
    <x v="0"/>
  </r>
  <r>
    <n v="1821"/>
    <s v="Prekopova Natalia"/>
    <x v="3"/>
    <x v="24"/>
    <x v="17"/>
    <x v="30"/>
    <n v="162"/>
    <x v="941"/>
    <x v="0"/>
    <x v="2"/>
    <x v="0"/>
  </r>
  <r>
    <n v="1827"/>
    <s v="Prosteva Elena"/>
    <x v="0"/>
    <x v="5"/>
    <x v="12"/>
    <x v="50"/>
    <n v="163"/>
    <x v="1024"/>
    <x v="0"/>
    <x v="2"/>
    <x v="0"/>
  </r>
  <r>
    <n v="1841"/>
    <s v="Qi Xueting"/>
    <x v="6"/>
    <x v="44"/>
    <x v="0"/>
    <x v="21"/>
    <n v="158"/>
    <x v="970"/>
    <x v="0"/>
    <x v="2"/>
    <x v="0"/>
  </r>
  <r>
    <n v="1856"/>
    <s v="Rakhimova Regina"/>
    <x v="2"/>
    <x v="5"/>
    <x v="17"/>
    <x v="8"/>
    <n v="159"/>
    <x v="937"/>
    <x v="0"/>
    <x v="2"/>
    <x v="0"/>
  </r>
  <r>
    <n v="1859"/>
    <s v="Ralli Sophia"/>
    <x v="0"/>
    <x v="46"/>
    <x v="3"/>
    <x v="14"/>
    <n v="161"/>
    <x v="933"/>
    <x v="0"/>
    <x v="2"/>
    <x v="0"/>
  </r>
  <r>
    <n v="1863"/>
    <s v="Randall Kikkan"/>
    <x v="9"/>
    <x v="1"/>
    <x v="5"/>
    <x v="22"/>
    <n v="163"/>
    <x v="1025"/>
    <x v="0"/>
    <x v="2"/>
    <x v="0"/>
  </r>
  <r>
    <n v="1867"/>
    <s v="Rantamaki Karoliina"/>
    <x v="6"/>
    <x v="10"/>
    <x v="7"/>
    <x v="6"/>
    <n v="163"/>
    <x v="909"/>
    <x v="0"/>
    <x v="2"/>
    <x v="2"/>
  </r>
  <r>
    <n v="1868"/>
    <s v="Rasimoviciute Diana"/>
    <x v="3"/>
    <x v="69"/>
    <x v="16"/>
    <x v="30"/>
    <n v="163"/>
    <x v="896"/>
    <x v="0"/>
    <x v="2"/>
    <x v="0"/>
  </r>
  <r>
    <n v="1891"/>
    <s v="Rekdal Anders"/>
    <x v="2"/>
    <x v="17"/>
    <x v="0"/>
    <x v="24"/>
    <n v="143"/>
    <x v="1020"/>
    <x v="0"/>
    <x v="2"/>
    <x v="0"/>
  </r>
  <r>
    <n v="1902"/>
    <s v="Rezlerova Magda"/>
    <x v="3"/>
    <x v="26"/>
    <x v="5"/>
    <x v="0"/>
    <n v="163"/>
    <x v="906"/>
    <x v="0"/>
    <x v="2"/>
    <x v="0"/>
  </r>
  <r>
    <n v="1907"/>
    <s v="Richards Kristi"/>
    <x v="2"/>
    <x v="7"/>
    <x v="8"/>
    <x v="44"/>
    <n v="157"/>
    <x v="1026"/>
    <x v="0"/>
    <x v="2"/>
    <x v="0"/>
  </r>
  <r>
    <n v="1923"/>
    <s v="Roark Michelle"/>
    <x v="2"/>
    <x v="1"/>
    <x v="18"/>
    <x v="52"/>
    <n v="152"/>
    <x v="1027"/>
    <x v="0"/>
    <x v="2"/>
    <x v="2"/>
  </r>
  <r>
    <n v="1925"/>
    <s v="Roberge Kalyna"/>
    <x v="13"/>
    <x v="7"/>
    <x v="0"/>
    <x v="52"/>
    <n v="160"/>
    <x v="1028"/>
    <x v="0"/>
    <x v="2"/>
    <x v="0"/>
  </r>
  <r>
    <n v="1932"/>
    <s v="Rochette Joannie"/>
    <x v="1"/>
    <x v="7"/>
    <x v="1"/>
    <x v="25"/>
    <n v="160"/>
    <x v="1029"/>
    <x v="0"/>
    <x v="2"/>
    <x v="0"/>
  </r>
  <r>
    <n v="1937"/>
    <s v="Rodriguez Jennifer"/>
    <x v="4"/>
    <x v="1"/>
    <x v="21"/>
    <x v="50"/>
    <n v="163"/>
    <x v="1024"/>
    <x v="0"/>
    <x v="2"/>
    <x v="2"/>
  </r>
  <r>
    <n v="1940"/>
    <s v="Roenning Eldar"/>
    <x v="9"/>
    <x v="17"/>
    <x v="5"/>
    <x v="25"/>
    <n v="143"/>
    <x v="1030"/>
    <x v="0"/>
    <x v="2"/>
    <x v="0"/>
  </r>
  <r>
    <n v="1942"/>
    <s v="Rogstad Solveig"/>
    <x v="3"/>
    <x v="17"/>
    <x v="5"/>
    <x v="25"/>
    <n v="143"/>
    <x v="1030"/>
    <x v="0"/>
    <x v="2"/>
    <x v="0"/>
  </r>
  <r>
    <n v="1956"/>
    <s v="Rookard Jilleanne"/>
    <x v="4"/>
    <x v="1"/>
    <x v="5"/>
    <x v="14"/>
    <n v="160"/>
    <x v="1014"/>
    <x v="0"/>
    <x v="2"/>
    <x v="0"/>
  </r>
  <r>
    <n v="1958"/>
    <s v="Roponen Riitta-Liisa"/>
    <x v="9"/>
    <x v="10"/>
    <x v="7"/>
    <x v="42"/>
    <n v="161"/>
    <x v="898"/>
    <x v="0"/>
    <x v="2"/>
    <x v="2"/>
  </r>
  <r>
    <n v="1968"/>
    <s v="Rudakova Ekaterina"/>
    <x v="9"/>
    <x v="4"/>
    <x v="13"/>
    <x v="54"/>
    <n v="163"/>
    <x v="899"/>
    <x v="0"/>
    <x v="2"/>
    <x v="0"/>
  </r>
  <r>
    <n v="1993"/>
    <s v="Rybalova Darya"/>
    <x v="2"/>
    <x v="21"/>
    <x v="3"/>
    <x v="44"/>
    <n v="162"/>
    <x v="1013"/>
    <x v="0"/>
    <x v="2"/>
    <x v="0"/>
  </r>
  <r>
    <n v="2003"/>
    <s v="Sachenbacher-Stehle Evi"/>
    <x v="9"/>
    <x v="8"/>
    <x v="19"/>
    <x v="0"/>
    <n v="162"/>
    <x v="929"/>
    <x v="0"/>
    <x v="2"/>
    <x v="0"/>
  </r>
  <r>
    <n v="2005"/>
    <s v="Sadakane Hiroko"/>
    <x v="13"/>
    <x v="22"/>
    <x v="0"/>
    <x v="30"/>
    <n v="160"/>
    <x v="993"/>
    <x v="0"/>
    <x v="2"/>
    <x v="0"/>
  </r>
  <r>
    <n v="2009"/>
    <s v="Sakai Yui"/>
    <x v="13"/>
    <x v="22"/>
    <x v="4"/>
    <x v="21"/>
    <n v="161"/>
    <x v="1011"/>
    <x v="0"/>
    <x v="2"/>
    <x v="0"/>
  </r>
  <r>
    <n v="2010"/>
    <s v="Sakurai Biba"/>
    <x v="13"/>
    <x v="22"/>
    <x v="17"/>
    <x v="52"/>
    <n v="152"/>
    <x v="1027"/>
    <x v="0"/>
    <x v="2"/>
    <x v="0"/>
  </r>
  <r>
    <n v="2014"/>
    <s v="Samuelson Emily"/>
    <x v="1"/>
    <x v="1"/>
    <x v="12"/>
    <x v="25"/>
    <n v="163"/>
    <x v="1031"/>
    <x v="0"/>
    <x v="2"/>
    <x v="0"/>
  </r>
  <r>
    <n v="2025"/>
    <s v="Saue Eveli"/>
    <x v="3"/>
    <x v="49"/>
    <x v="13"/>
    <x v="42"/>
    <n v="163"/>
    <x v="1032"/>
    <x v="0"/>
    <x v="2"/>
    <x v="0"/>
  </r>
  <r>
    <n v="2026"/>
    <s v="Sauerbreij Nicolien"/>
    <x v="8"/>
    <x v="33"/>
    <x v="2"/>
    <x v="44"/>
    <n v="163"/>
    <x v="931"/>
    <x v="0"/>
    <x v="2"/>
    <x v="0"/>
  </r>
  <r>
    <n v="2028"/>
    <s v="Savchenko Aliona"/>
    <x v="1"/>
    <x v="8"/>
    <x v="13"/>
    <x v="25"/>
    <n v="153"/>
    <x v="1033"/>
    <x v="0"/>
    <x v="2"/>
    <x v="0"/>
  </r>
  <r>
    <n v="2041"/>
    <s v="Schaefer Carmen"/>
    <x v="11"/>
    <x v="9"/>
    <x v="19"/>
    <x v="25"/>
    <n v="162"/>
    <x v="1034"/>
    <x v="0"/>
    <x v="2"/>
    <x v="0"/>
  </r>
  <r>
    <n v="2053"/>
    <s v="Schleper Sarah"/>
    <x v="0"/>
    <x v="1"/>
    <x v="2"/>
    <x v="14"/>
    <n v="163"/>
    <x v="921"/>
    <x v="0"/>
    <x v="2"/>
    <x v="0"/>
  </r>
  <r>
    <n v="2059"/>
    <s v="Schmidhofer Nicole"/>
    <x v="0"/>
    <x v="32"/>
    <x v="17"/>
    <x v="43"/>
    <n v="157"/>
    <x v="1035"/>
    <x v="0"/>
    <x v="2"/>
    <x v="0"/>
  </r>
  <r>
    <n v="2066"/>
    <s v="Schnoor Lacy"/>
    <x v="2"/>
    <x v="1"/>
    <x v="1"/>
    <x v="66"/>
    <n v="157"/>
    <x v="1036"/>
    <x v="0"/>
    <x v="2"/>
    <x v="0"/>
  </r>
  <r>
    <n v="2093"/>
    <s v="Semerenko Valj"/>
    <x v="3"/>
    <x v="2"/>
    <x v="1"/>
    <x v="0"/>
    <n v="160"/>
    <x v="942"/>
    <x v="0"/>
    <x v="2"/>
    <x v="0"/>
  </r>
  <r>
    <n v="2094"/>
    <s v="Semerenko Vita"/>
    <x v="3"/>
    <x v="2"/>
    <x v="1"/>
    <x v="0"/>
    <n v="160"/>
    <x v="942"/>
    <x v="0"/>
    <x v="2"/>
    <x v="0"/>
  </r>
  <r>
    <n v="2099"/>
    <s v="Seo Jung-Hwa"/>
    <x v="2"/>
    <x v="42"/>
    <x v="12"/>
    <x v="50"/>
    <n v="163"/>
    <x v="1024"/>
    <x v="0"/>
    <x v="2"/>
    <x v="0"/>
  </r>
  <r>
    <n v="2101"/>
    <s v="Serebrakian Ani-Matilda"/>
    <x v="0"/>
    <x v="66"/>
    <x v="3"/>
    <x v="2"/>
    <n v="163"/>
    <x v="915"/>
    <x v="0"/>
    <x v="2"/>
    <x v="0"/>
  </r>
  <r>
    <n v="2104"/>
    <s v="Serova Daria"/>
    <x v="2"/>
    <x v="5"/>
    <x v="5"/>
    <x v="0"/>
    <n v="158"/>
    <x v="1003"/>
    <x v="0"/>
    <x v="2"/>
    <x v="0"/>
  </r>
  <r>
    <n v="2117"/>
    <s v="Shen Xue"/>
    <x v="1"/>
    <x v="44"/>
    <x v="7"/>
    <x v="44"/>
    <n v="158"/>
    <x v="1037"/>
    <x v="0"/>
    <x v="2"/>
    <x v="2"/>
  </r>
  <r>
    <n v="2123"/>
    <s v="Shinya Shihomi"/>
    <x v="4"/>
    <x v="22"/>
    <x v="2"/>
    <x v="66"/>
    <n v="156"/>
    <x v="1038"/>
    <x v="0"/>
    <x v="2"/>
    <x v="0"/>
  </r>
  <r>
    <n v="2158"/>
    <s v="Skardino Nadezhda"/>
    <x v="3"/>
    <x v="4"/>
    <x v="1"/>
    <x v="69"/>
    <n v="160"/>
    <x v="911"/>
    <x v="0"/>
    <x v="2"/>
    <x v="0"/>
  </r>
  <r>
    <n v="2166"/>
    <s v="Sleptsova Svetlana"/>
    <x v="3"/>
    <x v="5"/>
    <x v="0"/>
    <x v="42"/>
    <n v="162"/>
    <x v="971"/>
    <x v="0"/>
    <x v="2"/>
    <x v="0"/>
  </r>
  <r>
    <n v="2171"/>
    <s v="Slongo Dominique"/>
    <x v="6"/>
    <x v="9"/>
    <x v="3"/>
    <x v="0"/>
    <n v="158"/>
    <x v="1003"/>
    <x v="0"/>
    <x v="2"/>
    <x v="0"/>
  </r>
  <r>
    <n v="2192"/>
    <s v="Sosina Olga"/>
    <x v="6"/>
    <x v="5"/>
    <x v="23"/>
    <x v="13"/>
    <n v="160"/>
    <x v="1039"/>
    <x v="0"/>
    <x v="2"/>
    <x v="0"/>
  </r>
  <r>
    <n v="2193"/>
    <s v="Sostorics Colleen"/>
    <x v="6"/>
    <x v="7"/>
    <x v="2"/>
    <x v="47"/>
    <n v="163"/>
    <x v="1040"/>
    <x v="0"/>
    <x v="2"/>
    <x v="0"/>
  </r>
  <r>
    <n v="2202"/>
    <s v="Spector Laura"/>
    <x v="3"/>
    <x v="1"/>
    <x v="4"/>
    <x v="66"/>
    <n v="152"/>
    <x v="1041"/>
    <x v="0"/>
    <x v="2"/>
    <x v="0"/>
  </r>
  <r>
    <n v="2228"/>
    <s v="Stephen Elizabeth"/>
    <x v="9"/>
    <x v="1"/>
    <x v="0"/>
    <x v="30"/>
    <n v="157"/>
    <x v="1042"/>
    <x v="0"/>
    <x v="2"/>
    <x v="0"/>
  </r>
  <r>
    <n v="2230"/>
    <s v="St-Gelais Marianne"/>
    <x v="13"/>
    <x v="7"/>
    <x v="12"/>
    <x v="8"/>
    <n v="162"/>
    <x v="952"/>
    <x v="0"/>
    <x v="2"/>
    <x v="0"/>
  </r>
  <r>
    <n v="2232"/>
    <s v="Stiefel Anja"/>
    <x v="6"/>
    <x v="9"/>
    <x v="12"/>
    <x v="50"/>
    <n v="160"/>
    <x v="985"/>
    <x v="0"/>
    <x v="2"/>
    <x v="0"/>
  </r>
  <r>
    <n v="2256"/>
    <s v="Sudova Nikola"/>
    <x v="2"/>
    <x v="26"/>
    <x v="5"/>
    <x v="0"/>
    <n v="162"/>
    <x v="929"/>
    <x v="0"/>
    <x v="2"/>
    <x v="0"/>
  </r>
  <r>
    <n v="2257"/>
    <s v="Sudova Sarka"/>
    <x v="2"/>
    <x v="26"/>
    <x v="1"/>
    <x v="66"/>
    <n v="161"/>
    <x v="980"/>
    <x v="0"/>
    <x v="2"/>
    <x v="0"/>
  </r>
  <r>
    <n v="2259"/>
    <s v="Sulej Joanna"/>
    <x v="1"/>
    <x v="25"/>
    <x v="17"/>
    <x v="70"/>
    <n v="161"/>
    <x v="1043"/>
    <x v="0"/>
    <x v="2"/>
    <x v="0"/>
  </r>
  <r>
    <n v="2264"/>
    <s v="Sun Zhifeng"/>
    <x v="8"/>
    <x v="44"/>
    <x v="14"/>
    <x v="21"/>
    <n v="158"/>
    <x v="970"/>
    <x v="0"/>
    <x v="2"/>
    <x v="0"/>
  </r>
  <r>
    <n v="2269"/>
    <s v="Suzuki Akiko"/>
    <x v="1"/>
    <x v="22"/>
    <x v="1"/>
    <x v="70"/>
    <n v="161"/>
    <x v="1043"/>
    <x v="0"/>
    <x v="2"/>
    <x v="0"/>
  </r>
  <r>
    <n v="2270"/>
    <s v="Suzuki Fuyuko"/>
    <x v="3"/>
    <x v="22"/>
    <x v="3"/>
    <x v="43"/>
    <n v="162"/>
    <x v="997"/>
    <x v="0"/>
    <x v="2"/>
    <x v="0"/>
  </r>
  <r>
    <n v="2284"/>
    <s v="Tabata Maki"/>
    <x v="4"/>
    <x v="22"/>
    <x v="18"/>
    <x v="0"/>
    <n v="162"/>
    <x v="929"/>
    <x v="0"/>
    <x v="2"/>
    <x v="2"/>
  </r>
  <r>
    <n v="2287"/>
    <s v="Takagi Miho"/>
    <x v="4"/>
    <x v="22"/>
    <x v="29"/>
    <x v="44"/>
    <n v="163"/>
    <x v="931"/>
    <x v="0"/>
    <x v="2"/>
    <x v="1"/>
  </r>
  <r>
    <n v="2302"/>
    <s v="Tang Liang"/>
    <x v="6"/>
    <x v="44"/>
    <x v="1"/>
    <x v="42"/>
    <n v="163"/>
    <x v="1032"/>
    <x v="0"/>
    <x v="2"/>
    <x v="0"/>
  </r>
  <r>
    <n v="2305"/>
    <s v="Taylor Palmer"/>
    <x v="8"/>
    <x v="7"/>
    <x v="23"/>
    <x v="42"/>
    <n v="160"/>
    <x v="902"/>
    <x v="0"/>
    <x v="2"/>
    <x v="0"/>
  </r>
  <r>
    <n v="2313"/>
    <s v="Terenteva Svetlana"/>
    <x v="6"/>
    <x v="5"/>
    <x v="13"/>
    <x v="25"/>
    <n v="163"/>
    <x v="1031"/>
    <x v="0"/>
    <x v="2"/>
    <x v="0"/>
  </r>
  <r>
    <n v="2319"/>
    <s v="Thalmann Sandra"/>
    <x v="6"/>
    <x v="9"/>
    <x v="23"/>
    <x v="26"/>
    <n v="162"/>
    <x v="1044"/>
    <x v="0"/>
    <x v="2"/>
    <x v="0"/>
  </r>
  <r>
    <n v="2366"/>
    <s v="Tsuper Alla"/>
    <x v="2"/>
    <x v="4"/>
    <x v="2"/>
    <x v="54"/>
    <n v="153"/>
    <x v="1045"/>
    <x v="0"/>
    <x v="2"/>
    <x v="0"/>
  </r>
  <r>
    <n v="2367"/>
    <s v="Tudegesheva Ekaterina"/>
    <x v="8"/>
    <x v="5"/>
    <x v="4"/>
    <x v="6"/>
    <n v="162"/>
    <x v="944"/>
    <x v="0"/>
    <x v="2"/>
    <x v="0"/>
  </r>
  <r>
    <n v="2378"/>
    <s v="Uhlaender Katie"/>
    <x v="15"/>
    <x v="1"/>
    <x v="16"/>
    <x v="33"/>
    <n v="163"/>
    <x v="1046"/>
    <x v="0"/>
    <x v="2"/>
    <x v="0"/>
  </r>
  <r>
    <n v="2387"/>
    <s v="Vaculikova Tereza"/>
    <x v="2"/>
    <x v="26"/>
    <x v="23"/>
    <x v="0"/>
    <n v="163"/>
    <x v="906"/>
    <x v="0"/>
    <x v="2"/>
    <x v="0"/>
  </r>
  <r>
    <n v="2407"/>
    <s v="Van Kerkhof Sanne"/>
    <x v="13"/>
    <x v="33"/>
    <x v="4"/>
    <x v="44"/>
    <n v="163"/>
    <x v="931"/>
    <x v="0"/>
    <x v="2"/>
    <x v="0"/>
  </r>
  <r>
    <n v="2416"/>
    <s v="Vaygina-Efremova Lilia"/>
    <x v="3"/>
    <x v="2"/>
    <x v="9"/>
    <x v="52"/>
    <n v="152"/>
    <x v="1027"/>
    <x v="0"/>
    <x v="2"/>
    <x v="2"/>
  </r>
  <r>
    <n v="2421"/>
    <s v="Velickova Martina"/>
    <x v="6"/>
    <x v="24"/>
    <x v="17"/>
    <x v="0"/>
    <n v="163"/>
    <x v="906"/>
    <x v="0"/>
    <x v="2"/>
    <x v="0"/>
  </r>
  <r>
    <n v="2434"/>
    <s v="Vina Emilie"/>
    <x v="9"/>
    <x v="16"/>
    <x v="5"/>
    <x v="50"/>
    <n v="160"/>
    <x v="985"/>
    <x v="0"/>
    <x v="2"/>
    <x v="0"/>
  </r>
  <r>
    <n v="2436"/>
    <s v="Virtue Tessa"/>
    <x v="1"/>
    <x v="7"/>
    <x v="17"/>
    <x v="57"/>
    <n v="162"/>
    <x v="1047"/>
    <x v="1"/>
    <x v="2"/>
    <x v="0"/>
  </r>
  <r>
    <n v="2449"/>
    <s v="Volkova Olga"/>
    <x v="2"/>
    <x v="2"/>
    <x v="0"/>
    <x v="30"/>
    <n v="161"/>
    <x v="928"/>
    <x v="0"/>
    <x v="2"/>
    <x v="0"/>
  </r>
  <r>
    <n v="2450"/>
    <s v="Volosozhar Tatiana"/>
    <x v="1"/>
    <x v="2"/>
    <x v="0"/>
    <x v="57"/>
    <n v="160"/>
    <x v="1048"/>
    <x v="1"/>
    <x v="2"/>
    <x v="0"/>
  </r>
  <r>
    <n v="2455"/>
    <s v="Vos Maaike"/>
    <x v="13"/>
    <x v="33"/>
    <x v="1"/>
    <x v="30"/>
    <n v="159"/>
    <x v="981"/>
    <x v="0"/>
    <x v="2"/>
    <x v="0"/>
  </r>
  <r>
    <n v="2473"/>
    <s v="Wang Linuo"/>
    <x v="6"/>
    <x v="44"/>
    <x v="2"/>
    <x v="44"/>
    <n v="160"/>
    <x v="903"/>
    <x v="0"/>
    <x v="2"/>
    <x v="0"/>
  </r>
  <r>
    <n v="2486"/>
    <s v="Weiland Kerry"/>
    <x v="6"/>
    <x v="1"/>
    <x v="19"/>
    <x v="22"/>
    <n v="163"/>
    <x v="1025"/>
    <x v="0"/>
    <x v="2"/>
    <x v="0"/>
  </r>
  <r>
    <n v="2507"/>
    <s v="Williams Madeleine"/>
    <x v="9"/>
    <x v="7"/>
    <x v="13"/>
    <x v="0"/>
    <n v="163"/>
    <x v="906"/>
    <x v="0"/>
    <x v="2"/>
    <x v="0"/>
  </r>
  <r>
    <n v="2511"/>
    <s v="Windisch Veronika"/>
    <x v="13"/>
    <x v="32"/>
    <x v="5"/>
    <x v="0"/>
    <n v="162"/>
    <x v="929"/>
    <x v="0"/>
    <x v="2"/>
    <x v="0"/>
  </r>
  <r>
    <n v="2518"/>
    <s v="Wood Kelly"/>
    <x v="11"/>
    <x v="11"/>
    <x v="8"/>
    <x v="59"/>
    <n v="154"/>
    <x v="1049"/>
    <x v="1"/>
    <x v="2"/>
    <x v="0"/>
  </r>
  <r>
    <n v="2519"/>
    <s v="Worley Tessa"/>
    <x v="0"/>
    <x v="16"/>
    <x v="17"/>
    <x v="44"/>
    <n v="157"/>
    <x v="1026"/>
    <x v="0"/>
    <x v="2"/>
    <x v="0"/>
  </r>
  <r>
    <n v="2528"/>
    <s v="Xia Lina"/>
    <x v="0"/>
    <x v="44"/>
    <x v="4"/>
    <x v="8"/>
    <n v="160"/>
    <x v="962"/>
    <x v="0"/>
    <x v="2"/>
    <x v="0"/>
  </r>
  <r>
    <n v="2533"/>
    <s v="Yamaoka Soko"/>
    <x v="8"/>
    <x v="22"/>
    <x v="18"/>
    <x v="50"/>
    <n v="162"/>
    <x v="1050"/>
    <x v="0"/>
    <x v="2"/>
    <x v="2"/>
  </r>
  <r>
    <n v="2543"/>
    <s v="Yu Jing"/>
    <x v="4"/>
    <x v="44"/>
    <x v="1"/>
    <x v="0"/>
    <n v="163"/>
    <x v="906"/>
    <x v="0"/>
    <x v="2"/>
    <x v="0"/>
  </r>
  <r>
    <n v="2562"/>
    <s v="Zaretsky Alexandra"/>
    <x v="1"/>
    <x v="71"/>
    <x v="4"/>
    <x v="59"/>
    <n v="160"/>
    <x v="1051"/>
    <x v="1"/>
    <x v="2"/>
    <x v="0"/>
  </r>
  <r>
    <n v="2566"/>
    <s v="Zavalij Tatjana"/>
    <x v="9"/>
    <x v="2"/>
    <x v="8"/>
    <x v="0"/>
    <n v="158"/>
    <x v="1003"/>
    <x v="0"/>
    <x v="2"/>
    <x v="0"/>
  </r>
  <r>
    <n v="2580"/>
    <s v="Zhang Hui"/>
    <x v="13"/>
    <x v="44"/>
    <x v="3"/>
    <x v="21"/>
    <n v="160"/>
    <x v="1001"/>
    <x v="0"/>
    <x v="2"/>
    <x v="0"/>
  </r>
  <r>
    <n v="2583"/>
    <s v="Zhang Shuang"/>
    <x v="6"/>
    <x v="44"/>
    <x v="4"/>
    <x v="21"/>
    <n v="162"/>
    <x v="914"/>
    <x v="0"/>
    <x v="2"/>
    <x v="0"/>
  </r>
  <r>
    <n v="2586"/>
    <s v="Zhao Nannan"/>
    <x v="13"/>
    <x v="44"/>
    <x v="12"/>
    <x v="54"/>
    <n v="162"/>
    <x v="919"/>
    <x v="0"/>
    <x v="2"/>
    <x v="0"/>
  </r>
  <r>
    <n v="2591"/>
    <s v="Ziegler Miriam"/>
    <x v="1"/>
    <x v="32"/>
    <x v="29"/>
    <x v="55"/>
    <n v="156"/>
    <x v="1052"/>
    <x v="1"/>
    <x v="2"/>
    <x v="1"/>
  </r>
  <r>
    <n v="2594"/>
    <s v="Zlotkowska Luiza"/>
    <x v="4"/>
    <x v="25"/>
    <x v="0"/>
    <x v="0"/>
    <n v="160"/>
    <x v="942"/>
    <x v="0"/>
    <x v="2"/>
    <x v="0"/>
  </r>
  <r>
    <n v="2597"/>
    <s v="Zollinger Sabrina"/>
    <x v="6"/>
    <x v="9"/>
    <x v="6"/>
    <x v="6"/>
    <n v="162"/>
    <x v="944"/>
    <x v="0"/>
    <x v="2"/>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2179300-708E-4FC8-B6F6-619F285D3111}" name="PivotTable1" cacheId="0" applyNumberFormats="0" applyBorderFormats="0" applyFontFormats="0" applyPatternFormats="0" applyAlignmentFormats="0" applyWidthHeightFormats="1" dataCaption="Values" updatedVersion="7" minRefreshableVersion="3" useAutoFormatting="1" rowGrandTotals="0" colGrandTotals="0" itemPrintTitles="1" createdVersion="7" indent="0" outline="1" outlineData="1" multipleFieldFilters="0" chartFormat="16">
  <location ref="A3:B20" firstHeaderRow="1" firstDataRow="1" firstDataCol="1"/>
  <pivotFields count="11">
    <pivotField showAll="0"/>
    <pivotField dataField="1" showAll="0"/>
    <pivotField axis="axisRow" showAll="0">
      <items count="18">
        <item x="0"/>
        <item x="3"/>
        <item x="5"/>
        <item x="9"/>
        <item x="14"/>
        <item x="11"/>
        <item x="1"/>
        <item x="2"/>
        <item x="6"/>
        <item x="10"/>
        <item x="12"/>
        <item x="13"/>
        <item x="15"/>
        <item x="7"/>
        <item x="8"/>
        <item x="4"/>
        <item x="16"/>
        <item t="default"/>
      </items>
    </pivotField>
    <pivotField showAll="0"/>
    <pivotField showAll="0"/>
    <pivotField showAll="0"/>
    <pivotField showAll="0"/>
    <pivotField showAll="0">
      <items count="23">
        <item x="0"/>
        <item x="1"/>
        <item x="2"/>
        <item x="3"/>
        <item x="4"/>
        <item x="5"/>
        <item x="6"/>
        <item x="7"/>
        <item x="8"/>
        <item x="9"/>
        <item x="10"/>
        <item x="11"/>
        <item x="12"/>
        <item x="13"/>
        <item x="14"/>
        <item x="15"/>
        <item x="16"/>
        <item x="17"/>
        <item x="18"/>
        <item x="19"/>
        <item x="20"/>
        <item x="21"/>
        <item t="default"/>
      </items>
    </pivotField>
    <pivotField showAll="0">
      <items count="4">
        <item x="0"/>
        <item m="1" x="2"/>
        <item x="1"/>
        <item t="default"/>
      </items>
    </pivotField>
    <pivotField showAll="0">
      <items count="5">
        <item x="0"/>
        <item x="1"/>
        <item x="2"/>
        <item m="1" x="3"/>
        <item t="default"/>
      </items>
    </pivotField>
    <pivotField showAll="0">
      <items count="5">
        <item x="1"/>
        <item x="2"/>
        <item x="3"/>
        <item x="0"/>
        <item t="default"/>
      </items>
    </pivotField>
  </pivotFields>
  <rowFields count="1">
    <field x="2"/>
  </rowFields>
  <rowItems count="17">
    <i>
      <x/>
    </i>
    <i>
      <x v="1"/>
    </i>
    <i>
      <x v="2"/>
    </i>
    <i>
      <x v="3"/>
    </i>
    <i>
      <x v="4"/>
    </i>
    <i>
      <x v="5"/>
    </i>
    <i>
      <x v="6"/>
    </i>
    <i>
      <x v="7"/>
    </i>
    <i>
      <x v="8"/>
    </i>
    <i>
      <x v="9"/>
    </i>
    <i>
      <x v="10"/>
    </i>
    <i>
      <x v="11"/>
    </i>
    <i>
      <x v="12"/>
    </i>
    <i>
      <x v="13"/>
    </i>
    <i>
      <x v="14"/>
    </i>
    <i>
      <x v="15"/>
    </i>
    <i>
      <x v="16"/>
    </i>
  </rowItems>
  <colItems count="1">
    <i/>
  </colItems>
  <dataFields count="1">
    <dataField name="Count of Athlete Name" fld="1" subtotal="count" baseField="0" baseItem="0"/>
  </dataFields>
  <chartFormats count="2">
    <chartFormat chart="6" format="13" series="1">
      <pivotArea type="data" outline="0" fieldPosition="0">
        <references count="1">
          <reference field="4294967294" count="1" selected="0">
            <x v="0"/>
          </reference>
        </references>
      </pivotArea>
    </chartFormat>
    <chartFormat chart="8" format="15" series="1">
      <pivotArea type="data" outline="0" fieldPosition="0">
        <references count="1">
          <reference field="4294967294" count="1" selected="0">
            <x v="0"/>
          </reference>
        </references>
      </pivotArea>
    </chartFormat>
  </chartFormats>
  <pivotTableStyleInfo name="PivotStyleLight16" showRowHeaders="1" showColHeaders="1" showRowStripes="1"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501E02-C26E-42F0-A977-FD67EC9C6EAC}" name="PivotTable4" cacheId="0" applyNumberFormats="0" applyBorderFormats="0" applyFontFormats="0" applyPatternFormats="0" applyAlignmentFormats="0" applyWidthHeightFormats="1" dataCaption="Values" updatedVersion="7" minRefreshableVersion="3" useAutoFormatting="1" rowGrandTotals="0" colGrandTotals="0" itemPrintTitles="1" createdVersion="7" indent="0" outline="1" outlineData="1" multipleFieldFilters="0" chartFormat="17">
  <location ref="A3:B7" firstHeaderRow="1" firstDataRow="1" firstDataCol="1"/>
  <pivotFields count="11">
    <pivotField showAll="0"/>
    <pivotField dataField="1" showAll="0"/>
    <pivotField showAll="0">
      <items count="18">
        <item x="0"/>
        <item x="3"/>
        <item x="5"/>
        <item x="9"/>
        <item x="14"/>
        <item x="11"/>
        <item x="1"/>
        <item x="2"/>
        <item x="6"/>
        <item x="10"/>
        <item x="12"/>
        <item x="13"/>
        <item x="15"/>
        <item x="7"/>
        <item x="8"/>
        <item x="4"/>
        <item x="16"/>
        <item t="default"/>
      </items>
    </pivotField>
    <pivotField showAll="0"/>
    <pivotField showAll="0"/>
    <pivotField showAll="0"/>
    <pivotField showAll="0"/>
    <pivotField showAll="0">
      <items count="23">
        <item x="0"/>
        <item x="1"/>
        <item x="2"/>
        <item x="3"/>
        <item x="4"/>
        <item x="5"/>
        <item x="6"/>
        <item x="7"/>
        <item x="8"/>
        <item x="9"/>
        <item x="10"/>
        <item x="11"/>
        <item x="12"/>
        <item x="13"/>
        <item x="14"/>
        <item x="15"/>
        <item x="16"/>
        <item x="17"/>
        <item x="18"/>
        <item x="19"/>
        <item x="20"/>
        <item x="21"/>
        <item t="default"/>
      </items>
    </pivotField>
    <pivotField showAll="0">
      <items count="4">
        <item x="0"/>
        <item m="1" x="2"/>
        <item x="1"/>
        <item t="default"/>
      </items>
    </pivotField>
    <pivotField showAll="0">
      <items count="5">
        <item x="0"/>
        <item x="1"/>
        <item x="2"/>
        <item m="1" x="3"/>
        <item t="default"/>
      </items>
    </pivotField>
    <pivotField axis="axisRow" showAll="0">
      <items count="5">
        <item x="1"/>
        <item x="2"/>
        <item x="3"/>
        <item x="0"/>
        <item t="default"/>
      </items>
    </pivotField>
  </pivotFields>
  <rowFields count="1">
    <field x="10"/>
  </rowFields>
  <rowItems count="4">
    <i>
      <x/>
    </i>
    <i>
      <x v="1"/>
    </i>
    <i>
      <x v="2"/>
    </i>
    <i>
      <x v="3"/>
    </i>
  </rowItems>
  <colItems count="1">
    <i/>
  </colItems>
  <dataFields count="1">
    <dataField name="Count of Athlete Name" fld="1" subtotal="count" baseField="0" baseItem="0"/>
  </dataFields>
  <chartFormats count="6">
    <chartFormat chart="2" format="2" series="1">
      <pivotArea type="data" outline="0" fieldPosition="0">
        <references count="1">
          <reference field="4294967294" count="1" selected="0">
            <x v="0"/>
          </reference>
        </references>
      </pivotArea>
    </chartFormat>
    <chartFormat chart="3" format="1" series="1">
      <pivotArea type="data" outline="0" fieldPosition="0">
        <references count="1">
          <reference field="4294967294" count="1" selected="0">
            <x v="0"/>
          </reference>
        </references>
      </pivotArea>
    </chartFormat>
    <chartFormat chart="7" format="5" series="1">
      <pivotArea type="data" outline="0" fieldPosition="0">
        <references count="1">
          <reference field="4294967294" count="1" selected="0">
            <x v="0"/>
          </reference>
        </references>
      </pivotArea>
    </chartFormat>
    <chartFormat chart="8" format="6" series="1">
      <pivotArea type="data" outline="0" fieldPosition="0">
        <references count="1">
          <reference field="4294967294" count="1" selected="0">
            <x v="0"/>
          </reference>
        </references>
      </pivotArea>
    </chartFormat>
    <chartFormat chart="6" format="7" series="1">
      <pivotArea type="data" outline="0" fieldPosition="0">
        <references count="1">
          <reference field="4294967294" count="1" selected="0">
            <x v="0"/>
          </reference>
        </references>
      </pivotArea>
    </chartFormat>
    <chartFormat chart="10" format="9"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B36FFDF-7502-428F-BB0B-1D668F33A60C}" name="PivotTable1" cacheId="0" applyNumberFormats="0" applyBorderFormats="0" applyFontFormats="0" applyPatternFormats="0" applyAlignmentFormats="0" applyWidthHeightFormats="1" dataCaption="Values" updatedVersion="7" minRefreshableVersion="3" useAutoFormatting="1" rowGrandTotals="0" colGrandTotals="0" itemPrintTitles="1" createdVersion="7" indent="0" outline="1" outlineData="1" multipleFieldFilters="0" chartFormat="17">
  <location ref="A3:B86" firstHeaderRow="1" firstDataRow="1" firstDataCol="1"/>
  <pivotFields count="11">
    <pivotField showAll="0"/>
    <pivotField showAll="0"/>
    <pivotField dataField="1" showAll="0">
      <items count="18">
        <item x="0"/>
        <item x="3"/>
        <item x="5"/>
        <item x="9"/>
        <item x="14"/>
        <item x="11"/>
        <item x="1"/>
        <item x="2"/>
        <item x="6"/>
        <item x="10"/>
        <item x="12"/>
        <item x="13"/>
        <item x="15"/>
        <item x="7"/>
        <item x="8"/>
        <item x="4"/>
        <item x="16"/>
        <item t="default"/>
      </items>
    </pivotField>
    <pivotField axis="axisRow" showAll="0">
      <items count="84">
        <item x="78"/>
        <item x="61"/>
        <item x="50"/>
        <item x="52"/>
        <item x="66"/>
        <item x="15"/>
        <item x="32"/>
        <item x="30"/>
        <item x="4"/>
        <item x="55"/>
        <item x="67"/>
        <item x="59"/>
        <item x="43"/>
        <item x="13"/>
        <item x="7"/>
        <item x="79"/>
        <item x="28"/>
        <item x="44"/>
        <item x="65"/>
        <item x="81"/>
        <item x="39"/>
        <item x="70"/>
        <item x="26"/>
        <item x="12"/>
        <item x="49"/>
        <item x="77"/>
        <item x="10"/>
        <item x="16"/>
        <item x="3"/>
        <item x="8"/>
        <item x="68"/>
        <item x="11"/>
        <item x="46"/>
        <item x="56"/>
        <item x="34"/>
        <item x="36"/>
        <item x="57"/>
        <item x="58"/>
        <item x="29"/>
        <item x="71"/>
        <item x="19"/>
        <item x="60"/>
        <item x="22"/>
        <item x="21"/>
        <item x="37"/>
        <item x="72"/>
        <item x="20"/>
        <item x="6"/>
        <item x="35"/>
        <item x="69"/>
        <item x="45"/>
        <item x="80"/>
        <item x="27"/>
        <item x="53"/>
        <item x="62"/>
        <item x="63"/>
        <item x="23"/>
        <item x="75"/>
        <item x="33"/>
        <item x="38"/>
        <item x="73"/>
        <item x="17"/>
        <item x="0"/>
        <item x="40"/>
        <item x="25"/>
        <item x="76"/>
        <item x="18"/>
        <item x="5"/>
        <item x="41"/>
        <item x="74"/>
        <item x="51"/>
        <item x="24"/>
        <item x="31"/>
        <item x="64"/>
        <item x="42"/>
        <item x="48"/>
        <item x="14"/>
        <item x="9"/>
        <item x="82"/>
        <item x="47"/>
        <item x="2"/>
        <item x="1"/>
        <item x="54"/>
        <item t="default"/>
      </items>
    </pivotField>
    <pivotField showAll="0"/>
    <pivotField showAll="0"/>
    <pivotField showAll="0"/>
    <pivotField showAll="0">
      <items count="23">
        <item x="0"/>
        <item x="1"/>
        <item x="2"/>
        <item x="3"/>
        <item x="4"/>
        <item x="5"/>
        <item x="6"/>
        <item x="7"/>
        <item x="8"/>
        <item x="9"/>
        <item x="10"/>
        <item x="11"/>
        <item x="12"/>
        <item x="13"/>
        <item x="14"/>
        <item x="15"/>
        <item x="16"/>
        <item x="17"/>
        <item x="18"/>
        <item x="19"/>
        <item x="20"/>
        <item x="21"/>
        <item t="default"/>
      </items>
    </pivotField>
    <pivotField showAll="0">
      <items count="4">
        <item x="0"/>
        <item m="1" x="2"/>
        <item x="1"/>
        <item t="default"/>
      </items>
    </pivotField>
    <pivotField showAll="0">
      <items count="5">
        <item x="0"/>
        <item x="1"/>
        <item x="2"/>
        <item m="1" x="3"/>
        <item t="default"/>
      </items>
    </pivotField>
    <pivotField showAll="0">
      <items count="5">
        <item x="1"/>
        <item x="2"/>
        <item x="3"/>
        <item x="0"/>
        <item t="default"/>
      </items>
    </pivotField>
  </pivotFields>
  <rowFields count="1">
    <field x="3"/>
  </rowFields>
  <rowItems count="83">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rowItems>
  <colItems count="1">
    <i/>
  </colItems>
  <dataFields count="1">
    <dataField name="Count of Sport" fld="2" subtotal="count" showDataAs="percentOfCol" baseField="0" baseItem="0" numFmtId="10"/>
  </dataFields>
  <chartFormats count="168">
    <chartFormat chart="9" format="253" series="1">
      <pivotArea type="data" outline="0" fieldPosition="0">
        <references count="1">
          <reference field="4294967294" count="1" selected="0">
            <x v="0"/>
          </reference>
        </references>
      </pivotArea>
    </chartFormat>
    <chartFormat chart="9" format="254">
      <pivotArea type="data" outline="0" fieldPosition="0">
        <references count="2">
          <reference field="4294967294" count="1" selected="0">
            <x v="0"/>
          </reference>
          <reference field="3" count="1" selected="0">
            <x v="0"/>
          </reference>
        </references>
      </pivotArea>
    </chartFormat>
    <chartFormat chart="9" format="255">
      <pivotArea type="data" outline="0" fieldPosition="0">
        <references count="2">
          <reference field="4294967294" count="1" selected="0">
            <x v="0"/>
          </reference>
          <reference field="3" count="1" selected="0">
            <x v="1"/>
          </reference>
        </references>
      </pivotArea>
    </chartFormat>
    <chartFormat chart="9" format="256">
      <pivotArea type="data" outline="0" fieldPosition="0">
        <references count="2">
          <reference field="4294967294" count="1" selected="0">
            <x v="0"/>
          </reference>
          <reference field="3" count="1" selected="0">
            <x v="2"/>
          </reference>
        </references>
      </pivotArea>
    </chartFormat>
    <chartFormat chart="9" format="257">
      <pivotArea type="data" outline="0" fieldPosition="0">
        <references count="2">
          <reference field="4294967294" count="1" selected="0">
            <x v="0"/>
          </reference>
          <reference field="3" count="1" selected="0">
            <x v="3"/>
          </reference>
        </references>
      </pivotArea>
    </chartFormat>
    <chartFormat chart="9" format="258">
      <pivotArea type="data" outline="0" fieldPosition="0">
        <references count="2">
          <reference field="4294967294" count="1" selected="0">
            <x v="0"/>
          </reference>
          <reference field="3" count="1" selected="0">
            <x v="4"/>
          </reference>
        </references>
      </pivotArea>
    </chartFormat>
    <chartFormat chart="9" format="259">
      <pivotArea type="data" outline="0" fieldPosition="0">
        <references count="2">
          <reference field="4294967294" count="1" selected="0">
            <x v="0"/>
          </reference>
          <reference field="3" count="1" selected="0">
            <x v="5"/>
          </reference>
        </references>
      </pivotArea>
    </chartFormat>
    <chartFormat chart="9" format="260">
      <pivotArea type="data" outline="0" fieldPosition="0">
        <references count="2">
          <reference field="4294967294" count="1" selected="0">
            <x v="0"/>
          </reference>
          <reference field="3" count="1" selected="0">
            <x v="6"/>
          </reference>
        </references>
      </pivotArea>
    </chartFormat>
    <chartFormat chart="9" format="261">
      <pivotArea type="data" outline="0" fieldPosition="0">
        <references count="2">
          <reference field="4294967294" count="1" selected="0">
            <x v="0"/>
          </reference>
          <reference field="3" count="1" selected="0">
            <x v="7"/>
          </reference>
        </references>
      </pivotArea>
    </chartFormat>
    <chartFormat chart="9" format="262">
      <pivotArea type="data" outline="0" fieldPosition="0">
        <references count="2">
          <reference field="4294967294" count="1" selected="0">
            <x v="0"/>
          </reference>
          <reference field="3" count="1" selected="0">
            <x v="8"/>
          </reference>
        </references>
      </pivotArea>
    </chartFormat>
    <chartFormat chart="9" format="263">
      <pivotArea type="data" outline="0" fieldPosition="0">
        <references count="2">
          <reference field="4294967294" count="1" selected="0">
            <x v="0"/>
          </reference>
          <reference field="3" count="1" selected="0">
            <x v="9"/>
          </reference>
        </references>
      </pivotArea>
    </chartFormat>
    <chartFormat chart="9" format="264">
      <pivotArea type="data" outline="0" fieldPosition="0">
        <references count="2">
          <reference field="4294967294" count="1" selected="0">
            <x v="0"/>
          </reference>
          <reference field="3" count="1" selected="0">
            <x v="10"/>
          </reference>
        </references>
      </pivotArea>
    </chartFormat>
    <chartFormat chart="9" format="265">
      <pivotArea type="data" outline="0" fieldPosition="0">
        <references count="2">
          <reference field="4294967294" count="1" selected="0">
            <x v="0"/>
          </reference>
          <reference field="3" count="1" selected="0">
            <x v="11"/>
          </reference>
        </references>
      </pivotArea>
    </chartFormat>
    <chartFormat chart="9" format="266">
      <pivotArea type="data" outline="0" fieldPosition="0">
        <references count="2">
          <reference field="4294967294" count="1" selected="0">
            <x v="0"/>
          </reference>
          <reference field="3" count="1" selected="0">
            <x v="12"/>
          </reference>
        </references>
      </pivotArea>
    </chartFormat>
    <chartFormat chart="9" format="267">
      <pivotArea type="data" outline="0" fieldPosition="0">
        <references count="2">
          <reference field="4294967294" count="1" selected="0">
            <x v="0"/>
          </reference>
          <reference field="3" count="1" selected="0">
            <x v="13"/>
          </reference>
        </references>
      </pivotArea>
    </chartFormat>
    <chartFormat chart="9" format="268">
      <pivotArea type="data" outline="0" fieldPosition="0">
        <references count="2">
          <reference field="4294967294" count="1" selected="0">
            <x v="0"/>
          </reference>
          <reference field="3" count="1" selected="0">
            <x v="14"/>
          </reference>
        </references>
      </pivotArea>
    </chartFormat>
    <chartFormat chart="9" format="269">
      <pivotArea type="data" outline="0" fieldPosition="0">
        <references count="2">
          <reference field="4294967294" count="1" selected="0">
            <x v="0"/>
          </reference>
          <reference field="3" count="1" selected="0">
            <x v="15"/>
          </reference>
        </references>
      </pivotArea>
    </chartFormat>
    <chartFormat chart="9" format="270">
      <pivotArea type="data" outline="0" fieldPosition="0">
        <references count="2">
          <reference field="4294967294" count="1" selected="0">
            <x v="0"/>
          </reference>
          <reference field="3" count="1" selected="0">
            <x v="16"/>
          </reference>
        </references>
      </pivotArea>
    </chartFormat>
    <chartFormat chart="9" format="271">
      <pivotArea type="data" outline="0" fieldPosition="0">
        <references count="2">
          <reference field="4294967294" count="1" selected="0">
            <x v="0"/>
          </reference>
          <reference field="3" count="1" selected="0">
            <x v="17"/>
          </reference>
        </references>
      </pivotArea>
    </chartFormat>
    <chartFormat chart="9" format="272">
      <pivotArea type="data" outline="0" fieldPosition="0">
        <references count="2">
          <reference field="4294967294" count="1" selected="0">
            <x v="0"/>
          </reference>
          <reference field="3" count="1" selected="0">
            <x v="18"/>
          </reference>
        </references>
      </pivotArea>
    </chartFormat>
    <chartFormat chart="9" format="273">
      <pivotArea type="data" outline="0" fieldPosition="0">
        <references count="2">
          <reference field="4294967294" count="1" selected="0">
            <x v="0"/>
          </reference>
          <reference field="3" count="1" selected="0">
            <x v="19"/>
          </reference>
        </references>
      </pivotArea>
    </chartFormat>
    <chartFormat chart="9" format="274">
      <pivotArea type="data" outline="0" fieldPosition="0">
        <references count="2">
          <reference field="4294967294" count="1" selected="0">
            <x v="0"/>
          </reference>
          <reference field="3" count="1" selected="0">
            <x v="20"/>
          </reference>
        </references>
      </pivotArea>
    </chartFormat>
    <chartFormat chart="9" format="275">
      <pivotArea type="data" outline="0" fieldPosition="0">
        <references count="2">
          <reference field="4294967294" count="1" selected="0">
            <x v="0"/>
          </reference>
          <reference field="3" count="1" selected="0">
            <x v="21"/>
          </reference>
        </references>
      </pivotArea>
    </chartFormat>
    <chartFormat chart="9" format="276">
      <pivotArea type="data" outline="0" fieldPosition="0">
        <references count="2">
          <reference field="4294967294" count="1" selected="0">
            <x v="0"/>
          </reference>
          <reference field="3" count="1" selected="0">
            <x v="22"/>
          </reference>
        </references>
      </pivotArea>
    </chartFormat>
    <chartFormat chart="9" format="277">
      <pivotArea type="data" outline="0" fieldPosition="0">
        <references count="2">
          <reference field="4294967294" count="1" selected="0">
            <x v="0"/>
          </reference>
          <reference field="3" count="1" selected="0">
            <x v="23"/>
          </reference>
        </references>
      </pivotArea>
    </chartFormat>
    <chartFormat chart="9" format="278">
      <pivotArea type="data" outline="0" fieldPosition="0">
        <references count="2">
          <reference field="4294967294" count="1" selected="0">
            <x v="0"/>
          </reference>
          <reference field="3" count="1" selected="0">
            <x v="24"/>
          </reference>
        </references>
      </pivotArea>
    </chartFormat>
    <chartFormat chart="9" format="279">
      <pivotArea type="data" outline="0" fieldPosition="0">
        <references count="2">
          <reference field="4294967294" count="1" selected="0">
            <x v="0"/>
          </reference>
          <reference field="3" count="1" selected="0">
            <x v="25"/>
          </reference>
        </references>
      </pivotArea>
    </chartFormat>
    <chartFormat chart="9" format="280">
      <pivotArea type="data" outline="0" fieldPosition="0">
        <references count="2">
          <reference field="4294967294" count="1" selected="0">
            <x v="0"/>
          </reference>
          <reference field="3" count="1" selected="0">
            <x v="26"/>
          </reference>
        </references>
      </pivotArea>
    </chartFormat>
    <chartFormat chart="9" format="281">
      <pivotArea type="data" outline="0" fieldPosition="0">
        <references count="2">
          <reference field="4294967294" count="1" selected="0">
            <x v="0"/>
          </reference>
          <reference field="3" count="1" selected="0">
            <x v="27"/>
          </reference>
        </references>
      </pivotArea>
    </chartFormat>
    <chartFormat chart="9" format="282">
      <pivotArea type="data" outline="0" fieldPosition="0">
        <references count="2">
          <reference field="4294967294" count="1" selected="0">
            <x v="0"/>
          </reference>
          <reference field="3" count="1" selected="0">
            <x v="28"/>
          </reference>
        </references>
      </pivotArea>
    </chartFormat>
    <chartFormat chart="9" format="283">
      <pivotArea type="data" outline="0" fieldPosition="0">
        <references count="2">
          <reference field="4294967294" count="1" selected="0">
            <x v="0"/>
          </reference>
          <reference field="3" count="1" selected="0">
            <x v="29"/>
          </reference>
        </references>
      </pivotArea>
    </chartFormat>
    <chartFormat chart="9" format="284">
      <pivotArea type="data" outline="0" fieldPosition="0">
        <references count="2">
          <reference field="4294967294" count="1" selected="0">
            <x v="0"/>
          </reference>
          <reference field="3" count="1" selected="0">
            <x v="30"/>
          </reference>
        </references>
      </pivotArea>
    </chartFormat>
    <chartFormat chart="9" format="285">
      <pivotArea type="data" outline="0" fieldPosition="0">
        <references count="2">
          <reference field="4294967294" count="1" selected="0">
            <x v="0"/>
          </reference>
          <reference field="3" count="1" selected="0">
            <x v="31"/>
          </reference>
        </references>
      </pivotArea>
    </chartFormat>
    <chartFormat chart="9" format="286">
      <pivotArea type="data" outline="0" fieldPosition="0">
        <references count="2">
          <reference field="4294967294" count="1" selected="0">
            <x v="0"/>
          </reference>
          <reference field="3" count="1" selected="0">
            <x v="32"/>
          </reference>
        </references>
      </pivotArea>
    </chartFormat>
    <chartFormat chart="9" format="287">
      <pivotArea type="data" outline="0" fieldPosition="0">
        <references count="2">
          <reference field="4294967294" count="1" selected="0">
            <x v="0"/>
          </reference>
          <reference field="3" count="1" selected="0">
            <x v="33"/>
          </reference>
        </references>
      </pivotArea>
    </chartFormat>
    <chartFormat chart="9" format="288">
      <pivotArea type="data" outline="0" fieldPosition="0">
        <references count="2">
          <reference field="4294967294" count="1" selected="0">
            <x v="0"/>
          </reference>
          <reference field="3" count="1" selected="0">
            <x v="34"/>
          </reference>
        </references>
      </pivotArea>
    </chartFormat>
    <chartFormat chart="9" format="289">
      <pivotArea type="data" outline="0" fieldPosition="0">
        <references count="2">
          <reference field="4294967294" count="1" selected="0">
            <x v="0"/>
          </reference>
          <reference field="3" count="1" selected="0">
            <x v="35"/>
          </reference>
        </references>
      </pivotArea>
    </chartFormat>
    <chartFormat chart="9" format="290">
      <pivotArea type="data" outline="0" fieldPosition="0">
        <references count="2">
          <reference field="4294967294" count="1" selected="0">
            <x v="0"/>
          </reference>
          <reference field="3" count="1" selected="0">
            <x v="36"/>
          </reference>
        </references>
      </pivotArea>
    </chartFormat>
    <chartFormat chart="9" format="291">
      <pivotArea type="data" outline="0" fieldPosition="0">
        <references count="2">
          <reference field="4294967294" count="1" selected="0">
            <x v="0"/>
          </reference>
          <reference field="3" count="1" selected="0">
            <x v="37"/>
          </reference>
        </references>
      </pivotArea>
    </chartFormat>
    <chartFormat chart="9" format="292">
      <pivotArea type="data" outline="0" fieldPosition="0">
        <references count="2">
          <reference field="4294967294" count="1" selected="0">
            <x v="0"/>
          </reference>
          <reference field="3" count="1" selected="0">
            <x v="38"/>
          </reference>
        </references>
      </pivotArea>
    </chartFormat>
    <chartFormat chart="9" format="293">
      <pivotArea type="data" outline="0" fieldPosition="0">
        <references count="2">
          <reference field="4294967294" count="1" selected="0">
            <x v="0"/>
          </reference>
          <reference field="3" count="1" selected="0">
            <x v="39"/>
          </reference>
        </references>
      </pivotArea>
    </chartFormat>
    <chartFormat chart="9" format="294">
      <pivotArea type="data" outline="0" fieldPosition="0">
        <references count="2">
          <reference field="4294967294" count="1" selected="0">
            <x v="0"/>
          </reference>
          <reference field="3" count="1" selected="0">
            <x v="40"/>
          </reference>
        </references>
      </pivotArea>
    </chartFormat>
    <chartFormat chart="9" format="295">
      <pivotArea type="data" outline="0" fieldPosition="0">
        <references count="2">
          <reference field="4294967294" count="1" selected="0">
            <x v="0"/>
          </reference>
          <reference field="3" count="1" selected="0">
            <x v="41"/>
          </reference>
        </references>
      </pivotArea>
    </chartFormat>
    <chartFormat chart="9" format="296">
      <pivotArea type="data" outline="0" fieldPosition="0">
        <references count="2">
          <reference field="4294967294" count="1" selected="0">
            <x v="0"/>
          </reference>
          <reference field="3" count="1" selected="0">
            <x v="42"/>
          </reference>
        </references>
      </pivotArea>
    </chartFormat>
    <chartFormat chart="9" format="297">
      <pivotArea type="data" outline="0" fieldPosition="0">
        <references count="2">
          <reference field="4294967294" count="1" selected="0">
            <x v="0"/>
          </reference>
          <reference field="3" count="1" selected="0">
            <x v="43"/>
          </reference>
        </references>
      </pivotArea>
    </chartFormat>
    <chartFormat chart="9" format="298">
      <pivotArea type="data" outline="0" fieldPosition="0">
        <references count="2">
          <reference field="4294967294" count="1" selected="0">
            <x v="0"/>
          </reference>
          <reference field="3" count="1" selected="0">
            <x v="44"/>
          </reference>
        </references>
      </pivotArea>
    </chartFormat>
    <chartFormat chart="9" format="299">
      <pivotArea type="data" outline="0" fieldPosition="0">
        <references count="2">
          <reference field="4294967294" count="1" selected="0">
            <x v="0"/>
          </reference>
          <reference field="3" count="1" selected="0">
            <x v="45"/>
          </reference>
        </references>
      </pivotArea>
    </chartFormat>
    <chartFormat chart="9" format="300">
      <pivotArea type="data" outline="0" fieldPosition="0">
        <references count="2">
          <reference field="4294967294" count="1" selected="0">
            <x v="0"/>
          </reference>
          <reference field="3" count="1" selected="0">
            <x v="46"/>
          </reference>
        </references>
      </pivotArea>
    </chartFormat>
    <chartFormat chart="9" format="301">
      <pivotArea type="data" outline="0" fieldPosition="0">
        <references count="2">
          <reference field="4294967294" count="1" selected="0">
            <x v="0"/>
          </reference>
          <reference field="3" count="1" selected="0">
            <x v="47"/>
          </reference>
        </references>
      </pivotArea>
    </chartFormat>
    <chartFormat chart="9" format="302">
      <pivotArea type="data" outline="0" fieldPosition="0">
        <references count="2">
          <reference field="4294967294" count="1" selected="0">
            <x v="0"/>
          </reference>
          <reference field="3" count="1" selected="0">
            <x v="48"/>
          </reference>
        </references>
      </pivotArea>
    </chartFormat>
    <chartFormat chart="9" format="303">
      <pivotArea type="data" outline="0" fieldPosition="0">
        <references count="2">
          <reference field="4294967294" count="1" selected="0">
            <x v="0"/>
          </reference>
          <reference field="3" count="1" selected="0">
            <x v="49"/>
          </reference>
        </references>
      </pivotArea>
    </chartFormat>
    <chartFormat chart="9" format="304">
      <pivotArea type="data" outline="0" fieldPosition="0">
        <references count="2">
          <reference field="4294967294" count="1" selected="0">
            <x v="0"/>
          </reference>
          <reference field="3" count="1" selected="0">
            <x v="50"/>
          </reference>
        </references>
      </pivotArea>
    </chartFormat>
    <chartFormat chart="9" format="305">
      <pivotArea type="data" outline="0" fieldPosition="0">
        <references count="2">
          <reference field="4294967294" count="1" selected="0">
            <x v="0"/>
          </reference>
          <reference field="3" count="1" selected="0">
            <x v="51"/>
          </reference>
        </references>
      </pivotArea>
    </chartFormat>
    <chartFormat chart="9" format="306">
      <pivotArea type="data" outline="0" fieldPosition="0">
        <references count="2">
          <reference field="4294967294" count="1" selected="0">
            <x v="0"/>
          </reference>
          <reference field="3" count="1" selected="0">
            <x v="52"/>
          </reference>
        </references>
      </pivotArea>
    </chartFormat>
    <chartFormat chart="9" format="307">
      <pivotArea type="data" outline="0" fieldPosition="0">
        <references count="2">
          <reference field="4294967294" count="1" selected="0">
            <x v="0"/>
          </reference>
          <reference field="3" count="1" selected="0">
            <x v="53"/>
          </reference>
        </references>
      </pivotArea>
    </chartFormat>
    <chartFormat chart="9" format="308">
      <pivotArea type="data" outline="0" fieldPosition="0">
        <references count="2">
          <reference field="4294967294" count="1" selected="0">
            <x v="0"/>
          </reference>
          <reference field="3" count="1" selected="0">
            <x v="54"/>
          </reference>
        </references>
      </pivotArea>
    </chartFormat>
    <chartFormat chart="9" format="309">
      <pivotArea type="data" outline="0" fieldPosition="0">
        <references count="2">
          <reference field="4294967294" count="1" selected="0">
            <x v="0"/>
          </reference>
          <reference field="3" count="1" selected="0">
            <x v="55"/>
          </reference>
        </references>
      </pivotArea>
    </chartFormat>
    <chartFormat chart="9" format="310">
      <pivotArea type="data" outline="0" fieldPosition="0">
        <references count="2">
          <reference field="4294967294" count="1" selected="0">
            <x v="0"/>
          </reference>
          <reference field="3" count="1" selected="0">
            <x v="56"/>
          </reference>
        </references>
      </pivotArea>
    </chartFormat>
    <chartFormat chart="9" format="311">
      <pivotArea type="data" outline="0" fieldPosition="0">
        <references count="2">
          <reference field="4294967294" count="1" selected="0">
            <x v="0"/>
          </reference>
          <reference field="3" count="1" selected="0">
            <x v="57"/>
          </reference>
        </references>
      </pivotArea>
    </chartFormat>
    <chartFormat chart="9" format="312">
      <pivotArea type="data" outline="0" fieldPosition="0">
        <references count="2">
          <reference field="4294967294" count="1" selected="0">
            <x v="0"/>
          </reference>
          <reference field="3" count="1" selected="0">
            <x v="58"/>
          </reference>
        </references>
      </pivotArea>
    </chartFormat>
    <chartFormat chart="9" format="313">
      <pivotArea type="data" outline="0" fieldPosition="0">
        <references count="2">
          <reference field="4294967294" count="1" selected="0">
            <x v="0"/>
          </reference>
          <reference field="3" count="1" selected="0">
            <x v="59"/>
          </reference>
        </references>
      </pivotArea>
    </chartFormat>
    <chartFormat chart="9" format="314">
      <pivotArea type="data" outline="0" fieldPosition="0">
        <references count="2">
          <reference field="4294967294" count="1" selected="0">
            <x v="0"/>
          </reference>
          <reference field="3" count="1" selected="0">
            <x v="60"/>
          </reference>
        </references>
      </pivotArea>
    </chartFormat>
    <chartFormat chart="9" format="315">
      <pivotArea type="data" outline="0" fieldPosition="0">
        <references count="2">
          <reference field="4294967294" count="1" selected="0">
            <x v="0"/>
          </reference>
          <reference field="3" count="1" selected="0">
            <x v="61"/>
          </reference>
        </references>
      </pivotArea>
    </chartFormat>
    <chartFormat chart="9" format="316">
      <pivotArea type="data" outline="0" fieldPosition="0">
        <references count="2">
          <reference field="4294967294" count="1" selected="0">
            <x v="0"/>
          </reference>
          <reference field="3" count="1" selected="0">
            <x v="62"/>
          </reference>
        </references>
      </pivotArea>
    </chartFormat>
    <chartFormat chart="9" format="317">
      <pivotArea type="data" outline="0" fieldPosition="0">
        <references count="2">
          <reference field="4294967294" count="1" selected="0">
            <x v="0"/>
          </reference>
          <reference field="3" count="1" selected="0">
            <x v="63"/>
          </reference>
        </references>
      </pivotArea>
    </chartFormat>
    <chartFormat chart="9" format="318">
      <pivotArea type="data" outline="0" fieldPosition="0">
        <references count="2">
          <reference field="4294967294" count="1" selected="0">
            <x v="0"/>
          </reference>
          <reference field="3" count="1" selected="0">
            <x v="64"/>
          </reference>
        </references>
      </pivotArea>
    </chartFormat>
    <chartFormat chart="9" format="319">
      <pivotArea type="data" outline="0" fieldPosition="0">
        <references count="2">
          <reference field="4294967294" count="1" selected="0">
            <x v="0"/>
          </reference>
          <reference field="3" count="1" selected="0">
            <x v="65"/>
          </reference>
        </references>
      </pivotArea>
    </chartFormat>
    <chartFormat chart="9" format="320">
      <pivotArea type="data" outline="0" fieldPosition="0">
        <references count="2">
          <reference field="4294967294" count="1" selected="0">
            <x v="0"/>
          </reference>
          <reference field="3" count="1" selected="0">
            <x v="66"/>
          </reference>
        </references>
      </pivotArea>
    </chartFormat>
    <chartFormat chart="9" format="321">
      <pivotArea type="data" outline="0" fieldPosition="0">
        <references count="2">
          <reference field="4294967294" count="1" selected="0">
            <x v="0"/>
          </reference>
          <reference field="3" count="1" selected="0">
            <x v="67"/>
          </reference>
        </references>
      </pivotArea>
    </chartFormat>
    <chartFormat chart="9" format="322">
      <pivotArea type="data" outline="0" fieldPosition="0">
        <references count="2">
          <reference field="4294967294" count="1" selected="0">
            <x v="0"/>
          </reference>
          <reference field="3" count="1" selected="0">
            <x v="68"/>
          </reference>
        </references>
      </pivotArea>
    </chartFormat>
    <chartFormat chart="9" format="323">
      <pivotArea type="data" outline="0" fieldPosition="0">
        <references count="2">
          <reference field="4294967294" count="1" selected="0">
            <x v="0"/>
          </reference>
          <reference field="3" count="1" selected="0">
            <x v="69"/>
          </reference>
        </references>
      </pivotArea>
    </chartFormat>
    <chartFormat chart="9" format="324">
      <pivotArea type="data" outline="0" fieldPosition="0">
        <references count="2">
          <reference field="4294967294" count="1" selected="0">
            <x v="0"/>
          </reference>
          <reference field="3" count="1" selected="0">
            <x v="70"/>
          </reference>
        </references>
      </pivotArea>
    </chartFormat>
    <chartFormat chart="9" format="325">
      <pivotArea type="data" outline="0" fieldPosition="0">
        <references count="2">
          <reference field="4294967294" count="1" selected="0">
            <x v="0"/>
          </reference>
          <reference field="3" count="1" selected="0">
            <x v="71"/>
          </reference>
        </references>
      </pivotArea>
    </chartFormat>
    <chartFormat chart="9" format="326">
      <pivotArea type="data" outline="0" fieldPosition="0">
        <references count="2">
          <reference field="4294967294" count="1" selected="0">
            <x v="0"/>
          </reference>
          <reference field="3" count="1" selected="0">
            <x v="72"/>
          </reference>
        </references>
      </pivotArea>
    </chartFormat>
    <chartFormat chart="9" format="327">
      <pivotArea type="data" outline="0" fieldPosition="0">
        <references count="2">
          <reference field="4294967294" count="1" selected="0">
            <x v="0"/>
          </reference>
          <reference field="3" count="1" selected="0">
            <x v="73"/>
          </reference>
        </references>
      </pivotArea>
    </chartFormat>
    <chartFormat chart="9" format="328">
      <pivotArea type="data" outline="0" fieldPosition="0">
        <references count="2">
          <reference field="4294967294" count="1" selected="0">
            <x v="0"/>
          </reference>
          <reference field="3" count="1" selected="0">
            <x v="74"/>
          </reference>
        </references>
      </pivotArea>
    </chartFormat>
    <chartFormat chart="9" format="329">
      <pivotArea type="data" outline="0" fieldPosition="0">
        <references count="2">
          <reference field="4294967294" count="1" selected="0">
            <x v="0"/>
          </reference>
          <reference field="3" count="1" selected="0">
            <x v="75"/>
          </reference>
        </references>
      </pivotArea>
    </chartFormat>
    <chartFormat chart="9" format="330">
      <pivotArea type="data" outline="0" fieldPosition="0">
        <references count="2">
          <reference field="4294967294" count="1" selected="0">
            <x v="0"/>
          </reference>
          <reference field="3" count="1" selected="0">
            <x v="76"/>
          </reference>
        </references>
      </pivotArea>
    </chartFormat>
    <chartFormat chart="9" format="331">
      <pivotArea type="data" outline="0" fieldPosition="0">
        <references count="2">
          <reference field="4294967294" count="1" selected="0">
            <x v="0"/>
          </reference>
          <reference field="3" count="1" selected="0">
            <x v="77"/>
          </reference>
        </references>
      </pivotArea>
    </chartFormat>
    <chartFormat chart="9" format="332">
      <pivotArea type="data" outline="0" fieldPosition="0">
        <references count="2">
          <reference field="4294967294" count="1" selected="0">
            <x v="0"/>
          </reference>
          <reference field="3" count="1" selected="0">
            <x v="78"/>
          </reference>
        </references>
      </pivotArea>
    </chartFormat>
    <chartFormat chart="9" format="333">
      <pivotArea type="data" outline="0" fieldPosition="0">
        <references count="2">
          <reference field="4294967294" count="1" selected="0">
            <x v="0"/>
          </reference>
          <reference field="3" count="1" selected="0">
            <x v="79"/>
          </reference>
        </references>
      </pivotArea>
    </chartFormat>
    <chartFormat chart="9" format="334">
      <pivotArea type="data" outline="0" fieldPosition="0">
        <references count="2">
          <reference field="4294967294" count="1" selected="0">
            <x v="0"/>
          </reference>
          <reference field="3" count="1" selected="0">
            <x v="80"/>
          </reference>
        </references>
      </pivotArea>
    </chartFormat>
    <chartFormat chart="9" format="335">
      <pivotArea type="data" outline="0" fieldPosition="0">
        <references count="2">
          <reference field="4294967294" count="1" selected="0">
            <x v="0"/>
          </reference>
          <reference field="3" count="1" selected="0">
            <x v="81"/>
          </reference>
        </references>
      </pivotArea>
    </chartFormat>
    <chartFormat chart="9" format="336">
      <pivotArea type="data" outline="0" fieldPosition="0">
        <references count="2">
          <reference field="4294967294" count="1" selected="0">
            <x v="0"/>
          </reference>
          <reference field="3" count="1" selected="0">
            <x v="82"/>
          </reference>
        </references>
      </pivotArea>
    </chartFormat>
    <chartFormat chart="12" format="421" series="1">
      <pivotArea type="data" outline="0" fieldPosition="0">
        <references count="1">
          <reference field="4294967294" count="1" selected="0">
            <x v="0"/>
          </reference>
        </references>
      </pivotArea>
    </chartFormat>
    <chartFormat chart="12" format="422">
      <pivotArea type="data" outline="0" fieldPosition="0">
        <references count="2">
          <reference field="4294967294" count="1" selected="0">
            <x v="0"/>
          </reference>
          <reference field="3" count="1" selected="0">
            <x v="0"/>
          </reference>
        </references>
      </pivotArea>
    </chartFormat>
    <chartFormat chart="12" format="423">
      <pivotArea type="data" outline="0" fieldPosition="0">
        <references count="2">
          <reference field="4294967294" count="1" selected="0">
            <x v="0"/>
          </reference>
          <reference field="3" count="1" selected="0">
            <x v="1"/>
          </reference>
        </references>
      </pivotArea>
    </chartFormat>
    <chartFormat chart="12" format="424">
      <pivotArea type="data" outline="0" fieldPosition="0">
        <references count="2">
          <reference field="4294967294" count="1" selected="0">
            <x v="0"/>
          </reference>
          <reference field="3" count="1" selected="0">
            <x v="2"/>
          </reference>
        </references>
      </pivotArea>
    </chartFormat>
    <chartFormat chart="12" format="425">
      <pivotArea type="data" outline="0" fieldPosition="0">
        <references count="2">
          <reference field="4294967294" count="1" selected="0">
            <x v="0"/>
          </reference>
          <reference field="3" count="1" selected="0">
            <x v="3"/>
          </reference>
        </references>
      </pivotArea>
    </chartFormat>
    <chartFormat chart="12" format="426">
      <pivotArea type="data" outline="0" fieldPosition="0">
        <references count="2">
          <reference field="4294967294" count="1" selected="0">
            <x v="0"/>
          </reference>
          <reference field="3" count="1" selected="0">
            <x v="4"/>
          </reference>
        </references>
      </pivotArea>
    </chartFormat>
    <chartFormat chart="12" format="427">
      <pivotArea type="data" outline="0" fieldPosition="0">
        <references count="2">
          <reference field="4294967294" count="1" selected="0">
            <x v="0"/>
          </reference>
          <reference field="3" count="1" selected="0">
            <x v="5"/>
          </reference>
        </references>
      </pivotArea>
    </chartFormat>
    <chartFormat chart="12" format="428">
      <pivotArea type="data" outline="0" fieldPosition="0">
        <references count="2">
          <reference field="4294967294" count="1" selected="0">
            <x v="0"/>
          </reference>
          <reference field="3" count="1" selected="0">
            <x v="6"/>
          </reference>
        </references>
      </pivotArea>
    </chartFormat>
    <chartFormat chart="12" format="429">
      <pivotArea type="data" outline="0" fieldPosition="0">
        <references count="2">
          <reference field="4294967294" count="1" selected="0">
            <x v="0"/>
          </reference>
          <reference field="3" count="1" selected="0">
            <x v="7"/>
          </reference>
        </references>
      </pivotArea>
    </chartFormat>
    <chartFormat chart="12" format="430">
      <pivotArea type="data" outline="0" fieldPosition="0">
        <references count="2">
          <reference field="4294967294" count="1" selected="0">
            <x v="0"/>
          </reference>
          <reference field="3" count="1" selected="0">
            <x v="8"/>
          </reference>
        </references>
      </pivotArea>
    </chartFormat>
    <chartFormat chart="12" format="431">
      <pivotArea type="data" outline="0" fieldPosition="0">
        <references count="2">
          <reference field="4294967294" count="1" selected="0">
            <x v="0"/>
          </reference>
          <reference field="3" count="1" selected="0">
            <x v="9"/>
          </reference>
        </references>
      </pivotArea>
    </chartFormat>
    <chartFormat chart="12" format="432">
      <pivotArea type="data" outline="0" fieldPosition="0">
        <references count="2">
          <reference field="4294967294" count="1" selected="0">
            <x v="0"/>
          </reference>
          <reference field="3" count="1" selected="0">
            <x v="10"/>
          </reference>
        </references>
      </pivotArea>
    </chartFormat>
    <chartFormat chart="12" format="433">
      <pivotArea type="data" outline="0" fieldPosition="0">
        <references count="2">
          <reference field="4294967294" count="1" selected="0">
            <x v="0"/>
          </reference>
          <reference field="3" count="1" selected="0">
            <x v="11"/>
          </reference>
        </references>
      </pivotArea>
    </chartFormat>
    <chartFormat chart="12" format="434">
      <pivotArea type="data" outline="0" fieldPosition="0">
        <references count="2">
          <reference field="4294967294" count="1" selected="0">
            <x v="0"/>
          </reference>
          <reference field="3" count="1" selected="0">
            <x v="12"/>
          </reference>
        </references>
      </pivotArea>
    </chartFormat>
    <chartFormat chart="12" format="435">
      <pivotArea type="data" outline="0" fieldPosition="0">
        <references count="2">
          <reference field="4294967294" count="1" selected="0">
            <x v="0"/>
          </reference>
          <reference field="3" count="1" selected="0">
            <x v="13"/>
          </reference>
        </references>
      </pivotArea>
    </chartFormat>
    <chartFormat chart="12" format="436">
      <pivotArea type="data" outline="0" fieldPosition="0">
        <references count="2">
          <reference field="4294967294" count="1" selected="0">
            <x v="0"/>
          </reference>
          <reference field="3" count="1" selected="0">
            <x v="14"/>
          </reference>
        </references>
      </pivotArea>
    </chartFormat>
    <chartFormat chart="12" format="437">
      <pivotArea type="data" outline="0" fieldPosition="0">
        <references count="2">
          <reference field="4294967294" count="1" selected="0">
            <x v="0"/>
          </reference>
          <reference field="3" count="1" selected="0">
            <x v="15"/>
          </reference>
        </references>
      </pivotArea>
    </chartFormat>
    <chartFormat chart="12" format="438">
      <pivotArea type="data" outline="0" fieldPosition="0">
        <references count="2">
          <reference field="4294967294" count="1" selected="0">
            <x v="0"/>
          </reference>
          <reference field="3" count="1" selected="0">
            <x v="16"/>
          </reference>
        </references>
      </pivotArea>
    </chartFormat>
    <chartFormat chart="12" format="439">
      <pivotArea type="data" outline="0" fieldPosition="0">
        <references count="2">
          <reference field="4294967294" count="1" selected="0">
            <x v="0"/>
          </reference>
          <reference field="3" count="1" selected="0">
            <x v="17"/>
          </reference>
        </references>
      </pivotArea>
    </chartFormat>
    <chartFormat chart="12" format="440">
      <pivotArea type="data" outline="0" fieldPosition="0">
        <references count="2">
          <reference field="4294967294" count="1" selected="0">
            <x v="0"/>
          </reference>
          <reference field="3" count="1" selected="0">
            <x v="18"/>
          </reference>
        </references>
      </pivotArea>
    </chartFormat>
    <chartFormat chart="12" format="441">
      <pivotArea type="data" outline="0" fieldPosition="0">
        <references count="2">
          <reference field="4294967294" count="1" selected="0">
            <x v="0"/>
          </reference>
          <reference field="3" count="1" selected="0">
            <x v="19"/>
          </reference>
        </references>
      </pivotArea>
    </chartFormat>
    <chartFormat chart="12" format="442">
      <pivotArea type="data" outline="0" fieldPosition="0">
        <references count="2">
          <reference field="4294967294" count="1" selected="0">
            <x v="0"/>
          </reference>
          <reference field="3" count="1" selected="0">
            <x v="20"/>
          </reference>
        </references>
      </pivotArea>
    </chartFormat>
    <chartFormat chart="12" format="443">
      <pivotArea type="data" outline="0" fieldPosition="0">
        <references count="2">
          <reference field="4294967294" count="1" selected="0">
            <x v="0"/>
          </reference>
          <reference field="3" count="1" selected="0">
            <x v="21"/>
          </reference>
        </references>
      </pivotArea>
    </chartFormat>
    <chartFormat chart="12" format="444">
      <pivotArea type="data" outline="0" fieldPosition="0">
        <references count="2">
          <reference field="4294967294" count="1" selected="0">
            <x v="0"/>
          </reference>
          <reference field="3" count="1" selected="0">
            <x v="22"/>
          </reference>
        </references>
      </pivotArea>
    </chartFormat>
    <chartFormat chart="12" format="445">
      <pivotArea type="data" outline="0" fieldPosition="0">
        <references count="2">
          <reference field="4294967294" count="1" selected="0">
            <x v="0"/>
          </reference>
          <reference field="3" count="1" selected="0">
            <x v="23"/>
          </reference>
        </references>
      </pivotArea>
    </chartFormat>
    <chartFormat chart="12" format="446">
      <pivotArea type="data" outline="0" fieldPosition="0">
        <references count="2">
          <reference field="4294967294" count="1" selected="0">
            <x v="0"/>
          </reference>
          <reference field="3" count="1" selected="0">
            <x v="24"/>
          </reference>
        </references>
      </pivotArea>
    </chartFormat>
    <chartFormat chart="12" format="447">
      <pivotArea type="data" outline="0" fieldPosition="0">
        <references count="2">
          <reference field="4294967294" count="1" selected="0">
            <x v="0"/>
          </reference>
          <reference field="3" count="1" selected="0">
            <x v="25"/>
          </reference>
        </references>
      </pivotArea>
    </chartFormat>
    <chartFormat chart="12" format="448">
      <pivotArea type="data" outline="0" fieldPosition="0">
        <references count="2">
          <reference field="4294967294" count="1" selected="0">
            <x v="0"/>
          </reference>
          <reference field="3" count="1" selected="0">
            <x v="26"/>
          </reference>
        </references>
      </pivotArea>
    </chartFormat>
    <chartFormat chart="12" format="449">
      <pivotArea type="data" outline="0" fieldPosition="0">
        <references count="2">
          <reference field="4294967294" count="1" selected="0">
            <x v="0"/>
          </reference>
          <reference field="3" count="1" selected="0">
            <x v="27"/>
          </reference>
        </references>
      </pivotArea>
    </chartFormat>
    <chartFormat chart="12" format="450">
      <pivotArea type="data" outline="0" fieldPosition="0">
        <references count="2">
          <reference field="4294967294" count="1" selected="0">
            <x v="0"/>
          </reference>
          <reference field="3" count="1" selected="0">
            <x v="28"/>
          </reference>
        </references>
      </pivotArea>
    </chartFormat>
    <chartFormat chart="12" format="451">
      <pivotArea type="data" outline="0" fieldPosition="0">
        <references count="2">
          <reference field="4294967294" count="1" selected="0">
            <x v="0"/>
          </reference>
          <reference field="3" count="1" selected="0">
            <x v="29"/>
          </reference>
        </references>
      </pivotArea>
    </chartFormat>
    <chartFormat chart="12" format="452">
      <pivotArea type="data" outline="0" fieldPosition="0">
        <references count="2">
          <reference field="4294967294" count="1" selected="0">
            <x v="0"/>
          </reference>
          <reference field="3" count="1" selected="0">
            <x v="30"/>
          </reference>
        </references>
      </pivotArea>
    </chartFormat>
    <chartFormat chart="12" format="453">
      <pivotArea type="data" outline="0" fieldPosition="0">
        <references count="2">
          <reference field="4294967294" count="1" selected="0">
            <x v="0"/>
          </reference>
          <reference field="3" count="1" selected="0">
            <x v="31"/>
          </reference>
        </references>
      </pivotArea>
    </chartFormat>
    <chartFormat chart="12" format="454">
      <pivotArea type="data" outline="0" fieldPosition="0">
        <references count="2">
          <reference field="4294967294" count="1" selected="0">
            <x v="0"/>
          </reference>
          <reference field="3" count="1" selected="0">
            <x v="32"/>
          </reference>
        </references>
      </pivotArea>
    </chartFormat>
    <chartFormat chart="12" format="455">
      <pivotArea type="data" outline="0" fieldPosition="0">
        <references count="2">
          <reference field="4294967294" count="1" selected="0">
            <x v="0"/>
          </reference>
          <reference field="3" count="1" selected="0">
            <x v="33"/>
          </reference>
        </references>
      </pivotArea>
    </chartFormat>
    <chartFormat chart="12" format="456">
      <pivotArea type="data" outline="0" fieldPosition="0">
        <references count="2">
          <reference field="4294967294" count="1" selected="0">
            <x v="0"/>
          </reference>
          <reference field="3" count="1" selected="0">
            <x v="34"/>
          </reference>
        </references>
      </pivotArea>
    </chartFormat>
    <chartFormat chart="12" format="457">
      <pivotArea type="data" outline="0" fieldPosition="0">
        <references count="2">
          <reference field="4294967294" count="1" selected="0">
            <x v="0"/>
          </reference>
          <reference field="3" count="1" selected="0">
            <x v="35"/>
          </reference>
        </references>
      </pivotArea>
    </chartFormat>
    <chartFormat chart="12" format="458">
      <pivotArea type="data" outline="0" fieldPosition="0">
        <references count="2">
          <reference field="4294967294" count="1" selected="0">
            <x v="0"/>
          </reference>
          <reference field="3" count="1" selected="0">
            <x v="36"/>
          </reference>
        </references>
      </pivotArea>
    </chartFormat>
    <chartFormat chart="12" format="459">
      <pivotArea type="data" outline="0" fieldPosition="0">
        <references count="2">
          <reference field="4294967294" count="1" selected="0">
            <x v="0"/>
          </reference>
          <reference field="3" count="1" selected="0">
            <x v="37"/>
          </reference>
        </references>
      </pivotArea>
    </chartFormat>
    <chartFormat chart="12" format="460">
      <pivotArea type="data" outline="0" fieldPosition="0">
        <references count="2">
          <reference field="4294967294" count="1" selected="0">
            <x v="0"/>
          </reference>
          <reference field="3" count="1" selected="0">
            <x v="38"/>
          </reference>
        </references>
      </pivotArea>
    </chartFormat>
    <chartFormat chart="12" format="461">
      <pivotArea type="data" outline="0" fieldPosition="0">
        <references count="2">
          <reference field="4294967294" count="1" selected="0">
            <x v="0"/>
          </reference>
          <reference field="3" count="1" selected="0">
            <x v="39"/>
          </reference>
        </references>
      </pivotArea>
    </chartFormat>
    <chartFormat chart="12" format="462">
      <pivotArea type="data" outline="0" fieldPosition="0">
        <references count="2">
          <reference field="4294967294" count="1" selected="0">
            <x v="0"/>
          </reference>
          <reference field="3" count="1" selected="0">
            <x v="40"/>
          </reference>
        </references>
      </pivotArea>
    </chartFormat>
    <chartFormat chart="12" format="463">
      <pivotArea type="data" outline="0" fieldPosition="0">
        <references count="2">
          <reference field="4294967294" count="1" selected="0">
            <x v="0"/>
          </reference>
          <reference field="3" count="1" selected="0">
            <x v="41"/>
          </reference>
        </references>
      </pivotArea>
    </chartFormat>
    <chartFormat chart="12" format="464">
      <pivotArea type="data" outline="0" fieldPosition="0">
        <references count="2">
          <reference field="4294967294" count="1" selected="0">
            <x v="0"/>
          </reference>
          <reference field="3" count="1" selected="0">
            <x v="42"/>
          </reference>
        </references>
      </pivotArea>
    </chartFormat>
    <chartFormat chart="12" format="465">
      <pivotArea type="data" outline="0" fieldPosition="0">
        <references count="2">
          <reference field="4294967294" count="1" selected="0">
            <x v="0"/>
          </reference>
          <reference field="3" count="1" selected="0">
            <x v="43"/>
          </reference>
        </references>
      </pivotArea>
    </chartFormat>
    <chartFormat chart="12" format="466">
      <pivotArea type="data" outline="0" fieldPosition="0">
        <references count="2">
          <reference field="4294967294" count="1" selected="0">
            <x v="0"/>
          </reference>
          <reference field="3" count="1" selected="0">
            <x v="44"/>
          </reference>
        </references>
      </pivotArea>
    </chartFormat>
    <chartFormat chart="12" format="467">
      <pivotArea type="data" outline="0" fieldPosition="0">
        <references count="2">
          <reference field="4294967294" count="1" selected="0">
            <x v="0"/>
          </reference>
          <reference field="3" count="1" selected="0">
            <x v="45"/>
          </reference>
        </references>
      </pivotArea>
    </chartFormat>
    <chartFormat chart="12" format="468">
      <pivotArea type="data" outline="0" fieldPosition="0">
        <references count="2">
          <reference field="4294967294" count="1" selected="0">
            <x v="0"/>
          </reference>
          <reference field="3" count="1" selected="0">
            <x v="46"/>
          </reference>
        </references>
      </pivotArea>
    </chartFormat>
    <chartFormat chart="12" format="469">
      <pivotArea type="data" outline="0" fieldPosition="0">
        <references count="2">
          <reference field="4294967294" count="1" selected="0">
            <x v="0"/>
          </reference>
          <reference field="3" count="1" selected="0">
            <x v="47"/>
          </reference>
        </references>
      </pivotArea>
    </chartFormat>
    <chartFormat chart="12" format="470">
      <pivotArea type="data" outline="0" fieldPosition="0">
        <references count="2">
          <reference field="4294967294" count="1" selected="0">
            <x v="0"/>
          </reference>
          <reference field="3" count="1" selected="0">
            <x v="48"/>
          </reference>
        </references>
      </pivotArea>
    </chartFormat>
    <chartFormat chart="12" format="471">
      <pivotArea type="data" outline="0" fieldPosition="0">
        <references count="2">
          <reference field="4294967294" count="1" selected="0">
            <x v="0"/>
          </reference>
          <reference field="3" count="1" selected="0">
            <x v="49"/>
          </reference>
        </references>
      </pivotArea>
    </chartFormat>
    <chartFormat chart="12" format="472">
      <pivotArea type="data" outline="0" fieldPosition="0">
        <references count="2">
          <reference field="4294967294" count="1" selected="0">
            <x v="0"/>
          </reference>
          <reference field="3" count="1" selected="0">
            <x v="50"/>
          </reference>
        </references>
      </pivotArea>
    </chartFormat>
    <chartFormat chart="12" format="473">
      <pivotArea type="data" outline="0" fieldPosition="0">
        <references count="2">
          <reference field="4294967294" count="1" selected="0">
            <x v="0"/>
          </reference>
          <reference field="3" count="1" selected="0">
            <x v="51"/>
          </reference>
        </references>
      </pivotArea>
    </chartFormat>
    <chartFormat chart="12" format="474">
      <pivotArea type="data" outline="0" fieldPosition="0">
        <references count="2">
          <reference field="4294967294" count="1" selected="0">
            <x v="0"/>
          </reference>
          <reference field="3" count="1" selected="0">
            <x v="52"/>
          </reference>
        </references>
      </pivotArea>
    </chartFormat>
    <chartFormat chart="12" format="475">
      <pivotArea type="data" outline="0" fieldPosition="0">
        <references count="2">
          <reference field="4294967294" count="1" selected="0">
            <x v="0"/>
          </reference>
          <reference field="3" count="1" selected="0">
            <x v="53"/>
          </reference>
        </references>
      </pivotArea>
    </chartFormat>
    <chartFormat chart="12" format="476">
      <pivotArea type="data" outline="0" fieldPosition="0">
        <references count="2">
          <reference field="4294967294" count="1" selected="0">
            <x v="0"/>
          </reference>
          <reference field="3" count="1" selected="0">
            <x v="54"/>
          </reference>
        </references>
      </pivotArea>
    </chartFormat>
    <chartFormat chart="12" format="477">
      <pivotArea type="data" outline="0" fieldPosition="0">
        <references count="2">
          <reference field="4294967294" count="1" selected="0">
            <x v="0"/>
          </reference>
          <reference field="3" count="1" selected="0">
            <x v="55"/>
          </reference>
        </references>
      </pivotArea>
    </chartFormat>
    <chartFormat chart="12" format="478">
      <pivotArea type="data" outline="0" fieldPosition="0">
        <references count="2">
          <reference field="4294967294" count="1" selected="0">
            <x v="0"/>
          </reference>
          <reference field="3" count="1" selected="0">
            <x v="56"/>
          </reference>
        </references>
      </pivotArea>
    </chartFormat>
    <chartFormat chart="12" format="479">
      <pivotArea type="data" outline="0" fieldPosition="0">
        <references count="2">
          <reference field="4294967294" count="1" selected="0">
            <x v="0"/>
          </reference>
          <reference field="3" count="1" selected="0">
            <x v="57"/>
          </reference>
        </references>
      </pivotArea>
    </chartFormat>
    <chartFormat chart="12" format="480">
      <pivotArea type="data" outline="0" fieldPosition="0">
        <references count="2">
          <reference field="4294967294" count="1" selected="0">
            <x v="0"/>
          </reference>
          <reference field="3" count="1" selected="0">
            <x v="58"/>
          </reference>
        </references>
      </pivotArea>
    </chartFormat>
    <chartFormat chart="12" format="481">
      <pivotArea type="data" outline="0" fieldPosition="0">
        <references count="2">
          <reference field="4294967294" count="1" selected="0">
            <x v="0"/>
          </reference>
          <reference field="3" count="1" selected="0">
            <x v="59"/>
          </reference>
        </references>
      </pivotArea>
    </chartFormat>
    <chartFormat chart="12" format="482">
      <pivotArea type="data" outline="0" fieldPosition="0">
        <references count="2">
          <reference field="4294967294" count="1" selected="0">
            <x v="0"/>
          </reference>
          <reference field="3" count="1" selected="0">
            <x v="60"/>
          </reference>
        </references>
      </pivotArea>
    </chartFormat>
    <chartFormat chart="12" format="483">
      <pivotArea type="data" outline="0" fieldPosition="0">
        <references count="2">
          <reference field="4294967294" count="1" selected="0">
            <x v="0"/>
          </reference>
          <reference field="3" count="1" selected="0">
            <x v="61"/>
          </reference>
        </references>
      </pivotArea>
    </chartFormat>
    <chartFormat chart="12" format="484">
      <pivotArea type="data" outline="0" fieldPosition="0">
        <references count="2">
          <reference field="4294967294" count="1" selected="0">
            <x v="0"/>
          </reference>
          <reference field="3" count="1" selected="0">
            <x v="62"/>
          </reference>
        </references>
      </pivotArea>
    </chartFormat>
    <chartFormat chart="12" format="485">
      <pivotArea type="data" outline="0" fieldPosition="0">
        <references count="2">
          <reference field="4294967294" count="1" selected="0">
            <x v="0"/>
          </reference>
          <reference field="3" count="1" selected="0">
            <x v="63"/>
          </reference>
        </references>
      </pivotArea>
    </chartFormat>
    <chartFormat chart="12" format="486">
      <pivotArea type="data" outline="0" fieldPosition="0">
        <references count="2">
          <reference field="4294967294" count="1" selected="0">
            <x v="0"/>
          </reference>
          <reference field="3" count="1" selected="0">
            <x v="64"/>
          </reference>
        </references>
      </pivotArea>
    </chartFormat>
    <chartFormat chart="12" format="487">
      <pivotArea type="data" outline="0" fieldPosition="0">
        <references count="2">
          <reference field="4294967294" count="1" selected="0">
            <x v="0"/>
          </reference>
          <reference field="3" count="1" selected="0">
            <x v="65"/>
          </reference>
        </references>
      </pivotArea>
    </chartFormat>
    <chartFormat chart="12" format="488">
      <pivotArea type="data" outline="0" fieldPosition="0">
        <references count="2">
          <reference field="4294967294" count="1" selected="0">
            <x v="0"/>
          </reference>
          <reference field="3" count="1" selected="0">
            <x v="66"/>
          </reference>
        </references>
      </pivotArea>
    </chartFormat>
    <chartFormat chart="12" format="489">
      <pivotArea type="data" outline="0" fieldPosition="0">
        <references count="2">
          <reference field="4294967294" count="1" selected="0">
            <x v="0"/>
          </reference>
          <reference field="3" count="1" selected="0">
            <x v="67"/>
          </reference>
        </references>
      </pivotArea>
    </chartFormat>
    <chartFormat chart="12" format="490">
      <pivotArea type="data" outline="0" fieldPosition="0">
        <references count="2">
          <reference field="4294967294" count="1" selected="0">
            <x v="0"/>
          </reference>
          <reference field="3" count="1" selected="0">
            <x v="68"/>
          </reference>
        </references>
      </pivotArea>
    </chartFormat>
    <chartFormat chart="12" format="491">
      <pivotArea type="data" outline="0" fieldPosition="0">
        <references count="2">
          <reference field="4294967294" count="1" selected="0">
            <x v="0"/>
          </reference>
          <reference field="3" count="1" selected="0">
            <x v="69"/>
          </reference>
        </references>
      </pivotArea>
    </chartFormat>
    <chartFormat chart="12" format="492">
      <pivotArea type="data" outline="0" fieldPosition="0">
        <references count="2">
          <reference field="4294967294" count="1" selected="0">
            <x v="0"/>
          </reference>
          <reference field="3" count="1" selected="0">
            <x v="70"/>
          </reference>
        </references>
      </pivotArea>
    </chartFormat>
    <chartFormat chart="12" format="493">
      <pivotArea type="data" outline="0" fieldPosition="0">
        <references count="2">
          <reference field="4294967294" count="1" selected="0">
            <x v="0"/>
          </reference>
          <reference field="3" count="1" selected="0">
            <x v="71"/>
          </reference>
        </references>
      </pivotArea>
    </chartFormat>
    <chartFormat chart="12" format="494">
      <pivotArea type="data" outline="0" fieldPosition="0">
        <references count="2">
          <reference field="4294967294" count="1" selected="0">
            <x v="0"/>
          </reference>
          <reference field="3" count="1" selected="0">
            <x v="72"/>
          </reference>
        </references>
      </pivotArea>
    </chartFormat>
    <chartFormat chart="12" format="495">
      <pivotArea type="data" outline="0" fieldPosition="0">
        <references count="2">
          <reference field="4294967294" count="1" selected="0">
            <x v="0"/>
          </reference>
          <reference field="3" count="1" selected="0">
            <x v="73"/>
          </reference>
        </references>
      </pivotArea>
    </chartFormat>
    <chartFormat chart="12" format="496">
      <pivotArea type="data" outline="0" fieldPosition="0">
        <references count="2">
          <reference field="4294967294" count="1" selected="0">
            <x v="0"/>
          </reference>
          <reference field="3" count="1" selected="0">
            <x v="74"/>
          </reference>
        </references>
      </pivotArea>
    </chartFormat>
    <chartFormat chart="12" format="497">
      <pivotArea type="data" outline="0" fieldPosition="0">
        <references count="2">
          <reference field="4294967294" count="1" selected="0">
            <x v="0"/>
          </reference>
          <reference field="3" count="1" selected="0">
            <x v="75"/>
          </reference>
        </references>
      </pivotArea>
    </chartFormat>
    <chartFormat chart="12" format="498">
      <pivotArea type="data" outline="0" fieldPosition="0">
        <references count="2">
          <reference field="4294967294" count="1" selected="0">
            <x v="0"/>
          </reference>
          <reference field="3" count="1" selected="0">
            <x v="76"/>
          </reference>
        </references>
      </pivotArea>
    </chartFormat>
    <chartFormat chart="12" format="499">
      <pivotArea type="data" outline="0" fieldPosition="0">
        <references count="2">
          <reference field="4294967294" count="1" selected="0">
            <x v="0"/>
          </reference>
          <reference field="3" count="1" selected="0">
            <x v="77"/>
          </reference>
        </references>
      </pivotArea>
    </chartFormat>
    <chartFormat chart="12" format="500">
      <pivotArea type="data" outline="0" fieldPosition="0">
        <references count="2">
          <reference field="4294967294" count="1" selected="0">
            <x v="0"/>
          </reference>
          <reference field="3" count="1" selected="0">
            <x v="78"/>
          </reference>
        </references>
      </pivotArea>
    </chartFormat>
    <chartFormat chart="12" format="501">
      <pivotArea type="data" outline="0" fieldPosition="0">
        <references count="2">
          <reference field="4294967294" count="1" selected="0">
            <x v="0"/>
          </reference>
          <reference field="3" count="1" selected="0">
            <x v="79"/>
          </reference>
        </references>
      </pivotArea>
    </chartFormat>
    <chartFormat chart="12" format="502">
      <pivotArea type="data" outline="0" fieldPosition="0">
        <references count="2">
          <reference field="4294967294" count="1" selected="0">
            <x v="0"/>
          </reference>
          <reference field="3" count="1" selected="0">
            <x v="80"/>
          </reference>
        </references>
      </pivotArea>
    </chartFormat>
    <chartFormat chart="12" format="503">
      <pivotArea type="data" outline="0" fieldPosition="0">
        <references count="2">
          <reference field="4294967294" count="1" selected="0">
            <x v="0"/>
          </reference>
          <reference field="3" count="1" selected="0">
            <x v="81"/>
          </reference>
        </references>
      </pivotArea>
    </chartFormat>
    <chartFormat chart="12" format="504">
      <pivotArea type="data" outline="0" fieldPosition="0">
        <references count="2">
          <reference field="4294967294" count="1" selected="0">
            <x v="0"/>
          </reference>
          <reference field="3" count="1" selected="0">
            <x v="8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7FA251B5-33A2-4DBB-9847-D6E99A972702}" name="PivotTable5" cacheId="0" applyNumberFormats="0" applyBorderFormats="0" applyFontFormats="0" applyPatternFormats="0" applyAlignmentFormats="0" applyWidthHeightFormats="1" dataCaption="Values" updatedVersion="7" minRefreshableVersion="3" useAutoFormatting="1" rowGrandTotals="0" colGrandTotals="0" itemPrintTitles="1" createdVersion="7" indent="0" outline="1" outlineData="1" multipleFieldFilters="0" chartFormat="11">
  <location ref="G3:H13" firstHeaderRow="1" firstDataRow="1" firstDataCol="1"/>
  <pivotFields count="11">
    <pivotField showAll="0"/>
    <pivotField showAll="0"/>
    <pivotField showAll="0">
      <items count="18">
        <item x="0"/>
        <item x="3"/>
        <item x="5"/>
        <item x="9"/>
        <item x="14"/>
        <item x="11"/>
        <item x="1"/>
        <item x="2"/>
        <item x="6"/>
        <item x="10"/>
        <item x="12"/>
        <item x="13"/>
        <item x="15"/>
        <item x="7"/>
        <item x="8"/>
        <item x="4"/>
        <item x="16"/>
        <item t="default"/>
      </items>
    </pivotField>
    <pivotField showAll="0"/>
    <pivotField axis="axisRow" showAll="0" measureFilter="1">
      <items count="36">
        <item x="29"/>
        <item x="6"/>
        <item x="23"/>
        <item x="14"/>
        <item x="12"/>
        <item x="17"/>
        <item x="3"/>
        <item x="4"/>
        <item x="0"/>
        <item x="1"/>
        <item x="16"/>
        <item x="13"/>
        <item x="5"/>
        <item x="8"/>
        <item x="19"/>
        <item x="2"/>
        <item x="7"/>
        <item x="9"/>
        <item x="21"/>
        <item x="15"/>
        <item x="18"/>
        <item x="10"/>
        <item x="11"/>
        <item x="20"/>
        <item x="24"/>
        <item x="22"/>
        <item x="25"/>
        <item x="26"/>
        <item x="28"/>
        <item x="31"/>
        <item x="30"/>
        <item x="34"/>
        <item x="27"/>
        <item x="32"/>
        <item x="33"/>
        <item t="default"/>
      </items>
    </pivotField>
    <pivotField dataField="1" showAll="0"/>
    <pivotField showAll="0"/>
    <pivotField showAll="0">
      <items count="23">
        <item x="0"/>
        <item x="1"/>
        <item x="2"/>
        <item x="3"/>
        <item x="4"/>
        <item x="5"/>
        <item x="6"/>
        <item x="7"/>
        <item x="8"/>
        <item x="9"/>
        <item x="10"/>
        <item x="11"/>
        <item x="12"/>
        <item x="13"/>
        <item x="14"/>
        <item x="15"/>
        <item x="16"/>
        <item x="17"/>
        <item x="18"/>
        <item x="19"/>
        <item x="20"/>
        <item x="21"/>
        <item t="default"/>
      </items>
    </pivotField>
    <pivotField showAll="0">
      <items count="4">
        <item x="0"/>
        <item m="1" x="2"/>
        <item x="1"/>
        <item t="default"/>
      </items>
    </pivotField>
    <pivotField showAll="0">
      <items count="5">
        <item x="0"/>
        <item x="1"/>
        <item x="2"/>
        <item m="1" x="3"/>
        <item t="default"/>
      </items>
    </pivotField>
    <pivotField showAll="0">
      <items count="5">
        <item x="1"/>
        <item x="2"/>
        <item x="3"/>
        <item x="0"/>
        <item t="default"/>
      </items>
    </pivotField>
  </pivotFields>
  <rowFields count="1">
    <field x="4"/>
  </rowFields>
  <rowItems count="10">
    <i>
      <x/>
    </i>
    <i>
      <x v="26"/>
    </i>
    <i>
      <x v="27"/>
    </i>
    <i>
      <x v="28"/>
    </i>
    <i>
      <x v="29"/>
    </i>
    <i>
      <x v="30"/>
    </i>
    <i>
      <x v="31"/>
    </i>
    <i>
      <x v="32"/>
    </i>
    <i>
      <x v="33"/>
    </i>
    <i>
      <x v="34"/>
    </i>
  </rowItems>
  <colItems count="1">
    <i/>
  </colItems>
  <dataFields count="1">
    <dataField name="Count of Weight(kg)" fld="5" subtotal="count" baseField="0" baseItem="0"/>
  </dataFields>
  <chartFormats count="1">
    <chartFormat chart="6"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4" type="count" evalOrder="-1" id="1" iMeasureFld="0">
      <autoFilter ref="A1">
        <filterColumn colId="0">
          <top10 top="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1FA2ED0B-AAC3-46FD-863F-C5EE4EDE327D}" name="PivotTable1" cacheId="0" applyNumberFormats="0" applyBorderFormats="0" applyFontFormats="0" applyPatternFormats="0" applyAlignmentFormats="0" applyWidthHeightFormats="1" dataCaption="Values" updatedVersion="7" minRefreshableVersion="3" useAutoFormatting="1" rowGrandTotals="0" colGrandTotals="0" itemPrintTitles="1" createdVersion="7" indent="0" outline="1" outlineData="1" multipleFieldFilters="0" chartFormat="14">
  <location ref="A3:B38" firstHeaderRow="1" firstDataRow="1" firstDataCol="1"/>
  <pivotFields count="11">
    <pivotField showAll="0"/>
    <pivotField showAll="0"/>
    <pivotField showAll="0">
      <items count="18">
        <item x="0"/>
        <item x="3"/>
        <item x="5"/>
        <item x="9"/>
        <item x="14"/>
        <item x="11"/>
        <item x="1"/>
        <item x="2"/>
        <item x="6"/>
        <item x="10"/>
        <item x="12"/>
        <item x="13"/>
        <item x="15"/>
        <item x="7"/>
        <item x="8"/>
        <item x="4"/>
        <item x="16"/>
        <item t="default"/>
      </items>
    </pivotField>
    <pivotField showAll="0"/>
    <pivotField axis="axisRow" showAll="0">
      <items count="36">
        <item x="29"/>
        <item x="6"/>
        <item x="23"/>
        <item x="14"/>
        <item x="12"/>
        <item x="17"/>
        <item x="3"/>
        <item x="4"/>
        <item x="0"/>
        <item x="1"/>
        <item x="16"/>
        <item x="13"/>
        <item x="5"/>
        <item x="8"/>
        <item x="19"/>
        <item x="2"/>
        <item x="7"/>
        <item x="9"/>
        <item x="21"/>
        <item x="15"/>
        <item x="18"/>
        <item x="10"/>
        <item x="11"/>
        <item x="20"/>
        <item x="24"/>
        <item x="22"/>
        <item x="25"/>
        <item x="26"/>
        <item x="28"/>
        <item x="31"/>
        <item x="30"/>
        <item x="34"/>
        <item x="27"/>
        <item x="32"/>
        <item x="33"/>
        <item t="default"/>
      </items>
    </pivotField>
    <pivotField dataField="1" showAll="0"/>
    <pivotField showAll="0"/>
    <pivotField showAll="0">
      <items count="23">
        <item x="0"/>
        <item x="1"/>
        <item x="2"/>
        <item x="3"/>
        <item x="4"/>
        <item x="5"/>
        <item x="6"/>
        <item x="7"/>
        <item x="8"/>
        <item x="9"/>
        <item x="10"/>
        <item x="11"/>
        <item x="12"/>
        <item x="13"/>
        <item x="14"/>
        <item x="15"/>
        <item x="16"/>
        <item x="17"/>
        <item x="18"/>
        <item x="19"/>
        <item x="20"/>
        <item x="21"/>
        <item t="default"/>
      </items>
    </pivotField>
    <pivotField showAll="0">
      <items count="4">
        <item x="0"/>
        <item m="1" x="2"/>
        <item x="1"/>
        <item t="default"/>
      </items>
    </pivotField>
    <pivotField showAll="0">
      <items count="5">
        <item x="0"/>
        <item x="1"/>
        <item x="2"/>
        <item m="1" x="3"/>
        <item t="default"/>
      </items>
    </pivotField>
    <pivotField showAll="0">
      <items count="5">
        <item x="1"/>
        <item x="2"/>
        <item x="3"/>
        <item x="0"/>
        <item t="default"/>
      </items>
    </pivotField>
  </pivotFields>
  <rowFields count="1">
    <field x="4"/>
  </rowFields>
  <rowItems count="35">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rowItems>
  <colItems count="1">
    <i/>
  </colItems>
  <dataFields count="1">
    <dataField name="Count of Weight(kg)" fld="5" subtotal="count" baseField="0" baseItem="0"/>
  </dataFields>
  <chartFormats count="2">
    <chartFormat chart="0" format="0" series="1">
      <pivotArea type="data" outline="0" fieldPosition="0">
        <references count="1">
          <reference field="4294967294" count="1" selected="0">
            <x v="0"/>
          </reference>
        </references>
      </pivotArea>
    </chartFormat>
    <chartFormat chart="9"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AC211666-3554-4F11-B2C4-6E4B1C18B890}" name="PivotTable4" cacheId="0" applyNumberFormats="0" applyBorderFormats="0" applyFontFormats="0" applyPatternFormats="0" applyAlignmentFormats="0" applyWidthHeightFormats="1" dataCaption="Values" updatedVersion="7" minRefreshableVersion="3" useAutoFormatting="1" rowGrandTotals="0" colGrandTotals="0" itemPrintTitles="1" createdVersion="7" indent="0" outline="1" outlineData="1" multipleFieldFilters="0" chartFormat="11">
  <location ref="D3:E13" firstHeaderRow="1" firstDataRow="1" firstDataCol="1"/>
  <pivotFields count="11">
    <pivotField showAll="0"/>
    <pivotField showAll="0"/>
    <pivotField showAll="0">
      <items count="18">
        <item x="0"/>
        <item x="3"/>
        <item x="5"/>
        <item x="9"/>
        <item x="14"/>
        <item x="11"/>
        <item x="1"/>
        <item x="2"/>
        <item x="6"/>
        <item x="10"/>
        <item x="12"/>
        <item x="13"/>
        <item x="15"/>
        <item x="7"/>
        <item x="8"/>
        <item x="4"/>
        <item x="16"/>
        <item t="default"/>
      </items>
    </pivotField>
    <pivotField showAll="0"/>
    <pivotField axis="axisRow" showAll="0" measureFilter="1">
      <items count="36">
        <item x="29"/>
        <item x="6"/>
        <item x="23"/>
        <item x="14"/>
        <item x="12"/>
        <item x="17"/>
        <item x="3"/>
        <item x="4"/>
        <item x="0"/>
        <item x="1"/>
        <item x="16"/>
        <item x="13"/>
        <item x="5"/>
        <item x="8"/>
        <item x="19"/>
        <item x="2"/>
        <item x="7"/>
        <item x="9"/>
        <item x="21"/>
        <item x="15"/>
        <item x="18"/>
        <item x="10"/>
        <item x="11"/>
        <item x="20"/>
        <item x="24"/>
        <item x="22"/>
        <item x="25"/>
        <item x="26"/>
        <item x="28"/>
        <item x="31"/>
        <item x="30"/>
        <item x="34"/>
        <item x="27"/>
        <item x="32"/>
        <item x="33"/>
        <item t="default"/>
      </items>
    </pivotField>
    <pivotField dataField="1" showAll="0"/>
    <pivotField showAll="0"/>
    <pivotField showAll="0">
      <items count="23">
        <item x="0"/>
        <item x="1"/>
        <item x="2"/>
        <item x="3"/>
        <item x="4"/>
        <item x="5"/>
        <item x="6"/>
        <item x="7"/>
        <item x="8"/>
        <item x="9"/>
        <item x="10"/>
        <item x="11"/>
        <item x="12"/>
        <item x="13"/>
        <item x="14"/>
        <item x="15"/>
        <item x="16"/>
        <item x="17"/>
        <item x="18"/>
        <item x="19"/>
        <item x="20"/>
        <item x="21"/>
        <item t="default"/>
      </items>
    </pivotField>
    <pivotField showAll="0">
      <items count="4">
        <item x="0"/>
        <item m="1" x="2"/>
        <item x="1"/>
        <item t="default"/>
      </items>
    </pivotField>
    <pivotField showAll="0">
      <items count="5">
        <item x="0"/>
        <item x="1"/>
        <item x="2"/>
        <item m="1" x="3"/>
        <item t="default"/>
      </items>
    </pivotField>
    <pivotField showAll="0">
      <items count="5">
        <item x="1"/>
        <item x="2"/>
        <item x="3"/>
        <item x="0"/>
        <item t="default"/>
      </items>
    </pivotField>
  </pivotFields>
  <rowFields count="1">
    <field x="4"/>
  </rowFields>
  <rowItems count="10">
    <i>
      <x v="5"/>
    </i>
    <i>
      <x v="6"/>
    </i>
    <i>
      <x v="7"/>
    </i>
    <i>
      <x v="8"/>
    </i>
    <i>
      <x v="9"/>
    </i>
    <i>
      <x v="10"/>
    </i>
    <i>
      <x v="11"/>
    </i>
    <i>
      <x v="12"/>
    </i>
    <i>
      <x v="13"/>
    </i>
    <i>
      <x v="14"/>
    </i>
  </rowItems>
  <colItems count="1">
    <i/>
  </colItems>
  <dataFields count="1">
    <dataField name="Count of Weight(kg)" fld="5" subtotal="count" baseField="0" baseItem="0"/>
  </dataFields>
  <chartFormats count="1">
    <chartFormat chart="6"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4"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B7D5936B-3509-4BA7-9930-44CA4B73AC11}" name="PivotTable3" cacheId="0" applyNumberFormats="0" applyBorderFormats="0" applyFontFormats="0" applyPatternFormats="0" applyAlignmentFormats="0" applyWidthHeightFormats="1" dataCaption="Values" updatedVersion="7" minRefreshableVersion="3" useAutoFormatting="1" rowGrandTotals="0" colGrandTotals="0" itemPrintTitles="1" createdVersion="7" indent="0" outline="1" outlineData="1" multipleFieldFilters="0" chartFormat="12">
  <location ref="A3:B76" firstHeaderRow="1" firstDataRow="1" firstDataCol="1"/>
  <pivotFields count="11">
    <pivotField showAll="0"/>
    <pivotField dataField="1" showAll="0"/>
    <pivotField showAll="0">
      <items count="18">
        <item x="0"/>
        <item x="3"/>
        <item x="5"/>
        <item x="9"/>
        <item x="14"/>
        <item x="11"/>
        <item x="1"/>
        <item x="2"/>
        <item x="6"/>
        <item x="10"/>
        <item x="12"/>
        <item x="13"/>
        <item x="15"/>
        <item x="7"/>
        <item x="8"/>
        <item x="4"/>
        <item x="16"/>
        <item t="default"/>
      </items>
    </pivotField>
    <pivotField showAll="0"/>
    <pivotField showAll="0"/>
    <pivotField axis="axisRow" showAll="0">
      <items count="74">
        <item x="56"/>
        <item x="67"/>
        <item x="58"/>
        <item x="52"/>
        <item x="69"/>
        <item x="66"/>
        <item x="30"/>
        <item x="54"/>
        <item x="42"/>
        <item x="0"/>
        <item x="50"/>
        <item x="44"/>
        <item x="21"/>
        <item x="43"/>
        <item x="8"/>
        <item x="14"/>
        <item x="22"/>
        <item x="9"/>
        <item x="33"/>
        <item x="6"/>
        <item x="13"/>
        <item x="26"/>
        <item x="2"/>
        <item x="25"/>
        <item x="17"/>
        <item x="19"/>
        <item x="16"/>
        <item x="24"/>
        <item x="5"/>
        <item x="37"/>
        <item x="47"/>
        <item x="35"/>
        <item x="48"/>
        <item x="28"/>
        <item x="23"/>
        <item x="4"/>
        <item x="3"/>
        <item x="49"/>
        <item x="20"/>
        <item x="1"/>
        <item x="36"/>
        <item x="15"/>
        <item x="12"/>
        <item x="51"/>
        <item x="18"/>
        <item x="38"/>
        <item x="31"/>
        <item x="41"/>
        <item x="39"/>
        <item x="32"/>
        <item x="7"/>
        <item x="11"/>
        <item x="46"/>
        <item x="29"/>
        <item x="40"/>
        <item x="60"/>
        <item x="34"/>
        <item x="57"/>
        <item x="45"/>
        <item x="55"/>
        <item x="64"/>
        <item x="27"/>
        <item x="61"/>
        <item x="62"/>
        <item x="10"/>
        <item x="59"/>
        <item x="68"/>
        <item x="53"/>
        <item x="65"/>
        <item x="63"/>
        <item x="70"/>
        <item x="71"/>
        <item x="72"/>
        <item t="default"/>
      </items>
    </pivotField>
    <pivotField showAll="0"/>
    <pivotField showAll="0">
      <items count="23">
        <item x="0"/>
        <item x="1"/>
        <item x="2"/>
        <item x="3"/>
        <item x="4"/>
        <item x="5"/>
        <item x="6"/>
        <item x="7"/>
        <item x="8"/>
        <item x="9"/>
        <item x="10"/>
        <item x="11"/>
        <item x="12"/>
        <item x="13"/>
        <item x="14"/>
        <item x="15"/>
        <item x="16"/>
        <item x="17"/>
        <item x="18"/>
        <item x="19"/>
        <item x="20"/>
        <item x="21"/>
        <item t="default"/>
      </items>
    </pivotField>
    <pivotField showAll="0">
      <items count="4">
        <item x="0"/>
        <item m="1" x="2"/>
        <item x="1"/>
        <item t="default"/>
      </items>
    </pivotField>
    <pivotField showAll="0">
      <items count="5">
        <item x="0"/>
        <item x="1"/>
        <item x="2"/>
        <item m="1" x="3"/>
        <item t="default"/>
      </items>
    </pivotField>
    <pivotField showAll="0">
      <items count="5">
        <item x="1"/>
        <item x="2"/>
        <item x="3"/>
        <item x="0"/>
        <item t="default"/>
      </items>
    </pivotField>
  </pivotFields>
  <rowFields count="1">
    <field x="5"/>
  </rowFields>
  <rowItems count="73">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rowItems>
  <colItems count="1">
    <i/>
  </colItems>
  <dataFields count="1">
    <dataField name="Count of Athlete Name" fld="1" subtotal="count" baseField="0" baseItem="0"/>
  </dataFields>
  <chartFormats count="71">
    <chartFormat chart="2" format="71" series="1">
      <pivotArea type="data" outline="0" fieldPosition="0">
        <references count="1">
          <reference field="4294967294" count="1" selected="0">
            <x v="0"/>
          </reference>
        </references>
      </pivotArea>
    </chartFormat>
    <chartFormat chart="2" format="72">
      <pivotArea type="data" outline="0" fieldPosition="0">
        <references count="2">
          <reference field="4294967294" count="1" selected="0">
            <x v="0"/>
          </reference>
          <reference field="5" count="1" selected="0">
            <x v="0"/>
          </reference>
        </references>
      </pivotArea>
    </chartFormat>
    <chartFormat chart="2" format="73">
      <pivotArea type="data" outline="0" fieldPosition="0">
        <references count="2">
          <reference field="4294967294" count="1" selected="0">
            <x v="0"/>
          </reference>
          <reference field="5" count="1" selected="0">
            <x v="1"/>
          </reference>
        </references>
      </pivotArea>
    </chartFormat>
    <chartFormat chart="2" format="74">
      <pivotArea type="data" outline="0" fieldPosition="0">
        <references count="2">
          <reference field="4294967294" count="1" selected="0">
            <x v="0"/>
          </reference>
          <reference field="5" count="1" selected="0">
            <x v="2"/>
          </reference>
        </references>
      </pivotArea>
    </chartFormat>
    <chartFormat chart="2" format="75">
      <pivotArea type="data" outline="0" fieldPosition="0">
        <references count="2">
          <reference field="4294967294" count="1" selected="0">
            <x v="0"/>
          </reference>
          <reference field="5" count="1" selected="0">
            <x v="3"/>
          </reference>
        </references>
      </pivotArea>
    </chartFormat>
    <chartFormat chart="2" format="76">
      <pivotArea type="data" outline="0" fieldPosition="0">
        <references count="2">
          <reference field="4294967294" count="1" selected="0">
            <x v="0"/>
          </reference>
          <reference field="5" count="1" selected="0">
            <x v="4"/>
          </reference>
        </references>
      </pivotArea>
    </chartFormat>
    <chartFormat chart="2" format="77">
      <pivotArea type="data" outline="0" fieldPosition="0">
        <references count="2">
          <reference field="4294967294" count="1" selected="0">
            <x v="0"/>
          </reference>
          <reference field="5" count="1" selected="0">
            <x v="5"/>
          </reference>
        </references>
      </pivotArea>
    </chartFormat>
    <chartFormat chart="2" format="78">
      <pivotArea type="data" outline="0" fieldPosition="0">
        <references count="2">
          <reference field="4294967294" count="1" selected="0">
            <x v="0"/>
          </reference>
          <reference field="5" count="1" selected="0">
            <x v="6"/>
          </reference>
        </references>
      </pivotArea>
    </chartFormat>
    <chartFormat chart="2" format="79">
      <pivotArea type="data" outline="0" fieldPosition="0">
        <references count="2">
          <reference field="4294967294" count="1" selected="0">
            <x v="0"/>
          </reference>
          <reference field="5" count="1" selected="0">
            <x v="7"/>
          </reference>
        </references>
      </pivotArea>
    </chartFormat>
    <chartFormat chart="2" format="80">
      <pivotArea type="data" outline="0" fieldPosition="0">
        <references count="2">
          <reference field="4294967294" count="1" selected="0">
            <x v="0"/>
          </reference>
          <reference field="5" count="1" selected="0">
            <x v="8"/>
          </reference>
        </references>
      </pivotArea>
    </chartFormat>
    <chartFormat chart="2" format="81">
      <pivotArea type="data" outline="0" fieldPosition="0">
        <references count="2">
          <reference field="4294967294" count="1" selected="0">
            <x v="0"/>
          </reference>
          <reference field="5" count="1" selected="0">
            <x v="9"/>
          </reference>
        </references>
      </pivotArea>
    </chartFormat>
    <chartFormat chart="2" format="82">
      <pivotArea type="data" outline="0" fieldPosition="0">
        <references count="2">
          <reference field="4294967294" count="1" selected="0">
            <x v="0"/>
          </reference>
          <reference field="5" count="1" selected="0">
            <x v="10"/>
          </reference>
        </references>
      </pivotArea>
    </chartFormat>
    <chartFormat chart="2" format="83">
      <pivotArea type="data" outline="0" fieldPosition="0">
        <references count="2">
          <reference field="4294967294" count="1" selected="0">
            <x v="0"/>
          </reference>
          <reference field="5" count="1" selected="0">
            <x v="11"/>
          </reference>
        </references>
      </pivotArea>
    </chartFormat>
    <chartFormat chart="2" format="84">
      <pivotArea type="data" outline="0" fieldPosition="0">
        <references count="2">
          <reference field="4294967294" count="1" selected="0">
            <x v="0"/>
          </reference>
          <reference field="5" count="1" selected="0">
            <x v="12"/>
          </reference>
        </references>
      </pivotArea>
    </chartFormat>
    <chartFormat chart="2" format="85">
      <pivotArea type="data" outline="0" fieldPosition="0">
        <references count="2">
          <reference field="4294967294" count="1" selected="0">
            <x v="0"/>
          </reference>
          <reference field="5" count="1" selected="0">
            <x v="13"/>
          </reference>
        </references>
      </pivotArea>
    </chartFormat>
    <chartFormat chart="2" format="86">
      <pivotArea type="data" outline="0" fieldPosition="0">
        <references count="2">
          <reference field="4294967294" count="1" selected="0">
            <x v="0"/>
          </reference>
          <reference field="5" count="1" selected="0">
            <x v="14"/>
          </reference>
        </references>
      </pivotArea>
    </chartFormat>
    <chartFormat chart="2" format="87">
      <pivotArea type="data" outline="0" fieldPosition="0">
        <references count="2">
          <reference field="4294967294" count="1" selected="0">
            <x v="0"/>
          </reference>
          <reference field="5" count="1" selected="0">
            <x v="15"/>
          </reference>
        </references>
      </pivotArea>
    </chartFormat>
    <chartFormat chart="2" format="88">
      <pivotArea type="data" outline="0" fieldPosition="0">
        <references count="2">
          <reference field="4294967294" count="1" selected="0">
            <x v="0"/>
          </reference>
          <reference field="5" count="1" selected="0">
            <x v="16"/>
          </reference>
        </references>
      </pivotArea>
    </chartFormat>
    <chartFormat chart="2" format="89">
      <pivotArea type="data" outline="0" fieldPosition="0">
        <references count="2">
          <reference field="4294967294" count="1" selected="0">
            <x v="0"/>
          </reference>
          <reference field="5" count="1" selected="0">
            <x v="17"/>
          </reference>
        </references>
      </pivotArea>
    </chartFormat>
    <chartFormat chart="2" format="90">
      <pivotArea type="data" outline="0" fieldPosition="0">
        <references count="2">
          <reference field="4294967294" count="1" selected="0">
            <x v="0"/>
          </reference>
          <reference field="5" count="1" selected="0">
            <x v="18"/>
          </reference>
        </references>
      </pivotArea>
    </chartFormat>
    <chartFormat chart="2" format="91">
      <pivotArea type="data" outline="0" fieldPosition="0">
        <references count="2">
          <reference field="4294967294" count="1" selected="0">
            <x v="0"/>
          </reference>
          <reference field="5" count="1" selected="0">
            <x v="19"/>
          </reference>
        </references>
      </pivotArea>
    </chartFormat>
    <chartFormat chart="2" format="92">
      <pivotArea type="data" outline="0" fieldPosition="0">
        <references count="2">
          <reference field="4294967294" count="1" selected="0">
            <x v="0"/>
          </reference>
          <reference field="5" count="1" selected="0">
            <x v="20"/>
          </reference>
        </references>
      </pivotArea>
    </chartFormat>
    <chartFormat chart="2" format="93">
      <pivotArea type="data" outline="0" fieldPosition="0">
        <references count="2">
          <reference field="4294967294" count="1" selected="0">
            <x v="0"/>
          </reference>
          <reference field="5" count="1" selected="0">
            <x v="21"/>
          </reference>
        </references>
      </pivotArea>
    </chartFormat>
    <chartFormat chart="2" format="94">
      <pivotArea type="data" outline="0" fieldPosition="0">
        <references count="2">
          <reference field="4294967294" count="1" selected="0">
            <x v="0"/>
          </reference>
          <reference field="5" count="1" selected="0">
            <x v="22"/>
          </reference>
        </references>
      </pivotArea>
    </chartFormat>
    <chartFormat chart="2" format="95">
      <pivotArea type="data" outline="0" fieldPosition="0">
        <references count="2">
          <reference field="4294967294" count="1" selected="0">
            <x v="0"/>
          </reference>
          <reference field="5" count="1" selected="0">
            <x v="23"/>
          </reference>
        </references>
      </pivotArea>
    </chartFormat>
    <chartFormat chart="2" format="96">
      <pivotArea type="data" outline="0" fieldPosition="0">
        <references count="2">
          <reference field="4294967294" count="1" selected="0">
            <x v="0"/>
          </reference>
          <reference field="5" count="1" selected="0">
            <x v="24"/>
          </reference>
        </references>
      </pivotArea>
    </chartFormat>
    <chartFormat chart="2" format="97">
      <pivotArea type="data" outline="0" fieldPosition="0">
        <references count="2">
          <reference field="4294967294" count="1" selected="0">
            <x v="0"/>
          </reference>
          <reference field="5" count="1" selected="0">
            <x v="25"/>
          </reference>
        </references>
      </pivotArea>
    </chartFormat>
    <chartFormat chart="2" format="98">
      <pivotArea type="data" outline="0" fieldPosition="0">
        <references count="2">
          <reference field="4294967294" count="1" selected="0">
            <x v="0"/>
          </reference>
          <reference field="5" count="1" selected="0">
            <x v="26"/>
          </reference>
        </references>
      </pivotArea>
    </chartFormat>
    <chartFormat chart="2" format="99">
      <pivotArea type="data" outline="0" fieldPosition="0">
        <references count="2">
          <reference field="4294967294" count="1" selected="0">
            <x v="0"/>
          </reference>
          <reference field="5" count="1" selected="0">
            <x v="27"/>
          </reference>
        </references>
      </pivotArea>
    </chartFormat>
    <chartFormat chart="2" format="100">
      <pivotArea type="data" outline="0" fieldPosition="0">
        <references count="2">
          <reference field="4294967294" count="1" selected="0">
            <x v="0"/>
          </reference>
          <reference field="5" count="1" selected="0">
            <x v="28"/>
          </reference>
        </references>
      </pivotArea>
    </chartFormat>
    <chartFormat chart="2" format="101">
      <pivotArea type="data" outline="0" fieldPosition="0">
        <references count="2">
          <reference field="4294967294" count="1" selected="0">
            <x v="0"/>
          </reference>
          <reference field="5" count="1" selected="0">
            <x v="29"/>
          </reference>
        </references>
      </pivotArea>
    </chartFormat>
    <chartFormat chart="2" format="102">
      <pivotArea type="data" outline="0" fieldPosition="0">
        <references count="2">
          <reference field="4294967294" count="1" selected="0">
            <x v="0"/>
          </reference>
          <reference field="5" count="1" selected="0">
            <x v="30"/>
          </reference>
        </references>
      </pivotArea>
    </chartFormat>
    <chartFormat chart="2" format="103">
      <pivotArea type="data" outline="0" fieldPosition="0">
        <references count="2">
          <reference field="4294967294" count="1" selected="0">
            <x v="0"/>
          </reference>
          <reference field="5" count="1" selected="0">
            <x v="31"/>
          </reference>
        </references>
      </pivotArea>
    </chartFormat>
    <chartFormat chart="2" format="104">
      <pivotArea type="data" outline="0" fieldPosition="0">
        <references count="2">
          <reference field="4294967294" count="1" selected="0">
            <x v="0"/>
          </reference>
          <reference field="5" count="1" selected="0">
            <x v="32"/>
          </reference>
        </references>
      </pivotArea>
    </chartFormat>
    <chartFormat chart="2" format="105">
      <pivotArea type="data" outline="0" fieldPosition="0">
        <references count="2">
          <reference field="4294967294" count="1" selected="0">
            <x v="0"/>
          </reference>
          <reference field="5" count="1" selected="0">
            <x v="33"/>
          </reference>
        </references>
      </pivotArea>
    </chartFormat>
    <chartFormat chart="2" format="106">
      <pivotArea type="data" outline="0" fieldPosition="0">
        <references count="2">
          <reference field="4294967294" count="1" selected="0">
            <x v="0"/>
          </reference>
          <reference field="5" count="1" selected="0">
            <x v="34"/>
          </reference>
        </references>
      </pivotArea>
    </chartFormat>
    <chartFormat chart="2" format="107">
      <pivotArea type="data" outline="0" fieldPosition="0">
        <references count="2">
          <reference field="4294967294" count="1" selected="0">
            <x v="0"/>
          </reference>
          <reference field="5" count="1" selected="0">
            <x v="35"/>
          </reference>
        </references>
      </pivotArea>
    </chartFormat>
    <chartFormat chart="2" format="108">
      <pivotArea type="data" outline="0" fieldPosition="0">
        <references count="2">
          <reference field="4294967294" count="1" selected="0">
            <x v="0"/>
          </reference>
          <reference field="5" count="1" selected="0">
            <x v="36"/>
          </reference>
        </references>
      </pivotArea>
    </chartFormat>
    <chartFormat chart="2" format="109">
      <pivotArea type="data" outline="0" fieldPosition="0">
        <references count="2">
          <reference field="4294967294" count="1" selected="0">
            <x v="0"/>
          </reference>
          <reference field="5" count="1" selected="0">
            <x v="37"/>
          </reference>
        </references>
      </pivotArea>
    </chartFormat>
    <chartFormat chart="2" format="110">
      <pivotArea type="data" outline="0" fieldPosition="0">
        <references count="2">
          <reference field="4294967294" count="1" selected="0">
            <x v="0"/>
          </reference>
          <reference field="5" count="1" selected="0">
            <x v="38"/>
          </reference>
        </references>
      </pivotArea>
    </chartFormat>
    <chartFormat chart="2" format="111">
      <pivotArea type="data" outline="0" fieldPosition="0">
        <references count="2">
          <reference field="4294967294" count="1" selected="0">
            <x v="0"/>
          </reference>
          <reference field="5" count="1" selected="0">
            <x v="39"/>
          </reference>
        </references>
      </pivotArea>
    </chartFormat>
    <chartFormat chart="2" format="112">
      <pivotArea type="data" outline="0" fieldPosition="0">
        <references count="2">
          <reference field="4294967294" count="1" selected="0">
            <x v="0"/>
          </reference>
          <reference field="5" count="1" selected="0">
            <x v="40"/>
          </reference>
        </references>
      </pivotArea>
    </chartFormat>
    <chartFormat chart="2" format="113">
      <pivotArea type="data" outline="0" fieldPosition="0">
        <references count="2">
          <reference field="4294967294" count="1" selected="0">
            <x v="0"/>
          </reference>
          <reference field="5" count="1" selected="0">
            <x v="41"/>
          </reference>
        </references>
      </pivotArea>
    </chartFormat>
    <chartFormat chart="2" format="114">
      <pivotArea type="data" outline="0" fieldPosition="0">
        <references count="2">
          <reference field="4294967294" count="1" selected="0">
            <x v="0"/>
          </reference>
          <reference field="5" count="1" selected="0">
            <x v="42"/>
          </reference>
        </references>
      </pivotArea>
    </chartFormat>
    <chartFormat chart="2" format="115">
      <pivotArea type="data" outline="0" fieldPosition="0">
        <references count="2">
          <reference field="4294967294" count="1" selected="0">
            <x v="0"/>
          </reference>
          <reference field="5" count="1" selected="0">
            <x v="43"/>
          </reference>
        </references>
      </pivotArea>
    </chartFormat>
    <chartFormat chart="2" format="116">
      <pivotArea type="data" outline="0" fieldPosition="0">
        <references count="2">
          <reference field="4294967294" count="1" selected="0">
            <x v="0"/>
          </reference>
          <reference field="5" count="1" selected="0">
            <x v="44"/>
          </reference>
        </references>
      </pivotArea>
    </chartFormat>
    <chartFormat chart="2" format="117">
      <pivotArea type="data" outline="0" fieldPosition="0">
        <references count="2">
          <reference field="4294967294" count="1" selected="0">
            <x v="0"/>
          </reference>
          <reference field="5" count="1" selected="0">
            <x v="45"/>
          </reference>
        </references>
      </pivotArea>
    </chartFormat>
    <chartFormat chart="2" format="118">
      <pivotArea type="data" outline="0" fieldPosition="0">
        <references count="2">
          <reference field="4294967294" count="1" selected="0">
            <x v="0"/>
          </reference>
          <reference field="5" count="1" selected="0">
            <x v="46"/>
          </reference>
        </references>
      </pivotArea>
    </chartFormat>
    <chartFormat chart="2" format="119">
      <pivotArea type="data" outline="0" fieldPosition="0">
        <references count="2">
          <reference field="4294967294" count="1" selected="0">
            <x v="0"/>
          </reference>
          <reference field="5" count="1" selected="0">
            <x v="47"/>
          </reference>
        </references>
      </pivotArea>
    </chartFormat>
    <chartFormat chart="2" format="120">
      <pivotArea type="data" outline="0" fieldPosition="0">
        <references count="2">
          <reference field="4294967294" count="1" selected="0">
            <x v="0"/>
          </reference>
          <reference field="5" count="1" selected="0">
            <x v="48"/>
          </reference>
        </references>
      </pivotArea>
    </chartFormat>
    <chartFormat chart="2" format="121">
      <pivotArea type="data" outline="0" fieldPosition="0">
        <references count="2">
          <reference field="4294967294" count="1" selected="0">
            <x v="0"/>
          </reference>
          <reference field="5" count="1" selected="0">
            <x v="49"/>
          </reference>
        </references>
      </pivotArea>
    </chartFormat>
    <chartFormat chart="2" format="122">
      <pivotArea type="data" outline="0" fieldPosition="0">
        <references count="2">
          <reference field="4294967294" count="1" selected="0">
            <x v="0"/>
          </reference>
          <reference field="5" count="1" selected="0">
            <x v="50"/>
          </reference>
        </references>
      </pivotArea>
    </chartFormat>
    <chartFormat chart="2" format="123">
      <pivotArea type="data" outline="0" fieldPosition="0">
        <references count="2">
          <reference field="4294967294" count="1" selected="0">
            <x v="0"/>
          </reference>
          <reference field="5" count="1" selected="0">
            <x v="51"/>
          </reference>
        </references>
      </pivotArea>
    </chartFormat>
    <chartFormat chart="2" format="124">
      <pivotArea type="data" outline="0" fieldPosition="0">
        <references count="2">
          <reference field="4294967294" count="1" selected="0">
            <x v="0"/>
          </reference>
          <reference field="5" count="1" selected="0">
            <x v="52"/>
          </reference>
        </references>
      </pivotArea>
    </chartFormat>
    <chartFormat chart="2" format="125">
      <pivotArea type="data" outline="0" fieldPosition="0">
        <references count="2">
          <reference field="4294967294" count="1" selected="0">
            <x v="0"/>
          </reference>
          <reference field="5" count="1" selected="0">
            <x v="53"/>
          </reference>
        </references>
      </pivotArea>
    </chartFormat>
    <chartFormat chart="2" format="126">
      <pivotArea type="data" outline="0" fieldPosition="0">
        <references count="2">
          <reference field="4294967294" count="1" selected="0">
            <x v="0"/>
          </reference>
          <reference field="5" count="1" selected="0">
            <x v="54"/>
          </reference>
        </references>
      </pivotArea>
    </chartFormat>
    <chartFormat chart="2" format="127">
      <pivotArea type="data" outline="0" fieldPosition="0">
        <references count="2">
          <reference field="4294967294" count="1" selected="0">
            <x v="0"/>
          </reference>
          <reference field="5" count="1" selected="0">
            <x v="55"/>
          </reference>
        </references>
      </pivotArea>
    </chartFormat>
    <chartFormat chart="2" format="128">
      <pivotArea type="data" outline="0" fieldPosition="0">
        <references count="2">
          <reference field="4294967294" count="1" selected="0">
            <x v="0"/>
          </reference>
          <reference field="5" count="1" selected="0">
            <x v="56"/>
          </reference>
        </references>
      </pivotArea>
    </chartFormat>
    <chartFormat chart="2" format="129">
      <pivotArea type="data" outline="0" fieldPosition="0">
        <references count="2">
          <reference field="4294967294" count="1" selected="0">
            <x v="0"/>
          </reference>
          <reference field="5" count="1" selected="0">
            <x v="57"/>
          </reference>
        </references>
      </pivotArea>
    </chartFormat>
    <chartFormat chart="2" format="130">
      <pivotArea type="data" outline="0" fieldPosition="0">
        <references count="2">
          <reference field="4294967294" count="1" selected="0">
            <x v="0"/>
          </reference>
          <reference field="5" count="1" selected="0">
            <x v="58"/>
          </reference>
        </references>
      </pivotArea>
    </chartFormat>
    <chartFormat chart="2" format="131">
      <pivotArea type="data" outline="0" fieldPosition="0">
        <references count="2">
          <reference field="4294967294" count="1" selected="0">
            <x v="0"/>
          </reference>
          <reference field="5" count="1" selected="0">
            <x v="59"/>
          </reference>
        </references>
      </pivotArea>
    </chartFormat>
    <chartFormat chart="2" format="132">
      <pivotArea type="data" outline="0" fieldPosition="0">
        <references count="2">
          <reference field="4294967294" count="1" selected="0">
            <x v="0"/>
          </reference>
          <reference field="5" count="1" selected="0">
            <x v="60"/>
          </reference>
        </references>
      </pivotArea>
    </chartFormat>
    <chartFormat chart="2" format="133">
      <pivotArea type="data" outline="0" fieldPosition="0">
        <references count="2">
          <reference field="4294967294" count="1" selected="0">
            <x v="0"/>
          </reference>
          <reference field="5" count="1" selected="0">
            <x v="61"/>
          </reference>
        </references>
      </pivotArea>
    </chartFormat>
    <chartFormat chart="2" format="134">
      <pivotArea type="data" outline="0" fieldPosition="0">
        <references count="2">
          <reference field="4294967294" count="1" selected="0">
            <x v="0"/>
          </reference>
          <reference field="5" count="1" selected="0">
            <x v="62"/>
          </reference>
        </references>
      </pivotArea>
    </chartFormat>
    <chartFormat chart="2" format="135">
      <pivotArea type="data" outline="0" fieldPosition="0">
        <references count="2">
          <reference field="4294967294" count="1" selected="0">
            <x v="0"/>
          </reference>
          <reference field="5" count="1" selected="0">
            <x v="63"/>
          </reference>
        </references>
      </pivotArea>
    </chartFormat>
    <chartFormat chart="2" format="136">
      <pivotArea type="data" outline="0" fieldPosition="0">
        <references count="2">
          <reference field="4294967294" count="1" selected="0">
            <x v="0"/>
          </reference>
          <reference field="5" count="1" selected="0">
            <x v="64"/>
          </reference>
        </references>
      </pivotArea>
    </chartFormat>
    <chartFormat chart="2" format="137">
      <pivotArea type="data" outline="0" fieldPosition="0">
        <references count="2">
          <reference field="4294967294" count="1" selected="0">
            <x v="0"/>
          </reference>
          <reference field="5" count="1" selected="0">
            <x v="65"/>
          </reference>
        </references>
      </pivotArea>
    </chartFormat>
    <chartFormat chart="2" format="138">
      <pivotArea type="data" outline="0" fieldPosition="0">
        <references count="2">
          <reference field="4294967294" count="1" selected="0">
            <x v="0"/>
          </reference>
          <reference field="5" count="1" selected="0">
            <x v="66"/>
          </reference>
        </references>
      </pivotArea>
    </chartFormat>
    <chartFormat chart="2" format="139">
      <pivotArea type="data" outline="0" fieldPosition="0">
        <references count="2">
          <reference field="4294967294" count="1" selected="0">
            <x v="0"/>
          </reference>
          <reference field="5" count="1" selected="0">
            <x v="67"/>
          </reference>
        </references>
      </pivotArea>
    </chartFormat>
    <chartFormat chart="2" format="140">
      <pivotArea type="data" outline="0" fieldPosition="0">
        <references count="2">
          <reference field="4294967294" count="1" selected="0">
            <x v="0"/>
          </reference>
          <reference field="5" count="1" selected="0">
            <x v="68"/>
          </reference>
        </references>
      </pivotArea>
    </chartFormat>
    <chartFormat chart="2" format="141">
      <pivotArea type="data" outline="0" fieldPosition="0">
        <references count="2">
          <reference field="4294967294" count="1" selected="0">
            <x v="0"/>
          </reference>
          <reference field="5" count="1" selected="0">
            <x v="7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719D1AD7-CB5D-4301-9C90-ECE2DA55DC39}" name="PivotTable4" cacheId="0" applyNumberFormats="0" applyBorderFormats="0" applyFontFormats="0" applyPatternFormats="0" applyAlignmentFormats="0" applyWidthHeightFormats="1" dataCaption="Values" updatedVersion="7" minRefreshableVersion="3" useAutoFormatting="1" rowGrandTotals="0" colGrandTotals="0" itemPrintTitles="1" createdVersion="7" indent="0" outline="1" outlineData="1" multipleFieldFilters="0" chartFormat="11">
  <location ref="A3:B6" firstHeaderRow="1" firstDataRow="1" firstDataCol="1"/>
  <pivotFields count="11">
    <pivotField showAll="0"/>
    <pivotField showAll="0"/>
    <pivotField showAll="0">
      <items count="18">
        <item x="0"/>
        <item x="3"/>
        <item x="5"/>
        <item x="9"/>
        <item x="14"/>
        <item x="11"/>
        <item x="1"/>
        <item x="2"/>
        <item x="6"/>
        <item x="10"/>
        <item x="12"/>
        <item x="13"/>
        <item x="15"/>
        <item x="7"/>
        <item x="8"/>
        <item x="4"/>
        <item x="16"/>
        <item t="default"/>
      </items>
    </pivotField>
    <pivotField showAll="0"/>
    <pivotField showAll="0"/>
    <pivotField showAll="0"/>
    <pivotField dataField="1" showAll="0"/>
    <pivotField showAll="0">
      <items count="23">
        <item x="0"/>
        <item x="1"/>
        <item x="2"/>
        <item x="3"/>
        <item x="4"/>
        <item x="5"/>
        <item x="6"/>
        <item x="7"/>
        <item x="8"/>
        <item x="9"/>
        <item x="10"/>
        <item x="11"/>
        <item x="12"/>
        <item x="13"/>
        <item x="14"/>
        <item x="15"/>
        <item x="16"/>
        <item x="17"/>
        <item x="18"/>
        <item x="19"/>
        <item x="20"/>
        <item x="21"/>
        <item t="default"/>
      </items>
    </pivotField>
    <pivotField showAll="0">
      <items count="4">
        <item x="0"/>
        <item m="1" x="2"/>
        <item x="1"/>
        <item t="default"/>
      </items>
    </pivotField>
    <pivotField axis="axisRow" showAll="0">
      <items count="5">
        <item x="0"/>
        <item x="1"/>
        <item x="2"/>
        <item m="1" x="3"/>
        <item t="default"/>
      </items>
    </pivotField>
    <pivotField showAll="0">
      <items count="5">
        <item x="1"/>
        <item x="2"/>
        <item x="3"/>
        <item x="0"/>
        <item t="default"/>
      </items>
    </pivotField>
  </pivotFields>
  <rowFields count="1">
    <field x="9"/>
  </rowFields>
  <rowItems count="3">
    <i>
      <x/>
    </i>
    <i>
      <x v="1"/>
    </i>
    <i>
      <x v="2"/>
    </i>
  </rowItems>
  <colItems count="1">
    <i/>
  </colItems>
  <dataFields count="1">
    <dataField name="Count of Height(cm)" fld="6" subtotal="count" baseField="9" baseItem="0"/>
  </dataField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B238C89D-7DAD-4903-9A8D-2F4681DED175}" name="PivotTable8" cacheId="0" applyNumberFormats="0" applyBorderFormats="0" applyFontFormats="0" applyPatternFormats="0" applyAlignmentFormats="0" applyWidthHeightFormats="1" dataCaption="Values" updatedVersion="7" minRefreshableVersion="3" useAutoFormatting="1" rowGrandTotals="0" colGrandTotals="0" itemPrintTitles="1" createdVersion="7" indent="0" outline="1" outlineData="1" multipleFieldFilters="0" chartFormat="18">
  <location ref="G2:H12" firstHeaderRow="1" firstDataRow="1" firstDataCol="1"/>
  <pivotFields count="11">
    <pivotField showAll="0"/>
    <pivotField showAll="0"/>
    <pivotField showAll="0">
      <items count="18">
        <item x="0"/>
        <item x="3"/>
        <item x="5"/>
        <item x="9"/>
        <item x="14"/>
        <item x="11"/>
        <item x="1"/>
        <item x="2"/>
        <item x="6"/>
        <item x="10"/>
        <item x="12"/>
        <item x="13"/>
        <item x="15"/>
        <item x="7"/>
        <item x="8"/>
        <item x="4"/>
        <item x="16"/>
        <item t="default"/>
      </items>
    </pivotField>
    <pivotField showAll="0"/>
    <pivotField axis="axisRow" showAll="0" measureFilter="1">
      <items count="36">
        <item x="29"/>
        <item x="6"/>
        <item x="23"/>
        <item x="14"/>
        <item x="12"/>
        <item x="17"/>
        <item x="3"/>
        <item x="4"/>
        <item x="0"/>
        <item x="1"/>
        <item x="16"/>
        <item x="13"/>
        <item x="5"/>
        <item x="8"/>
        <item x="19"/>
        <item x="2"/>
        <item x="7"/>
        <item x="9"/>
        <item x="21"/>
        <item x="15"/>
        <item x="18"/>
        <item x="10"/>
        <item x="11"/>
        <item x="20"/>
        <item x="24"/>
        <item x="22"/>
        <item x="25"/>
        <item x="26"/>
        <item x="28"/>
        <item x="31"/>
        <item x="30"/>
        <item x="34"/>
        <item x="27"/>
        <item x="32"/>
        <item x="33"/>
        <item t="default"/>
      </items>
    </pivotField>
    <pivotField showAll="0"/>
    <pivotField dataField="1" showAll="0"/>
    <pivotField showAll="0">
      <items count="23">
        <item x="0"/>
        <item x="1"/>
        <item x="2"/>
        <item x="3"/>
        <item x="4"/>
        <item x="5"/>
        <item x="6"/>
        <item x="7"/>
        <item x="8"/>
        <item x="9"/>
        <item x="10"/>
        <item x="11"/>
        <item x="12"/>
        <item x="13"/>
        <item x="14"/>
        <item x="15"/>
        <item x="16"/>
        <item x="17"/>
        <item x="18"/>
        <item x="19"/>
        <item x="20"/>
        <item x="21"/>
        <item t="default"/>
      </items>
    </pivotField>
    <pivotField showAll="0">
      <items count="4">
        <item x="0"/>
        <item m="1" x="2"/>
        <item x="1"/>
        <item t="default"/>
      </items>
    </pivotField>
    <pivotField showAll="0">
      <items count="5">
        <item x="0"/>
        <item x="1"/>
        <item x="2"/>
        <item m="1" x="3"/>
        <item t="default"/>
      </items>
    </pivotField>
    <pivotField showAll="0">
      <items count="5">
        <item x="1"/>
        <item x="2"/>
        <item x="3"/>
        <item x="0"/>
        <item t="default"/>
      </items>
    </pivotField>
  </pivotFields>
  <rowFields count="1">
    <field x="4"/>
  </rowFields>
  <rowItems count="10">
    <i>
      <x/>
    </i>
    <i>
      <x v="26"/>
    </i>
    <i>
      <x v="27"/>
    </i>
    <i>
      <x v="28"/>
    </i>
    <i>
      <x v="29"/>
    </i>
    <i>
      <x v="30"/>
    </i>
    <i>
      <x v="31"/>
    </i>
    <i>
      <x v="32"/>
    </i>
    <i>
      <x v="33"/>
    </i>
    <i>
      <x v="34"/>
    </i>
  </rowItems>
  <colItems count="1">
    <i/>
  </colItems>
  <dataFields count="1">
    <dataField name="Count of Height(cm)" fld="6" subtotal="count" baseField="4" baseItem="32"/>
  </dataFields>
  <chartFormats count="19">
    <chartFormat chart="12" format="35" series="1">
      <pivotArea type="data" outline="0" fieldPosition="0">
        <references count="1">
          <reference field="4294967294" count="1" selected="0">
            <x v="0"/>
          </reference>
        </references>
      </pivotArea>
    </chartFormat>
    <chartFormat chart="12" format="36">
      <pivotArea type="data" outline="0" fieldPosition="0">
        <references count="2">
          <reference field="4294967294" count="1" selected="0">
            <x v="0"/>
          </reference>
          <reference field="4" count="1" selected="0">
            <x v="0"/>
          </reference>
        </references>
      </pivotArea>
    </chartFormat>
    <chartFormat chart="12" format="37">
      <pivotArea type="data" outline="0" fieldPosition="0">
        <references count="2">
          <reference field="4294967294" count="1" selected="0">
            <x v="0"/>
          </reference>
          <reference field="4" count="1" selected="0">
            <x v="26"/>
          </reference>
        </references>
      </pivotArea>
    </chartFormat>
    <chartFormat chart="12" format="38">
      <pivotArea type="data" outline="0" fieldPosition="0">
        <references count="2">
          <reference field="4294967294" count="1" selected="0">
            <x v="0"/>
          </reference>
          <reference field="4" count="1" selected="0">
            <x v="27"/>
          </reference>
        </references>
      </pivotArea>
    </chartFormat>
    <chartFormat chart="12" format="39">
      <pivotArea type="data" outline="0" fieldPosition="0">
        <references count="2">
          <reference field="4294967294" count="1" selected="0">
            <x v="0"/>
          </reference>
          <reference field="4" count="1" selected="0">
            <x v="28"/>
          </reference>
        </references>
      </pivotArea>
    </chartFormat>
    <chartFormat chart="12" format="40">
      <pivotArea type="data" outline="0" fieldPosition="0">
        <references count="2">
          <reference field="4294967294" count="1" selected="0">
            <x v="0"/>
          </reference>
          <reference field="4" count="1" selected="0">
            <x v="29"/>
          </reference>
        </references>
      </pivotArea>
    </chartFormat>
    <chartFormat chart="12" format="41">
      <pivotArea type="data" outline="0" fieldPosition="0">
        <references count="2">
          <reference field="4294967294" count="1" selected="0">
            <x v="0"/>
          </reference>
          <reference field="4" count="1" selected="0">
            <x v="30"/>
          </reference>
        </references>
      </pivotArea>
    </chartFormat>
    <chartFormat chart="12" format="42">
      <pivotArea type="data" outline="0" fieldPosition="0">
        <references count="2">
          <reference field="4294967294" count="1" selected="0">
            <x v="0"/>
          </reference>
          <reference field="4" count="1" selected="0">
            <x v="31"/>
          </reference>
        </references>
      </pivotArea>
    </chartFormat>
    <chartFormat chart="12" format="43">
      <pivotArea type="data" outline="0" fieldPosition="0">
        <references count="2">
          <reference field="4294967294" count="1" selected="0">
            <x v="0"/>
          </reference>
          <reference field="4" count="1" selected="0">
            <x v="32"/>
          </reference>
        </references>
      </pivotArea>
    </chartFormat>
    <chartFormat chart="12" format="44">
      <pivotArea type="data" outline="0" fieldPosition="0">
        <references count="2">
          <reference field="4294967294" count="1" selected="0">
            <x v="0"/>
          </reference>
          <reference field="4" count="1" selected="0">
            <x v="33"/>
          </reference>
        </references>
      </pivotArea>
    </chartFormat>
    <chartFormat chart="12" format="45">
      <pivotArea type="data" outline="0" fieldPosition="0">
        <references count="2">
          <reference field="4294967294" count="1" selected="0">
            <x v="0"/>
          </reference>
          <reference field="4" count="1" selected="0">
            <x v="34"/>
          </reference>
        </references>
      </pivotArea>
    </chartFormat>
    <chartFormat chart="12" format="46">
      <pivotArea type="data" outline="0" fieldPosition="0">
        <references count="2">
          <reference field="4294967294" count="1" selected="0">
            <x v="0"/>
          </reference>
          <reference field="4" count="1" selected="0">
            <x v="3"/>
          </reference>
        </references>
      </pivotArea>
    </chartFormat>
    <chartFormat chart="12" format="47">
      <pivotArea type="data" outline="0" fieldPosition="0">
        <references count="2">
          <reference field="4294967294" count="1" selected="0">
            <x v="0"/>
          </reference>
          <reference field="4" count="1" selected="0">
            <x v="4"/>
          </reference>
        </references>
      </pivotArea>
    </chartFormat>
    <chartFormat chart="12" format="48">
      <pivotArea type="data" outline="0" fieldPosition="0">
        <references count="2">
          <reference field="4294967294" count="1" selected="0">
            <x v="0"/>
          </reference>
          <reference field="4" count="1" selected="0">
            <x v="19"/>
          </reference>
        </references>
      </pivotArea>
    </chartFormat>
    <chartFormat chart="12" format="49">
      <pivotArea type="data" outline="0" fieldPosition="0">
        <references count="2">
          <reference field="4294967294" count="1" selected="0">
            <x v="0"/>
          </reference>
          <reference field="4" count="1" selected="0">
            <x v="21"/>
          </reference>
        </references>
      </pivotArea>
    </chartFormat>
    <chartFormat chart="12" format="50">
      <pivotArea type="data" outline="0" fieldPosition="0">
        <references count="2">
          <reference field="4294967294" count="1" selected="0">
            <x v="0"/>
          </reference>
          <reference field="4" count="1" selected="0">
            <x v="22"/>
          </reference>
        </references>
      </pivotArea>
    </chartFormat>
    <chartFormat chart="12" format="51">
      <pivotArea type="data" outline="0" fieldPosition="0">
        <references count="2">
          <reference field="4294967294" count="1" selected="0">
            <x v="0"/>
          </reference>
          <reference field="4" count="1" selected="0">
            <x v="23"/>
          </reference>
        </references>
      </pivotArea>
    </chartFormat>
    <chartFormat chart="12" format="52">
      <pivotArea type="data" outline="0" fieldPosition="0">
        <references count="2">
          <reference field="4294967294" count="1" selected="0">
            <x v="0"/>
          </reference>
          <reference field="4" count="1" selected="0">
            <x v="24"/>
          </reference>
        </references>
      </pivotArea>
    </chartFormat>
    <chartFormat chart="12" format="53">
      <pivotArea type="data" outline="0" fieldPosition="0">
        <references count="2">
          <reference field="4294967294" count="1" selected="0">
            <x v="0"/>
          </reference>
          <reference field="4" count="1" selected="0">
            <x v="25"/>
          </reference>
        </references>
      </pivotArea>
    </chartFormat>
  </chartFormats>
  <pivotTableStyleInfo name="PivotStyleLight16" showRowHeaders="1" showColHeaders="1" showRowStripes="0" showColStripes="0" showLastColumn="1"/>
  <filters count="1">
    <filter fld="4" type="count" evalOrder="-1" id="2" iMeasureFld="0">
      <autoFilter ref="A1">
        <filterColumn colId="0">
          <top10 top="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4D818138-597C-48F0-95FD-B017277B0A26}" name="PivotTable6" cacheId="0" applyNumberFormats="0" applyBorderFormats="0" applyFontFormats="0" applyPatternFormats="0" applyAlignmentFormats="0" applyWidthHeightFormats="1" dataCaption="Values" updatedVersion="7" minRefreshableVersion="3" useAutoFormatting="1" rowGrandTotals="0" colGrandTotals="0" itemPrintTitles="1" createdVersion="7" indent="0" outline="1" outlineData="1" multipleFieldFilters="0" chartFormat="13">
  <location ref="A2:B37" firstHeaderRow="1" firstDataRow="1" firstDataCol="1"/>
  <pivotFields count="11">
    <pivotField showAll="0"/>
    <pivotField showAll="0"/>
    <pivotField showAll="0">
      <items count="18">
        <item x="0"/>
        <item x="3"/>
        <item x="5"/>
        <item x="9"/>
        <item x="14"/>
        <item x="11"/>
        <item x="1"/>
        <item x="2"/>
        <item x="6"/>
        <item x="10"/>
        <item x="12"/>
        <item x="13"/>
        <item x="15"/>
        <item x="7"/>
        <item x="8"/>
        <item x="4"/>
        <item x="16"/>
        <item t="default"/>
      </items>
    </pivotField>
    <pivotField showAll="0"/>
    <pivotField axis="axisRow" showAll="0">
      <items count="36">
        <item x="29"/>
        <item x="6"/>
        <item x="23"/>
        <item x="14"/>
        <item x="12"/>
        <item x="17"/>
        <item x="3"/>
        <item x="4"/>
        <item x="0"/>
        <item x="1"/>
        <item x="16"/>
        <item x="13"/>
        <item x="5"/>
        <item x="8"/>
        <item x="19"/>
        <item x="2"/>
        <item x="7"/>
        <item x="9"/>
        <item x="21"/>
        <item x="15"/>
        <item x="18"/>
        <item x="10"/>
        <item x="11"/>
        <item x="20"/>
        <item x="24"/>
        <item x="22"/>
        <item x="25"/>
        <item x="26"/>
        <item x="28"/>
        <item x="31"/>
        <item x="30"/>
        <item x="34"/>
        <item x="27"/>
        <item x="32"/>
        <item x="33"/>
        <item t="default"/>
      </items>
    </pivotField>
    <pivotField showAll="0"/>
    <pivotField dataField="1" showAll="0"/>
    <pivotField showAll="0">
      <items count="23">
        <item x="0"/>
        <item x="1"/>
        <item x="2"/>
        <item x="3"/>
        <item x="4"/>
        <item x="5"/>
        <item x="6"/>
        <item x="7"/>
        <item x="8"/>
        <item x="9"/>
        <item x="10"/>
        <item x="11"/>
        <item x="12"/>
        <item x="13"/>
        <item x="14"/>
        <item x="15"/>
        <item x="16"/>
        <item x="17"/>
        <item x="18"/>
        <item x="19"/>
        <item x="20"/>
        <item x="21"/>
        <item t="default"/>
      </items>
    </pivotField>
    <pivotField showAll="0">
      <items count="4">
        <item x="0"/>
        <item m="1" x="2"/>
        <item x="1"/>
        <item t="default"/>
      </items>
    </pivotField>
    <pivotField showAll="0"/>
    <pivotField showAll="0">
      <items count="5">
        <item x="1"/>
        <item x="2"/>
        <item x="3"/>
        <item x="0"/>
        <item t="default"/>
      </items>
    </pivotField>
  </pivotFields>
  <rowFields count="1">
    <field x="4"/>
  </rowFields>
  <rowItems count="35">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rowItems>
  <colItems count="1">
    <i/>
  </colItems>
  <dataFields count="1">
    <dataField name="Count of Height(cm)" fld="6" subtotal="count" baseField="4" baseItem="0"/>
  </dataFields>
  <chartFormats count="1">
    <chartFormat chart="8"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26725264-38B4-41A4-AB83-5B8478D6DE5E}" name="PivotTable7" cacheId="0" applyNumberFormats="0" applyBorderFormats="0" applyFontFormats="0" applyPatternFormats="0" applyAlignmentFormats="0" applyWidthHeightFormats="1" dataCaption="Values" updatedVersion="7" minRefreshableVersion="3" useAutoFormatting="1" rowGrandTotals="0" colGrandTotals="0" itemPrintTitles="1" createdVersion="7" indent="0" outline="1" outlineData="1" multipleFieldFilters="0" chartFormat="13">
  <location ref="D2:E12" firstHeaderRow="1" firstDataRow="1" firstDataCol="1"/>
  <pivotFields count="11">
    <pivotField showAll="0"/>
    <pivotField showAll="0"/>
    <pivotField showAll="0">
      <items count="18">
        <item x="0"/>
        <item x="3"/>
        <item x="5"/>
        <item x="9"/>
        <item x="14"/>
        <item x="11"/>
        <item x="1"/>
        <item x="2"/>
        <item x="6"/>
        <item x="10"/>
        <item x="12"/>
        <item x="13"/>
        <item x="15"/>
        <item x="7"/>
        <item x="8"/>
        <item x="4"/>
        <item x="16"/>
        <item t="default"/>
      </items>
    </pivotField>
    <pivotField showAll="0"/>
    <pivotField axis="axisRow" showAll="0" measureFilter="1">
      <items count="36">
        <item x="29"/>
        <item x="6"/>
        <item x="23"/>
        <item x="14"/>
        <item x="12"/>
        <item x="17"/>
        <item x="3"/>
        <item x="4"/>
        <item x="0"/>
        <item x="1"/>
        <item x="16"/>
        <item x="13"/>
        <item x="5"/>
        <item x="8"/>
        <item x="19"/>
        <item x="2"/>
        <item x="7"/>
        <item x="9"/>
        <item x="21"/>
        <item x="15"/>
        <item x="18"/>
        <item x="10"/>
        <item x="11"/>
        <item x="20"/>
        <item x="24"/>
        <item x="22"/>
        <item x="25"/>
        <item x="26"/>
        <item x="28"/>
        <item x="31"/>
        <item x="30"/>
        <item x="34"/>
        <item x="27"/>
        <item x="32"/>
        <item x="33"/>
        <item t="default"/>
      </items>
    </pivotField>
    <pivotField showAll="0"/>
    <pivotField dataField="1" showAll="0"/>
    <pivotField showAll="0">
      <items count="23">
        <item x="0"/>
        <item x="1"/>
        <item x="2"/>
        <item x="3"/>
        <item x="4"/>
        <item x="5"/>
        <item x="6"/>
        <item x="7"/>
        <item x="8"/>
        <item x="9"/>
        <item x="10"/>
        <item x="11"/>
        <item x="12"/>
        <item x="13"/>
        <item x="14"/>
        <item x="15"/>
        <item x="16"/>
        <item x="17"/>
        <item x="18"/>
        <item x="19"/>
        <item x="20"/>
        <item x="21"/>
        <item t="default"/>
      </items>
    </pivotField>
    <pivotField showAll="0">
      <items count="4">
        <item x="0"/>
        <item m="1" x="2"/>
        <item x="1"/>
        <item t="default"/>
      </items>
    </pivotField>
    <pivotField showAll="0">
      <items count="5">
        <item x="0"/>
        <item x="1"/>
        <item x="2"/>
        <item m="1" x="3"/>
        <item t="default"/>
      </items>
    </pivotField>
    <pivotField showAll="0">
      <items count="5">
        <item x="1"/>
        <item x="2"/>
        <item x="3"/>
        <item x="0"/>
        <item t="default"/>
      </items>
    </pivotField>
  </pivotFields>
  <rowFields count="1">
    <field x="4"/>
  </rowFields>
  <rowItems count="10">
    <i>
      <x v="5"/>
    </i>
    <i>
      <x v="6"/>
    </i>
    <i>
      <x v="7"/>
    </i>
    <i>
      <x v="8"/>
    </i>
    <i>
      <x v="9"/>
    </i>
    <i>
      <x v="10"/>
    </i>
    <i>
      <x v="11"/>
    </i>
    <i>
      <x v="12"/>
    </i>
    <i>
      <x v="13"/>
    </i>
    <i>
      <x v="14"/>
    </i>
  </rowItems>
  <colItems count="1">
    <i/>
  </colItems>
  <dataFields count="1">
    <dataField name="Count of Height(cm)" fld="6" subtotal="count" baseField="4" baseItem="31"/>
  </dataFields>
  <chartFormats count="12">
    <chartFormat chart="8" format="35" series="1">
      <pivotArea type="data" outline="0" fieldPosition="0">
        <references count="1">
          <reference field="4294967294" count="1" selected="0">
            <x v="0"/>
          </reference>
        </references>
      </pivotArea>
    </chartFormat>
    <chartFormat chart="8" format="36">
      <pivotArea type="data" outline="0" fieldPosition="0">
        <references count="2">
          <reference field="4294967294" count="1" selected="0">
            <x v="0"/>
          </reference>
          <reference field="4" count="1" selected="0">
            <x v="5"/>
          </reference>
        </references>
      </pivotArea>
    </chartFormat>
    <chartFormat chart="8" format="37">
      <pivotArea type="data" outline="0" fieldPosition="0">
        <references count="2">
          <reference field="4294967294" count="1" selected="0">
            <x v="0"/>
          </reference>
          <reference field="4" count="1" selected="0">
            <x v="6"/>
          </reference>
        </references>
      </pivotArea>
    </chartFormat>
    <chartFormat chart="8" format="38">
      <pivotArea type="data" outline="0" fieldPosition="0">
        <references count="2">
          <reference field="4294967294" count="1" selected="0">
            <x v="0"/>
          </reference>
          <reference field="4" count="1" selected="0">
            <x v="7"/>
          </reference>
        </references>
      </pivotArea>
    </chartFormat>
    <chartFormat chart="8" format="39">
      <pivotArea type="data" outline="0" fieldPosition="0">
        <references count="2">
          <reference field="4294967294" count="1" selected="0">
            <x v="0"/>
          </reference>
          <reference field="4" count="1" selected="0">
            <x v="8"/>
          </reference>
        </references>
      </pivotArea>
    </chartFormat>
    <chartFormat chart="8" format="40">
      <pivotArea type="data" outline="0" fieldPosition="0">
        <references count="2">
          <reference field="4294967294" count="1" selected="0">
            <x v="0"/>
          </reference>
          <reference field="4" count="1" selected="0">
            <x v="9"/>
          </reference>
        </references>
      </pivotArea>
    </chartFormat>
    <chartFormat chart="8" format="41">
      <pivotArea type="data" outline="0" fieldPosition="0">
        <references count="2">
          <reference field="4294967294" count="1" selected="0">
            <x v="0"/>
          </reference>
          <reference field="4" count="1" selected="0">
            <x v="10"/>
          </reference>
        </references>
      </pivotArea>
    </chartFormat>
    <chartFormat chart="8" format="42">
      <pivotArea type="data" outline="0" fieldPosition="0">
        <references count="2">
          <reference field="4294967294" count="1" selected="0">
            <x v="0"/>
          </reference>
          <reference field="4" count="1" selected="0">
            <x v="11"/>
          </reference>
        </references>
      </pivotArea>
    </chartFormat>
    <chartFormat chart="8" format="43">
      <pivotArea type="data" outline="0" fieldPosition="0">
        <references count="2">
          <reference field="4294967294" count="1" selected="0">
            <x v="0"/>
          </reference>
          <reference field="4" count="1" selected="0">
            <x v="12"/>
          </reference>
        </references>
      </pivotArea>
    </chartFormat>
    <chartFormat chart="8" format="44">
      <pivotArea type="data" outline="0" fieldPosition="0">
        <references count="2">
          <reference field="4294967294" count="1" selected="0">
            <x v="0"/>
          </reference>
          <reference field="4" count="1" selected="0">
            <x v="13"/>
          </reference>
        </references>
      </pivotArea>
    </chartFormat>
    <chartFormat chart="8" format="45">
      <pivotArea type="data" outline="0" fieldPosition="0">
        <references count="2">
          <reference field="4294967294" count="1" selected="0">
            <x v="0"/>
          </reference>
          <reference field="4" count="1" selected="0">
            <x v="14"/>
          </reference>
        </references>
      </pivotArea>
    </chartFormat>
    <chartFormat chart="8" format="46">
      <pivotArea type="data" outline="0" fieldPosition="0">
        <references count="2">
          <reference field="4294967294" count="1" selected="0">
            <x v="0"/>
          </reference>
          <reference field="4" count="1" selected="0">
            <x v="15"/>
          </reference>
        </references>
      </pivotArea>
    </chartFormat>
  </chartFormats>
  <pivotTableStyleInfo name="PivotStyleLight16" showRowHeaders="1" showColHeaders="1" showRowStripes="0" showColStripes="0" showLastColumn="1"/>
  <filters count="1">
    <filter fld="4" type="count" evalOrder="-1" id="2"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1482877C-CA42-4D08-A6AD-FD7CA4CA5137}" name="PivotTable2" cacheId="0" applyNumberFormats="0" applyBorderFormats="0" applyFontFormats="0" applyPatternFormats="0" applyAlignmentFormats="0" applyWidthHeightFormats="1" dataCaption="Values" updatedVersion="7" minRefreshableVersion="3" useAutoFormatting="1" rowGrandTotals="0" colGrandTotals="0" itemPrintTitles="1" createdVersion="7" indent="0" outline="1" outlineData="1" multipleFieldFilters="0" chartFormat="7">
  <location ref="A3:C23" firstHeaderRow="0" firstDataRow="1" firstDataCol="1"/>
  <pivotFields count="11">
    <pivotField showAll="0"/>
    <pivotField showAll="0"/>
    <pivotField showAll="0">
      <items count="18">
        <item x="0"/>
        <item x="3"/>
        <item x="5"/>
        <item x="9"/>
        <item x="14"/>
        <item x="11"/>
        <item x="1"/>
        <item x="2"/>
        <item x="6"/>
        <item x="10"/>
        <item x="12"/>
        <item x="13"/>
        <item x="15"/>
        <item x="7"/>
        <item x="8"/>
        <item x="4"/>
        <item x="16"/>
        <item t="default"/>
      </items>
    </pivotField>
    <pivotField showAll="0">
      <items count="84">
        <item x="78"/>
        <item x="61"/>
        <item x="50"/>
        <item x="52"/>
        <item x="66"/>
        <item x="15"/>
        <item x="32"/>
        <item x="30"/>
        <item x="4"/>
        <item x="55"/>
        <item x="67"/>
        <item x="59"/>
        <item x="43"/>
        <item x="13"/>
        <item x="7"/>
        <item x="79"/>
        <item x="28"/>
        <item x="44"/>
        <item x="65"/>
        <item x="81"/>
        <item x="39"/>
        <item x="70"/>
        <item x="26"/>
        <item x="12"/>
        <item x="49"/>
        <item x="77"/>
        <item x="10"/>
        <item x="16"/>
        <item x="3"/>
        <item x="8"/>
        <item x="68"/>
        <item x="11"/>
        <item x="46"/>
        <item x="56"/>
        <item x="34"/>
        <item x="36"/>
        <item x="57"/>
        <item x="58"/>
        <item x="29"/>
        <item x="71"/>
        <item x="19"/>
        <item x="60"/>
        <item x="22"/>
        <item x="21"/>
        <item x="37"/>
        <item x="72"/>
        <item x="20"/>
        <item x="6"/>
        <item x="35"/>
        <item x="69"/>
        <item x="45"/>
        <item x="80"/>
        <item x="27"/>
        <item x="53"/>
        <item x="62"/>
        <item x="63"/>
        <item x="23"/>
        <item x="75"/>
        <item x="33"/>
        <item x="38"/>
        <item x="73"/>
        <item x="17"/>
        <item x="0"/>
        <item x="40"/>
        <item x="25"/>
        <item x="76"/>
        <item x="18"/>
        <item x="5"/>
        <item x="41"/>
        <item x="74"/>
        <item x="51"/>
        <item x="24"/>
        <item x="31"/>
        <item x="64"/>
        <item x="42"/>
        <item x="48"/>
        <item x="14"/>
        <item x="9"/>
        <item x="82"/>
        <item x="47"/>
        <item x="2"/>
        <item x="1"/>
        <item x="54"/>
        <item t="default"/>
      </items>
    </pivotField>
    <pivotField showAll="0"/>
    <pivotField dataField="1" showAll="0"/>
    <pivotField dataField="1" showAll="0"/>
    <pivotField axis="axisRow" showAll="0">
      <items count="23">
        <item x="0"/>
        <item x="1"/>
        <item x="2"/>
        <item x="3"/>
        <item x="4"/>
        <item x="5"/>
        <item x="6"/>
        <item x="7"/>
        <item x="8"/>
        <item x="9"/>
        <item x="10"/>
        <item x="11"/>
        <item x="12"/>
        <item x="13"/>
        <item x="14"/>
        <item x="15"/>
        <item x="16"/>
        <item x="17"/>
        <item x="18"/>
        <item x="19"/>
        <item x="20"/>
        <item x="21"/>
        <item t="default"/>
      </items>
    </pivotField>
    <pivotField showAll="0">
      <items count="4">
        <item x="0"/>
        <item m="1" x="2"/>
        <item x="1"/>
        <item t="default"/>
      </items>
    </pivotField>
    <pivotField showAll="0">
      <items count="5">
        <item x="0"/>
        <item x="1"/>
        <item x="2"/>
        <item m="1" x="3"/>
        <item t="default"/>
      </items>
    </pivotField>
    <pivotField showAll="0">
      <items count="5">
        <item x="1"/>
        <item x="2"/>
        <item x="3"/>
        <item x="0"/>
        <item t="default"/>
      </items>
    </pivotField>
  </pivotFields>
  <rowFields count="1">
    <field x="7"/>
  </rowFields>
  <rowItems count="20">
    <i>
      <x v="1"/>
    </i>
    <i>
      <x v="2"/>
    </i>
    <i>
      <x v="3"/>
    </i>
    <i>
      <x v="4"/>
    </i>
    <i>
      <x v="5"/>
    </i>
    <i>
      <x v="6"/>
    </i>
    <i>
      <x v="7"/>
    </i>
    <i>
      <x v="8"/>
    </i>
    <i>
      <x v="9"/>
    </i>
    <i>
      <x v="10"/>
    </i>
    <i>
      <x v="11"/>
    </i>
    <i>
      <x v="12"/>
    </i>
    <i>
      <x v="13"/>
    </i>
    <i>
      <x v="14"/>
    </i>
    <i>
      <x v="15"/>
    </i>
    <i>
      <x v="16"/>
    </i>
    <i>
      <x v="17"/>
    </i>
    <i>
      <x v="18"/>
    </i>
    <i>
      <x v="19"/>
    </i>
    <i>
      <x v="21"/>
    </i>
  </rowItems>
  <colFields count="1">
    <field x="-2"/>
  </colFields>
  <colItems count="2">
    <i>
      <x/>
    </i>
    <i i="1">
      <x v="1"/>
    </i>
  </colItems>
  <dataFields count="2">
    <dataField name="Average of Weight(kg)" fld="5" subtotal="average" baseField="7" baseItem="0"/>
    <dataField name="Average of Height(cm)" fld="6" subtotal="average" baseField="7" baseItem="0"/>
  </dataField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2" format="4" series="1">
      <pivotArea type="data" outline="0" fieldPosition="0">
        <references count="1">
          <reference field="4294967294" count="1" selected="0">
            <x v="0"/>
          </reference>
        </references>
      </pivotArea>
    </chartFormat>
    <chartFormat chart="2"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6A575FDA-9913-4315-8158-229FB63119C9}" name="PivotTable5" cacheId="0" applyNumberFormats="0" applyBorderFormats="0" applyFontFormats="0" applyPatternFormats="0" applyAlignmentFormats="0" applyWidthHeightFormats="1" dataCaption="Values" updatedVersion="7" minRefreshableVersion="3" useAutoFormatting="1" rowGrandTotals="0" colGrandTotals="0" itemPrintTitles="1" createdVersion="7" indent="0" outline="1" outlineData="1" multipleFieldFilters="0" chartFormat="10">
  <location ref="A3:B20" firstHeaderRow="1" firstDataRow="1" firstDataCol="1"/>
  <pivotFields count="11">
    <pivotField showAll="0"/>
    <pivotField showAll="0"/>
    <pivotField axis="axisRow" showAll="0">
      <items count="18">
        <item x="0"/>
        <item x="3"/>
        <item x="5"/>
        <item x="9"/>
        <item x="14"/>
        <item x="11"/>
        <item x="1"/>
        <item x="2"/>
        <item x="6"/>
        <item x="10"/>
        <item x="12"/>
        <item x="13"/>
        <item x="15"/>
        <item x="7"/>
        <item x="8"/>
        <item x="4"/>
        <item x="16"/>
        <item t="default"/>
      </items>
    </pivotField>
    <pivotField showAll="0"/>
    <pivotField showAll="0"/>
    <pivotField showAll="0"/>
    <pivotField showAll="0"/>
    <pivotField dataField="1" numFmtId="164" showAll="0"/>
    <pivotField showAll="0">
      <items count="4">
        <item x="0"/>
        <item m="1" x="2"/>
        <item x="1"/>
        <item t="default"/>
      </items>
    </pivotField>
    <pivotField showAll="0">
      <items count="5">
        <item x="0"/>
        <item x="1"/>
        <item x="2"/>
        <item m="1" x="3"/>
        <item t="default"/>
      </items>
    </pivotField>
    <pivotField showAll="0">
      <items count="5">
        <item x="1"/>
        <item x="2"/>
        <item x="3"/>
        <item x="0"/>
        <item t="default"/>
      </items>
    </pivotField>
  </pivotFields>
  <rowFields count="1">
    <field x="2"/>
  </rowFields>
  <rowItems count="17">
    <i>
      <x/>
    </i>
    <i>
      <x v="1"/>
    </i>
    <i>
      <x v="2"/>
    </i>
    <i>
      <x v="3"/>
    </i>
    <i>
      <x v="4"/>
    </i>
    <i>
      <x v="5"/>
    </i>
    <i>
      <x v="6"/>
    </i>
    <i>
      <x v="7"/>
    </i>
    <i>
      <x v="8"/>
    </i>
    <i>
      <x v="9"/>
    </i>
    <i>
      <x v="10"/>
    </i>
    <i>
      <x v="11"/>
    </i>
    <i>
      <x v="12"/>
    </i>
    <i>
      <x v="13"/>
    </i>
    <i>
      <x v="14"/>
    </i>
    <i>
      <x v="15"/>
    </i>
    <i>
      <x v="16"/>
    </i>
  </rowItems>
  <colItems count="1">
    <i/>
  </colItems>
  <dataFields count="1">
    <dataField name="Average of BMI" fld="7" subtotal="average" baseField="2" baseItem="0"/>
  </dataField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7AACA013-FFDA-4FE4-9DC6-1AED97FD44BF}" name="PivotTable7" cacheId="0" applyNumberFormats="0" applyBorderFormats="0" applyFontFormats="0" applyPatternFormats="0" applyAlignmentFormats="0" applyWidthHeightFormats="1" dataCaption="Values" updatedVersion="7" minRefreshableVersion="3" useAutoFormatting="1" rowGrandTotals="0" colGrandTotals="0" itemPrintTitles="1" createdVersion="7" indent="0" outline="1" outlineData="1" multipleFieldFilters="0" chartFormat="3">
  <location ref="D3:E8" firstHeaderRow="1" firstDataRow="1" firstDataCol="1"/>
  <pivotFields count="11">
    <pivotField showAll="0"/>
    <pivotField showAll="0"/>
    <pivotField showAll="0">
      <items count="18">
        <item x="0"/>
        <item x="3"/>
        <item x="5"/>
        <item x="9"/>
        <item x="14"/>
        <item x="11"/>
        <item x="1"/>
        <item x="2"/>
        <item x="6"/>
        <item x="10"/>
        <item x="12"/>
        <item x="13"/>
        <item x="15"/>
        <item x="7"/>
        <item x="8"/>
        <item x="4"/>
        <item x="16"/>
        <item t="default"/>
      </items>
    </pivotField>
    <pivotField showAll="0"/>
    <pivotField axis="axisRow" showAll="0" measureFilter="1">
      <items count="36">
        <item x="29"/>
        <item x="6"/>
        <item x="23"/>
        <item x="14"/>
        <item x="12"/>
        <item x="17"/>
        <item x="3"/>
        <item x="4"/>
        <item x="0"/>
        <item x="1"/>
        <item x="16"/>
        <item x="13"/>
        <item x="5"/>
        <item x="8"/>
        <item x="19"/>
        <item x="2"/>
        <item x="7"/>
        <item x="9"/>
        <item x="21"/>
        <item x="15"/>
        <item x="18"/>
        <item x="10"/>
        <item x="11"/>
        <item x="20"/>
        <item x="24"/>
        <item x="22"/>
        <item x="25"/>
        <item x="26"/>
        <item x="28"/>
        <item x="31"/>
        <item x="30"/>
        <item x="34"/>
        <item x="27"/>
        <item x="32"/>
        <item x="33"/>
        <item t="default"/>
      </items>
    </pivotField>
    <pivotField showAll="0"/>
    <pivotField showAll="0"/>
    <pivotField dataField="1" numFmtId="164" showAll="0"/>
    <pivotField showAll="0">
      <items count="4">
        <item x="0"/>
        <item m="1" x="2"/>
        <item x="1"/>
        <item t="default"/>
      </items>
    </pivotField>
    <pivotField showAll="0">
      <items count="5">
        <item x="0"/>
        <item x="1"/>
        <item x="2"/>
        <item m="1" x="3"/>
        <item t="default"/>
      </items>
    </pivotField>
    <pivotField showAll="0">
      <items count="5">
        <item x="1"/>
        <item x="2"/>
        <item x="3"/>
        <item x="0"/>
        <item t="default"/>
      </items>
    </pivotField>
  </pivotFields>
  <rowFields count="1">
    <field x="4"/>
  </rowFields>
  <rowItems count="5">
    <i>
      <x v="26"/>
    </i>
    <i>
      <x v="31"/>
    </i>
    <i>
      <x v="32"/>
    </i>
    <i>
      <x v="33"/>
    </i>
    <i>
      <x v="34"/>
    </i>
  </rowItems>
  <colItems count="1">
    <i/>
  </colItems>
  <dataFields count="1">
    <dataField name="Count of BMI" fld="7" subtotal="count" baseField="0" baseItem="0"/>
  </dataFields>
  <chartFormats count="18">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1" format="2">
      <pivotArea type="data" outline="0" fieldPosition="0">
        <references count="2">
          <reference field="4294967294" count="1" selected="0">
            <x v="0"/>
          </reference>
          <reference field="4" count="1" selected="0">
            <x v="26"/>
          </reference>
        </references>
      </pivotArea>
    </chartFormat>
    <chartFormat chart="1" format="3">
      <pivotArea type="data" outline="0" fieldPosition="0">
        <references count="2">
          <reference field="4294967294" count="1" selected="0">
            <x v="0"/>
          </reference>
          <reference field="4" count="1" selected="0">
            <x v="31"/>
          </reference>
        </references>
      </pivotArea>
    </chartFormat>
    <chartFormat chart="1" format="4">
      <pivotArea type="data" outline="0" fieldPosition="0">
        <references count="2">
          <reference field="4294967294" count="1" selected="0">
            <x v="0"/>
          </reference>
          <reference field="4" count="1" selected="0">
            <x v="32"/>
          </reference>
        </references>
      </pivotArea>
    </chartFormat>
    <chartFormat chart="1" format="5">
      <pivotArea type="data" outline="0" fieldPosition="0">
        <references count="2">
          <reference field="4294967294" count="1" selected="0">
            <x v="0"/>
          </reference>
          <reference field="4" count="1" selected="0">
            <x v="33"/>
          </reference>
        </references>
      </pivotArea>
    </chartFormat>
    <chartFormat chart="1" format="6">
      <pivotArea type="data" outline="0" fieldPosition="0">
        <references count="2">
          <reference field="4294967294" count="1" selected="0">
            <x v="0"/>
          </reference>
          <reference field="4" count="1" selected="0">
            <x v="34"/>
          </reference>
        </references>
      </pivotArea>
    </chartFormat>
    <chartFormat chart="2" format="7" series="1">
      <pivotArea type="data" outline="0" fieldPosition="0">
        <references count="1">
          <reference field="4294967294" count="1" selected="0">
            <x v="0"/>
          </reference>
        </references>
      </pivotArea>
    </chartFormat>
    <chartFormat chart="2" format="8">
      <pivotArea type="data" outline="0" fieldPosition="0">
        <references count="2">
          <reference field="4294967294" count="1" selected="0">
            <x v="0"/>
          </reference>
          <reference field="4" count="1" selected="0">
            <x v="26"/>
          </reference>
        </references>
      </pivotArea>
    </chartFormat>
    <chartFormat chart="2" format="9">
      <pivotArea type="data" outline="0" fieldPosition="0">
        <references count="2">
          <reference field="4294967294" count="1" selected="0">
            <x v="0"/>
          </reference>
          <reference field="4" count="1" selected="0">
            <x v="31"/>
          </reference>
        </references>
      </pivotArea>
    </chartFormat>
    <chartFormat chart="2" format="10">
      <pivotArea type="data" outline="0" fieldPosition="0">
        <references count="2">
          <reference field="4294967294" count="1" selected="0">
            <x v="0"/>
          </reference>
          <reference field="4" count="1" selected="0">
            <x v="32"/>
          </reference>
        </references>
      </pivotArea>
    </chartFormat>
    <chartFormat chart="2" format="11">
      <pivotArea type="data" outline="0" fieldPosition="0">
        <references count="2">
          <reference field="4294967294" count="1" selected="0">
            <x v="0"/>
          </reference>
          <reference field="4" count="1" selected="0">
            <x v="33"/>
          </reference>
        </references>
      </pivotArea>
    </chartFormat>
    <chartFormat chart="2" format="12">
      <pivotArea type="data" outline="0" fieldPosition="0">
        <references count="2">
          <reference field="4294967294" count="1" selected="0">
            <x v="0"/>
          </reference>
          <reference field="4" count="1" selected="0">
            <x v="34"/>
          </reference>
        </references>
      </pivotArea>
    </chartFormat>
    <chartFormat chart="2" format="13">
      <pivotArea type="data" outline="0" fieldPosition="0">
        <references count="2">
          <reference field="4294967294" count="1" selected="0">
            <x v="0"/>
          </reference>
          <reference field="4" count="1" selected="0">
            <x v="22"/>
          </reference>
        </references>
      </pivotArea>
    </chartFormat>
    <chartFormat chart="2" format="14">
      <pivotArea type="data" outline="0" fieldPosition="0">
        <references count="2">
          <reference field="4294967294" count="1" selected="0">
            <x v="0"/>
          </reference>
          <reference field="4" count="1" selected="0">
            <x v="23"/>
          </reference>
        </references>
      </pivotArea>
    </chartFormat>
    <chartFormat chart="2" format="15">
      <pivotArea type="data" outline="0" fieldPosition="0">
        <references count="2">
          <reference field="4294967294" count="1" selected="0">
            <x v="0"/>
          </reference>
          <reference field="4" count="1" selected="0">
            <x v="25"/>
          </reference>
        </references>
      </pivotArea>
    </chartFormat>
    <chartFormat chart="2" format="16">
      <pivotArea type="data" outline="0" fieldPosition="0">
        <references count="2">
          <reference field="4294967294" count="1" selected="0">
            <x v="0"/>
          </reference>
          <reference field="4" count="1" selected="0">
            <x v="27"/>
          </reference>
        </references>
      </pivotArea>
    </chartFormat>
    <chartFormat chart="2" format="17">
      <pivotArea type="data" outline="0" fieldPosition="0">
        <references count="2">
          <reference field="4294967294" count="1" selected="0">
            <x v="0"/>
          </reference>
          <reference field="4" count="1" selected="0">
            <x v="30"/>
          </reference>
        </references>
      </pivotArea>
    </chartFormat>
  </chartFormats>
  <pivotTableStyleInfo name="PivotStyleLight16" showRowHeaders="1" showColHeaders="1" showRowStripes="0" showColStripes="0" showLastColumn="1"/>
  <filters count="1">
    <filter fld="4" type="count" evalOrder="-1" id="1" iMeasureFld="0">
      <autoFilter ref="A1">
        <filterColumn colId="0">
          <top10 top="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762A2DAE-AA06-4D2D-926C-4575A6083C0F}" name="PivotTable6" cacheId="0" applyNumberFormats="0" applyBorderFormats="0" applyFontFormats="0" applyPatternFormats="0" applyAlignmentFormats="0" applyWidthHeightFormats="1" dataCaption="Values" updatedVersion="7" minRefreshableVersion="3" useAutoFormatting="1" rowGrandTotals="0" colGrandTotals="0" itemPrintTitles="1" createdVersion="7" indent="0" outline="1" outlineData="1" multipleFieldFilters="0" chartFormat="3">
  <location ref="A3:B8" firstHeaderRow="1" firstDataRow="1" firstDataCol="1"/>
  <pivotFields count="11">
    <pivotField showAll="0"/>
    <pivotField showAll="0"/>
    <pivotField showAll="0">
      <items count="18">
        <item x="0"/>
        <item x="3"/>
        <item x="5"/>
        <item x="9"/>
        <item x="14"/>
        <item x="11"/>
        <item x="1"/>
        <item x="2"/>
        <item x="6"/>
        <item x="10"/>
        <item x="12"/>
        <item x="13"/>
        <item x="15"/>
        <item x="7"/>
        <item x="8"/>
        <item x="4"/>
        <item x="16"/>
        <item t="default"/>
      </items>
    </pivotField>
    <pivotField showAll="0"/>
    <pivotField axis="axisRow" showAll="0" measureFilter="1">
      <items count="36">
        <item x="29"/>
        <item x="6"/>
        <item x="23"/>
        <item x="14"/>
        <item x="12"/>
        <item x="17"/>
        <item x="3"/>
        <item x="4"/>
        <item x="0"/>
        <item x="1"/>
        <item x="16"/>
        <item x="13"/>
        <item x="5"/>
        <item x="8"/>
        <item x="19"/>
        <item x="2"/>
        <item x="7"/>
        <item x="9"/>
        <item x="21"/>
        <item x="15"/>
        <item x="18"/>
        <item x="10"/>
        <item x="11"/>
        <item x="20"/>
        <item x="24"/>
        <item x="22"/>
        <item x="25"/>
        <item x="26"/>
        <item x="28"/>
        <item x="31"/>
        <item x="30"/>
        <item x="34"/>
        <item x="27"/>
        <item x="32"/>
        <item x="33"/>
        <item t="default"/>
      </items>
    </pivotField>
    <pivotField showAll="0"/>
    <pivotField showAll="0"/>
    <pivotField dataField="1" numFmtId="164" showAll="0">
      <items count="23">
        <item x="0"/>
        <item x="1"/>
        <item x="2"/>
        <item x="3"/>
        <item x="4"/>
        <item x="5"/>
        <item x="6"/>
        <item x="7"/>
        <item x="8"/>
        <item x="9"/>
        <item x="10"/>
        <item x="11"/>
        <item x="12"/>
        <item x="13"/>
        <item x="14"/>
        <item x="15"/>
        <item x="16"/>
        <item x="17"/>
        <item x="18"/>
        <item x="19"/>
        <item x="20"/>
        <item x="21"/>
        <item t="default"/>
      </items>
    </pivotField>
    <pivotField showAll="0">
      <items count="4">
        <item x="0"/>
        <item m="1" x="2"/>
        <item x="1"/>
        <item t="default"/>
      </items>
    </pivotField>
    <pivotField showAll="0">
      <items count="5">
        <item x="0"/>
        <item x="1"/>
        <item x="2"/>
        <item m="1" x="3"/>
        <item t="default"/>
      </items>
    </pivotField>
    <pivotField showAll="0">
      <items count="5">
        <item x="1"/>
        <item x="2"/>
        <item x="3"/>
        <item x="0"/>
        <item t="default"/>
      </items>
    </pivotField>
  </pivotFields>
  <rowFields count="1">
    <field x="4"/>
  </rowFields>
  <rowItems count="5">
    <i>
      <x v="7"/>
    </i>
    <i>
      <x v="8"/>
    </i>
    <i>
      <x v="9"/>
    </i>
    <i>
      <x v="10"/>
    </i>
    <i>
      <x v="12"/>
    </i>
  </rowItems>
  <colItems count="1">
    <i/>
  </colItems>
  <dataFields count="1">
    <dataField name="Count of BMI" fld="7" subtotal="count" baseField="0" baseItem="0"/>
  </dataField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4"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ge_Group" xr10:uid="{58D4BD61-D4EC-43DC-A743-3A4070D14817}" sourceName="Age Group">
  <pivotTables>
    <pivotTable tabId="2" name="PivotTable1"/>
    <pivotTable tabId="4" name="PivotTable1"/>
    <pivotTable tabId="25" name="PivotTable6"/>
    <pivotTable tabId="25" name="PivotTable7"/>
    <pivotTable tabId="24" name="PivotTable5"/>
    <pivotTable tabId="14" name="PivotTable2"/>
    <pivotTable tabId="11" name="PivotTable4"/>
    <pivotTable tabId="9" name="PivotTable3"/>
    <pivotTable tabId="16" name="PivotTable4"/>
    <pivotTable tabId="7" name="PivotTable6"/>
    <pivotTable tabId="7" name="PivotTable7"/>
    <pivotTable tabId="7" name="PivotTable8"/>
    <pivotTable tabId="5" name="PivotTable1"/>
    <pivotTable tabId="4" name="PivotTable4"/>
    <pivotTable tabId="4" name="PivotTable5"/>
  </pivotTables>
  <data>
    <tabular pivotCacheId="2128849415">
      <items count="4">
        <i x="1" s="1"/>
        <i x="2" s="1"/>
        <i x="3"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Weight_level" xr10:uid="{645AE640-4517-493A-8102-BEF5E93B095F}" sourceName="Weight level">
  <pivotTables>
    <pivotTable tabId="4" name="PivotTable1"/>
    <pivotTable tabId="2" name="PivotTable1"/>
    <pivotTable tabId="25" name="PivotTable6"/>
    <pivotTable tabId="25" name="PivotTable7"/>
    <pivotTable tabId="24" name="PivotTable5"/>
    <pivotTable tabId="14" name="PivotTable2"/>
    <pivotTable tabId="11" name="PivotTable4"/>
    <pivotTable tabId="9" name="PivotTable3"/>
    <pivotTable tabId="16" name="PivotTable4"/>
    <pivotTable tabId="7" name="PivotTable6"/>
    <pivotTable tabId="7" name="PivotTable7"/>
    <pivotTable tabId="7" name="PivotTable8"/>
    <pivotTable tabId="5" name="PivotTable1"/>
    <pivotTable tabId="4" name="PivotTable4"/>
    <pivotTable tabId="4" name="PivotTable5"/>
  </pivotTables>
  <data>
    <tabular pivotCacheId="2128849415">
      <items count="3">
        <i x="0" s="1"/>
        <i x="1" s="1"/>
        <i x="2" s="1" nd="1"/>
      </items>
    </tabular>
  </data>
  <extLst>
    <x:ext xmlns:x15="http://schemas.microsoft.com/office/spreadsheetml/2010/11/main" uri="{470722E0-AACD-4C17-9CDC-17EF765DBC7E}">
      <x15:slicerCacheHideItemsWithNoData/>
    </x:ext>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port" xr10:uid="{7C35C233-BE34-4B53-B593-7DB582F514A5}" sourceName="Sport">
  <pivotTables>
    <pivotTable tabId="4" name="PivotTable1"/>
    <pivotTable tabId="2" name="PivotTable1"/>
    <pivotTable tabId="25" name="PivotTable6"/>
    <pivotTable tabId="25" name="PivotTable7"/>
    <pivotTable tabId="24" name="PivotTable5"/>
    <pivotTable tabId="14" name="PivotTable2"/>
    <pivotTable tabId="11" name="PivotTable4"/>
    <pivotTable tabId="9" name="PivotTable3"/>
    <pivotTable tabId="16" name="PivotTable4"/>
    <pivotTable tabId="7" name="PivotTable6"/>
    <pivotTable tabId="7" name="PivotTable7"/>
    <pivotTable tabId="7" name="PivotTable8"/>
    <pivotTable tabId="5" name="PivotTable1"/>
    <pivotTable tabId="4" name="PivotTable4"/>
    <pivotTable tabId="4" name="PivotTable5"/>
  </pivotTables>
  <data>
    <tabular pivotCacheId="2128849415">
      <items count="17">
        <i x="0" s="1"/>
        <i x="3" s="1"/>
        <i x="5" s="1"/>
        <i x="9" s="1"/>
        <i x="14" s="1"/>
        <i x="11" s="1"/>
        <i x="1" s="1"/>
        <i x="2" s="1"/>
        <i x="6" s="1"/>
        <i x="10" s="1"/>
        <i x="12" s="1"/>
        <i x="13" s="1"/>
        <i x="15" s="1"/>
        <i x="7" s="1"/>
        <i x="8" s="1"/>
        <i x="4" s="1"/>
        <i x="16"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Height_level1" xr10:uid="{EF8480E1-7562-4FFA-9838-5D03DF495412}" sourceName="Height level">
  <pivotTables>
    <pivotTable tabId="9" name="PivotTable3"/>
    <pivotTable tabId="25" name="PivotTable6"/>
    <pivotTable tabId="25" name="PivotTable7"/>
    <pivotTable tabId="24" name="PivotTable5"/>
    <pivotTable tabId="14" name="PivotTable2"/>
    <pivotTable tabId="11" name="PivotTable4"/>
    <pivotTable tabId="2" name="PivotTable1"/>
    <pivotTable tabId="16" name="PivotTable4"/>
    <pivotTable tabId="7" name="PivotTable7"/>
    <pivotTable tabId="7" name="PivotTable8"/>
    <pivotTable tabId="5" name="PivotTable1"/>
    <pivotTable tabId="4" name="PivotTable1"/>
    <pivotTable tabId="4" name="PivotTable4"/>
    <pivotTable tabId="4" name="PivotTable5"/>
  </pivotTables>
  <data>
    <tabular pivotCacheId="2128849415">
      <items count="4">
        <i x="0" s="1"/>
        <i x="1" s="1"/>
        <i x="2" s="1"/>
        <i x="3" s="1"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Age Group 9" xr10:uid="{F2098BAB-FE0A-4CE2-BB00-2BA0090B2FB8}" cache="Slicer_Age_Group" caption="Age Group" columnCount="4" style="SlicerStyleLight4" rowHeight="365760"/>
  <slicer name="Weight level 3" xr10:uid="{F3C4B12E-754C-4EE8-B229-2EDD6DF0E449}" cache="Slicer_Weight_level" caption="Weight level" columnCount="2" style="SlicerStyleLight4" rowHeight="304800"/>
  <slicer name="Sport 8" xr10:uid="{23425456-3142-4633-9202-A4BDA04BBBC9}" cache="Slicer_Sport" caption="Sport" columnCount="9" style="SlicerStyleLight4" rowHeight="274320"/>
  <slicer name="Height level 3" xr10:uid="{2841AAC5-5386-4117-8121-76E62A9FD2F6}" cache="Slicer_Height_level1" caption="Height level" columnCount="3" style="SlicerStyleLight4" rowHeight="3048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Age Group 5" xr10:uid="{84E778EE-6781-45B5-B859-9B83E46D8EA0}" cache="Slicer_Age_Group" caption="Age Group" columnCount="4" style="SlicerStyleLight4" rowHeight="365760"/>
  <slicer name="Weight level" xr10:uid="{701744C0-722C-4189-86D3-C67C0EDD32F1}" cache="Slicer_Weight_level" caption="Weight level" columnCount="2" style="SlicerStyleLight4" rowHeight="304800"/>
  <slicer name="Sport 4" xr10:uid="{C9CAF7E0-1881-4424-9008-88636FAA0A90}" cache="Slicer_Sport" caption="Sport" columnCount="9" style="SlicerStyleLight4" rowHeight="274320"/>
  <slicer name="Height level" xr10:uid="{1EF3CB3B-6C40-4901-A237-1EAF651ED677}" cache="Slicer_Height_level1" caption="Height level" columnCount="3" style="SlicerStyleLight4" rowHeight="30480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Age Group 7" xr10:uid="{B40FDD10-1687-4D91-8F0E-F29F23C0CFE3}" cache="Slicer_Age_Group" caption="Age Group" columnCount="4" style="SlicerStyleLight4" rowHeight="365760"/>
  <slicer name="Weight level 1" xr10:uid="{B92EC041-5B8F-43A3-A203-6C6E93544D8F}" cache="Slicer_Weight_level" caption="Weight level" columnCount="2" style="SlicerStyleLight4" rowHeight="304800"/>
  <slicer name="Sport 6" xr10:uid="{6390B000-6DFC-40C0-AB51-3772E15900AA}" cache="Slicer_Sport" caption="Sport" columnCount="9" style="SlicerStyleLight4" rowHeight="274320"/>
  <slicer name="Height level 1" xr10:uid="{D3C9F090-F46E-4A39-8380-9FE227AC1E25}" cache="Slicer_Height_level1" caption="Height level" columnCount="3" style="SlicerStyleLight4" rowHeight="304800"/>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Age Group 8" xr10:uid="{AA993837-A98A-4C6F-8AFA-0DF7ACE3EC03}" cache="Slicer_Age_Group" caption="Age Group" columnCount="4" style="SlicerStyleLight4" rowHeight="365760"/>
  <slicer name="Weight level 2" xr10:uid="{58B284FE-4403-4AF8-A339-0CCB39924F71}" cache="Slicer_Weight_level" caption="Weight level" columnCount="2" style="SlicerStyleLight4" rowHeight="304800"/>
  <slicer name="Sport 7" xr10:uid="{491296F3-A834-4596-8DF0-778C37DA8740}" cache="Slicer_Sport" caption="Sport" columnCount="9" style="SlicerStyleLight4" rowHeight="274320"/>
  <slicer name="Height level 2" xr10:uid="{6EE5A3AB-EE6F-4BD1-BBBF-5B4CDA54DCE2}" cache="Slicer_Height_level1" caption="Height level" columnCount="3" style="SlicerStyleLight4" rowHeight="3048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_rels/sheet6.xml.rels><?xml version="1.0" encoding="UTF-8" standalone="yes"?>
<Relationships xmlns="http://schemas.openxmlformats.org/package/2006/relationships"><Relationship Id="rId3" Type="http://schemas.openxmlformats.org/officeDocument/2006/relationships/pivotTable" Target="../pivotTables/pivotTable6.xml"/><Relationship Id="rId2" Type="http://schemas.openxmlformats.org/officeDocument/2006/relationships/pivotTable" Target="../pivotTables/pivotTable5.xml"/><Relationship Id="rId1" Type="http://schemas.openxmlformats.org/officeDocument/2006/relationships/pivotTable" Target="../pivotTables/pivotTable4.xml"/></Relationships>
</file>

<file path=xl/worksheets/_rels/sheet7.xml.rels><?xml version="1.0" encoding="UTF-8" standalone="yes"?>
<Relationships xmlns="http://schemas.openxmlformats.org/package/2006/relationships"><Relationship Id="rId1" Type="http://schemas.openxmlformats.org/officeDocument/2006/relationships/pivotTable" Target="../pivotTables/pivotTable7.xml"/></Relationships>
</file>

<file path=xl/worksheets/_rels/sheet8.xml.rels><?xml version="1.0" encoding="UTF-8" standalone="yes"?>
<Relationships xmlns="http://schemas.openxmlformats.org/package/2006/relationships"><Relationship Id="rId2" Type="http://schemas.microsoft.com/office/2007/relationships/slicer" Target="../slicers/slicer3.xml"/><Relationship Id="rId1" Type="http://schemas.openxmlformats.org/officeDocument/2006/relationships/drawing" Target="../drawings/drawing3.xml"/></Relationships>
</file>

<file path=xl/worksheets/_rels/sheet9.xml.rels><?xml version="1.0" encoding="UTF-8" standalone="yes"?>
<Relationships xmlns="http://schemas.openxmlformats.org/package/2006/relationships"><Relationship Id="rId1" Type="http://schemas.openxmlformats.org/officeDocument/2006/relationships/pivotTable" Target="../pivotTables/pivotTable8.xml"/></Relationships>
</file>

<file path=xl/worksheets/_rels/sheet10.xml.rels><?xml version="1.0" encoding="UTF-8" standalone="yes"?>
<Relationships xmlns="http://schemas.openxmlformats.org/package/2006/relationships"><Relationship Id="rId3" Type="http://schemas.openxmlformats.org/officeDocument/2006/relationships/pivotTable" Target="../pivotTables/pivotTable11.xml"/><Relationship Id="rId2" Type="http://schemas.openxmlformats.org/officeDocument/2006/relationships/pivotTable" Target="../pivotTables/pivotTable10.xml"/><Relationship Id="rId1" Type="http://schemas.openxmlformats.org/officeDocument/2006/relationships/pivotTable" Target="../pivotTables/pivotTable9.xml"/></Relationships>
</file>

<file path=xl/worksheets/_rels/sheet11.xml.rels><?xml version="1.0" encoding="UTF-8" standalone="yes"?>
<Relationships xmlns="http://schemas.openxmlformats.org/package/2006/relationships"><Relationship Id="rId2" Type="http://schemas.microsoft.com/office/2007/relationships/slicer" Target="../slicers/slicer4.xml"/><Relationship Id="rId1" Type="http://schemas.openxmlformats.org/officeDocument/2006/relationships/drawing" Target="../drawings/drawing4.xml"/></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12.xml"/></Relationships>
</file>

<file path=xl/worksheets/_rels/sheet13.xml.rels><?xml version="1.0" encoding="UTF-8" standalone="yes"?>
<Relationships xmlns="http://schemas.openxmlformats.org/package/2006/relationships"><Relationship Id="rId1" Type="http://schemas.openxmlformats.org/officeDocument/2006/relationships/pivotTable" Target="../pivotTables/pivotTable13.xml"/></Relationships>
</file>

<file path=xl/worksheets/_rels/sheet14.xml.rels><?xml version="1.0" encoding="UTF-8" standalone="yes"?>
<Relationships xmlns="http://schemas.openxmlformats.org/package/2006/relationships"><Relationship Id="rId2" Type="http://schemas.openxmlformats.org/officeDocument/2006/relationships/pivotTable" Target="../pivotTables/pivotTable15.xml"/><Relationship Id="rId1" Type="http://schemas.openxmlformats.org/officeDocument/2006/relationships/pivotTable" Target="../pivotTables/pivotTable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994DE9-B748-403C-B692-0C42BC577831}">
  <sheetPr>
    <tabColor rgb="FFFFFF00"/>
  </sheetPr>
  <dimension ref="A1"/>
  <sheetViews>
    <sheetView showGridLines="0" zoomScale="47" zoomScaleNormal="47" workbookViewId="0">
      <selection activeCell="V39" sqref="V39"/>
    </sheetView>
  </sheetViews>
  <sheetFormatPr defaultRowHeight="18.5" x14ac:dyDescent="0.45"/>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177395-0DD9-4C96-B485-61EF85087461}">
  <dimension ref="A3:B20"/>
  <sheetViews>
    <sheetView workbookViewId="0">
      <selection activeCell="B5" sqref="B5"/>
    </sheetView>
  </sheetViews>
  <sheetFormatPr defaultRowHeight="18.5" x14ac:dyDescent="0.45"/>
  <cols>
    <col min="1" max="1" width="25.0703125" bestFit="1" customWidth="1"/>
    <col min="2" max="2" width="20.0703125" bestFit="1" customWidth="1"/>
    <col min="3" max="3" width="13.0703125" bestFit="1" customWidth="1"/>
    <col min="4" max="4" width="11.640625" bestFit="1" customWidth="1"/>
    <col min="5" max="5" width="16.640625" bestFit="1" customWidth="1"/>
    <col min="6" max="6" width="16.92578125" bestFit="1" customWidth="1"/>
    <col min="7" max="7" width="19.5" bestFit="1" customWidth="1"/>
    <col min="8" max="8" width="19" bestFit="1" customWidth="1"/>
    <col min="9" max="9" width="17.92578125" bestFit="1" customWidth="1"/>
    <col min="10" max="10" width="11.85546875" bestFit="1" customWidth="1"/>
    <col min="11" max="11" width="12.35546875" bestFit="1" customWidth="1"/>
    <col min="12" max="12" width="11.85546875" bestFit="1" customWidth="1"/>
    <col min="13" max="13" width="13" bestFit="1" customWidth="1"/>
    <col min="14" max="14" width="16.5703125" bestFit="1" customWidth="1"/>
    <col min="15" max="15" width="13.78515625" bestFit="1" customWidth="1"/>
    <col min="16" max="16" width="15" bestFit="1" customWidth="1"/>
    <col min="17" max="17" width="11.140625" bestFit="1" customWidth="1"/>
    <col min="18" max="18" width="12.5" bestFit="1" customWidth="1"/>
    <col min="19" max="19" width="14.640625" bestFit="1" customWidth="1"/>
    <col min="20" max="20" width="15.2109375" bestFit="1" customWidth="1"/>
    <col min="21" max="21" width="13.0703125" bestFit="1" customWidth="1"/>
    <col min="22" max="22" width="13.7109375" bestFit="1" customWidth="1"/>
    <col min="23" max="23" width="16.92578125" bestFit="1" customWidth="1"/>
    <col min="24" max="24" width="15.5" bestFit="1" customWidth="1"/>
    <col min="25" max="25" width="14.85546875" bestFit="1" customWidth="1"/>
    <col min="26" max="26" width="13.7109375" bestFit="1" customWidth="1"/>
    <col min="27" max="27" width="14.140625" bestFit="1" customWidth="1"/>
    <col min="28" max="28" width="13.85546875" bestFit="1" customWidth="1"/>
    <col min="29" max="29" width="16.140625" bestFit="1" customWidth="1"/>
    <col min="30" max="30" width="13.78515625" bestFit="1" customWidth="1"/>
    <col min="31" max="31" width="16.640625" bestFit="1" customWidth="1"/>
    <col min="32" max="32" width="15.2109375" bestFit="1" customWidth="1"/>
    <col min="33" max="33" width="16" bestFit="1" customWidth="1"/>
    <col min="34" max="34" width="13.5" bestFit="1" customWidth="1"/>
    <col min="35" max="35" width="9.28515625" bestFit="1" customWidth="1"/>
    <col min="36" max="36" width="11.2109375" bestFit="1" customWidth="1"/>
    <col min="37" max="37" width="12" bestFit="1" customWidth="1"/>
    <col min="38" max="38" width="12.35546875" bestFit="1" customWidth="1"/>
    <col min="39" max="39" width="11.140625" bestFit="1" customWidth="1"/>
    <col min="40" max="40" width="13.35546875" bestFit="1" customWidth="1"/>
    <col min="41" max="41" width="19.2109375" bestFit="1" customWidth="1"/>
    <col min="42" max="42" width="12.5703125" bestFit="1" customWidth="1"/>
    <col min="43" max="43" width="13.78515625" bestFit="1" customWidth="1"/>
    <col min="44" max="44" width="12.92578125" bestFit="1" customWidth="1"/>
    <col min="45" max="45" width="21.35546875" bestFit="1" customWidth="1"/>
    <col min="46" max="46" width="18.2109375" bestFit="1" customWidth="1"/>
    <col min="47" max="47" width="17.140625" bestFit="1" customWidth="1"/>
    <col min="48" max="48" width="10.42578125" bestFit="1" customWidth="1"/>
    <col min="49" max="49" width="14.28515625" bestFit="1" customWidth="1"/>
    <col min="50" max="50" width="14" bestFit="1" customWidth="1"/>
    <col min="51" max="51" width="15.28515625" bestFit="1" customWidth="1"/>
    <col min="52" max="52" width="8.78515625" bestFit="1" customWidth="1"/>
    <col min="53" max="53" width="10.7109375" bestFit="1" customWidth="1"/>
    <col min="54" max="54" width="16.7109375" bestFit="1" customWidth="1"/>
    <col min="55" max="55" width="14.7109375" bestFit="1" customWidth="1"/>
    <col min="56" max="56" width="14.2109375" bestFit="1" customWidth="1"/>
    <col min="57" max="57" width="10.0703125" bestFit="1" customWidth="1"/>
    <col min="58" max="58" width="12.5" bestFit="1" customWidth="1"/>
    <col min="59" max="59" width="13.5" bestFit="1" customWidth="1"/>
    <col min="60" max="60" width="13.42578125" bestFit="1" customWidth="1"/>
    <col min="61" max="61" width="14.42578125" bestFit="1" customWidth="1"/>
    <col min="62" max="62" width="13.0703125" bestFit="1" customWidth="1"/>
    <col min="63" max="63" width="16.5" bestFit="1" customWidth="1"/>
    <col min="64" max="64" width="12.92578125" bestFit="1" customWidth="1"/>
    <col min="65" max="65" width="13.5703125" bestFit="1" customWidth="1"/>
    <col min="66" max="66" width="14.35546875" bestFit="1" customWidth="1"/>
    <col min="67" max="67" width="14.42578125" bestFit="1" customWidth="1"/>
    <col min="68" max="68" width="11.35546875" bestFit="1" customWidth="1"/>
    <col min="69" max="69" width="16.5703125" bestFit="1" customWidth="1"/>
    <col min="70" max="70" width="15.42578125" bestFit="1" customWidth="1"/>
    <col min="71" max="71" width="13" bestFit="1" customWidth="1"/>
    <col min="72" max="72" width="22.7109375" bestFit="1" customWidth="1"/>
    <col min="73" max="73" width="13.7109375" bestFit="1" customWidth="1"/>
    <col min="74" max="74" width="11.7109375" bestFit="1" customWidth="1"/>
    <col min="75" max="75" width="16" bestFit="1" customWidth="1"/>
    <col min="76" max="76" width="15.140625" bestFit="1" customWidth="1"/>
    <col min="77" max="77" width="9.78515625" bestFit="1" customWidth="1"/>
    <col min="78" max="78" width="14.42578125" bestFit="1" customWidth="1"/>
    <col min="79" max="79" width="11.7109375" bestFit="1" customWidth="1"/>
    <col min="80" max="80" width="13.2109375" bestFit="1" customWidth="1"/>
    <col min="81" max="81" width="13.78515625" bestFit="1" customWidth="1"/>
    <col min="82" max="82" width="10.85546875" bestFit="1" customWidth="1"/>
    <col min="83" max="83" width="12.85546875" bestFit="1" customWidth="1"/>
    <col min="84" max="84" width="12.0703125" bestFit="1" customWidth="1"/>
    <col min="85" max="85" width="11.0703125" bestFit="1" customWidth="1"/>
    <col min="86" max="86" width="14.7109375" bestFit="1" customWidth="1"/>
    <col min="87" max="87" width="11.5703125" bestFit="1" customWidth="1"/>
    <col min="88" max="88" width="12.5" bestFit="1" customWidth="1"/>
    <col min="89" max="89" width="11" bestFit="1" customWidth="1"/>
    <col min="90" max="90" width="17" bestFit="1" customWidth="1"/>
    <col min="91" max="91" width="11.85546875" bestFit="1" customWidth="1"/>
    <col min="92" max="92" width="13.2109375" bestFit="1" customWidth="1"/>
    <col min="93" max="93" width="17.28515625" bestFit="1" customWidth="1"/>
    <col min="94" max="94" width="13.5703125" bestFit="1" customWidth="1"/>
    <col min="95" max="95" width="9.640625" bestFit="1" customWidth="1"/>
    <col min="96" max="96" width="15.640625" bestFit="1" customWidth="1"/>
    <col min="97" max="97" width="18.35546875" bestFit="1" customWidth="1"/>
    <col min="98" max="98" width="13.28515625" bestFit="1" customWidth="1"/>
    <col min="99" max="99" width="15" bestFit="1" customWidth="1"/>
    <col min="100" max="100" width="18.5" bestFit="1" customWidth="1"/>
    <col min="101" max="101" width="16.2109375" bestFit="1" customWidth="1"/>
    <col min="102" max="102" width="16" bestFit="1" customWidth="1"/>
    <col min="103" max="103" width="12.2109375" bestFit="1" customWidth="1"/>
    <col min="104" max="104" width="9.85546875" bestFit="1" customWidth="1"/>
    <col min="105" max="105" width="10.28515625" bestFit="1" customWidth="1"/>
    <col min="106" max="106" width="11.28515625" bestFit="1" customWidth="1"/>
    <col min="107" max="107" width="12.42578125" bestFit="1" customWidth="1"/>
    <col min="108" max="108" width="10.78515625" bestFit="1" customWidth="1"/>
    <col min="109" max="109" width="13.7109375" bestFit="1" customWidth="1"/>
    <col min="110" max="110" width="12.92578125" bestFit="1" customWidth="1"/>
    <col min="111" max="111" width="15.2109375" bestFit="1" customWidth="1"/>
    <col min="112" max="112" width="15.85546875" bestFit="1" customWidth="1"/>
    <col min="113" max="113" width="11.640625" bestFit="1" customWidth="1"/>
    <col min="114" max="114" width="12.85546875" bestFit="1" customWidth="1"/>
    <col min="115" max="115" width="11.42578125" bestFit="1" customWidth="1"/>
    <col min="116" max="116" width="20.0703125" bestFit="1" customWidth="1"/>
    <col min="117" max="117" width="12.42578125" bestFit="1" customWidth="1"/>
    <col min="118" max="118" width="11.85546875" bestFit="1" customWidth="1"/>
    <col min="119" max="119" width="12.0703125" bestFit="1" customWidth="1"/>
    <col min="120" max="120" width="12.5703125" bestFit="1" customWidth="1"/>
    <col min="121" max="121" width="13.42578125" bestFit="1" customWidth="1"/>
    <col min="122" max="122" width="16" bestFit="1" customWidth="1"/>
    <col min="123" max="123" width="12.0703125" bestFit="1" customWidth="1"/>
    <col min="124" max="124" width="12.5" bestFit="1" customWidth="1"/>
    <col min="125" max="125" width="14.5703125" bestFit="1" customWidth="1"/>
    <col min="126" max="126" width="13.0703125" bestFit="1" customWidth="1"/>
    <col min="127" max="127" width="12" bestFit="1" customWidth="1"/>
    <col min="128" max="128" width="14.78515625" bestFit="1" customWidth="1"/>
    <col min="129" max="129" width="11.85546875" bestFit="1" customWidth="1"/>
    <col min="130" max="130" width="12.85546875" bestFit="1" customWidth="1"/>
    <col min="131" max="131" width="13.5703125" bestFit="1" customWidth="1"/>
    <col min="132" max="132" width="11.7109375" bestFit="1" customWidth="1"/>
    <col min="133" max="133" width="13.7109375" bestFit="1" customWidth="1"/>
    <col min="134" max="134" width="13.2109375" bestFit="1" customWidth="1"/>
    <col min="135" max="135" width="11.140625" bestFit="1" customWidth="1"/>
    <col min="136" max="136" width="9.85546875" bestFit="1" customWidth="1"/>
    <col min="137" max="137" width="8.85546875" bestFit="1" customWidth="1"/>
    <col min="138" max="138" width="11.0703125" bestFit="1" customWidth="1"/>
    <col min="139" max="139" width="10.0703125" bestFit="1" customWidth="1"/>
    <col min="140" max="140" width="11.85546875" bestFit="1" customWidth="1"/>
    <col min="141" max="141" width="10.5" bestFit="1" customWidth="1"/>
    <col min="142" max="142" width="14.78515625" bestFit="1" customWidth="1"/>
    <col min="143" max="143" width="11.35546875" bestFit="1" customWidth="1"/>
    <col min="144" max="144" width="13.85546875" bestFit="1" customWidth="1"/>
    <col min="145" max="145" width="17.42578125" bestFit="1" customWidth="1"/>
    <col min="146" max="146" width="15.35546875" bestFit="1" customWidth="1"/>
    <col min="147" max="147" width="14.640625" bestFit="1" customWidth="1"/>
    <col min="148" max="148" width="12.2109375" bestFit="1" customWidth="1"/>
    <col min="149" max="149" width="15.5" bestFit="1" customWidth="1"/>
    <col min="150" max="150" width="13.28515625" bestFit="1" customWidth="1"/>
    <col min="151" max="151" width="11.78515625" bestFit="1" customWidth="1"/>
    <col min="152" max="152" width="14.2109375" bestFit="1" customWidth="1"/>
    <col min="153" max="153" width="14.7109375" bestFit="1" customWidth="1"/>
    <col min="154" max="154" width="12.28515625" bestFit="1" customWidth="1"/>
    <col min="155" max="155" width="13.5" bestFit="1" customWidth="1"/>
    <col min="156" max="156" width="14.78515625" bestFit="1" customWidth="1"/>
    <col min="157" max="157" width="11.85546875" bestFit="1" customWidth="1"/>
    <col min="158" max="158" width="11.35546875" bestFit="1" customWidth="1"/>
    <col min="159" max="159" width="14.2109375" bestFit="1" customWidth="1"/>
    <col min="160" max="160" width="11.28515625" bestFit="1" customWidth="1"/>
    <col min="161" max="161" width="18.28515625" bestFit="1" customWidth="1"/>
    <col min="162" max="162" width="17.2109375" bestFit="1" customWidth="1"/>
    <col min="163" max="163" width="17.35546875" bestFit="1" customWidth="1"/>
    <col min="164" max="164" width="11.640625" bestFit="1" customWidth="1"/>
    <col min="165" max="165" width="13.140625" bestFit="1" customWidth="1"/>
    <col min="166" max="166" width="12.85546875" bestFit="1" customWidth="1"/>
    <col min="167" max="167" width="13.35546875" bestFit="1" customWidth="1"/>
    <col min="168" max="168" width="20.78515625" bestFit="1" customWidth="1"/>
    <col min="169" max="169" width="19.0703125" bestFit="1" customWidth="1"/>
    <col min="170" max="170" width="15.7109375" bestFit="1" customWidth="1"/>
    <col min="171" max="171" width="20" bestFit="1" customWidth="1"/>
    <col min="172" max="172" width="13.78515625" bestFit="1" customWidth="1"/>
    <col min="173" max="173" width="14.35546875" bestFit="1" customWidth="1"/>
    <col min="174" max="174" width="19.5703125" bestFit="1" customWidth="1"/>
    <col min="175" max="175" width="13.640625" bestFit="1" customWidth="1"/>
    <col min="176" max="176" width="12.640625" bestFit="1" customWidth="1"/>
    <col min="177" max="177" width="16.2109375" bestFit="1" customWidth="1"/>
    <col min="178" max="178" width="15.640625" bestFit="1" customWidth="1"/>
    <col min="179" max="179" width="12.5" bestFit="1" customWidth="1"/>
    <col min="180" max="180" width="13.140625" bestFit="1" customWidth="1"/>
    <col min="182" max="182" width="14.640625" bestFit="1" customWidth="1"/>
    <col min="183" max="183" width="11.28515625" bestFit="1" customWidth="1"/>
    <col min="184" max="184" width="11.0703125" bestFit="1" customWidth="1"/>
    <col min="185" max="185" width="19.140625" bestFit="1" customWidth="1"/>
    <col min="186" max="186" width="15.28515625" bestFit="1" customWidth="1"/>
    <col min="187" max="187" width="15.0703125" bestFit="1" customWidth="1"/>
    <col min="188" max="188" width="9.35546875" bestFit="1" customWidth="1"/>
    <col min="189" max="189" width="13.42578125" bestFit="1" customWidth="1"/>
    <col min="190" max="190" width="12.35546875" bestFit="1" customWidth="1"/>
    <col min="191" max="191" width="10.5703125" bestFit="1" customWidth="1"/>
    <col min="192" max="192" width="14.92578125" bestFit="1" customWidth="1"/>
    <col min="193" max="193" width="17.140625" bestFit="1" customWidth="1"/>
    <col min="194" max="194" width="14.92578125" bestFit="1" customWidth="1"/>
    <col min="195" max="195" width="15.5703125" bestFit="1" customWidth="1"/>
    <col min="196" max="196" width="18.7109375" bestFit="1" customWidth="1"/>
    <col min="197" max="197" width="14.78515625" bestFit="1" customWidth="1"/>
    <col min="198" max="198" width="16.78515625" bestFit="1" customWidth="1"/>
    <col min="199" max="199" width="14.42578125" bestFit="1" customWidth="1"/>
    <col min="200" max="200" width="6.92578125" bestFit="1" customWidth="1"/>
    <col min="201" max="201" width="18.5" bestFit="1" customWidth="1"/>
    <col min="202" max="202" width="14.78515625" bestFit="1" customWidth="1"/>
    <col min="203" max="203" width="15.35546875" bestFit="1" customWidth="1"/>
    <col min="204" max="204" width="13.85546875" bestFit="1" customWidth="1"/>
    <col min="205" max="205" width="13.640625" bestFit="1" customWidth="1"/>
    <col min="206" max="206" width="13.35546875" bestFit="1" customWidth="1"/>
    <col min="207" max="207" width="16.0703125" bestFit="1" customWidth="1"/>
    <col min="208" max="208" width="21.0703125" bestFit="1" customWidth="1"/>
    <col min="209" max="209" width="9.2109375" bestFit="1" customWidth="1"/>
    <col min="210" max="210" width="15.640625" bestFit="1" customWidth="1"/>
    <col min="211" max="211" width="15.92578125" bestFit="1" customWidth="1"/>
    <col min="212" max="212" width="16.92578125" bestFit="1" customWidth="1"/>
    <col min="213" max="213" width="11.28515625" bestFit="1" customWidth="1"/>
    <col min="214" max="214" width="15.42578125" bestFit="1" customWidth="1"/>
    <col min="215" max="215" width="21.7109375" bestFit="1" customWidth="1"/>
    <col min="216" max="216" width="13.2109375" bestFit="1" customWidth="1"/>
    <col min="217" max="217" width="10.7109375" bestFit="1" customWidth="1"/>
    <col min="218" max="218" width="10.78515625" bestFit="1" customWidth="1"/>
    <col min="219" max="219" width="14.28515625" bestFit="1" customWidth="1"/>
    <col min="220" max="220" width="15.5" bestFit="1" customWidth="1"/>
    <col min="221" max="221" width="21.2109375" bestFit="1" customWidth="1"/>
    <col min="222" max="222" width="12.2109375" bestFit="1" customWidth="1"/>
    <col min="223" max="223" width="13.140625" bestFit="1" customWidth="1"/>
    <col min="224" max="224" width="11.92578125" bestFit="1" customWidth="1"/>
    <col min="225" max="225" width="10.42578125" bestFit="1" customWidth="1"/>
    <col min="226" max="226" width="10.85546875" bestFit="1" customWidth="1"/>
    <col min="227" max="227" width="11.140625" bestFit="1" customWidth="1"/>
    <col min="228" max="228" width="15.85546875" bestFit="1" customWidth="1"/>
    <col min="229" max="229" width="11.5703125" bestFit="1" customWidth="1"/>
    <col min="230" max="230" width="13.78515625" bestFit="1" customWidth="1"/>
    <col min="231" max="231" width="14.7109375" bestFit="1" customWidth="1"/>
    <col min="232" max="232" width="10.7109375" bestFit="1" customWidth="1"/>
    <col min="233" max="233" width="14.140625" bestFit="1" customWidth="1"/>
    <col min="234" max="234" width="11.2109375" bestFit="1" customWidth="1"/>
    <col min="235" max="235" width="12.140625" bestFit="1" customWidth="1"/>
    <col min="236" max="236" width="13" bestFit="1" customWidth="1"/>
    <col min="237" max="237" width="14.0703125" bestFit="1" customWidth="1"/>
    <col min="238" max="238" width="13.640625" bestFit="1" customWidth="1"/>
    <col min="239" max="239" width="15.7109375" bestFit="1" customWidth="1"/>
    <col min="240" max="240" width="11.2109375" bestFit="1" customWidth="1"/>
    <col min="241" max="241" width="17.0703125" bestFit="1" customWidth="1"/>
    <col min="242" max="242" width="13.42578125" bestFit="1" customWidth="1"/>
    <col min="243" max="243" width="14.140625" bestFit="1" customWidth="1"/>
    <col min="244" max="244" width="11.78515625" bestFit="1" customWidth="1"/>
    <col min="245" max="245" width="12.140625" bestFit="1" customWidth="1"/>
    <col min="246" max="246" width="11.5" bestFit="1" customWidth="1"/>
    <col min="247" max="247" width="13.0703125" bestFit="1" customWidth="1"/>
    <col min="248" max="248" width="16" bestFit="1" customWidth="1"/>
    <col min="249" max="249" width="14.5" bestFit="1" customWidth="1"/>
    <col min="250" max="250" width="10.5" bestFit="1" customWidth="1"/>
    <col min="251" max="251" width="12.7109375" bestFit="1" customWidth="1"/>
    <col min="252" max="252" width="13.28515625" bestFit="1" customWidth="1"/>
    <col min="253" max="253" width="10.7109375" bestFit="1" customWidth="1"/>
    <col min="254" max="254" width="11.0703125" bestFit="1" customWidth="1"/>
    <col min="255" max="255" width="12.85546875" bestFit="1" customWidth="1"/>
    <col min="256" max="256" width="13.0703125" bestFit="1" customWidth="1"/>
    <col min="257" max="257" width="9.2109375" bestFit="1" customWidth="1"/>
    <col min="258" max="258" width="13.0703125" bestFit="1" customWidth="1"/>
    <col min="259" max="259" width="15.0703125" bestFit="1" customWidth="1"/>
    <col min="260" max="260" width="9.92578125" bestFit="1" customWidth="1"/>
    <col min="261" max="261" width="13" bestFit="1" customWidth="1"/>
    <col min="262" max="262" width="10.5703125" bestFit="1" customWidth="1"/>
    <col min="263" max="263" width="11.28515625" bestFit="1" customWidth="1"/>
    <col min="264" max="264" width="8.0703125" bestFit="1" customWidth="1"/>
    <col min="265" max="265" width="12.28515625" bestFit="1" customWidth="1"/>
    <col min="266" max="266" width="10.7109375" bestFit="1" customWidth="1"/>
    <col min="267" max="267" width="11.28515625" bestFit="1" customWidth="1"/>
    <col min="268" max="268" width="14.78515625" bestFit="1" customWidth="1"/>
    <col min="269" max="269" width="13.92578125" bestFit="1" customWidth="1"/>
    <col min="270" max="270" width="12.5703125" bestFit="1" customWidth="1"/>
    <col min="271" max="271" width="12.640625" bestFit="1" customWidth="1"/>
    <col min="272" max="272" width="18.640625" bestFit="1" customWidth="1"/>
    <col min="273" max="273" width="13.78515625" bestFit="1" customWidth="1"/>
    <col min="274" max="274" width="20.28515625" bestFit="1" customWidth="1"/>
    <col min="275" max="275" width="13.92578125" bestFit="1" customWidth="1"/>
    <col min="276" max="276" width="15.28515625" bestFit="1" customWidth="1"/>
    <col min="277" max="277" width="13.7109375" bestFit="1" customWidth="1"/>
    <col min="278" max="278" width="15.42578125" bestFit="1" customWidth="1"/>
    <col min="279" max="279" width="14.92578125" bestFit="1" customWidth="1"/>
    <col min="280" max="280" width="15.5703125" bestFit="1" customWidth="1"/>
    <col min="281" max="281" width="8.78515625" bestFit="1" customWidth="1"/>
    <col min="282" max="282" width="14.92578125" bestFit="1" customWidth="1"/>
    <col min="283" max="283" width="15.2109375" bestFit="1" customWidth="1"/>
    <col min="284" max="284" width="13.640625" bestFit="1" customWidth="1"/>
    <col min="285" max="285" width="11.2109375" bestFit="1" customWidth="1"/>
    <col min="286" max="286" width="13.85546875" bestFit="1" customWidth="1"/>
    <col min="287" max="287" width="11.2109375" bestFit="1" customWidth="1"/>
    <col min="288" max="288" width="17.7109375" bestFit="1" customWidth="1"/>
    <col min="289" max="289" width="15.5" bestFit="1" customWidth="1"/>
    <col min="290" max="290" width="13.7109375" bestFit="1" customWidth="1"/>
    <col min="291" max="291" width="15.92578125" bestFit="1" customWidth="1"/>
    <col min="292" max="292" width="12.42578125" bestFit="1" customWidth="1"/>
    <col min="293" max="293" width="16.78515625" bestFit="1" customWidth="1"/>
    <col min="294" max="294" width="16.92578125" bestFit="1" customWidth="1"/>
    <col min="295" max="295" width="19.35546875" bestFit="1" customWidth="1"/>
    <col min="296" max="296" width="11.2109375" bestFit="1" customWidth="1"/>
    <col min="297" max="297" width="14.640625" bestFit="1" customWidth="1"/>
    <col min="298" max="298" width="14.140625" bestFit="1" customWidth="1"/>
    <col min="299" max="299" width="13.2109375" bestFit="1" customWidth="1"/>
    <col min="300" max="300" width="13.28515625" bestFit="1" customWidth="1"/>
    <col min="301" max="301" width="15.7109375" bestFit="1" customWidth="1"/>
    <col min="302" max="302" width="9" bestFit="1" customWidth="1"/>
    <col min="303" max="303" width="8.78515625" bestFit="1" customWidth="1"/>
    <col min="304" max="304" width="9.640625" bestFit="1" customWidth="1"/>
    <col min="305" max="305" width="14.7109375" bestFit="1" customWidth="1"/>
    <col min="306" max="306" width="13.28515625" bestFit="1" customWidth="1"/>
    <col min="307" max="307" width="11.78515625" bestFit="1" customWidth="1"/>
    <col min="308" max="308" width="17.0703125" bestFit="1" customWidth="1"/>
    <col min="309" max="309" width="17.140625" bestFit="1" customWidth="1"/>
    <col min="310" max="310" width="11.35546875" bestFit="1" customWidth="1"/>
    <col min="311" max="311" width="10.5" bestFit="1" customWidth="1"/>
    <col min="312" max="312" width="17.78515625" bestFit="1" customWidth="1"/>
    <col min="313" max="313" width="8.140625" bestFit="1" customWidth="1"/>
    <col min="314" max="314" width="14.2109375" bestFit="1" customWidth="1"/>
    <col min="315" max="315" width="16.92578125" bestFit="1" customWidth="1"/>
    <col min="316" max="316" width="16.78515625" bestFit="1" customWidth="1"/>
    <col min="317" max="317" width="12.5" bestFit="1" customWidth="1"/>
    <col min="318" max="318" width="20.140625" bestFit="1" customWidth="1"/>
    <col min="319" max="319" width="11.5" bestFit="1" customWidth="1"/>
    <col min="320" max="320" width="9.92578125" bestFit="1" customWidth="1"/>
    <col min="321" max="321" width="13.28515625" bestFit="1" customWidth="1"/>
    <col min="322" max="322" width="11.35546875" bestFit="1" customWidth="1"/>
    <col min="323" max="323" width="11.28515625" bestFit="1" customWidth="1"/>
    <col min="324" max="324" width="9.42578125" bestFit="1" customWidth="1"/>
    <col min="325" max="325" width="16.78515625" bestFit="1" customWidth="1"/>
    <col min="326" max="326" width="10.5" bestFit="1" customWidth="1"/>
    <col min="327" max="327" width="10.42578125" bestFit="1" customWidth="1"/>
    <col min="328" max="328" width="13.5" bestFit="1" customWidth="1"/>
    <col min="329" max="329" width="12.5" bestFit="1" customWidth="1"/>
    <col min="330" max="330" width="10.5" bestFit="1" customWidth="1"/>
    <col min="331" max="331" width="12.92578125" bestFit="1" customWidth="1"/>
    <col min="332" max="332" width="15.35546875" bestFit="1" customWidth="1"/>
    <col min="333" max="333" width="17.5" bestFit="1" customWidth="1"/>
    <col min="334" max="334" width="12.5" bestFit="1" customWidth="1"/>
    <col min="335" max="335" width="14.35546875" bestFit="1" customWidth="1"/>
    <col min="336" max="336" width="11.85546875" bestFit="1" customWidth="1"/>
    <col min="337" max="337" width="24.0703125" bestFit="1" customWidth="1"/>
    <col min="338" max="338" width="13.5703125" bestFit="1" customWidth="1"/>
    <col min="339" max="339" width="13.7109375" bestFit="1" customWidth="1"/>
    <col min="340" max="340" width="11.92578125" bestFit="1" customWidth="1"/>
    <col min="341" max="341" width="14.35546875" bestFit="1" customWidth="1"/>
    <col min="342" max="342" width="11.640625" bestFit="1" customWidth="1"/>
    <col min="343" max="343" width="9.92578125" bestFit="1" customWidth="1"/>
    <col min="344" max="344" width="10.78515625" bestFit="1" customWidth="1"/>
    <col min="345" max="345" width="11.7109375" bestFit="1" customWidth="1"/>
    <col min="346" max="346" width="13.0703125" bestFit="1" customWidth="1"/>
    <col min="347" max="347" width="12.35546875" bestFit="1" customWidth="1"/>
    <col min="348" max="348" width="14.2109375" bestFit="1" customWidth="1"/>
    <col min="349" max="349" width="13.85546875" bestFit="1" customWidth="1"/>
    <col min="350" max="350" width="14.7109375" bestFit="1" customWidth="1"/>
    <col min="351" max="351" width="11.0703125" bestFit="1" customWidth="1"/>
    <col min="352" max="352" width="17.42578125" bestFit="1" customWidth="1"/>
    <col min="353" max="353" width="16.0703125" bestFit="1" customWidth="1"/>
    <col min="354" max="354" width="13.35546875" bestFit="1" customWidth="1"/>
    <col min="355" max="355" width="16.2109375" bestFit="1" customWidth="1"/>
    <col min="356" max="356" width="11.35546875" bestFit="1" customWidth="1"/>
    <col min="357" max="357" width="13.7109375" bestFit="1" customWidth="1"/>
    <col min="358" max="358" width="12.92578125" bestFit="1" customWidth="1"/>
    <col min="359" max="359" width="13.0703125" bestFit="1" customWidth="1"/>
    <col min="360" max="360" width="12.35546875" bestFit="1" customWidth="1"/>
    <col min="361" max="361" width="11.35546875" bestFit="1" customWidth="1"/>
    <col min="362" max="362" width="11.85546875" bestFit="1" customWidth="1"/>
    <col min="363" max="363" width="12.42578125" bestFit="1" customWidth="1"/>
    <col min="364" max="364" width="13" bestFit="1" customWidth="1"/>
    <col min="365" max="365" width="15.35546875" bestFit="1" customWidth="1"/>
    <col min="366" max="366" width="12.5703125" bestFit="1" customWidth="1"/>
    <col min="367" max="367" width="12.35546875" bestFit="1" customWidth="1"/>
    <col min="368" max="368" width="11.92578125" bestFit="1" customWidth="1"/>
    <col min="369" max="369" width="16.42578125" bestFit="1" customWidth="1"/>
    <col min="370" max="370" width="8.78515625" bestFit="1" customWidth="1"/>
    <col min="371" max="371" width="12.28515625" bestFit="1" customWidth="1"/>
    <col min="372" max="372" width="12.640625" bestFit="1" customWidth="1"/>
    <col min="373" max="373" width="17.0703125" bestFit="1" customWidth="1"/>
    <col min="374" max="374" width="11.35546875" bestFit="1" customWidth="1"/>
    <col min="375" max="375" width="11.640625" bestFit="1" customWidth="1"/>
    <col min="376" max="376" width="11.28515625" bestFit="1" customWidth="1"/>
    <col min="377" max="377" width="11.5703125" bestFit="1" customWidth="1"/>
    <col min="378" max="378" width="14.35546875" bestFit="1" customWidth="1"/>
    <col min="379" max="379" width="13.78515625" bestFit="1" customWidth="1"/>
    <col min="380" max="380" width="12.28515625" bestFit="1" customWidth="1"/>
    <col min="381" max="381" width="14.35546875" bestFit="1" customWidth="1"/>
    <col min="382" max="382" width="14.5703125" bestFit="1" customWidth="1"/>
    <col min="383" max="383" width="12.42578125" bestFit="1" customWidth="1"/>
    <col min="384" max="384" width="16.28515625" bestFit="1" customWidth="1"/>
    <col min="385" max="385" width="16.140625" bestFit="1" customWidth="1"/>
    <col min="386" max="386" width="12.5" bestFit="1" customWidth="1"/>
    <col min="387" max="387" width="10.5703125" bestFit="1" customWidth="1"/>
    <col min="388" max="388" width="10.28515625" bestFit="1" customWidth="1"/>
    <col min="389" max="389" width="12.5" bestFit="1" customWidth="1"/>
    <col min="390" max="390" width="20.35546875" bestFit="1" customWidth="1"/>
    <col min="391" max="391" width="10.92578125" bestFit="1" customWidth="1"/>
    <col min="392" max="392" width="15.5703125" bestFit="1" customWidth="1"/>
    <col min="393" max="393" width="18.42578125" bestFit="1" customWidth="1"/>
    <col min="394" max="394" width="14.7109375" bestFit="1" customWidth="1"/>
    <col min="395" max="395" width="17.5" bestFit="1" customWidth="1"/>
    <col min="396" max="396" width="19" bestFit="1" customWidth="1"/>
    <col min="397" max="397" width="12.28515625" bestFit="1" customWidth="1"/>
    <col min="398" max="398" width="13.78515625" bestFit="1" customWidth="1"/>
    <col min="399" max="399" width="12.2109375" bestFit="1" customWidth="1"/>
    <col min="400" max="400" width="15.2109375" bestFit="1" customWidth="1"/>
    <col min="401" max="401" width="15.0703125" bestFit="1" customWidth="1"/>
    <col min="402" max="402" width="18.78515625" bestFit="1" customWidth="1"/>
    <col min="403" max="403" width="12.7109375" bestFit="1" customWidth="1"/>
    <col min="404" max="404" width="17.5" bestFit="1" customWidth="1"/>
    <col min="405" max="405" width="16.0703125" bestFit="1" customWidth="1"/>
    <col min="406" max="406" width="14.0703125" bestFit="1" customWidth="1"/>
    <col min="407" max="407" width="13.78515625" bestFit="1" customWidth="1"/>
    <col min="408" max="408" width="12.640625" bestFit="1" customWidth="1"/>
    <col min="409" max="409" width="10.85546875" bestFit="1" customWidth="1"/>
    <col min="410" max="410" width="18" bestFit="1" customWidth="1"/>
    <col min="411" max="411" width="13.5" bestFit="1" customWidth="1"/>
    <col min="412" max="412" width="15.0703125" bestFit="1" customWidth="1"/>
    <col min="413" max="413" width="13.7109375" bestFit="1" customWidth="1"/>
    <col min="414" max="414" width="14" bestFit="1" customWidth="1"/>
    <col min="415" max="415" width="16.5703125" bestFit="1" customWidth="1"/>
    <col min="416" max="416" width="17.5" bestFit="1" customWidth="1"/>
    <col min="417" max="417" width="14.7109375" bestFit="1" customWidth="1"/>
    <col min="418" max="418" width="13.78515625" bestFit="1" customWidth="1"/>
    <col min="419" max="419" width="16.5703125" bestFit="1" customWidth="1"/>
    <col min="420" max="420" width="23.2109375" bestFit="1" customWidth="1"/>
    <col min="421" max="421" width="16.5703125" bestFit="1" customWidth="1"/>
    <col min="422" max="422" width="14.640625" bestFit="1" customWidth="1"/>
    <col min="423" max="423" width="14.0703125" bestFit="1" customWidth="1"/>
    <col min="424" max="424" width="11.78515625" bestFit="1" customWidth="1"/>
    <col min="425" max="425" width="13.35546875" bestFit="1" customWidth="1"/>
    <col min="426" max="426" width="20.7109375" bestFit="1" customWidth="1"/>
    <col min="427" max="427" width="14.42578125" bestFit="1" customWidth="1"/>
    <col min="428" max="428" width="10.0703125" bestFit="1" customWidth="1"/>
    <col min="429" max="429" width="14" bestFit="1" customWidth="1"/>
    <col min="430" max="430" width="16.5703125" bestFit="1" customWidth="1"/>
    <col min="431" max="431" width="11.92578125" bestFit="1" customWidth="1"/>
    <col min="432" max="432" width="12.35546875" bestFit="1" customWidth="1"/>
    <col min="433" max="433" width="12.140625" bestFit="1" customWidth="1"/>
    <col min="434" max="434" width="10.92578125" bestFit="1" customWidth="1"/>
    <col min="435" max="435" width="9.640625" bestFit="1" customWidth="1"/>
    <col min="436" max="436" width="13.140625" bestFit="1" customWidth="1"/>
    <col min="437" max="437" width="9.5" bestFit="1" customWidth="1"/>
    <col min="438" max="438" width="16.28515625" bestFit="1" customWidth="1"/>
    <col min="439" max="439" width="16.5703125" bestFit="1" customWidth="1"/>
    <col min="440" max="440" width="15.2109375" bestFit="1" customWidth="1"/>
    <col min="441" max="441" width="19.5703125" bestFit="1" customWidth="1"/>
    <col min="442" max="442" width="11.35546875" bestFit="1" customWidth="1"/>
    <col min="443" max="443" width="16.35546875" bestFit="1" customWidth="1"/>
    <col min="444" max="444" width="15.0703125" bestFit="1" customWidth="1"/>
    <col min="445" max="445" width="16.78515625" bestFit="1" customWidth="1"/>
    <col min="446" max="446" width="10.78515625" bestFit="1" customWidth="1"/>
    <col min="447" max="447" width="13.640625" bestFit="1" customWidth="1"/>
    <col min="448" max="448" width="13.5703125" bestFit="1" customWidth="1"/>
    <col min="449" max="449" width="12.5" bestFit="1" customWidth="1"/>
    <col min="450" max="450" width="12.85546875" bestFit="1" customWidth="1"/>
    <col min="451" max="451" width="15.0703125" bestFit="1" customWidth="1"/>
    <col min="452" max="452" width="14.5703125" bestFit="1" customWidth="1"/>
    <col min="453" max="453" width="18.640625" bestFit="1" customWidth="1"/>
    <col min="454" max="454" width="11.7109375" bestFit="1" customWidth="1"/>
    <col min="455" max="455" width="12.5" bestFit="1" customWidth="1"/>
    <col min="456" max="456" width="18" bestFit="1" customWidth="1"/>
    <col min="457" max="457" width="8.42578125" bestFit="1" customWidth="1"/>
    <col min="458" max="458" width="12.28515625" bestFit="1" customWidth="1"/>
    <col min="459" max="459" width="10.0703125" bestFit="1" customWidth="1"/>
    <col min="460" max="460" width="20.140625" bestFit="1" customWidth="1"/>
    <col min="461" max="461" width="12.640625" bestFit="1" customWidth="1"/>
    <col min="462" max="462" width="19.0703125" bestFit="1" customWidth="1"/>
    <col min="463" max="463" width="11.2109375" bestFit="1" customWidth="1"/>
    <col min="464" max="464" width="14.78515625" bestFit="1" customWidth="1"/>
    <col min="465" max="465" width="13.42578125" bestFit="1" customWidth="1"/>
    <col min="466" max="466" width="12.140625" bestFit="1" customWidth="1"/>
    <col min="467" max="467" width="14.2109375" bestFit="1" customWidth="1"/>
    <col min="468" max="468" width="12.5703125" bestFit="1" customWidth="1"/>
    <col min="469" max="469" width="13" bestFit="1" customWidth="1"/>
    <col min="470" max="470" width="13.7109375" bestFit="1" customWidth="1"/>
    <col min="471" max="471" width="19.85546875" bestFit="1" customWidth="1"/>
    <col min="472" max="472" width="14.35546875" bestFit="1" customWidth="1"/>
    <col min="473" max="473" width="10.7109375" bestFit="1" customWidth="1"/>
    <col min="474" max="474" width="13.640625" bestFit="1" customWidth="1"/>
    <col min="475" max="475" width="13.42578125" bestFit="1" customWidth="1"/>
    <col min="476" max="476" width="14.78515625" bestFit="1" customWidth="1"/>
    <col min="477" max="477" width="12.35546875" bestFit="1" customWidth="1"/>
    <col min="478" max="478" width="13.2109375" bestFit="1" customWidth="1"/>
    <col min="479" max="479" width="16.42578125" bestFit="1" customWidth="1"/>
    <col min="480" max="480" width="13.7109375" bestFit="1" customWidth="1"/>
    <col min="481" max="481" width="14.42578125" bestFit="1" customWidth="1"/>
    <col min="482" max="482" width="13.35546875" bestFit="1" customWidth="1"/>
    <col min="483" max="483" width="15.5" bestFit="1" customWidth="1"/>
    <col min="484" max="484" width="14.35546875" bestFit="1" customWidth="1"/>
    <col min="485" max="485" width="13.28515625" bestFit="1" customWidth="1"/>
    <col min="486" max="486" width="10.2109375" bestFit="1" customWidth="1"/>
    <col min="487" max="487" width="9.85546875" bestFit="1" customWidth="1"/>
    <col min="488" max="488" width="12.42578125" bestFit="1" customWidth="1"/>
    <col min="489" max="489" width="10.140625" bestFit="1" customWidth="1"/>
    <col min="490" max="490" width="12.5" bestFit="1" customWidth="1"/>
    <col min="491" max="491" width="12.7109375" bestFit="1" customWidth="1"/>
    <col min="492" max="492" width="14.92578125" bestFit="1" customWidth="1"/>
    <col min="493" max="493" width="18.7109375" bestFit="1" customWidth="1"/>
    <col min="494" max="494" width="16.35546875" bestFit="1" customWidth="1"/>
    <col min="495" max="495" width="10.92578125" bestFit="1" customWidth="1"/>
    <col min="496" max="496" width="7.42578125" bestFit="1" customWidth="1"/>
    <col min="497" max="497" width="9.92578125" bestFit="1" customWidth="1"/>
    <col min="498" max="498" width="13.28515625" bestFit="1" customWidth="1"/>
    <col min="499" max="499" width="14.28515625" bestFit="1" customWidth="1"/>
    <col min="500" max="500" width="15.42578125" bestFit="1" customWidth="1"/>
    <col min="501" max="501" width="8.5" bestFit="1" customWidth="1"/>
    <col min="502" max="502" width="12.5703125" bestFit="1" customWidth="1"/>
    <col min="503" max="503" width="13.92578125" bestFit="1" customWidth="1"/>
    <col min="504" max="504" width="12.140625" bestFit="1" customWidth="1"/>
    <col min="505" max="505" width="11.78515625" bestFit="1" customWidth="1"/>
    <col min="506" max="506" width="13.7109375" bestFit="1" customWidth="1"/>
    <col min="507" max="507" width="10.35546875" bestFit="1" customWidth="1"/>
    <col min="508" max="508" width="16.0703125" bestFit="1" customWidth="1"/>
    <col min="509" max="509" width="11.28515625" bestFit="1" customWidth="1"/>
    <col min="510" max="510" width="11.5703125" bestFit="1" customWidth="1"/>
    <col min="511" max="511" width="12.92578125" bestFit="1" customWidth="1"/>
    <col min="512" max="512" width="16.28515625" bestFit="1" customWidth="1"/>
    <col min="513" max="513" width="9.5703125" bestFit="1" customWidth="1"/>
    <col min="514" max="514" width="16.28515625" bestFit="1" customWidth="1"/>
    <col min="515" max="515" width="19.35546875" bestFit="1" customWidth="1"/>
    <col min="516" max="516" width="13" bestFit="1" customWidth="1"/>
    <col min="517" max="517" width="11.640625" bestFit="1" customWidth="1"/>
    <col min="518" max="518" width="13.5" bestFit="1" customWidth="1"/>
    <col min="519" max="519" width="11.85546875" bestFit="1" customWidth="1"/>
    <col min="520" max="520" width="11.42578125" bestFit="1" customWidth="1"/>
    <col min="521" max="521" width="12.85546875" bestFit="1" customWidth="1"/>
    <col min="522" max="522" width="11.85546875" bestFit="1" customWidth="1"/>
    <col min="523" max="523" width="13.78515625" bestFit="1" customWidth="1"/>
    <col min="524" max="524" width="8.640625" bestFit="1" customWidth="1"/>
    <col min="525" max="525" width="10" bestFit="1" customWidth="1"/>
    <col min="526" max="526" width="20.42578125" bestFit="1" customWidth="1"/>
    <col min="527" max="527" width="12.85546875" bestFit="1" customWidth="1"/>
    <col min="528" max="528" width="8.92578125" bestFit="1" customWidth="1"/>
    <col min="529" max="529" width="12.7109375" bestFit="1" customWidth="1"/>
    <col min="530" max="530" width="16.5" bestFit="1" customWidth="1"/>
    <col min="531" max="531" width="14.5" bestFit="1" customWidth="1"/>
    <col min="532" max="532" width="13.5703125" bestFit="1" customWidth="1"/>
    <col min="533" max="533" width="13.85546875" bestFit="1" customWidth="1"/>
    <col min="534" max="534" width="12.85546875" bestFit="1" customWidth="1"/>
    <col min="535" max="535" width="16.640625" bestFit="1" customWidth="1"/>
    <col min="536" max="536" width="14.42578125" bestFit="1" customWidth="1"/>
    <col min="537" max="537" width="9.78515625" bestFit="1" customWidth="1"/>
    <col min="538" max="538" width="13.92578125" bestFit="1" customWidth="1"/>
    <col min="539" max="539" width="11.640625" bestFit="1" customWidth="1"/>
    <col min="540" max="540" width="13.640625" bestFit="1" customWidth="1"/>
    <col min="541" max="541" width="11.0703125" bestFit="1" customWidth="1"/>
    <col min="542" max="542" width="10.2109375" bestFit="1" customWidth="1"/>
    <col min="543" max="543" width="14.7109375" bestFit="1" customWidth="1"/>
    <col min="544" max="544" width="10" bestFit="1" customWidth="1"/>
    <col min="545" max="545" width="16.92578125" bestFit="1" customWidth="1"/>
    <col min="546" max="546" width="11.42578125" bestFit="1" customWidth="1"/>
    <col min="547" max="547" width="10.85546875" bestFit="1" customWidth="1"/>
    <col min="548" max="548" width="15.2109375" bestFit="1" customWidth="1"/>
    <col min="549" max="549" width="12.140625" bestFit="1" customWidth="1"/>
    <col min="550" max="550" width="10.85546875" bestFit="1" customWidth="1"/>
    <col min="551" max="551" width="16.42578125" bestFit="1" customWidth="1"/>
    <col min="552" max="552" width="8.140625" bestFit="1" customWidth="1"/>
    <col min="553" max="553" width="14.28515625" bestFit="1" customWidth="1"/>
    <col min="554" max="554" width="14.640625" bestFit="1" customWidth="1"/>
    <col min="555" max="555" width="17.28515625" bestFit="1" customWidth="1"/>
    <col min="556" max="556" width="11.92578125" bestFit="1" customWidth="1"/>
    <col min="557" max="557" width="16.0703125" bestFit="1" customWidth="1"/>
    <col min="558" max="558" width="21.5703125" bestFit="1" customWidth="1"/>
    <col min="559" max="559" width="10.640625" bestFit="1" customWidth="1"/>
    <col min="560" max="560" width="23.42578125" bestFit="1" customWidth="1"/>
    <col min="561" max="561" width="11.640625" bestFit="1" customWidth="1"/>
    <col min="562" max="562" width="17.28515625" bestFit="1" customWidth="1"/>
    <col min="563" max="563" width="9.42578125" bestFit="1" customWidth="1"/>
    <col min="564" max="564" width="13.28515625" bestFit="1" customWidth="1"/>
    <col min="565" max="565" width="16.42578125" bestFit="1" customWidth="1"/>
    <col min="567" max="567" width="15.85546875" bestFit="1" customWidth="1"/>
    <col min="568" max="568" width="17.42578125" bestFit="1" customWidth="1"/>
    <col min="569" max="569" width="14.7109375" bestFit="1" customWidth="1"/>
    <col min="570" max="570" width="12.0703125" bestFit="1" customWidth="1"/>
    <col min="571" max="571" width="15.78515625" bestFit="1" customWidth="1"/>
    <col min="572" max="572" width="9" bestFit="1" customWidth="1"/>
    <col min="573" max="573" width="14.7109375" bestFit="1" customWidth="1"/>
    <col min="574" max="574" width="11.28515625" bestFit="1" customWidth="1"/>
    <col min="575" max="575" width="14.85546875" bestFit="1" customWidth="1"/>
    <col min="576" max="576" width="13" bestFit="1" customWidth="1"/>
    <col min="577" max="577" width="15.140625" bestFit="1" customWidth="1"/>
    <col min="578" max="578" width="14.7109375" bestFit="1" customWidth="1"/>
    <col min="579" max="579" width="14.2109375" bestFit="1" customWidth="1"/>
    <col min="580" max="580" width="13.2109375" bestFit="1" customWidth="1"/>
    <col min="581" max="581" width="12.140625" bestFit="1" customWidth="1"/>
    <col min="582" max="582" width="14.640625" bestFit="1" customWidth="1"/>
    <col min="583" max="583" width="16.92578125" bestFit="1" customWidth="1"/>
    <col min="584" max="584" width="14.35546875" bestFit="1" customWidth="1"/>
    <col min="585" max="585" width="11.640625" bestFit="1" customWidth="1"/>
    <col min="586" max="586" width="10.140625" bestFit="1" customWidth="1"/>
    <col min="587" max="587" width="10.92578125" bestFit="1" customWidth="1"/>
    <col min="588" max="588" width="12.92578125" bestFit="1" customWidth="1"/>
    <col min="589" max="589" width="10.28515625" bestFit="1" customWidth="1"/>
    <col min="590" max="590" width="12.42578125" bestFit="1" customWidth="1"/>
    <col min="591" max="591" width="20.78515625" bestFit="1" customWidth="1"/>
    <col min="592" max="592" width="11.640625" bestFit="1" customWidth="1"/>
    <col min="593" max="593" width="10.5" bestFit="1" customWidth="1"/>
    <col min="594" max="594" width="10.92578125" bestFit="1" customWidth="1"/>
    <col min="595" max="595" width="12.2109375" bestFit="1" customWidth="1"/>
    <col min="596" max="596" width="16.0703125" bestFit="1" customWidth="1"/>
    <col min="597" max="597" width="13.85546875" bestFit="1" customWidth="1"/>
    <col min="598" max="598" width="15.85546875" bestFit="1" customWidth="1"/>
    <col min="599" max="599" width="13.85546875" bestFit="1" customWidth="1"/>
    <col min="600" max="600" width="20" bestFit="1" customWidth="1"/>
    <col min="601" max="601" width="13.35546875" bestFit="1" customWidth="1"/>
    <col min="602" max="602" width="16.28515625" bestFit="1" customWidth="1"/>
    <col min="603" max="603" width="15.5" bestFit="1" customWidth="1"/>
    <col min="604" max="604" width="14.28515625" bestFit="1" customWidth="1"/>
    <col min="605" max="605" width="12.7109375" bestFit="1" customWidth="1"/>
    <col min="606" max="606" width="13.92578125" bestFit="1" customWidth="1"/>
    <col min="607" max="607" width="14.85546875" bestFit="1" customWidth="1"/>
    <col min="608" max="608" width="8.640625" bestFit="1" customWidth="1"/>
    <col min="609" max="609" width="11.35546875" bestFit="1" customWidth="1"/>
    <col min="610" max="610" width="12.92578125" bestFit="1" customWidth="1"/>
    <col min="611" max="611" width="15.78515625" bestFit="1" customWidth="1"/>
    <col min="612" max="612" width="13.78515625" bestFit="1" customWidth="1"/>
    <col min="613" max="613" width="16.78515625" bestFit="1" customWidth="1"/>
    <col min="614" max="614" width="23.42578125" bestFit="1" customWidth="1"/>
    <col min="615" max="615" width="13.7109375" bestFit="1" customWidth="1"/>
    <col min="616" max="616" width="15" bestFit="1" customWidth="1"/>
    <col min="617" max="617" width="12.28515625" bestFit="1" customWidth="1"/>
    <col min="618" max="618" width="16" bestFit="1" customWidth="1"/>
    <col min="619" max="619" width="12.92578125" bestFit="1" customWidth="1"/>
    <col min="620" max="620" width="11.5703125" bestFit="1" customWidth="1"/>
    <col min="621" max="621" width="11.35546875" bestFit="1" customWidth="1"/>
    <col min="622" max="622" width="18.0703125" bestFit="1" customWidth="1"/>
    <col min="623" max="623" width="11.7109375" bestFit="1" customWidth="1"/>
    <col min="624" max="624" width="14.140625" bestFit="1" customWidth="1"/>
    <col min="625" max="625" width="18.42578125" bestFit="1" customWidth="1"/>
    <col min="626" max="626" width="13.0703125" bestFit="1" customWidth="1"/>
    <col min="627" max="627" width="13" bestFit="1" customWidth="1"/>
    <col min="628" max="628" width="12.7109375" bestFit="1" customWidth="1"/>
    <col min="629" max="629" width="14.0703125" bestFit="1" customWidth="1"/>
    <col min="630" max="630" width="23.78515625" bestFit="1" customWidth="1"/>
    <col min="631" max="631" width="12.92578125" bestFit="1" customWidth="1"/>
    <col min="632" max="632" width="15.85546875" bestFit="1" customWidth="1"/>
    <col min="633" max="633" width="11.28515625" bestFit="1" customWidth="1"/>
    <col min="634" max="634" width="15.5703125" bestFit="1" customWidth="1"/>
    <col min="635" max="635" width="10.28515625" bestFit="1" customWidth="1"/>
    <col min="636" max="636" width="22.0703125" bestFit="1" customWidth="1"/>
    <col min="637" max="637" width="14.35546875" bestFit="1" customWidth="1"/>
    <col min="638" max="638" width="8.85546875" bestFit="1" customWidth="1"/>
    <col min="639" max="639" width="16.5703125" bestFit="1" customWidth="1"/>
    <col min="640" max="640" width="12.42578125" bestFit="1" customWidth="1"/>
    <col min="641" max="641" width="13.92578125" bestFit="1" customWidth="1"/>
    <col min="642" max="642" width="14.640625" bestFit="1" customWidth="1"/>
    <col min="643" max="643" width="10.0703125" bestFit="1" customWidth="1"/>
    <col min="644" max="644" width="17.28515625" bestFit="1" customWidth="1"/>
    <col min="645" max="645" width="10.78515625" bestFit="1" customWidth="1"/>
    <col min="646" max="646" width="11.0703125" bestFit="1" customWidth="1"/>
    <col min="647" max="647" width="9.5703125" bestFit="1" customWidth="1"/>
    <col min="648" max="648" width="12.640625" bestFit="1" customWidth="1"/>
    <col min="649" max="649" width="10.2109375" bestFit="1" customWidth="1"/>
    <col min="650" max="650" width="14.42578125" bestFit="1" customWidth="1"/>
    <col min="651" max="651" width="13.28515625" bestFit="1" customWidth="1"/>
    <col min="652" max="652" width="13.85546875" bestFit="1" customWidth="1"/>
    <col min="653" max="653" width="14.140625" bestFit="1" customWidth="1"/>
    <col min="654" max="654" width="13.85546875" bestFit="1" customWidth="1"/>
    <col min="655" max="655" width="15.5703125" bestFit="1" customWidth="1"/>
    <col min="656" max="656" width="9.5703125" bestFit="1" customWidth="1"/>
    <col min="657" max="657" width="14.0703125" bestFit="1" customWidth="1"/>
    <col min="658" max="658" width="13" bestFit="1" customWidth="1"/>
    <col min="659" max="659" width="10.28515625" bestFit="1" customWidth="1"/>
    <col min="660" max="660" width="10.42578125" bestFit="1" customWidth="1"/>
    <col min="661" max="661" width="15.42578125" bestFit="1" customWidth="1"/>
    <col min="662" max="662" width="16.2109375" bestFit="1" customWidth="1"/>
    <col min="663" max="663" width="13.35546875" bestFit="1" customWidth="1"/>
    <col min="664" max="664" width="10" bestFit="1" customWidth="1"/>
    <col min="665" max="665" width="11.5703125" bestFit="1" customWidth="1"/>
    <col min="666" max="666" width="15.78515625" bestFit="1" customWidth="1"/>
    <col min="667" max="667" width="13.42578125" bestFit="1" customWidth="1"/>
    <col min="668" max="668" width="10.85546875" bestFit="1" customWidth="1"/>
    <col min="669" max="669" width="11.640625" bestFit="1" customWidth="1"/>
    <col min="670" max="670" width="12" bestFit="1" customWidth="1"/>
    <col min="671" max="671" width="12.85546875" bestFit="1" customWidth="1"/>
    <col min="672" max="672" width="16.0703125" bestFit="1" customWidth="1"/>
    <col min="673" max="673" width="12.85546875" bestFit="1" customWidth="1"/>
    <col min="674" max="674" width="12.140625" bestFit="1" customWidth="1"/>
    <col min="675" max="675" width="12.92578125" bestFit="1" customWidth="1"/>
    <col min="676" max="676" width="11.140625" bestFit="1" customWidth="1"/>
    <col min="677" max="677" width="14.5703125" bestFit="1" customWidth="1"/>
    <col min="678" max="678" width="15.78515625" bestFit="1" customWidth="1"/>
    <col min="679" max="679" width="16.140625" bestFit="1" customWidth="1"/>
    <col min="680" max="680" width="14.85546875" bestFit="1" customWidth="1"/>
    <col min="681" max="681" width="12.28515625" bestFit="1" customWidth="1"/>
    <col min="682" max="682" width="17.5703125" bestFit="1" customWidth="1"/>
    <col min="683" max="683" width="15.5" bestFit="1" customWidth="1"/>
    <col min="684" max="684" width="14.92578125" bestFit="1" customWidth="1"/>
    <col min="685" max="685" width="10.42578125" bestFit="1" customWidth="1"/>
    <col min="686" max="686" width="13.42578125" bestFit="1" customWidth="1"/>
    <col min="687" max="687" width="14.92578125" bestFit="1" customWidth="1"/>
    <col min="688" max="688" width="13.28515625" bestFit="1" customWidth="1"/>
    <col min="689" max="689" width="12.92578125" bestFit="1" customWidth="1"/>
    <col min="690" max="690" width="18.92578125" bestFit="1" customWidth="1"/>
    <col min="691" max="691" width="12.7109375" bestFit="1" customWidth="1"/>
    <col min="692" max="692" width="12" bestFit="1" customWidth="1"/>
    <col min="693" max="693" width="18.5703125" bestFit="1" customWidth="1"/>
    <col min="694" max="694" width="8.640625" bestFit="1" customWidth="1"/>
    <col min="695" max="695" width="17.7109375" bestFit="1" customWidth="1"/>
    <col min="696" max="696" width="17.85546875" bestFit="1" customWidth="1"/>
    <col min="697" max="697" width="13.5703125" bestFit="1" customWidth="1"/>
    <col min="698" max="698" width="20.5703125" bestFit="1" customWidth="1"/>
    <col min="699" max="699" width="15" bestFit="1" customWidth="1"/>
    <col min="700" max="700" width="10" bestFit="1" customWidth="1"/>
    <col min="701" max="701" width="9.78515625" bestFit="1" customWidth="1"/>
    <col min="702" max="702" width="15.42578125" bestFit="1" customWidth="1"/>
    <col min="703" max="703" width="15.35546875" bestFit="1" customWidth="1"/>
    <col min="704" max="704" width="18.640625" bestFit="1" customWidth="1"/>
    <col min="705" max="705" width="13.85546875" bestFit="1" customWidth="1"/>
    <col min="706" max="706" width="14.5" bestFit="1" customWidth="1"/>
    <col min="707" max="707" width="17.92578125" bestFit="1" customWidth="1"/>
    <col min="708" max="708" width="13.42578125" bestFit="1" customWidth="1"/>
    <col min="709" max="709" width="10.7109375" bestFit="1" customWidth="1"/>
    <col min="710" max="710" width="11.5703125" bestFit="1" customWidth="1"/>
    <col min="711" max="711" width="9.78515625" bestFit="1" customWidth="1"/>
    <col min="712" max="712" width="13.28515625" bestFit="1" customWidth="1"/>
    <col min="713" max="713" width="16.140625" bestFit="1" customWidth="1"/>
    <col min="714" max="714" width="14.640625" bestFit="1" customWidth="1"/>
    <col min="715" max="715" width="12.5" bestFit="1" customWidth="1"/>
    <col min="716" max="716" width="12" bestFit="1" customWidth="1"/>
    <col min="717" max="717" width="11.140625" bestFit="1" customWidth="1"/>
    <col min="718" max="718" width="13.2109375" bestFit="1" customWidth="1"/>
    <col min="719" max="719" width="12.640625" bestFit="1" customWidth="1"/>
    <col min="720" max="720" width="13.7109375" bestFit="1" customWidth="1"/>
    <col min="721" max="721" width="11.5703125" bestFit="1" customWidth="1"/>
    <col min="722" max="722" width="12.5703125" bestFit="1" customWidth="1"/>
    <col min="723" max="723" width="14.35546875" bestFit="1" customWidth="1"/>
    <col min="724" max="724" width="11.42578125" bestFit="1" customWidth="1"/>
    <col min="725" max="725" width="13.0703125" bestFit="1" customWidth="1"/>
    <col min="726" max="727" width="17.140625" bestFit="1" customWidth="1"/>
    <col min="728" max="728" width="13.7109375" bestFit="1" customWidth="1"/>
    <col min="729" max="729" width="10.5" bestFit="1" customWidth="1"/>
    <col min="730" max="730" width="11.5703125" bestFit="1" customWidth="1"/>
    <col min="731" max="731" width="14.42578125" bestFit="1" customWidth="1"/>
    <col min="732" max="732" width="15.2109375" bestFit="1" customWidth="1"/>
    <col min="733" max="733" width="14.140625" bestFit="1" customWidth="1"/>
    <col min="734" max="734" width="15.28515625" bestFit="1" customWidth="1"/>
    <col min="735" max="735" width="10.5" bestFit="1" customWidth="1"/>
    <col min="736" max="736" width="9.5" bestFit="1" customWidth="1"/>
    <col min="737" max="737" width="10.7109375" bestFit="1" customWidth="1"/>
    <col min="738" max="738" width="12.28515625" bestFit="1" customWidth="1"/>
    <col min="739" max="739" width="13.7109375" bestFit="1" customWidth="1"/>
    <col min="740" max="740" width="15.92578125" bestFit="1" customWidth="1"/>
    <col min="741" max="741" width="14" bestFit="1" customWidth="1"/>
    <col min="742" max="742" width="15.7109375" bestFit="1" customWidth="1"/>
    <col min="743" max="743" width="9.28515625" bestFit="1" customWidth="1"/>
    <col min="744" max="744" width="14.92578125" bestFit="1" customWidth="1"/>
    <col min="745" max="745" width="10.7109375" bestFit="1" customWidth="1"/>
    <col min="746" max="746" width="11.85546875" bestFit="1" customWidth="1"/>
    <col min="747" max="747" width="12" bestFit="1" customWidth="1"/>
    <col min="748" max="748" width="14.7109375" bestFit="1" customWidth="1"/>
    <col min="749" max="749" width="14.140625" bestFit="1" customWidth="1"/>
    <col min="750" max="750" width="13.2109375" bestFit="1" customWidth="1"/>
    <col min="751" max="751" width="9.28515625" bestFit="1" customWidth="1"/>
    <col min="752" max="752" width="13.85546875" bestFit="1" customWidth="1"/>
    <col min="753" max="753" width="10.7109375" bestFit="1" customWidth="1"/>
    <col min="754" max="754" width="13.5" bestFit="1" customWidth="1"/>
    <col min="755" max="755" width="17.140625" bestFit="1" customWidth="1"/>
    <col min="756" max="756" width="17.640625" bestFit="1" customWidth="1"/>
    <col min="757" max="757" width="9" bestFit="1" customWidth="1"/>
    <col min="758" max="758" width="17.5" bestFit="1" customWidth="1"/>
    <col min="759" max="759" width="12" bestFit="1" customWidth="1"/>
    <col min="760" max="760" width="11.78515625" bestFit="1" customWidth="1"/>
    <col min="761" max="761" width="12.7109375" bestFit="1" customWidth="1"/>
    <col min="762" max="762" width="13.0703125" bestFit="1" customWidth="1"/>
    <col min="763" max="763" width="9.78515625" bestFit="1" customWidth="1"/>
    <col min="764" max="764" width="15.7109375" bestFit="1" customWidth="1"/>
    <col min="765" max="765" width="16.0703125" bestFit="1" customWidth="1"/>
    <col min="766" max="766" width="17.85546875" bestFit="1" customWidth="1"/>
    <col min="767" max="767" width="12.35546875" bestFit="1" customWidth="1"/>
    <col min="768" max="768" width="8.5703125" bestFit="1" customWidth="1"/>
    <col min="769" max="769" width="10.78515625" bestFit="1" customWidth="1"/>
    <col min="770" max="770" width="11.78515625" bestFit="1" customWidth="1"/>
    <col min="771" max="771" width="12.28515625" bestFit="1" customWidth="1"/>
    <col min="772" max="772" width="12.7109375" bestFit="1" customWidth="1"/>
    <col min="773" max="773" width="11.92578125" bestFit="1" customWidth="1"/>
    <col min="774" max="774" width="15" bestFit="1" customWidth="1"/>
    <col min="775" max="775" width="11.85546875" bestFit="1" customWidth="1"/>
    <col min="776" max="776" width="12.0703125" bestFit="1" customWidth="1"/>
    <col min="777" max="777" width="11.78515625" bestFit="1" customWidth="1"/>
    <col min="778" max="778" width="11.28515625" bestFit="1" customWidth="1"/>
    <col min="779" max="779" width="10.5" bestFit="1" customWidth="1"/>
    <col min="780" max="780" width="12.28515625" bestFit="1" customWidth="1"/>
    <col min="781" max="781" width="9.2109375" bestFit="1" customWidth="1"/>
    <col min="782" max="782" width="16.28515625" bestFit="1" customWidth="1"/>
    <col min="783" max="783" width="14.2109375" bestFit="1" customWidth="1"/>
    <col min="784" max="784" width="11.140625" bestFit="1" customWidth="1"/>
    <col min="785" max="785" width="10.2109375" bestFit="1" customWidth="1"/>
    <col min="786" max="786" width="8.78515625" bestFit="1" customWidth="1"/>
    <col min="787" max="787" width="15.5" bestFit="1" customWidth="1"/>
    <col min="788" max="788" width="9.92578125" bestFit="1" customWidth="1"/>
    <col min="789" max="789" width="13.5" bestFit="1" customWidth="1"/>
    <col min="790" max="790" width="13.140625" bestFit="1" customWidth="1"/>
    <col min="791" max="791" width="13.35546875" bestFit="1" customWidth="1"/>
    <col min="792" max="792" width="14.5" bestFit="1" customWidth="1"/>
    <col min="793" max="793" width="14.640625" bestFit="1" customWidth="1"/>
    <col min="794" max="794" width="16" bestFit="1" customWidth="1"/>
    <col min="795" max="795" width="13.42578125" bestFit="1" customWidth="1"/>
    <col min="796" max="796" width="11.140625" bestFit="1" customWidth="1"/>
    <col min="797" max="797" width="12.35546875" bestFit="1" customWidth="1"/>
    <col min="798" max="798" width="11.42578125" bestFit="1" customWidth="1"/>
    <col min="799" max="799" width="15.140625" bestFit="1" customWidth="1"/>
    <col min="800" max="800" width="10.28515625" bestFit="1" customWidth="1"/>
    <col min="801" max="801" width="13.28515625" bestFit="1" customWidth="1"/>
    <col min="802" max="802" width="9.28515625" bestFit="1" customWidth="1"/>
    <col min="803" max="803" width="10.28515625" bestFit="1" customWidth="1"/>
    <col min="804" max="804" width="12.0703125" bestFit="1" customWidth="1"/>
    <col min="805" max="805" width="11.7109375" bestFit="1" customWidth="1"/>
    <col min="806" max="806" width="14" bestFit="1" customWidth="1"/>
    <col min="807" max="807" width="19.42578125" bestFit="1" customWidth="1"/>
    <col min="808" max="808" width="10.5703125" bestFit="1" customWidth="1"/>
    <col min="809" max="809" width="11.5703125" bestFit="1" customWidth="1"/>
    <col min="810" max="810" width="14.85546875" bestFit="1" customWidth="1"/>
    <col min="811" max="811" width="13.28515625" bestFit="1" customWidth="1"/>
    <col min="812" max="812" width="18.0703125" bestFit="1" customWidth="1"/>
    <col min="813" max="813" width="12.5" bestFit="1" customWidth="1"/>
    <col min="814" max="814" width="9.92578125" bestFit="1" customWidth="1"/>
    <col min="815" max="815" width="9.640625" bestFit="1" customWidth="1"/>
    <col min="816" max="816" width="10.7109375" bestFit="1" customWidth="1"/>
    <col min="817" max="817" width="10.5703125" bestFit="1" customWidth="1"/>
    <col min="818" max="818" width="16.7109375" bestFit="1" customWidth="1"/>
    <col min="819" max="819" width="13.78515625" bestFit="1" customWidth="1"/>
    <col min="820" max="820" width="15.92578125" bestFit="1" customWidth="1"/>
    <col min="821" max="821" width="11.92578125" bestFit="1" customWidth="1"/>
    <col min="822" max="822" width="14.42578125" bestFit="1" customWidth="1"/>
    <col min="823" max="823" width="11.7109375" bestFit="1" customWidth="1"/>
    <col min="824" max="824" width="17.5" bestFit="1" customWidth="1"/>
    <col min="825" max="825" width="19.0703125" bestFit="1" customWidth="1"/>
    <col min="826" max="826" width="11.28515625" bestFit="1" customWidth="1"/>
    <col min="827" max="827" width="13.85546875" bestFit="1" customWidth="1"/>
    <col min="828" max="828" width="16.2109375" bestFit="1" customWidth="1"/>
    <col min="829" max="829" width="10.5" bestFit="1" customWidth="1"/>
    <col min="830" max="830" width="9.7109375" bestFit="1" customWidth="1"/>
    <col min="831" max="831" width="12.28515625" bestFit="1" customWidth="1"/>
    <col min="832" max="832" width="12.5703125" bestFit="1" customWidth="1"/>
    <col min="833" max="833" width="14.7109375" bestFit="1" customWidth="1"/>
    <col min="834" max="834" width="10.92578125" bestFit="1" customWidth="1"/>
    <col min="835" max="835" width="14.28515625" bestFit="1" customWidth="1"/>
    <col min="836" max="836" width="17.85546875" bestFit="1" customWidth="1"/>
    <col min="837" max="837" width="10.2109375" bestFit="1" customWidth="1"/>
    <col min="838" max="838" width="11.92578125" bestFit="1" customWidth="1"/>
    <col min="839" max="839" width="12.140625" bestFit="1" customWidth="1"/>
    <col min="840" max="840" width="9.78515625" bestFit="1" customWidth="1"/>
    <col min="841" max="841" width="14.140625" bestFit="1" customWidth="1"/>
    <col min="842" max="842" width="12.35546875" bestFit="1" customWidth="1"/>
    <col min="843" max="843" width="13.0703125" bestFit="1" customWidth="1"/>
    <col min="844" max="844" width="10.140625" bestFit="1" customWidth="1"/>
    <col min="845" max="845" width="9.2109375" bestFit="1" customWidth="1"/>
    <col min="846" max="846" width="14.35546875" bestFit="1" customWidth="1"/>
    <col min="847" max="847" width="7.640625" bestFit="1" customWidth="1"/>
    <col min="848" max="848" width="11.640625" bestFit="1" customWidth="1"/>
    <col min="849" max="849" width="20.35546875" bestFit="1" customWidth="1"/>
    <col min="850" max="850" width="10.42578125" bestFit="1" customWidth="1"/>
    <col min="851" max="851" width="15.5" bestFit="1" customWidth="1"/>
    <col min="852" max="852" width="7.28515625" bestFit="1" customWidth="1"/>
    <col min="853" max="853" width="11.0703125" bestFit="1" customWidth="1"/>
    <col min="854" max="854" width="13.85546875" bestFit="1" customWidth="1"/>
    <col min="855" max="855" width="13.78515625" bestFit="1" customWidth="1"/>
    <col min="856" max="856" width="11" bestFit="1" customWidth="1"/>
    <col min="857" max="857" width="12" bestFit="1" customWidth="1"/>
    <col min="858" max="858" width="11.85546875" bestFit="1" customWidth="1"/>
    <col min="859" max="859" width="12.92578125" bestFit="1" customWidth="1"/>
    <col min="860" max="860" width="11.35546875" bestFit="1" customWidth="1"/>
    <col min="861" max="861" width="8.85546875" bestFit="1" customWidth="1"/>
    <col min="862" max="862" width="11.78515625" bestFit="1" customWidth="1"/>
    <col min="863" max="863" width="15.640625" bestFit="1" customWidth="1"/>
    <col min="864" max="864" width="8" bestFit="1" customWidth="1"/>
    <col min="866" max="866" width="11.78515625" bestFit="1" customWidth="1"/>
    <col min="867" max="867" width="8.640625" bestFit="1" customWidth="1"/>
    <col min="868" max="868" width="14.92578125" bestFit="1" customWidth="1"/>
    <col min="869" max="869" width="16.78515625" bestFit="1" customWidth="1"/>
    <col min="870" max="870" width="11.42578125" bestFit="1" customWidth="1"/>
    <col min="871" max="871" width="14.5703125" bestFit="1" customWidth="1"/>
    <col min="872" max="872" width="11.28515625" bestFit="1" customWidth="1"/>
    <col min="873" max="873" width="16.78515625" bestFit="1" customWidth="1"/>
    <col min="874" max="874" width="16.7109375" bestFit="1" customWidth="1"/>
    <col min="875" max="875" width="14.5703125" bestFit="1" customWidth="1"/>
    <col min="876" max="876" width="12.85546875" bestFit="1" customWidth="1"/>
    <col min="877" max="877" width="11.2109375" bestFit="1" customWidth="1"/>
    <col min="878" max="878" width="10.2109375" bestFit="1" customWidth="1"/>
    <col min="879" max="879" width="10.7109375" bestFit="1" customWidth="1"/>
    <col min="880" max="880" width="11.2109375" bestFit="1" customWidth="1"/>
    <col min="881" max="881" width="9.85546875" bestFit="1" customWidth="1"/>
    <col min="882" max="882" width="12.640625" bestFit="1" customWidth="1"/>
    <col min="883" max="883" width="13.42578125" bestFit="1" customWidth="1"/>
    <col min="884" max="884" width="13.0703125" bestFit="1" customWidth="1"/>
    <col min="885" max="885" width="11.2109375" bestFit="1" customWidth="1"/>
    <col min="886" max="886" width="12.92578125" bestFit="1" customWidth="1"/>
    <col min="887" max="887" width="8.7109375" bestFit="1" customWidth="1"/>
    <col min="888" max="888" width="7.7109375" bestFit="1" customWidth="1"/>
    <col min="889" max="889" width="7.140625" bestFit="1" customWidth="1"/>
    <col min="890" max="890" width="13.35546875" bestFit="1" customWidth="1"/>
    <col min="891" max="891" width="14.0703125" bestFit="1" customWidth="1"/>
    <col min="892" max="892" width="10.28515625" bestFit="1" customWidth="1"/>
    <col min="893" max="893" width="17.0703125" bestFit="1" customWidth="1"/>
    <col min="894" max="894" width="15.7109375" bestFit="1" customWidth="1"/>
    <col min="895" max="895" width="15.42578125" bestFit="1" customWidth="1"/>
    <col min="896" max="896" width="14.640625" bestFit="1" customWidth="1"/>
    <col min="897" max="897" width="23.92578125" bestFit="1" customWidth="1"/>
    <col min="898" max="898" width="15.5" bestFit="1" customWidth="1"/>
    <col min="899" max="899" width="12.5703125" bestFit="1" customWidth="1"/>
    <col min="900" max="900" width="13.42578125" bestFit="1" customWidth="1"/>
    <col min="901" max="901" width="10.78515625" bestFit="1" customWidth="1"/>
    <col min="902" max="902" width="13.35546875" bestFit="1" customWidth="1"/>
    <col min="903" max="903" width="15.140625" bestFit="1" customWidth="1"/>
    <col min="904" max="904" width="10.28515625" bestFit="1" customWidth="1"/>
    <col min="905" max="905" width="10.5703125" bestFit="1" customWidth="1"/>
    <col min="906" max="906" width="13.2109375" bestFit="1" customWidth="1"/>
    <col min="907" max="907" width="10.7109375" bestFit="1" customWidth="1"/>
    <col min="908" max="908" width="14.28515625" bestFit="1" customWidth="1"/>
    <col min="909" max="909" width="10.2109375" bestFit="1" customWidth="1"/>
    <col min="910" max="910" width="13.140625" bestFit="1" customWidth="1"/>
    <col min="911" max="911" width="11.85546875" bestFit="1" customWidth="1"/>
    <col min="912" max="912" width="9.5703125" bestFit="1" customWidth="1"/>
    <col min="913" max="913" width="12.42578125" bestFit="1" customWidth="1"/>
    <col min="914" max="914" width="12.85546875" bestFit="1" customWidth="1"/>
    <col min="915" max="915" width="11.2109375" bestFit="1" customWidth="1"/>
    <col min="916" max="916" width="14.92578125" bestFit="1" customWidth="1"/>
    <col min="917" max="917" width="13.2109375" bestFit="1" customWidth="1"/>
    <col min="918" max="918" width="14.85546875" bestFit="1" customWidth="1"/>
    <col min="919" max="919" width="13.140625" bestFit="1" customWidth="1"/>
    <col min="920" max="920" width="10.2109375" bestFit="1" customWidth="1"/>
    <col min="921" max="921" width="11.5" bestFit="1" customWidth="1"/>
    <col min="922" max="922" width="11.0703125" bestFit="1" customWidth="1"/>
    <col min="923" max="923" width="10.42578125" bestFit="1" customWidth="1"/>
    <col min="924" max="924" width="12.5703125" bestFit="1" customWidth="1"/>
    <col min="925" max="925" width="15.35546875" bestFit="1" customWidth="1"/>
    <col min="926" max="926" width="9.85546875" bestFit="1" customWidth="1"/>
    <col min="927" max="927" width="14.140625" bestFit="1" customWidth="1"/>
    <col min="928" max="928" width="9" bestFit="1" customWidth="1"/>
    <col min="929" max="929" width="13.0703125" bestFit="1" customWidth="1"/>
    <col min="930" max="930" width="12.92578125" bestFit="1" customWidth="1"/>
    <col min="931" max="931" width="10.5" bestFit="1" customWidth="1"/>
    <col min="932" max="932" width="13.140625" bestFit="1" customWidth="1"/>
    <col min="933" max="933" width="14.78515625" bestFit="1" customWidth="1"/>
    <col min="934" max="934" width="9.85546875" bestFit="1" customWidth="1"/>
    <col min="935" max="935" width="11.28515625" bestFit="1" customWidth="1"/>
    <col min="936" max="936" width="7.640625" bestFit="1" customWidth="1"/>
    <col min="937" max="937" width="10.35546875" bestFit="1" customWidth="1"/>
    <col min="938" max="938" width="8" bestFit="1" customWidth="1"/>
    <col min="939" max="939" width="8.92578125" bestFit="1" customWidth="1"/>
    <col min="940" max="940" width="9.0703125" bestFit="1" customWidth="1"/>
    <col min="941" max="941" width="11.5703125" bestFit="1" customWidth="1"/>
    <col min="942" max="942" width="12.35546875" bestFit="1" customWidth="1"/>
    <col min="943" max="943" width="10.5703125" bestFit="1" customWidth="1"/>
    <col min="944" max="944" width="16.42578125" bestFit="1" customWidth="1"/>
    <col min="945" max="945" width="22" bestFit="1" customWidth="1"/>
    <col min="946" max="946" width="13.640625" bestFit="1" customWidth="1"/>
    <col min="947" max="947" width="13.92578125" bestFit="1" customWidth="1"/>
    <col min="948" max="948" width="11.140625" bestFit="1" customWidth="1"/>
    <col min="949" max="949" width="12.7109375" bestFit="1" customWidth="1"/>
    <col min="950" max="950" width="11.42578125" bestFit="1" customWidth="1"/>
    <col min="951" max="951" width="21.2109375" bestFit="1" customWidth="1"/>
    <col min="952" max="952" width="15.7109375" bestFit="1" customWidth="1"/>
    <col min="953" max="953" width="10.35546875" bestFit="1" customWidth="1"/>
    <col min="954" max="954" width="13.28515625" bestFit="1" customWidth="1"/>
    <col min="955" max="955" width="16.28515625" bestFit="1" customWidth="1"/>
    <col min="956" max="956" width="13.640625" bestFit="1" customWidth="1"/>
    <col min="957" max="957" width="14.35546875" bestFit="1" customWidth="1"/>
    <col min="958" max="958" width="15.5703125" bestFit="1" customWidth="1"/>
    <col min="959" max="959" width="17" bestFit="1" customWidth="1"/>
    <col min="960" max="960" width="15.5" bestFit="1" customWidth="1"/>
    <col min="961" max="961" width="11.92578125" bestFit="1" customWidth="1"/>
    <col min="962" max="962" width="8.2109375" bestFit="1" customWidth="1"/>
    <col min="963" max="963" width="10.5703125" bestFit="1" customWidth="1"/>
    <col min="964" max="964" width="14.35546875" bestFit="1" customWidth="1"/>
    <col min="965" max="965" width="11.85546875" bestFit="1" customWidth="1"/>
    <col min="966" max="966" width="12" bestFit="1" customWidth="1"/>
    <col min="967" max="967" width="14.140625" bestFit="1" customWidth="1"/>
    <col min="968" max="968" width="12.85546875" bestFit="1" customWidth="1"/>
    <col min="969" max="969" width="16.28515625" bestFit="1" customWidth="1"/>
    <col min="970" max="970" width="17.7109375" bestFit="1" customWidth="1"/>
    <col min="971" max="971" width="13.140625" bestFit="1" customWidth="1"/>
    <col min="972" max="972" width="14.78515625" bestFit="1" customWidth="1"/>
    <col min="973" max="973" width="12.640625" bestFit="1" customWidth="1"/>
    <col min="974" max="974" width="15.92578125" bestFit="1" customWidth="1"/>
    <col min="975" max="975" width="12.7109375" bestFit="1" customWidth="1"/>
    <col min="976" max="976" width="16.35546875" bestFit="1" customWidth="1"/>
    <col min="977" max="977" width="13.2109375" bestFit="1" customWidth="1"/>
    <col min="978" max="978" width="13.0703125" bestFit="1" customWidth="1"/>
    <col min="979" max="979" width="15.640625" bestFit="1" customWidth="1"/>
    <col min="980" max="980" width="11.5" bestFit="1" customWidth="1"/>
    <col min="981" max="981" width="13.92578125" bestFit="1" customWidth="1"/>
    <col min="982" max="982" width="11.140625" bestFit="1" customWidth="1"/>
    <col min="983" max="983" width="14.7109375" bestFit="1" customWidth="1"/>
    <col min="984" max="985" width="12.28515625" bestFit="1" customWidth="1"/>
    <col min="986" max="986" width="18.140625" bestFit="1" customWidth="1"/>
    <col min="987" max="987" width="13.7109375" bestFit="1" customWidth="1"/>
    <col min="988" max="989" width="15.0703125" bestFit="1" customWidth="1"/>
    <col min="990" max="990" width="12.92578125" bestFit="1" customWidth="1"/>
    <col min="991" max="991" width="11.5703125" bestFit="1" customWidth="1"/>
    <col min="992" max="992" width="11.5" bestFit="1" customWidth="1"/>
    <col min="993" max="993" width="11.28515625" bestFit="1" customWidth="1"/>
    <col min="994" max="994" width="12.42578125" bestFit="1" customWidth="1"/>
    <col min="995" max="995" width="15.2109375" bestFit="1" customWidth="1"/>
    <col min="996" max="996" width="16.5703125" bestFit="1" customWidth="1"/>
    <col min="997" max="997" width="8.78515625" bestFit="1" customWidth="1"/>
    <col min="998" max="998" width="15.42578125" bestFit="1" customWidth="1"/>
    <col min="999" max="999" width="12.5703125" bestFit="1" customWidth="1"/>
    <col min="1000" max="1000" width="14.85546875" bestFit="1" customWidth="1"/>
    <col min="1001" max="1001" width="15.78515625" bestFit="1" customWidth="1"/>
    <col min="1002" max="1002" width="11.5703125" bestFit="1" customWidth="1"/>
    <col min="1003" max="1003" width="18.7109375" bestFit="1" customWidth="1"/>
    <col min="1004" max="1004" width="11.78515625" bestFit="1" customWidth="1"/>
    <col min="1005" max="1005" width="7.78515625" bestFit="1" customWidth="1"/>
    <col min="1006" max="1006" width="10.140625" bestFit="1" customWidth="1"/>
    <col min="1007" max="1007" width="16.7109375" bestFit="1" customWidth="1"/>
    <col min="1008" max="1008" width="14.640625" bestFit="1" customWidth="1"/>
    <col min="1009" max="1009" width="12.5703125" bestFit="1" customWidth="1"/>
    <col min="1010" max="1010" width="14.42578125" bestFit="1" customWidth="1"/>
    <col min="1011" max="1011" width="10.7109375" bestFit="1" customWidth="1"/>
    <col min="1012" max="1012" width="14.5703125" bestFit="1" customWidth="1"/>
    <col min="1013" max="1013" width="11.92578125" bestFit="1" customWidth="1"/>
    <col min="1014" max="1014" width="10.85546875" bestFit="1" customWidth="1"/>
    <col min="1015" max="1015" width="13.85546875" bestFit="1" customWidth="1"/>
    <col min="1016" max="1016" width="10.85546875" bestFit="1" customWidth="1"/>
    <col min="1017" max="1017" width="12.2109375" bestFit="1" customWidth="1"/>
    <col min="1018" max="1018" width="12.35546875" bestFit="1" customWidth="1"/>
    <col min="1019" max="1019" width="11.42578125" bestFit="1" customWidth="1"/>
    <col min="1020" max="1020" width="13.5703125" bestFit="1" customWidth="1"/>
    <col min="1021" max="1021" width="15.7109375" bestFit="1" customWidth="1"/>
    <col min="1022" max="1023" width="12.7109375" bestFit="1" customWidth="1"/>
    <col min="1024" max="1024" width="14.5703125" bestFit="1" customWidth="1"/>
    <col min="1025" max="1025" width="8.7109375" bestFit="1" customWidth="1"/>
    <col min="1026" max="1026" width="8.5703125" bestFit="1" customWidth="1"/>
    <col min="1027" max="1027" width="10.28515625" bestFit="1" customWidth="1"/>
    <col min="1028" max="1028" width="13.78515625" bestFit="1" customWidth="1"/>
    <col min="1029" max="1029" width="13" bestFit="1" customWidth="1"/>
    <col min="1030" max="1030" width="10.42578125" bestFit="1" customWidth="1"/>
    <col min="1031" max="1031" width="9.5" bestFit="1" customWidth="1"/>
    <col min="1032" max="1032" width="13.2109375" bestFit="1" customWidth="1"/>
    <col min="1033" max="1033" width="18.2109375" bestFit="1" customWidth="1"/>
    <col min="1034" max="1034" width="11.92578125" bestFit="1" customWidth="1"/>
    <col min="1035" max="1035" width="18.28515625" bestFit="1" customWidth="1"/>
    <col min="1036" max="1036" width="13.7109375" bestFit="1" customWidth="1"/>
    <col min="1037" max="1037" width="13.35546875" bestFit="1" customWidth="1"/>
    <col min="1038" max="1038" width="14.140625" bestFit="1" customWidth="1"/>
    <col min="1039" max="1039" width="15.7109375" bestFit="1" customWidth="1"/>
    <col min="1040" max="1040" width="23.85546875" bestFit="1" customWidth="1"/>
    <col min="1041" max="1041" width="17.2109375" bestFit="1" customWidth="1"/>
    <col min="1042" max="1042" width="9.28515625" bestFit="1" customWidth="1"/>
    <col min="1043" max="1043" width="15.0703125" bestFit="1" customWidth="1"/>
    <col min="1044" max="1044" width="13" bestFit="1" customWidth="1"/>
    <col min="1045" max="1045" width="10.2109375" bestFit="1" customWidth="1"/>
    <col min="1046" max="1046" width="11" bestFit="1" customWidth="1"/>
    <col min="1047" max="1047" width="10.78515625" bestFit="1" customWidth="1"/>
    <col min="1048" max="1048" width="12.0703125" bestFit="1" customWidth="1"/>
    <col min="1049" max="1049" width="12.140625" bestFit="1" customWidth="1"/>
    <col min="1050" max="1050" width="10.7109375" bestFit="1" customWidth="1"/>
    <col min="1051" max="1051" width="13.0703125" bestFit="1" customWidth="1"/>
    <col min="1052" max="1052" width="11.28515625" bestFit="1" customWidth="1"/>
    <col min="1053" max="1053" width="9.5" bestFit="1" customWidth="1"/>
    <col min="1054" max="1054" width="13.42578125" bestFit="1" customWidth="1"/>
    <col min="1055" max="1055" width="9.5703125" bestFit="1" customWidth="1"/>
    <col min="1056" max="1056" width="13.28515625" bestFit="1" customWidth="1"/>
    <col min="1057" max="1057" width="14.42578125" bestFit="1" customWidth="1"/>
    <col min="1058" max="1058" width="11.640625" bestFit="1" customWidth="1"/>
    <col min="1059" max="1059" width="15.35546875" bestFit="1" customWidth="1"/>
    <col min="1060" max="1060" width="18.42578125" bestFit="1" customWidth="1"/>
    <col min="1061" max="1061" width="12.92578125" bestFit="1" customWidth="1"/>
    <col min="1062" max="1062" width="12.35546875" bestFit="1" customWidth="1"/>
    <col min="1063" max="1063" width="13.42578125" bestFit="1" customWidth="1"/>
    <col min="1064" max="1064" width="9.0703125" bestFit="1" customWidth="1"/>
    <col min="1065" max="1065" width="13.640625" bestFit="1" customWidth="1"/>
    <col min="1066" max="1066" width="10.92578125" bestFit="1" customWidth="1"/>
    <col min="1067" max="1067" width="13.85546875" bestFit="1" customWidth="1"/>
    <col min="1068" max="1068" width="12.0703125" bestFit="1" customWidth="1"/>
    <col min="1069" max="1069" width="13.5703125" bestFit="1" customWidth="1"/>
    <col min="1070" max="1070" width="9" bestFit="1" customWidth="1"/>
    <col min="1071" max="1071" width="14.28515625" bestFit="1" customWidth="1"/>
    <col min="1072" max="1072" width="13.5" bestFit="1" customWidth="1"/>
    <col min="1073" max="1073" width="10.42578125" bestFit="1" customWidth="1"/>
    <col min="1074" max="1074" width="16.35546875" bestFit="1" customWidth="1"/>
    <col min="1075" max="1075" width="9.640625" bestFit="1" customWidth="1"/>
    <col min="1076" max="1076" width="12.640625" bestFit="1" customWidth="1"/>
    <col min="1077" max="1077" width="14.2109375" bestFit="1" customWidth="1"/>
    <col min="1078" max="1078" width="8.92578125" bestFit="1" customWidth="1"/>
    <col min="1079" max="1079" width="11.42578125" bestFit="1" customWidth="1"/>
    <col min="1080" max="1080" width="11.0703125" bestFit="1" customWidth="1"/>
    <col min="1081" max="1081" width="11.35546875" bestFit="1" customWidth="1"/>
    <col min="1082" max="1083" width="11.5" bestFit="1" customWidth="1"/>
    <col min="1084" max="1084" width="11.28515625" bestFit="1" customWidth="1"/>
    <col min="1085" max="1085" width="16.7109375" bestFit="1" customWidth="1"/>
    <col min="1086" max="1086" width="15.85546875" bestFit="1" customWidth="1"/>
    <col min="1087" max="1087" width="12" bestFit="1" customWidth="1"/>
    <col min="1088" max="1088" width="9.7109375" bestFit="1" customWidth="1"/>
    <col min="1089" max="1089" width="14.140625" bestFit="1" customWidth="1"/>
    <col min="1090" max="1090" width="11" bestFit="1" customWidth="1"/>
    <col min="1091" max="1091" width="13.78515625" bestFit="1" customWidth="1"/>
    <col min="1092" max="1092" width="10.5" bestFit="1" customWidth="1"/>
    <col min="1093" max="1093" width="12.92578125" bestFit="1" customWidth="1"/>
    <col min="1094" max="1094" width="11" bestFit="1" customWidth="1"/>
    <col min="1095" max="1095" width="13.140625" bestFit="1" customWidth="1"/>
    <col min="1096" max="1096" width="9.640625" bestFit="1" customWidth="1"/>
    <col min="1098" max="1098" width="11" bestFit="1" customWidth="1"/>
    <col min="1099" max="1099" width="9.78515625" bestFit="1" customWidth="1"/>
    <col min="1100" max="1100" width="14.78515625" bestFit="1" customWidth="1"/>
    <col min="1101" max="1101" width="10.85546875" bestFit="1" customWidth="1"/>
    <col min="1102" max="1102" width="13.7109375" bestFit="1" customWidth="1"/>
    <col min="1103" max="1103" width="13.35546875" bestFit="1" customWidth="1"/>
    <col min="1104" max="1104" width="14.85546875" bestFit="1" customWidth="1"/>
    <col min="1105" max="1105" width="10.35546875" bestFit="1" customWidth="1"/>
    <col min="1106" max="1106" width="11.85546875" bestFit="1" customWidth="1"/>
    <col min="1107" max="1107" width="13.78515625" bestFit="1" customWidth="1"/>
    <col min="1108" max="1108" width="12.85546875" bestFit="1" customWidth="1"/>
    <col min="1109" max="1109" width="16.5" bestFit="1" customWidth="1"/>
    <col min="1110" max="1110" width="14.28515625" bestFit="1" customWidth="1"/>
    <col min="1111" max="1111" width="13" bestFit="1" customWidth="1"/>
    <col min="1112" max="1112" width="16.35546875" bestFit="1" customWidth="1"/>
    <col min="1113" max="1113" width="14.28515625" bestFit="1" customWidth="1"/>
    <col min="1114" max="1114" width="9.5703125" bestFit="1" customWidth="1"/>
    <col min="1115" max="1115" width="13.7109375" bestFit="1" customWidth="1"/>
    <col min="1116" max="1116" width="17.28515625" bestFit="1" customWidth="1"/>
    <col min="1117" max="1117" width="12.85546875" bestFit="1" customWidth="1"/>
    <col min="1118" max="1118" width="13.2109375" bestFit="1" customWidth="1"/>
    <col min="1119" max="1119" width="17.2109375" bestFit="1" customWidth="1"/>
    <col min="1120" max="1120" width="12.5" bestFit="1" customWidth="1"/>
    <col min="1121" max="1121" width="10.42578125" bestFit="1" customWidth="1"/>
    <col min="1122" max="1122" width="9.42578125" bestFit="1" customWidth="1"/>
    <col min="1123" max="1123" width="16.640625" bestFit="1" customWidth="1"/>
    <col min="1124" max="1124" width="13.0703125" bestFit="1" customWidth="1"/>
    <col min="1125" max="1125" width="10.28515625" bestFit="1" customWidth="1"/>
    <col min="1126" max="1126" width="8.35546875" bestFit="1" customWidth="1"/>
    <col min="1127" max="1127" width="12.5" bestFit="1" customWidth="1"/>
    <col min="1128" max="1128" width="11.92578125" bestFit="1" customWidth="1"/>
    <col min="1129" max="1129" width="11.5" bestFit="1" customWidth="1"/>
    <col min="1130" max="1130" width="17" bestFit="1" customWidth="1"/>
    <col min="1131" max="1131" width="14.5" bestFit="1" customWidth="1"/>
    <col min="1132" max="1132" width="14" bestFit="1" customWidth="1"/>
    <col min="1133" max="1133" width="17.7109375" bestFit="1" customWidth="1"/>
    <col min="1134" max="1134" width="14.640625" bestFit="1" customWidth="1"/>
    <col min="1135" max="1135" width="12.140625" bestFit="1" customWidth="1"/>
    <col min="1136" max="1136" width="14.92578125" bestFit="1" customWidth="1"/>
    <col min="1137" max="1137" width="12.5703125" bestFit="1" customWidth="1"/>
    <col min="1138" max="1138" width="10.2109375" bestFit="1" customWidth="1"/>
    <col min="1139" max="1139" width="12.640625" bestFit="1" customWidth="1"/>
    <col min="1140" max="1140" width="15.140625" bestFit="1" customWidth="1"/>
    <col min="1141" max="1141" width="16.140625" bestFit="1" customWidth="1"/>
    <col min="1142" max="1142" width="12.640625" bestFit="1" customWidth="1"/>
    <col min="1143" max="1143" width="12.5703125" bestFit="1" customWidth="1"/>
    <col min="1144" max="1144" width="11.7109375" bestFit="1" customWidth="1"/>
    <col min="1145" max="1145" width="15.0703125" bestFit="1" customWidth="1"/>
    <col min="1146" max="1146" width="14.7109375" bestFit="1" customWidth="1"/>
    <col min="1147" max="1147" width="10.78515625" bestFit="1" customWidth="1"/>
    <col min="1148" max="1148" width="13.2109375" bestFit="1" customWidth="1"/>
    <col min="1149" max="1149" width="11.28515625" bestFit="1" customWidth="1"/>
    <col min="1150" max="1150" width="13.2109375" bestFit="1" customWidth="1"/>
    <col min="1151" max="1151" width="15.35546875" bestFit="1" customWidth="1"/>
    <col min="1152" max="1152" width="11.35546875" bestFit="1" customWidth="1"/>
    <col min="1153" max="1153" width="16.35546875" bestFit="1" customWidth="1"/>
    <col min="1154" max="1154" width="11.85546875" bestFit="1" customWidth="1"/>
    <col min="1155" max="1155" width="14.640625" bestFit="1" customWidth="1"/>
    <col min="1156" max="1156" width="12.0703125" bestFit="1" customWidth="1"/>
    <col min="1157" max="1157" width="13.42578125" bestFit="1" customWidth="1"/>
    <col min="1158" max="1158" width="10.640625" bestFit="1" customWidth="1"/>
    <col min="1159" max="1159" width="13.7109375" bestFit="1" customWidth="1"/>
    <col min="1160" max="1160" width="12.640625" bestFit="1" customWidth="1"/>
    <col min="1161" max="1161" width="11.2109375" bestFit="1" customWidth="1"/>
    <col min="1162" max="1162" width="13.5703125" bestFit="1" customWidth="1"/>
    <col min="1163" max="1163" width="11.92578125" bestFit="1" customWidth="1"/>
    <col min="1164" max="1164" width="18.28515625" bestFit="1" customWidth="1"/>
    <col min="1165" max="1165" width="12.42578125" bestFit="1" customWidth="1"/>
    <col min="1166" max="1166" width="11.35546875" bestFit="1" customWidth="1"/>
    <col min="1167" max="1167" width="11.5703125" bestFit="1" customWidth="1"/>
    <col min="1168" max="1168" width="10.5" bestFit="1" customWidth="1"/>
    <col min="1169" max="1169" width="13.7109375" bestFit="1" customWidth="1"/>
    <col min="1170" max="1170" width="13.78515625" bestFit="1" customWidth="1"/>
    <col min="1171" max="1171" width="13.42578125" bestFit="1" customWidth="1"/>
    <col min="1172" max="1172" width="11.140625" bestFit="1" customWidth="1"/>
    <col min="1173" max="1173" width="8.92578125" bestFit="1" customWidth="1"/>
    <col min="1174" max="1174" width="11.5" bestFit="1" customWidth="1"/>
    <col min="1175" max="1175" width="12.85546875" bestFit="1" customWidth="1"/>
    <col min="1176" max="1176" width="10.2109375" bestFit="1" customWidth="1"/>
    <col min="1177" max="1177" width="14.85546875" bestFit="1" customWidth="1"/>
    <col min="1178" max="1178" width="12.92578125" bestFit="1" customWidth="1"/>
    <col min="1179" max="1179" width="14.2109375" bestFit="1" customWidth="1"/>
    <col min="1180" max="1180" width="10.85546875" bestFit="1" customWidth="1"/>
    <col min="1181" max="1181" width="10.7109375" bestFit="1" customWidth="1"/>
    <col min="1182" max="1182" width="12.640625" bestFit="1" customWidth="1"/>
    <col min="1183" max="1183" width="11.2109375" bestFit="1" customWidth="1"/>
    <col min="1184" max="1184" width="12.85546875" bestFit="1" customWidth="1"/>
    <col min="1185" max="1185" width="13.92578125" bestFit="1" customWidth="1"/>
    <col min="1186" max="1186" width="16.140625" bestFit="1" customWidth="1"/>
    <col min="1187" max="1187" width="18.5" bestFit="1" customWidth="1"/>
    <col min="1188" max="1188" width="13.7109375" bestFit="1" customWidth="1"/>
    <col min="1189" max="1189" width="13.35546875" bestFit="1" customWidth="1"/>
    <col min="1190" max="1190" width="14.5" bestFit="1" customWidth="1"/>
    <col min="1191" max="1191" width="12.640625" bestFit="1" customWidth="1"/>
    <col min="1192" max="1192" width="10.640625" bestFit="1" customWidth="1"/>
    <col min="1193" max="1193" width="10.35546875" bestFit="1" customWidth="1"/>
    <col min="1194" max="1194" width="16.640625" bestFit="1" customWidth="1"/>
    <col min="1195" max="1195" width="14.42578125" bestFit="1" customWidth="1"/>
    <col min="1196" max="1196" width="16.5" bestFit="1" customWidth="1"/>
    <col min="1197" max="1197" width="12.0703125" bestFit="1" customWidth="1"/>
    <col min="1198" max="1198" width="14.5" bestFit="1" customWidth="1"/>
    <col min="1199" max="1199" width="12" bestFit="1" customWidth="1"/>
    <col min="1200" max="1200" width="16.28515625" bestFit="1" customWidth="1"/>
    <col min="1201" max="1201" width="10.640625" bestFit="1" customWidth="1"/>
    <col min="1202" max="1202" width="13.42578125" bestFit="1" customWidth="1"/>
    <col min="1203" max="1203" width="12.92578125" bestFit="1" customWidth="1"/>
    <col min="1204" max="1204" width="15.35546875" bestFit="1" customWidth="1"/>
    <col min="1205" max="1205" width="14.42578125" bestFit="1" customWidth="1"/>
    <col min="1206" max="1206" width="15" bestFit="1" customWidth="1"/>
    <col min="1207" max="1207" width="15.85546875" bestFit="1" customWidth="1"/>
    <col min="1208" max="1208" width="15.28515625" bestFit="1" customWidth="1"/>
    <col min="1209" max="1209" width="11.42578125" bestFit="1" customWidth="1"/>
    <col min="1210" max="1210" width="13.2109375" bestFit="1" customWidth="1"/>
    <col min="1211" max="1211" width="9.35546875" bestFit="1" customWidth="1"/>
    <col min="1212" max="1212" width="17.35546875" bestFit="1" customWidth="1"/>
    <col min="1213" max="1213" width="15.5" bestFit="1" customWidth="1"/>
    <col min="1214" max="1214" width="16.92578125" bestFit="1" customWidth="1"/>
    <col min="1215" max="1215" width="9.7109375" bestFit="1" customWidth="1"/>
    <col min="1216" max="1216" width="12.7109375" bestFit="1" customWidth="1"/>
    <col min="1217" max="1217" width="15.5703125" bestFit="1" customWidth="1"/>
    <col min="1218" max="1218" width="11.78515625" bestFit="1" customWidth="1"/>
    <col min="1219" max="1219" width="10.7109375" bestFit="1" customWidth="1"/>
    <col min="1220" max="1220" width="14.92578125" bestFit="1" customWidth="1"/>
    <col min="1221" max="1221" width="14.85546875" bestFit="1" customWidth="1"/>
    <col min="1222" max="1222" width="15.7109375" bestFit="1" customWidth="1"/>
    <col min="1223" max="1223" width="17.78515625" bestFit="1" customWidth="1"/>
    <col min="1224" max="1224" width="15.42578125" bestFit="1" customWidth="1"/>
    <col min="1225" max="1225" width="18.2109375" bestFit="1" customWidth="1"/>
    <col min="1226" max="1226" width="16.5703125" bestFit="1" customWidth="1"/>
    <col min="1227" max="1227" width="18.42578125" bestFit="1" customWidth="1"/>
    <col min="1228" max="1228" width="19" bestFit="1" customWidth="1"/>
    <col min="1229" max="1229" width="11.92578125" bestFit="1" customWidth="1"/>
    <col min="1230" max="1230" width="11.140625" bestFit="1" customWidth="1"/>
    <col min="1231" max="1231" width="18.78515625" bestFit="1" customWidth="1"/>
    <col min="1232" max="1232" width="14.2109375" bestFit="1" customWidth="1"/>
    <col min="1233" max="1233" width="15.35546875" bestFit="1" customWidth="1"/>
    <col min="1234" max="1234" width="13.640625" bestFit="1" customWidth="1"/>
    <col min="1235" max="1235" width="12.140625" bestFit="1" customWidth="1"/>
    <col min="1236" max="1236" width="11.42578125" bestFit="1" customWidth="1"/>
    <col min="1237" max="1237" width="11.78515625" bestFit="1" customWidth="1"/>
    <col min="1238" max="1238" width="18.78515625" bestFit="1" customWidth="1"/>
    <col min="1239" max="1239" width="13.78515625" bestFit="1" customWidth="1"/>
    <col min="1240" max="1240" width="11.7109375" bestFit="1" customWidth="1"/>
    <col min="1241" max="1241" width="10.7109375" bestFit="1" customWidth="1"/>
    <col min="1242" max="1242" width="11" bestFit="1" customWidth="1"/>
    <col min="1243" max="1243" width="14.140625" bestFit="1" customWidth="1"/>
    <col min="1244" max="1244" width="19.78515625" bestFit="1" customWidth="1"/>
    <col min="1245" max="1245" width="21.2109375" bestFit="1" customWidth="1"/>
    <col min="1246" max="1246" width="13.78515625" bestFit="1" customWidth="1"/>
    <col min="1247" max="1247" width="12.92578125" bestFit="1" customWidth="1"/>
    <col min="1248" max="1248" width="10.92578125" bestFit="1" customWidth="1"/>
    <col min="1249" max="1249" width="19" bestFit="1" customWidth="1"/>
    <col min="1250" max="1250" width="13.85546875" bestFit="1" customWidth="1"/>
    <col min="1251" max="1251" width="12.42578125" bestFit="1" customWidth="1"/>
    <col min="1252" max="1252" width="13.28515625" bestFit="1" customWidth="1"/>
    <col min="1253" max="1253" width="16.5" bestFit="1" customWidth="1"/>
    <col min="1254" max="1254" width="13.5703125" bestFit="1" customWidth="1"/>
    <col min="1255" max="1255" width="17.2109375" bestFit="1" customWidth="1"/>
    <col min="1256" max="1256" width="15.2109375" bestFit="1" customWidth="1"/>
    <col min="1257" max="1257" width="14.140625" bestFit="1" customWidth="1"/>
    <col min="1258" max="1258" width="9.0703125" bestFit="1" customWidth="1"/>
    <col min="1259" max="1259" width="12.85546875" bestFit="1" customWidth="1"/>
    <col min="1260" max="1260" width="10.7109375" bestFit="1" customWidth="1"/>
    <col min="1261" max="1261" width="11.5" bestFit="1" customWidth="1"/>
    <col min="1262" max="1262" width="10" bestFit="1" customWidth="1"/>
    <col min="1263" max="1263" width="9.42578125" bestFit="1" customWidth="1"/>
    <col min="1264" max="1264" width="9.35546875" bestFit="1" customWidth="1"/>
    <col min="1265" max="1265" width="11.42578125" bestFit="1" customWidth="1"/>
    <col min="1266" max="1266" width="9.5703125" bestFit="1" customWidth="1"/>
    <col min="1267" max="1267" width="10.42578125" bestFit="1" customWidth="1"/>
    <col min="1268" max="1268" width="10.7109375" bestFit="1" customWidth="1"/>
    <col min="1269" max="1269" width="12.7109375" bestFit="1" customWidth="1"/>
    <col min="1270" max="1270" width="8.640625" bestFit="1" customWidth="1"/>
    <col min="1271" max="1271" width="13.140625" bestFit="1" customWidth="1"/>
    <col min="1272" max="1272" width="12.42578125" bestFit="1" customWidth="1"/>
    <col min="1273" max="1273" width="14.28515625" bestFit="1" customWidth="1"/>
    <col min="1274" max="1274" width="8.2109375" bestFit="1" customWidth="1"/>
    <col min="1275" max="1275" width="15.5" bestFit="1" customWidth="1"/>
    <col min="1276" max="1276" width="20" bestFit="1" customWidth="1"/>
    <col min="1277" max="1277" width="15.140625" bestFit="1" customWidth="1"/>
    <col min="1278" max="1278" width="14.7109375" bestFit="1" customWidth="1"/>
    <col min="1279" max="1279" width="11.85546875" bestFit="1" customWidth="1"/>
    <col min="1280" max="1280" width="10.7109375" bestFit="1" customWidth="1"/>
    <col min="1281" max="1281" width="12.140625" bestFit="1" customWidth="1"/>
    <col min="1282" max="1282" width="16.140625" bestFit="1" customWidth="1"/>
    <col min="1283" max="1283" width="13.5" bestFit="1" customWidth="1"/>
    <col min="1284" max="1284" width="11.92578125" bestFit="1" customWidth="1"/>
    <col min="1285" max="1285" width="13.0703125" bestFit="1" customWidth="1"/>
    <col min="1286" max="1286" width="11.85546875" bestFit="1" customWidth="1"/>
    <col min="1287" max="1287" width="11.28515625" bestFit="1" customWidth="1"/>
    <col min="1288" max="1288" width="13.0703125" bestFit="1" customWidth="1"/>
    <col min="1289" max="1289" width="10.5703125" bestFit="1" customWidth="1"/>
    <col min="1290" max="1290" width="18.0703125" bestFit="1" customWidth="1"/>
    <col min="1291" max="1291" width="10" bestFit="1" customWidth="1"/>
    <col min="1292" max="1292" width="14" bestFit="1" customWidth="1"/>
    <col min="1293" max="1293" width="10.92578125" bestFit="1" customWidth="1"/>
    <col min="1294" max="1294" width="9.92578125" bestFit="1" customWidth="1"/>
    <col min="1295" max="1295" width="4.92578125" bestFit="1" customWidth="1"/>
    <col min="1296" max="1296" width="6.42578125" bestFit="1" customWidth="1"/>
    <col min="1297" max="1297" width="5.2109375" bestFit="1" customWidth="1"/>
    <col min="1298" max="1298" width="12.5703125" bestFit="1" customWidth="1"/>
    <col min="1299" max="1299" width="13.85546875" bestFit="1" customWidth="1"/>
    <col min="1300" max="1300" width="14.5" bestFit="1" customWidth="1"/>
    <col min="1301" max="1301" width="13.92578125" bestFit="1" customWidth="1"/>
    <col min="1302" max="1302" width="9.2109375" bestFit="1" customWidth="1"/>
    <col min="1303" max="1303" width="13.640625" bestFit="1" customWidth="1"/>
    <col min="1304" max="1304" width="14" bestFit="1" customWidth="1"/>
    <col min="1305" max="1305" width="12.5" bestFit="1" customWidth="1"/>
    <col min="1306" max="1306" width="15.92578125" bestFit="1" customWidth="1"/>
    <col min="1307" max="1307" width="16.0703125" bestFit="1" customWidth="1"/>
    <col min="1308" max="1308" width="18.0703125" bestFit="1" customWidth="1"/>
    <col min="1309" max="1309" width="10.2109375" bestFit="1" customWidth="1"/>
    <col min="1310" max="1310" width="14.5" bestFit="1" customWidth="1"/>
    <col min="1311" max="1311" width="14.35546875" bestFit="1" customWidth="1"/>
    <col min="1312" max="1312" width="19.42578125" bestFit="1" customWidth="1"/>
    <col min="1313" max="1313" width="15.92578125" bestFit="1" customWidth="1"/>
    <col min="1314" max="1314" width="12.140625" bestFit="1" customWidth="1"/>
    <col min="1315" max="1315" width="11.140625" bestFit="1" customWidth="1"/>
    <col min="1316" max="1316" width="13.0703125" bestFit="1" customWidth="1"/>
    <col min="1317" max="1317" width="15.5703125" bestFit="1" customWidth="1"/>
    <col min="1318" max="1318" width="13.2109375" bestFit="1" customWidth="1"/>
    <col min="1319" max="1319" width="14.28515625" bestFit="1" customWidth="1"/>
    <col min="1320" max="1320" width="12.140625" bestFit="1" customWidth="1"/>
    <col min="1321" max="1321" width="9" bestFit="1" customWidth="1"/>
    <col min="1322" max="1322" width="7.78515625" bestFit="1" customWidth="1"/>
    <col min="1323" max="1323" width="6.85546875" bestFit="1" customWidth="1"/>
    <col min="1324" max="1324" width="6.35546875" bestFit="1" customWidth="1"/>
    <col min="1325" max="1325" width="10.28515625" bestFit="1" customWidth="1"/>
    <col min="1326" max="1326" width="10.7109375" bestFit="1" customWidth="1"/>
    <col min="1327" max="1327" width="6.78515625" bestFit="1" customWidth="1"/>
    <col min="1328" max="1328" width="6.28515625" bestFit="1" customWidth="1"/>
    <col min="1329" max="1329" width="12.7109375" bestFit="1" customWidth="1"/>
    <col min="1330" max="1330" width="8.640625" bestFit="1" customWidth="1"/>
    <col min="1331" max="1331" width="12.28515625" bestFit="1" customWidth="1"/>
    <col min="1332" max="1332" width="8.85546875" bestFit="1" customWidth="1"/>
    <col min="1333" max="1333" width="9.640625" bestFit="1" customWidth="1"/>
    <col min="1334" max="1334" width="13.92578125" bestFit="1" customWidth="1"/>
    <col min="1335" max="1335" width="14.5703125" bestFit="1" customWidth="1"/>
    <col min="1336" max="1336" width="13" bestFit="1" customWidth="1"/>
    <col min="1337" max="1337" width="14.140625" bestFit="1" customWidth="1"/>
    <col min="1338" max="1338" width="13" bestFit="1" customWidth="1"/>
    <col min="1339" max="1339" width="19.0703125" bestFit="1" customWidth="1"/>
    <col min="1340" max="1340" width="8.92578125" bestFit="1" customWidth="1"/>
    <col min="1341" max="1341" width="19.0703125" bestFit="1" customWidth="1"/>
    <col min="1342" max="1342" width="13.42578125" bestFit="1" customWidth="1"/>
    <col min="1343" max="1343" width="12.2109375" bestFit="1" customWidth="1"/>
    <col min="1344" max="1344" width="12.5703125" bestFit="1" customWidth="1"/>
    <col min="1345" max="1345" width="14.35546875" bestFit="1" customWidth="1"/>
    <col min="1346" max="1346" width="11.5703125" bestFit="1" customWidth="1"/>
    <col min="1347" max="1347" width="13.640625" bestFit="1" customWidth="1"/>
    <col min="1348" max="1348" width="12.2109375" bestFit="1" customWidth="1"/>
    <col min="1349" max="1349" width="14.28515625" bestFit="1" customWidth="1"/>
    <col min="1350" max="1350" width="14.42578125" bestFit="1" customWidth="1"/>
    <col min="1351" max="1351" width="11.7109375" bestFit="1" customWidth="1"/>
    <col min="1352" max="1352" width="8.85546875" bestFit="1" customWidth="1"/>
    <col min="1353" max="1353" width="17.78515625" bestFit="1" customWidth="1"/>
    <col min="1354" max="1354" width="7.35546875" bestFit="1" customWidth="1"/>
    <col min="1355" max="1355" width="9.640625" bestFit="1" customWidth="1"/>
    <col min="1356" max="1356" width="12.7109375" bestFit="1" customWidth="1"/>
    <col min="1357" max="1357" width="10.78515625" bestFit="1" customWidth="1"/>
    <col min="1358" max="1358" width="13" bestFit="1" customWidth="1"/>
    <col min="1359" max="1359" width="8.2109375" bestFit="1" customWidth="1"/>
    <col min="1360" max="1360" width="12.2109375" bestFit="1" customWidth="1"/>
    <col min="1362" max="1362" width="14.85546875" bestFit="1" customWidth="1"/>
    <col min="1363" max="1363" width="11.78515625" bestFit="1" customWidth="1"/>
    <col min="1364" max="1364" width="14.140625" bestFit="1" customWidth="1"/>
    <col min="1365" max="1365" width="11.7109375" bestFit="1" customWidth="1"/>
    <col min="1366" max="1366" width="11.42578125" bestFit="1" customWidth="1"/>
    <col min="1367" max="1367" width="11.5703125" bestFit="1" customWidth="1"/>
    <col min="1368" max="1368" width="15.640625" bestFit="1" customWidth="1"/>
    <col min="1369" max="1369" width="12.640625" bestFit="1" customWidth="1"/>
    <col min="1370" max="1370" width="6.640625" bestFit="1" customWidth="1"/>
    <col min="1371" max="1371" width="10.78515625" bestFit="1" customWidth="1"/>
    <col min="1372" max="1372" width="17.78515625" bestFit="1" customWidth="1"/>
    <col min="1373" max="1373" width="15.2109375" bestFit="1" customWidth="1"/>
    <col min="1374" max="1374" width="13.78515625" bestFit="1" customWidth="1"/>
    <col min="1375" max="1375" width="17.5703125" bestFit="1" customWidth="1"/>
    <col min="1376" max="1376" width="16.140625" bestFit="1" customWidth="1"/>
    <col min="1377" max="1377" width="12.7109375" bestFit="1" customWidth="1"/>
    <col min="1378" max="1378" width="14.640625" bestFit="1" customWidth="1"/>
    <col min="1379" max="1379" width="12.35546875" bestFit="1" customWidth="1"/>
    <col min="1380" max="1380" width="8.5" bestFit="1" customWidth="1"/>
    <col min="1381" max="1381" width="19.7109375" bestFit="1" customWidth="1"/>
    <col min="1382" max="1382" width="12.140625" bestFit="1" customWidth="1"/>
    <col min="1383" max="1383" width="8.7109375" bestFit="1" customWidth="1"/>
    <col min="1384" max="1384" width="9.92578125" bestFit="1" customWidth="1"/>
    <col min="1385" max="1385" width="14.2109375" bestFit="1" customWidth="1"/>
    <col min="1386" max="1386" width="11.35546875" bestFit="1" customWidth="1"/>
    <col min="1387" max="1387" width="15.640625" bestFit="1" customWidth="1"/>
    <col min="1388" max="1388" width="15.0703125" bestFit="1" customWidth="1"/>
    <col min="1389" max="1389" width="14.7109375" bestFit="1" customWidth="1"/>
    <col min="1390" max="1390" width="17.42578125" bestFit="1" customWidth="1"/>
    <col min="1391" max="1391" width="25.42578125" bestFit="1" customWidth="1"/>
    <col min="1392" max="1392" width="12" bestFit="1" customWidth="1"/>
    <col min="1393" max="1393" width="16.28515625" bestFit="1" customWidth="1"/>
    <col min="1394" max="1394" width="11.5" bestFit="1" customWidth="1"/>
    <col min="1395" max="1395" width="12.2109375" bestFit="1" customWidth="1"/>
    <col min="1396" max="1396" width="18.640625" bestFit="1" customWidth="1"/>
    <col min="1397" max="1397" width="14.92578125" bestFit="1" customWidth="1"/>
    <col min="1398" max="1398" width="12.85546875" bestFit="1" customWidth="1"/>
    <col min="1399" max="1399" width="13.2109375" bestFit="1" customWidth="1"/>
    <col min="1400" max="1400" width="11.7109375" bestFit="1" customWidth="1"/>
    <col min="1401" max="1401" width="16.7109375" bestFit="1" customWidth="1"/>
    <col min="1402" max="1402" width="13.42578125" bestFit="1" customWidth="1"/>
    <col min="1403" max="1403" width="13.5703125" bestFit="1" customWidth="1"/>
    <col min="1404" max="1404" width="19.28515625" bestFit="1" customWidth="1"/>
    <col min="1405" max="1405" width="11.85546875" bestFit="1" customWidth="1"/>
    <col min="1406" max="1406" width="11.5" bestFit="1" customWidth="1"/>
    <col min="1407" max="1407" width="12.5" bestFit="1" customWidth="1"/>
    <col min="1408" max="1408" width="12.2109375" bestFit="1" customWidth="1"/>
    <col min="1409" max="1409" width="12.5703125" bestFit="1" customWidth="1"/>
    <col min="1410" max="1410" width="16.140625" bestFit="1" customWidth="1"/>
    <col min="1411" max="1411" width="9.7109375" bestFit="1" customWidth="1"/>
    <col min="1412" max="1412" width="15.5703125" bestFit="1" customWidth="1"/>
    <col min="1413" max="1413" width="15.28515625" bestFit="1" customWidth="1"/>
    <col min="1414" max="1414" width="16.28515625" bestFit="1" customWidth="1"/>
    <col min="1415" max="1415" width="11.640625" bestFit="1" customWidth="1"/>
    <col min="1416" max="1416" width="20.5" bestFit="1" customWidth="1"/>
    <col min="1417" max="1417" width="13.5703125" bestFit="1" customWidth="1"/>
    <col min="1418" max="1418" width="10.640625" bestFit="1" customWidth="1"/>
    <col min="1419" max="1419" width="9.2109375" bestFit="1" customWidth="1"/>
    <col min="1420" max="1420" width="10.5" bestFit="1" customWidth="1"/>
    <col min="1421" max="1421" width="16.92578125" bestFit="1" customWidth="1"/>
    <col min="1422" max="1422" width="14.140625" bestFit="1" customWidth="1"/>
    <col min="1423" max="1423" width="13.640625" bestFit="1" customWidth="1"/>
    <col min="1424" max="1424" width="14.0703125" bestFit="1" customWidth="1"/>
    <col min="1425" max="1425" width="19.0703125" bestFit="1" customWidth="1"/>
    <col min="1426" max="1426" width="14.5703125" bestFit="1" customWidth="1"/>
    <col min="1427" max="1427" width="15" bestFit="1" customWidth="1"/>
    <col min="1428" max="1428" width="15.42578125" bestFit="1" customWidth="1"/>
    <col min="1429" max="1429" width="10.85546875" bestFit="1" customWidth="1"/>
    <col min="1430" max="1430" width="11.35546875" bestFit="1" customWidth="1"/>
    <col min="1431" max="1431" width="11.5" bestFit="1" customWidth="1"/>
    <col min="1432" max="1432" width="10.140625" bestFit="1" customWidth="1"/>
    <col min="1433" max="1433" width="14.92578125" bestFit="1" customWidth="1"/>
    <col min="1434" max="1434" width="10" bestFit="1" customWidth="1"/>
    <col min="1435" max="1435" width="13.2109375" bestFit="1" customWidth="1"/>
    <col min="1436" max="1436" width="17.35546875" bestFit="1" customWidth="1"/>
    <col min="1437" max="1437" width="10.35546875" bestFit="1" customWidth="1"/>
    <col min="1438" max="1438" width="14.78515625" bestFit="1" customWidth="1"/>
    <col min="1439" max="1439" width="15.5703125" bestFit="1" customWidth="1"/>
    <col min="1440" max="1440" width="17" bestFit="1" customWidth="1"/>
    <col min="1441" max="1441" width="13.640625" bestFit="1" customWidth="1"/>
    <col min="1442" max="1442" width="16.92578125" bestFit="1" customWidth="1"/>
    <col min="1443" max="1443" width="9.640625" bestFit="1" customWidth="1"/>
    <col min="1444" max="1444" width="15.140625" bestFit="1" customWidth="1"/>
    <col min="1445" max="1445" width="14.35546875" bestFit="1" customWidth="1"/>
    <col min="1446" max="1446" width="16.2109375" bestFit="1" customWidth="1"/>
    <col min="1447" max="1447" width="16.78515625" bestFit="1" customWidth="1"/>
    <col min="1448" max="1448" width="17.140625" bestFit="1" customWidth="1"/>
    <col min="1449" max="1449" width="17.35546875" bestFit="1" customWidth="1"/>
    <col min="1450" max="1450" width="12.2109375" bestFit="1" customWidth="1"/>
    <col min="1451" max="1451" width="10.35546875" bestFit="1" customWidth="1"/>
    <col min="1452" max="1452" width="17.28515625" bestFit="1" customWidth="1"/>
    <col min="1453" max="1453" width="17.85546875" bestFit="1" customWidth="1"/>
    <col min="1454" max="1454" width="17.2109375" bestFit="1" customWidth="1"/>
    <col min="1455" max="1455" width="13.0703125" bestFit="1" customWidth="1"/>
    <col min="1456" max="1456" width="12.42578125" bestFit="1" customWidth="1"/>
    <col min="1457" max="1457" width="9.28515625" bestFit="1" customWidth="1"/>
    <col min="1458" max="1458" width="19.78515625" bestFit="1" customWidth="1"/>
    <col min="1459" max="1459" width="14.2109375" bestFit="1" customWidth="1"/>
    <col min="1460" max="1460" width="16.35546875" bestFit="1" customWidth="1"/>
    <col min="1461" max="1461" width="14" bestFit="1" customWidth="1"/>
    <col min="1462" max="1462" width="14.5" bestFit="1" customWidth="1"/>
    <col min="1463" max="1463" width="14.140625" bestFit="1" customWidth="1"/>
    <col min="1464" max="1464" width="14.5" bestFit="1" customWidth="1"/>
    <col min="1465" max="1465" width="13.85546875" bestFit="1" customWidth="1"/>
    <col min="1466" max="1466" width="14" bestFit="1" customWidth="1"/>
    <col min="1467" max="1467" width="13.28515625" bestFit="1" customWidth="1"/>
    <col min="1468" max="1468" width="17.0703125" bestFit="1" customWidth="1"/>
    <col min="1469" max="1469" width="12.5703125" bestFit="1" customWidth="1"/>
    <col min="1470" max="1471" width="14.28515625" bestFit="1" customWidth="1"/>
    <col min="1472" max="1472" width="14.2109375" bestFit="1" customWidth="1"/>
    <col min="1473" max="1473" width="17.5" bestFit="1" customWidth="1"/>
    <col min="1474" max="1474" width="16.28515625" bestFit="1" customWidth="1"/>
    <col min="1475" max="1475" width="11.5" bestFit="1" customWidth="1"/>
    <col min="1476" max="1476" width="13.640625" bestFit="1" customWidth="1"/>
    <col min="1477" max="1477" width="10.85546875" bestFit="1" customWidth="1"/>
    <col min="1478" max="1478" width="10.28515625" bestFit="1" customWidth="1"/>
    <col min="1479" max="1479" width="12.92578125" bestFit="1" customWidth="1"/>
    <col min="1480" max="1480" width="15.2109375" bestFit="1" customWidth="1"/>
    <col min="1481" max="1481" width="16.5" bestFit="1" customWidth="1"/>
    <col min="1482" max="1482" width="23.5703125" bestFit="1" customWidth="1"/>
    <col min="1483" max="1483" width="13.85546875" bestFit="1" customWidth="1"/>
    <col min="1484" max="1484" width="10.640625" bestFit="1" customWidth="1"/>
    <col min="1485" max="1485" width="11.5" bestFit="1" customWidth="1"/>
    <col min="1486" max="1486" width="15.85546875" bestFit="1" customWidth="1"/>
    <col min="1487" max="1487" width="14.7109375" bestFit="1" customWidth="1"/>
    <col min="1488" max="1488" width="14.28515625" bestFit="1" customWidth="1"/>
    <col min="1489" max="1489" width="11.92578125" bestFit="1" customWidth="1"/>
    <col min="1490" max="1490" width="11.85546875" bestFit="1" customWidth="1"/>
    <col min="1491" max="1491" width="11.92578125" bestFit="1" customWidth="1"/>
    <col min="1492" max="1492" width="12.0703125" bestFit="1" customWidth="1"/>
    <col min="1493" max="1493" width="14.0703125" bestFit="1" customWidth="1"/>
    <col min="1494" max="1494" width="13.640625" bestFit="1" customWidth="1"/>
    <col min="1495" max="1495" width="14.78515625" bestFit="1" customWidth="1"/>
    <col min="1496" max="1496" width="13.7109375" bestFit="1" customWidth="1"/>
    <col min="1497" max="1497" width="16.2109375" bestFit="1" customWidth="1"/>
    <col min="1498" max="1498" width="13.28515625" bestFit="1" customWidth="1"/>
    <col min="1499" max="1499" width="13.78515625" bestFit="1" customWidth="1"/>
    <col min="1500" max="1500" width="14.5703125" bestFit="1" customWidth="1"/>
    <col min="1501" max="1501" width="16.35546875" bestFit="1" customWidth="1"/>
    <col min="1502" max="1502" width="14.5" bestFit="1" customWidth="1"/>
    <col min="1503" max="1503" width="15.85546875" bestFit="1" customWidth="1"/>
    <col min="1504" max="1504" width="17.640625" bestFit="1" customWidth="1"/>
    <col min="1505" max="1505" width="11.0703125" bestFit="1" customWidth="1"/>
    <col min="1506" max="1506" width="10.42578125" bestFit="1" customWidth="1"/>
    <col min="1507" max="1507" width="10.28515625" bestFit="1" customWidth="1"/>
    <col min="1508" max="1508" width="16.640625" bestFit="1" customWidth="1"/>
    <col min="1509" max="1509" width="13.28515625" bestFit="1" customWidth="1"/>
    <col min="1510" max="1510" width="15.78515625" bestFit="1" customWidth="1"/>
    <col min="1511" max="1511" width="10.85546875" bestFit="1" customWidth="1"/>
    <col min="1512" max="1512" width="15" bestFit="1" customWidth="1"/>
    <col min="1513" max="1513" width="12" bestFit="1" customWidth="1"/>
    <col min="1514" max="1514" width="29.28515625" bestFit="1" customWidth="1"/>
    <col min="1515" max="1515" width="13.35546875" bestFit="1" customWidth="1"/>
    <col min="1516" max="1516" width="11.140625" bestFit="1" customWidth="1"/>
    <col min="1517" max="1517" width="15.2109375" bestFit="1" customWidth="1"/>
    <col min="1518" max="1518" width="11.640625" bestFit="1" customWidth="1"/>
    <col min="1519" max="1519" width="11.5" bestFit="1" customWidth="1"/>
    <col min="1520" max="1520" width="14.92578125" bestFit="1" customWidth="1"/>
    <col min="1521" max="1521" width="12.5" bestFit="1" customWidth="1"/>
    <col min="1522" max="1522" width="11.85546875" bestFit="1" customWidth="1"/>
    <col min="1523" max="1523" width="14.2109375" bestFit="1" customWidth="1"/>
    <col min="1524" max="1524" width="14.640625" bestFit="1" customWidth="1"/>
    <col min="1525" max="1525" width="14.78515625" bestFit="1" customWidth="1"/>
    <col min="1526" max="1526" width="12.5" bestFit="1" customWidth="1"/>
    <col min="1527" max="1527" width="18.42578125" bestFit="1" customWidth="1"/>
    <col min="1528" max="1529" width="11.140625" bestFit="1" customWidth="1"/>
    <col min="1530" max="1530" width="9.5" bestFit="1" customWidth="1"/>
    <col min="1531" max="1531" width="11.7109375" bestFit="1" customWidth="1"/>
    <col min="1532" max="1532" width="18.92578125" bestFit="1" customWidth="1"/>
    <col min="1533" max="1533" width="10.140625" bestFit="1" customWidth="1"/>
    <col min="1534" max="1534" width="10.35546875" bestFit="1" customWidth="1"/>
    <col min="1535" max="1535" width="14.35546875" bestFit="1" customWidth="1"/>
    <col min="1536" max="1536" width="14.92578125" bestFit="1" customWidth="1"/>
    <col min="1537" max="1537" width="12.0703125" bestFit="1" customWidth="1"/>
    <col min="1538" max="1538" width="12.42578125" bestFit="1" customWidth="1"/>
    <col min="1539" max="1539" width="13.92578125" bestFit="1" customWidth="1"/>
    <col min="1540" max="1540" width="17.92578125" bestFit="1" customWidth="1"/>
    <col min="1541" max="1541" width="14.28515625" bestFit="1" customWidth="1"/>
    <col min="1542" max="1542" width="18.7109375" bestFit="1" customWidth="1"/>
    <col min="1543" max="1543" width="13.42578125" bestFit="1" customWidth="1"/>
    <col min="1544" max="1544" width="14.2109375" bestFit="1" customWidth="1"/>
    <col min="1545" max="1545" width="14" bestFit="1" customWidth="1"/>
    <col min="1546" max="1546" width="15.92578125" bestFit="1" customWidth="1"/>
    <col min="1547" max="1547" width="13" bestFit="1" customWidth="1"/>
    <col min="1548" max="1548" width="14.2109375" bestFit="1" customWidth="1"/>
    <col min="1549" max="1549" width="16.0703125" bestFit="1" customWidth="1"/>
    <col min="1550" max="1550" width="13.28515625" bestFit="1" customWidth="1"/>
    <col min="1551" max="1551" width="11.5" bestFit="1" customWidth="1"/>
    <col min="1552" max="1552" width="10.5703125" bestFit="1" customWidth="1"/>
    <col min="1553" max="1553" width="14.28515625" bestFit="1" customWidth="1"/>
    <col min="1554" max="1554" width="15.140625" bestFit="1" customWidth="1"/>
    <col min="1555" max="1555" width="13.2109375" bestFit="1" customWidth="1"/>
    <col min="1556" max="1556" width="14.2109375" bestFit="1" customWidth="1"/>
    <col min="1557" max="1557" width="15.78515625" bestFit="1" customWidth="1"/>
    <col min="1558" max="1558" width="13.5703125" bestFit="1" customWidth="1"/>
    <col min="1559" max="1559" width="10.5703125" bestFit="1" customWidth="1"/>
    <col min="1560" max="1560" width="12.85546875" bestFit="1" customWidth="1"/>
    <col min="1561" max="1561" width="11.35546875" bestFit="1" customWidth="1"/>
    <col min="1562" max="1562" width="10.85546875" bestFit="1" customWidth="1"/>
    <col min="1563" max="1563" width="12.28515625" bestFit="1" customWidth="1"/>
    <col min="1564" max="1564" width="16.5" bestFit="1" customWidth="1"/>
    <col min="1565" max="1565" width="13.2109375" bestFit="1" customWidth="1"/>
    <col min="1566" max="1566" width="12.5" bestFit="1" customWidth="1"/>
    <col min="1567" max="1567" width="12.28515625" bestFit="1" customWidth="1"/>
    <col min="1568" max="1568" width="10.140625" bestFit="1" customWidth="1"/>
    <col min="1569" max="1569" width="8.92578125" bestFit="1" customWidth="1"/>
    <col min="1570" max="1570" width="10.7109375" bestFit="1" customWidth="1"/>
    <col min="1571" max="1571" width="16.42578125" bestFit="1" customWidth="1"/>
    <col min="1572" max="1572" width="12.7109375" bestFit="1" customWidth="1"/>
    <col min="1573" max="1573" width="11.640625" bestFit="1" customWidth="1"/>
    <col min="1574" max="1574" width="13.640625" bestFit="1" customWidth="1"/>
    <col min="1575" max="1575" width="12.5" bestFit="1" customWidth="1"/>
    <col min="1576" max="1576" width="13.42578125" bestFit="1" customWidth="1"/>
    <col min="1577" max="1577" width="14.0703125" bestFit="1" customWidth="1"/>
    <col min="1578" max="1578" width="11.0703125" bestFit="1" customWidth="1"/>
    <col min="1579" max="1579" width="11" bestFit="1" customWidth="1"/>
    <col min="1580" max="1580" width="16" bestFit="1" customWidth="1"/>
    <col min="1581" max="1581" width="15.35546875" bestFit="1" customWidth="1"/>
    <col min="1582" max="1582" width="14.85546875" bestFit="1" customWidth="1"/>
    <col min="1583" max="1583" width="12.42578125" bestFit="1" customWidth="1"/>
    <col min="1584" max="1584" width="10.92578125" bestFit="1" customWidth="1"/>
    <col min="1585" max="1585" width="12.5" bestFit="1" customWidth="1"/>
    <col min="1586" max="1586" width="12" bestFit="1" customWidth="1"/>
    <col min="1587" max="1587" width="13.140625" bestFit="1" customWidth="1"/>
    <col min="1588" max="1588" width="14.5" bestFit="1" customWidth="1"/>
    <col min="1589" max="1589" width="17.85546875" bestFit="1" customWidth="1"/>
    <col min="1590" max="1590" width="11.7109375" bestFit="1" customWidth="1"/>
    <col min="1591" max="1591" width="15.140625" bestFit="1" customWidth="1"/>
    <col min="1592" max="1592" width="15.35546875" bestFit="1" customWidth="1"/>
    <col min="1593" max="1593" width="15" bestFit="1" customWidth="1"/>
    <col min="1594" max="1594" width="10.640625" bestFit="1" customWidth="1"/>
    <col min="1595" max="1596" width="11.5703125" bestFit="1" customWidth="1"/>
    <col min="1597" max="1597" width="8.78515625" bestFit="1" customWidth="1"/>
    <col min="1598" max="1598" width="8.7109375" bestFit="1" customWidth="1"/>
    <col min="1599" max="1599" width="15.0703125" bestFit="1" customWidth="1"/>
    <col min="1600" max="1600" width="14.92578125" bestFit="1" customWidth="1"/>
    <col min="1601" max="1601" width="12.85546875" bestFit="1" customWidth="1"/>
    <col min="1602" max="1602" width="16.0703125" bestFit="1" customWidth="1"/>
    <col min="1603" max="1603" width="11.92578125" bestFit="1" customWidth="1"/>
    <col min="1604" max="1604" width="9.640625" bestFit="1" customWidth="1"/>
    <col min="1605" max="1605" width="12.2109375" bestFit="1" customWidth="1"/>
    <col min="1606" max="1606" width="14.42578125" bestFit="1" customWidth="1"/>
    <col min="1607" max="1607" width="14.140625" bestFit="1" customWidth="1"/>
    <col min="1608" max="1609" width="14.78515625" bestFit="1" customWidth="1"/>
    <col min="1610" max="1610" width="15.28515625" bestFit="1" customWidth="1"/>
    <col min="1611" max="1611" width="16.5703125" bestFit="1" customWidth="1"/>
    <col min="1612" max="1612" width="16.7109375" bestFit="1" customWidth="1"/>
    <col min="1613" max="1613" width="14.78515625" bestFit="1" customWidth="1"/>
    <col min="1614" max="1614" width="14.85546875" bestFit="1" customWidth="1"/>
    <col min="1615" max="1615" width="13.640625" bestFit="1" customWidth="1"/>
    <col min="1616" max="1616" width="14.92578125" bestFit="1" customWidth="1"/>
    <col min="1617" max="1617" width="15.5" bestFit="1" customWidth="1"/>
    <col min="1618" max="1618" width="14.140625" bestFit="1" customWidth="1"/>
    <col min="1619" max="1619" width="16.42578125" bestFit="1" customWidth="1"/>
    <col min="1620" max="1620" width="18.28515625" bestFit="1" customWidth="1"/>
    <col min="1621" max="1621" width="15.92578125" bestFit="1" customWidth="1"/>
    <col min="1622" max="1622" width="19.2109375" bestFit="1" customWidth="1"/>
    <col min="1623" max="1623" width="10.85546875" bestFit="1" customWidth="1"/>
    <col min="1624" max="1624" width="15.78515625" bestFit="1" customWidth="1"/>
    <col min="1625" max="1625" width="10" bestFit="1" customWidth="1"/>
    <col min="1626" max="1626" width="17.0703125" bestFit="1" customWidth="1"/>
    <col min="1627" max="1627" width="13.7109375" bestFit="1" customWidth="1"/>
    <col min="1628" max="1628" width="9.5" bestFit="1" customWidth="1"/>
    <col min="1629" max="1629" width="13.35546875" bestFit="1" customWidth="1"/>
    <col min="1630" max="1630" width="12" bestFit="1" customWidth="1"/>
    <col min="1631" max="1631" width="10.140625" bestFit="1" customWidth="1"/>
    <col min="1632" max="1632" width="16.140625" bestFit="1" customWidth="1"/>
    <col min="1633" max="1633" width="12.0703125" bestFit="1" customWidth="1"/>
    <col min="1634" max="1634" width="27" bestFit="1" customWidth="1"/>
    <col min="1635" max="1635" width="12.7109375" bestFit="1" customWidth="1"/>
    <col min="1636" max="1636" width="10.2109375" bestFit="1" customWidth="1"/>
    <col min="1637" max="1637" width="13.5703125" bestFit="1" customWidth="1"/>
    <col min="1638" max="1638" width="9.85546875" bestFit="1" customWidth="1"/>
    <col min="1639" max="1639" width="14.5703125" bestFit="1" customWidth="1"/>
    <col min="1640" max="1640" width="13.78515625" bestFit="1" customWidth="1"/>
    <col min="1641" max="1641" width="12.2109375" bestFit="1" customWidth="1"/>
    <col min="1642" max="1642" width="15.640625" bestFit="1" customWidth="1"/>
    <col min="1643" max="1643" width="9.5" bestFit="1" customWidth="1"/>
    <col min="1644" max="1644" width="13.85546875" bestFit="1" customWidth="1"/>
    <col min="1645" max="1645" width="19.92578125" bestFit="1" customWidth="1"/>
    <col min="1646" max="1646" width="13.5" bestFit="1" customWidth="1"/>
    <col min="1647" max="1647" width="13.0703125" bestFit="1" customWidth="1"/>
    <col min="1648" max="1648" width="13.92578125" bestFit="1" customWidth="1"/>
    <col min="1649" max="1649" width="16.0703125" bestFit="1" customWidth="1"/>
    <col min="1650" max="1650" width="15.5" bestFit="1" customWidth="1"/>
    <col min="1651" max="1651" width="14" bestFit="1" customWidth="1"/>
    <col min="1652" max="1652" width="12.7109375" bestFit="1" customWidth="1"/>
    <col min="1653" max="1653" width="19.28515625" bestFit="1" customWidth="1"/>
    <col min="1654" max="1654" width="16.35546875" bestFit="1" customWidth="1"/>
    <col min="1655" max="1655" width="12.7109375" bestFit="1" customWidth="1"/>
    <col min="1656" max="1656" width="12.85546875" bestFit="1" customWidth="1"/>
    <col min="1657" max="1657" width="13.28515625" bestFit="1" customWidth="1"/>
    <col min="1658" max="1658" width="11.5" bestFit="1" customWidth="1"/>
    <col min="1659" max="1659" width="14.2109375" bestFit="1" customWidth="1"/>
    <col min="1660" max="1660" width="12.85546875" bestFit="1" customWidth="1"/>
    <col min="1661" max="1661" width="14.28515625" bestFit="1" customWidth="1"/>
    <col min="1662" max="1662" width="16.7109375" bestFit="1" customWidth="1"/>
    <col min="1663" max="1663" width="21.5703125" bestFit="1" customWidth="1"/>
    <col min="1664" max="1664" width="11.7109375" bestFit="1" customWidth="1"/>
    <col min="1665" max="1665" width="10.28515625" bestFit="1" customWidth="1"/>
    <col min="1666" max="1666" width="14.0703125" bestFit="1" customWidth="1"/>
    <col min="1667" max="1667" width="12.42578125" bestFit="1" customWidth="1"/>
    <col min="1668" max="1668" width="12.5" bestFit="1" customWidth="1"/>
    <col min="1669" max="1669" width="13.7109375" bestFit="1" customWidth="1"/>
    <col min="1670" max="1670" width="18.140625" bestFit="1" customWidth="1"/>
    <col min="1671" max="1671" width="17.0703125" bestFit="1" customWidth="1"/>
    <col min="1672" max="1672" width="11.0703125" bestFit="1" customWidth="1"/>
    <col min="1673" max="1673" width="16.140625" bestFit="1" customWidth="1"/>
    <col min="1674" max="1674" width="14.35546875" bestFit="1" customWidth="1"/>
    <col min="1675" max="1675" width="10.2109375" bestFit="1" customWidth="1"/>
    <col min="1676" max="1676" width="13.85546875" bestFit="1" customWidth="1"/>
    <col min="1677" max="1677" width="12.0703125" bestFit="1" customWidth="1"/>
    <col min="1678" max="1678" width="16.35546875" bestFit="1" customWidth="1"/>
    <col min="1679" max="1679" width="9.0703125" bestFit="1" customWidth="1"/>
    <col min="1680" max="1680" width="11.5703125" bestFit="1" customWidth="1"/>
    <col min="1681" max="1681" width="10.35546875" bestFit="1" customWidth="1"/>
    <col min="1682" max="1682" width="14.85546875" bestFit="1" customWidth="1"/>
    <col min="1683" max="1683" width="10.78515625" bestFit="1" customWidth="1"/>
    <col min="1684" max="1684" width="14.7109375" bestFit="1" customWidth="1"/>
    <col min="1685" max="1685" width="13.5" bestFit="1" customWidth="1"/>
    <col min="1686" max="1686" width="12.0703125" bestFit="1" customWidth="1"/>
    <col min="1687" max="1687" width="8.28515625" bestFit="1" customWidth="1"/>
    <col min="1688" max="1688" width="22.92578125" bestFit="1" customWidth="1"/>
    <col min="1689" max="1689" width="10.7109375" bestFit="1" customWidth="1"/>
    <col min="1690" max="1690" width="11.140625" bestFit="1" customWidth="1"/>
    <col min="1691" max="1691" width="10.92578125" bestFit="1" customWidth="1"/>
    <col min="1692" max="1692" width="11.640625" bestFit="1" customWidth="1"/>
    <col min="1693" max="1693" width="12.5" bestFit="1" customWidth="1"/>
    <col min="1694" max="1694" width="10.78515625" bestFit="1" customWidth="1"/>
    <col min="1695" max="1695" width="16.140625" bestFit="1" customWidth="1"/>
    <col min="1696" max="1696" width="11.5703125" bestFit="1" customWidth="1"/>
    <col min="1697" max="1697" width="11.140625" bestFit="1" customWidth="1"/>
    <col min="1698" max="1698" width="16.640625" bestFit="1" customWidth="1"/>
    <col min="1699" max="1699" width="10.92578125" bestFit="1" customWidth="1"/>
    <col min="1700" max="1700" width="11.140625" bestFit="1" customWidth="1"/>
    <col min="1701" max="1701" width="11.5" bestFit="1" customWidth="1"/>
    <col min="1702" max="1702" width="11.85546875" bestFit="1" customWidth="1"/>
    <col min="1703" max="1703" width="21.640625" bestFit="1" customWidth="1"/>
    <col min="1704" max="1704" width="9.42578125" bestFit="1" customWidth="1"/>
    <col min="1705" max="1705" width="13.28515625" bestFit="1" customWidth="1"/>
    <col min="1706" max="1706" width="12.640625" bestFit="1" customWidth="1"/>
    <col min="1707" max="1707" width="10.0703125" bestFit="1" customWidth="1"/>
    <col min="1708" max="1708" width="19.140625" bestFit="1" customWidth="1"/>
    <col min="1709" max="1709" width="16.0703125" bestFit="1" customWidth="1"/>
    <col min="1710" max="1710" width="17.5703125" bestFit="1" customWidth="1"/>
    <col min="1711" max="1711" width="11.640625" bestFit="1" customWidth="1"/>
    <col min="1712" max="1712" width="8.35546875" bestFit="1" customWidth="1"/>
    <col min="1713" max="1713" width="11" bestFit="1" customWidth="1"/>
    <col min="1714" max="1714" width="14.85546875" bestFit="1" customWidth="1"/>
    <col min="1715" max="1715" width="7.42578125" bestFit="1" customWidth="1"/>
    <col min="1716" max="1716" width="22.5703125" bestFit="1" customWidth="1"/>
    <col min="1717" max="1717" width="11.7109375" bestFit="1" customWidth="1"/>
    <col min="1718" max="1718" width="14.78515625" bestFit="1" customWidth="1"/>
    <col min="1719" max="1719" width="7.78515625" bestFit="1" customWidth="1"/>
    <col min="1720" max="1720" width="11.140625" bestFit="1" customWidth="1"/>
    <col min="1721" max="1721" width="15.640625" bestFit="1" customWidth="1"/>
    <col min="1722" max="1722" width="13.28515625" bestFit="1" customWidth="1"/>
    <col min="1723" max="1723" width="8.140625" bestFit="1" customWidth="1"/>
    <col min="1724" max="1724" width="13" bestFit="1" customWidth="1"/>
    <col min="1725" max="1725" width="15.85546875" bestFit="1" customWidth="1"/>
    <col min="1726" max="1726" width="12.28515625" bestFit="1" customWidth="1"/>
    <col min="1728" max="1728" width="16" bestFit="1" customWidth="1"/>
    <col min="1729" max="1729" width="19.5703125" bestFit="1" customWidth="1"/>
    <col min="1730" max="1730" width="27.640625" bestFit="1" customWidth="1"/>
    <col min="1731" max="1731" width="23.7109375" bestFit="1" customWidth="1"/>
    <col min="1732" max="1732" width="14.28515625" bestFit="1" customWidth="1"/>
    <col min="1733" max="1733" width="12.28515625" bestFit="1" customWidth="1"/>
    <col min="1734" max="1734" width="10.140625" bestFit="1" customWidth="1"/>
    <col min="1735" max="1735" width="13.140625" bestFit="1" customWidth="1"/>
    <col min="1736" max="1736" width="12.35546875" bestFit="1" customWidth="1"/>
    <col min="1737" max="1738" width="10.7109375" bestFit="1" customWidth="1"/>
    <col min="1739" max="1739" width="12.140625" bestFit="1" customWidth="1"/>
    <col min="1740" max="1740" width="14.28515625" bestFit="1" customWidth="1"/>
    <col min="1741" max="1742" width="13.35546875" bestFit="1" customWidth="1"/>
    <col min="1743" max="1743" width="10.640625" bestFit="1" customWidth="1"/>
    <col min="1744" max="1744" width="11.5" bestFit="1" customWidth="1"/>
    <col min="1745" max="1745" width="15.5703125" bestFit="1" customWidth="1"/>
    <col min="1746" max="1746" width="15.7109375" bestFit="1" customWidth="1"/>
    <col min="1747" max="1747" width="13.640625" bestFit="1" customWidth="1"/>
    <col min="1748" max="1748" width="19.85546875" bestFit="1" customWidth="1"/>
    <col min="1749" max="1749" width="10.85546875" bestFit="1" customWidth="1"/>
    <col min="1750" max="1750" width="12.42578125" bestFit="1" customWidth="1"/>
    <col min="1751" max="1751" width="11.78515625" bestFit="1" customWidth="1"/>
    <col min="1752" max="1752" width="12.640625" bestFit="1" customWidth="1"/>
    <col min="1753" max="1753" width="11.7109375" bestFit="1" customWidth="1"/>
    <col min="1754" max="1754" width="20.7109375" bestFit="1" customWidth="1"/>
    <col min="1755" max="1755" width="12.0703125" bestFit="1" customWidth="1"/>
    <col min="1756" max="1756" width="16.5703125" bestFit="1" customWidth="1"/>
    <col min="1757" max="1757" width="11.2109375" bestFit="1" customWidth="1"/>
    <col min="1759" max="1759" width="10" bestFit="1" customWidth="1"/>
    <col min="1760" max="1760" width="15.35546875" bestFit="1" customWidth="1"/>
    <col min="1761" max="1761" width="11.640625" bestFit="1" customWidth="1"/>
    <col min="1762" max="1762" width="18.640625" bestFit="1" customWidth="1"/>
    <col min="1763" max="1763" width="12.7109375" bestFit="1" customWidth="1"/>
    <col min="1764" max="1764" width="14.640625" bestFit="1" customWidth="1"/>
    <col min="1765" max="1765" width="20.28515625" bestFit="1" customWidth="1"/>
    <col min="1766" max="1766" width="14.92578125" bestFit="1" customWidth="1"/>
    <col min="1767" max="1767" width="17.85546875" bestFit="1" customWidth="1"/>
    <col min="1768" max="1768" width="16.7109375" bestFit="1" customWidth="1"/>
    <col min="1769" max="1769" width="14.7109375" bestFit="1" customWidth="1"/>
    <col min="1770" max="1770" width="11.92578125" bestFit="1" customWidth="1"/>
    <col min="1771" max="1771" width="12" bestFit="1" customWidth="1"/>
    <col min="1772" max="1772" width="13.0703125" bestFit="1" customWidth="1"/>
    <col min="1773" max="1773" width="14.5703125" bestFit="1" customWidth="1"/>
    <col min="1774" max="1774" width="10.35546875" bestFit="1" customWidth="1"/>
    <col min="1775" max="1775" width="15.640625" bestFit="1" customWidth="1"/>
    <col min="1776" max="1776" width="13.92578125" bestFit="1" customWidth="1"/>
    <col min="1777" max="1777" width="16.140625" bestFit="1" customWidth="1"/>
    <col min="1778" max="1778" width="20.5" bestFit="1" customWidth="1"/>
    <col min="1779" max="1779" width="15.85546875" bestFit="1" customWidth="1"/>
    <col min="1780" max="1780" width="13.640625" bestFit="1" customWidth="1"/>
    <col min="1781" max="1781" width="10" bestFit="1" customWidth="1"/>
    <col min="1782" max="1782" width="13" bestFit="1" customWidth="1"/>
    <col min="1783" max="1783" width="15.5703125" bestFit="1" customWidth="1"/>
    <col min="1784" max="1784" width="17.140625" bestFit="1" customWidth="1"/>
    <col min="1785" max="1785" width="13.7109375" bestFit="1" customWidth="1"/>
    <col min="1786" max="1786" width="12.5" bestFit="1" customWidth="1"/>
    <col min="1787" max="1787" width="10.92578125" bestFit="1" customWidth="1"/>
    <col min="1788" max="1788" width="11.85546875" bestFit="1" customWidth="1"/>
    <col min="1789" max="1789" width="15.0703125" bestFit="1" customWidth="1"/>
    <col min="1790" max="1790" width="16" bestFit="1" customWidth="1"/>
    <col min="1791" max="1791" width="20.640625" bestFit="1" customWidth="1"/>
    <col min="1792" max="1792" width="14.2109375" bestFit="1" customWidth="1"/>
    <col min="1793" max="1793" width="15.2109375" bestFit="1" customWidth="1"/>
    <col min="1794" max="1794" width="13" bestFit="1" customWidth="1"/>
    <col min="1795" max="1795" width="15.28515625" bestFit="1" customWidth="1"/>
    <col min="1796" max="1796" width="11.140625" bestFit="1" customWidth="1"/>
    <col min="1797" max="1797" width="8.640625" bestFit="1" customWidth="1"/>
    <col min="1798" max="1798" width="14.78515625" bestFit="1" customWidth="1"/>
    <col min="1799" max="1799" width="17.0703125" bestFit="1" customWidth="1"/>
    <col min="1800" max="1800" width="10.42578125" bestFit="1" customWidth="1"/>
    <col min="1801" max="1801" width="12.35546875" bestFit="1" customWidth="1"/>
    <col min="1802" max="1802" width="11.7109375" bestFit="1" customWidth="1"/>
    <col min="1803" max="1803" width="16.5" bestFit="1" customWidth="1"/>
    <col min="1804" max="1804" width="15.5703125" bestFit="1" customWidth="1"/>
    <col min="1805" max="1805" width="12.28515625" bestFit="1" customWidth="1"/>
    <col min="1806" max="1806" width="10.5703125" bestFit="1" customWidth="1"/>
    <col min="1807" max="1807" width="13.2109375" bestFit="1" customWidth="1"/>
    <col min="1808" max="1808" width="17.2109375" bestFit="1" customWidth="1"/>
    <col min="1809" max="1809" width="11.2109375" bestFit="1" customWidth="1"/>
    <col min="1810" max="1810" width="14.7109375" bestFit="1" customWidth="1"/>
    <col min="1811" max="1811" width="16.92578125" bestFit="1" customWidth="1"/>
    <col min="1812" max="1812" width="13.42578125" bestFit="1" customWidth="1"/>
    <col min="1813" max="1813" width="11.78515625" bestFit="1" customWidth="1"/>
    <col min="1814" max="1814" width="14.92578125" bestFit="1" customWidth="1"/>
    <col min="1815" max="1815" width="12.28515625" bestFit="1" customWidth="1"/>
    <col min="1816" max="1816" width="15.0703125" bestFit="1" customWidth="1"/>
    <col min="1817" max="1817" width="15" bestFit="1" customWidth="1"/>
    <col min="1818" max="1818" width="14" bestFit="1" customWidth="1"/>
    <col min="1819" max="1819" width="14.42578125" bestFit="1" customWidth="1"/>
    <col min="1820" max="1820" width="20.0703125" bestFit="1" customWidth="1"/>
    <col min="1821" max="1821" width="16.140625" bestFit="1" customWidth="1"/>
    <col min="1822" max="1822" width="10.28515625" bestFit="1" customWidth="1"/>
    <col min="1823" max="1823" width="16.5" bestFit="1" customWidth="1"/>
    <col min="1824" max="1824" width="16.5703125" bestFit="1" customWidth="1"/>
    <col min="1825" max="1825" width="18.92578125" bestFit="1" customWidth="1"/>
    <col min="1826" max="1826" width="11.92578125" bestFit="1" customWidth="1"/>
    <col min="1827" max="1827" width="13.140625" bestFit="1" customWidth="1"/>
    <col min="1828" max="1828" width="15.2109375" bestFit="1" customWidth="1"/>
    <col min="1829" max="1830" width="12.35546875" bestFit="1" customWidth="1"/>
    <col min="1831" max="1831" width="18.92578125" bestFit="1" customWidth="1"/>
    <col min="1832" max="1832" width="13.35546875" bestFit="1" customWidth="1"/>
    <col min="1833" max="1833" width="9.5703125" bestFit="1" customWidth="1"/>
    <col min="1834" max="1834" width="15.0703125" bestFit="1" customWidth="1"/>
    <col min="1835" max="1835" width="14" bestFit="1" customWidth="1"/>
    <col min="1836" max="1836" width="14.5703125" bestFit="1" customWidth="1"/>
    <col min="1837" max="1837" width="11.5703125" bestFit="1" customWidth="1"/>
    <col min="1838" max="1838" width="14.5" bestFit="1" customWidth="1"/>
    <col min="1839" max="1839" width="17.92578125" bestFit="1" customWidth="1"/>
    <col min="1840" max="1840" width="10.5703125" bestFit="1" customWidth="1"/>
    <col min="1841" max="1841" width="9.42578125" bestFit="1" customWidth="1"/>
    <col min="1842" max="1842" width="13.640625" bestFit="1" customWidth="1"/>
    <col min="1843" max="1843" width="16" bestFit="1" customWidth="1"/>
    <col min="1844" max="1844" width="16.42578125" bestFit="1" customWidth="1"/>
    <col min="1845" max="1845" width="16.7109375" bestFit="1" customWidth="1"/>
    <col min="1846" max="1846" width="13.640625" bestFit="1" customWidth="1"/>
    <col min="1847" max="1847" width="17" bestFit="1" customWidth="1"/>
    <col min="1848" max="1848" width="16.5703125" bestFit="1" customWidth="1"/>
    <col min="1849" max="1849" width="12.140625" bestFit="1" customWidth="1"/>
    <col min="1850" max="1850" width="12.85546875" bestFit="1" customWidth="1"/>
    <col min="1851" max="1852" width="13.78515625" bestFit="1" customWidth="1"/>
    <col min="1853" max="1853" width="14.140625" bestFit="1" customWidth="1"/>
    <col min="1854" max="1854" width="15.78515625" bestFit="1" customWidth="1"/>
    <col min="1855" max="1855" width="14.2109375" bestFit="1" customWidth="1"/>
    <col min="1856" max="1856" width="16.2109375" bestFit="1" customWidth="1"/>
    <col min="1857" max="1857" width="15.92578125" bestFit="1" customWidth="1"/>
    <col min="1858" max="1858" width="11.5703125" bestFit="1" customWidth="1"/>
    <col min="1859" max="1859" width="10.5" bestFit="1" customWidth="1"/>
    <col min="1860" max="1860" width="15.42578125" bestFit="1" customWidth="1"/>
    <col min="1861" max="1861" width="11.7109375" bestFit="1" customWidth="1"/>
    <col min="1862" max="1862" width="9.92578125" bestFit="1" customWidth="1"/>
    <col min="1863" max="1863" width="13.0703125" bestFit="1" customWidth="1"/>
    <col min="1864" max="1864" width="22.140625" bestFit="1" customWidth="1"/>
    <col min="1865" max="1865" width="14.640625" bestFit="1" customWidth="1"/>
    <col min="1866" max="1866" width="11.92578125" bestFit="1" customWidth="1"/>
    <col min="1867" max="1867" width="17.78515625" bestFit="1" customWidth="1"/>
    <col min="1868" max="1868" width="17.92578125" bestFit="1" customWidth="1"/>
    <col min="1869" max="1869" width="18.35546875" bestFit="1" customWidth="1"/>
    <col min="1870" max="1870" width="9.85546875" bestFit="1" customWidth="1"/>
    <col min="1871" max="1871" width="10.140625" bestFit="1" customWidth="1"/>
    <col min="1872" max="1872" width="13.92578125" bestFit="1" customWidth="1"/>
    <col min="1873" max="1873" width="16" bestFit="1" customWidth="1"/>
    <col min="1874" max="1874" width="10.2109375" bestFit="1" customWidth="1"/>
    <col min="1875" max="1875" width="14.0703125" bestFit="1" customWidth="1"/>
    <col min="1876" max="1876" width="10.78515625" bestFit="1" customWidth="1"/>
    <col min="1877" max="1877" width="17.85546875" bestFit="1" customWidth="1"/>
    <col min="1878" max="1878" width="11.92578125" bestFit="1" customWidth="1"/>
    <col min="1879" max="1879" width="14.28515625" bestFit="1" customWidth="1"/>
    <col min="1880" max="1880" width="13.28515625" bestFit="1" customWidth="1"/>
    <col min="1881" max="1881" width="11.0703125" bestFit="1" customWidth="1"/>
    <col min="1882" max="1882" width="10.2109375" bestFit="1" customWidth="1"/>
    <col min="1883" max="1883" width="9.5703125" bestFit="1" customWidth="1"/>
    <col min="1884" max="1884" width="13.85546875" bestFit="1" customWidth="1"/>
    <col min="1885" max="1885" width="13.5" bestFit="1" customWidth="1"/>
    <col min="1886" max="1886" width="14.28515625" bestFit="1" customWidth="1"/>
    <col min="1887" max="1887" width="11.7109375" bestFit="1" customWidth="1"/>
    <col min="1888" max="1888" width="14.0703125" bestFit="1" customWidth="1"/>
    <col min="1889" max="1889" width="14.85546875" bestFit="1" customWidth="1"/>
    <col min="1890" max="1890" width="17.5" bestFit="1" customWidth="1"/>
    <col min="1891" max="1891" width="12.7109375" bestFit="1" customWidth="1"/>
    <col min="1892" max="1892" width="10.78515625" bestFit="1" customWidth="1"/>
    <col min="1893" max="1893" width="11" bestFit="1" customWidth="1"/>
    <col min="1894" max="1894" width="14.92578125" bestFit="1" customWidth="1"/>
    <col min="1895" max="1895" width="7.28515625" bestFit="1" customWidth="1"/>
    <col min="1896" max="1896" width="10.85546875" bestFit="1" customWidth="1"/>
    <col min="1897" max="1897" width="16.5" bestFit="1" customWidth="1"/>
    <col min="1898" max="1898" width="14.640625" bestFit="1" customWidth="1"/>
    <col min="1899" max="1899" width="14.7109375" bestFit="1" customWidth="1"/>
    <col min="1900" max="1900" width="15.78515625" bestFit="1" customWidth="1"/>
    <col min="1901" max="1901" width="13.5703125" bestFit="1" customWidth="1"/>
    <col min="1902" max="1902" width="15.140625" bestFit="1" customWidth="1"/>
    <col min="1903" max="1903" width="11" bestFit="1" customWidth="1"/>
    <col min="1904" max="1905" width="13.28515625" bestFit="1" customWidth="1"/>
    <col min="1906" max="1906" width="14" bestFit="1" customWidth="1"/>
    <col min="1907" max="1907" width="12.640625" bestFit="1" customWidth="1"/>
    <col min="1908" max="1908" width="15.0703125" bestFit="1" customWidth="1"/>
    <col min="1909" max="1909" width="17.42578125" bestFit="1" customWidth="1"/>
    <col min="1910" max="1910" width="15.640625" bestFit="1" customWidth="1"/>
    <col min="1911" max="1911" width="16.7109375" bestFit="1" customWidth="1"/>
    <col min="1912" max="1912" width="12.0703125" bestFit="1" customWidth="1"/>
    <col min="1913" max="1913" width="17.92578125" bestFit="1" customWidth="1"/>
    <col min="1914" max="1914" width="13.28515625" bestFit="1" customWidth="1"/>
    <col min="1915" max="1915" width="14.42578125" bestFit="1" customWidth="1"/>
    <col min="1916" max="1916" width="14.5703125" bestFit="1" customWidth="1"/>
    <col min="1917" max="1917" width="15.92578125" bestFit="1" customWidth="1"/>
    <col min="1918" max="1918" width="11.5" bestFit="1" customWidth="1"/>
    <col min="1919" max="1919" width="13.5703125" bestFit="1" customWidth="1"/>
    <col min="1920" max="1920" width="13.35546875" bestFit="1" customWidth="1"/>
    <col min="1921" max="1921" width="15.28515625" bestFit="1" customWidth="1"/>
    <col min="1922" max="1922" width="9.92578125" bestFit="1" customWidth="1"/>
    <col min="1923" max="1923" width="13.28515625" bestFit="1" customWidth="1"/>
    <col min="1924" max="1924" width="21.42578125" bestFit="1" customWidth="1"/>
    <col min="1925" max="1925" width="13.78515625" bestFit="1" customWidth="1"/>
    <col min="1926" max="1926" width="10.78515625" bestFit="1" customWidth="1"/>
    <col min="1927" max="1927" width="13.92578125" bestFit="1" customWidth="1"/>
    <col min="1928" max="1928" width="12.5703125" bestFit="1" customWidth="1"/>
    <col min="1929" max="1929" width="14.0703125" bestFit="1" customWidth="1"/>
    <col min="1930" max="1930" width="15.640625" bestFit="1" customWidth="1"/>
    <col min="1931" max="1931" width="14.7109375" bestFit="1" customWidth="1"/>
    <col min="1932" max="1932" width="15.2109375" bestFit="1" customWidth="1"/>
    <col min="1933" max="1933" width="12" bestFit="1" customWidth="1"/>
    <col min="1934" max="1934" width="13.42578125" bestFit="1" customWidth="1"/>
    <col min="1935" max="1935" width="18.78515625" bestFit="1" customWidth="1"/>
    <col min="1936" max="1936" width="15.28515625" bestFit="1" customWidth="1"/>
    <col min="1937" max="1937" width="16.2109375" bestFit="1" customWidth="1"/>
    <col min="1938" max="1938" width="15.2109375" bestFit="1" customWidth="1"/>
    <col min="1939" max="1939" width="17.28515625" bestFit="1" customWidth="1"/>
    <col min="1940" max="1940" width="13.42578125" bestFit="1" customWidth="1"/>
    <col min="1941" max="1941" width="9.5" bestFit="1" customWidth="1"/>
    <col min="1942" max="1942" width="13.85546875" bestFit="1" customWidth="1"/>
    <col min="1943" max="1943" width="14.640625" bestFit="1" customWidth="1"/>
    <col min="1944" max="1944" width="11" bestFit="1" customWidth="1"/>
    <col min="1945" max="1945" width="10.92578125" bestFit="1" customWidth="1"/>
    <col min="1946" max="1946" width="13" bestFit="1" customWidth="1"/>
    <col min="1947" max="1947" width="13.7109375" bestFit="1" customWidth="1"/>
    <col min="1948" max="1948" width="15.0703125" bestFit="1" customWidth="1"/>
    <col min="1949" max="1949" width="16.42578125" bestFit="1" customWidth="1"/>
    <col min="1950" max="1950" width="13.78515625" bestFit="1" customWidth="1"/>
    <col min="1951" max="1951" width="13.7109375" bestFit="1" customWidth="1"/>
    <col min="1952" max="1952" width="12.92578125" bestFit="1" customWidth="1"/>
    <col min="1953" max="1953" width="20.28515625" bestFit="1" customWidth="1"/>
    <col min="1954" max="1954" width="10.5703125" bestFit="1" customWidth="1"/>
    <col min="1955" max="1955" width="15.28515625" bestFit="1" customWidth="1"/>
    <col min="1956" max="1956" width="15.5703125" bestFit="1" customWidth="1"/>
    <col min="1957" max="1957" width="11.2109375" bestFit="1" customWidth="1"/>
    <col min="1958" max="1958" width="17.7109375" bestFit="1" customWidth="1"/>
    <col min="1959" max="1959" width="9.5703125" bestFit="1" customWidth="1"/>
    <col min="1960" max="1960" width="14.2109375" bestFit="1" customWidth="1"/>
    <col min="1961" max="1961" width="11.640625" bestFit="1" customWidth="1"/>
    <col min="1962" max="1962" width="12.85546875" bestFit="1" customWidth="1"/>
    <col min="1963" max="1963" width="23.5" bestFit="1" customWidth="1"/>
    <col min="1964" max="1964" width="14.5703125" bestFit="1" customWidth="1"/>
    <col min="1965" max="1966" width="14.42578125" bestFit="1" customWidth="1"/>
    <col min="1967" max="1967" width="12.5" bestFit="1" customWidth="1"/>
    <col min="1968" max="1968" width="17.5" bestFit="1" customWidth="1"/>
    <col min="1969" max="1969" width="11.28515625" bestFit="1" customWidth="1"/>
    <col min="1970" max="1970" width="14.2109375" bestFit="1" customWidth="1"/>
    <col min="1971" max="1971" width="9.78515625" bestFit="1" customWidth="1"/>
    <col min="1972" max="1972" width="13" bestFit="1" customWidth="1"/>
    <col min="1973" max="1973" width="14.35546875" bestFit="1" customWidth="1"/>
    <col min="1974" max="1974" width="18.35546875" bestFit="1" customWidth="1"/>
    <col min="1975" max="1975" width="9.5" bestFit="1" customWidth="1"/>
    <col min="1976" max="1976" width="21.42578125" bestFit="1" customWidth="1"/>
    <col min="1977" max="1977" width="15.42578125" bestFit="1" customWidth="1"/>
    <col min="1978" max="1978" width="20.140625" bestFit="1" customWidth="1"/>
    <col min="1979" max="1979" width="16.5" bestFit="1" customWidth="1"/>
    <col min="1980" max="1980" width="15.85546875" bestFit="1" customWidth="1"/>
    <col min="1981" max="1981" width="16.35546875" bestFit="1" customWidth="1"/>
    <col min="1982" max="1982" width="9.85546875" bestFit="1" customWidth="1"/>
    <col min="1983" max="1983" width="11.5" bestFit="1" customWidth="1"/>
    <col min="1984" max="1984" width="11.35546875" bestFit="1" customWidth="1"/>
    <col min="1985" max="1985" width="13.5703125" bestFit="1" customWidth="1"/>
    <col min="1986" max="1986" width="15.35546875" bestFit="1" customWidth="1"/>
    <col min="1987" max="1987" width="11.5703125" bestFit="1" customWidth="1"/>
    <col min="1988" max="1988" width="12.140625" bestFit="1" customWidth="1"/>
    <col min="1989" max="1989" width="17.5703125" bestFit="1" customWidth="1"/>
    <col min="1990" max="1990" width="12.5" bestFit="1" customWidth="1"/>
    <col min="1991" max="1991" width="10.640625" bestFit="1" customWidth="1"/>
    <col min="1992" max="1992" width="15.78515625" bestFit="1" customWidth="1"/>
    <col min="1993" max="1993" width="13.85546875" bestFit="1" customWidth="1"/>
    <col min="1994" max="1994" width="11.640625" bestFit="1" customWidth="1"/>
    <col min="1995" max="1995" width="14.85546875" bestFit="1" customWidth="1"/>
    <col min="1996" max="1996" width="15.28515625" bestFit="1" customWidth="1"/>
    <col min="1997" max="1997" width="14.35546875" bestFit="1" customWidth="1"/>
    <col min="1998" max="1998" width="12.5703125" bestFit="1" customWidth="1"/>
    <col min="1999" max="1999" width="17.92578125" bestFit="1" customWidth="1"/>
    <col min="2000" max="2000" width="12.42578125" bestFit="1" customWidth="1"/>
    <col min="2001" max="2001" width="15.92578125" bestFit="1" customWidth="1"/>
    <col min="2002" max="2002" width="16.35546875" bestFit="1" customWidth="1"/>
    <col min="2003" max="2003" width="21.35546875" bestFit="1" customWidth="1"/>
    <col min="2004" max="2004" width="12.92578125" bestFit="1" customWidth="1"/>
    <col min="2005" max="2005" width="14.85546875" bestFit="1" customWidth="1"/>
    <col min="2006" max="2006" width="9.92578125" bestFit="1" customWidth="1"/>
    <col min="2007" max="2007" width="11.5" bestFit="1" customWidth="1"/>
    <col min="2008" max="2008" width="18.5" bestFit="1" customWidth="1"/>
    <col min="2009" max="2009" width="8.2109375" bestFit="1" customWidth="1"/>
    <col min="2010" max="2010" width="11.0703125" bestFit="1" customWidth="1"/>
    <col min="2011" max="2011" width="10.7109375" bestFit="1" customWidth="1"/>
    <col min="2012" max="2012" width="8.78515625" bestFit="1" customWidth="1"/>
    <col min="2013" max="2013" width="13.28515625" bestFit="1" customWidth="1"/>
    <col min="2014" max="2014" width="14.92578125" bestFit="1" customWidth="1"/>
    <col min="2015" max="2015" width="14.5" bestFit="1" customWidth="1"/>
    <col min="2016" max="2016" width="13.5" bestFit="1" customWidth="1"/>
    <col min="2017" max="2017" width="12" bestFit="1" customWidth="1"/>
    <col min="2018" max="2018" width="14.5703125" bestFit="1" customWidth="1"/>
    <col min="2019" max="2019" width="14.28515625" bestFit="1" customWidth="1"/>
    <col min="2020" max="2020" width="13.28515625" bestFit="1" customWidth="1"/>
    <col min="2021" max="2021" width="11.2109375" bestFit="1" customWidth="1"/>
    <col min="2022" max="2022" width="10.7109375" bestFit="1" customWidth="1"/>
    <col min="2023" max="2023" width="13.2109375" bestFit="1" customWidth="1"/>
    <col min="2024" max="2024" width="9.85546875" bestFit="1" customWidth="1"/>
    <col min="2026" max="2026" width="16.5703125" bestFit="1" customWidth="1"/>
    <col min="2027" max="2027" width="11.78515625" bestFit="1" customWidth="1"/>
    <col min="2028" max="2028" width="15.5" bestFit="1" customWidth="1"/>
    <col min="2029" max="2029" width="22.2109375" bestFit="1" customWidth="1"/>
    <col min="2030" max="2030" width="20.42578125" bestFit="1" customWidth="1"/>
    <col min="2031" max="2031" width="21.640625" bestFit="1" customWidth="1"/>
    <col min="2032" max="2032" width="12.92578125" bestFit="1" customWidth="1"/>
    <col min="2033" max="2033" width="10" bestFit="1" customWidth="1"/>
    <col min="2034" max="2034" width="14.35546875" bestFit="1" customWidth="1"/>
    <col min="2035" max="2035" width="11.5703125" bestFit="1" customWidth="1"/>
    <col min="2036" max="2036" width="9.28515625" bestFit="1" customWidth="1"/>
    <col min="2037" max="2037" width="12.5" bestFit="1" customWidth="1"/>
    <col min="2038" max="2038" width="14.7109375" bestFit="1" customWidth="1"/>
    <col min="2039" max="2039" width="10.5703125" bestFit="1" customWidth="1"/>
    <col min="2040" max="2040" width="15.28515625" bestFit="1" customWidth="1"/>
    <col min="2041" max="2041" width="15" bestFit="1" customWidth="1"/>
    <col min="2042" max="2042" width="13.140625" bestFit="1" customWidth="1"/>
    <col min="2043" max="2043" width="14.28515625" bestFit="1" customWidth="1"/>
    <col min="2044" max="2044" width="11.640625" bestFit="1" customWidth="1"/>
    <col min="2045" max="2045" width="13.42578125" bestFit="1" customWidth="1"/>
    <col min="2046" max="2046" width="15.78515625" bestFit="1" customWidth="1"/>
    <col min="2047" max="2047" width="14.140625" bestFit="1" customWidth="1"/>
    <col min="2048" max="2048" width="12.5" bestFit="1" customWidth="1"/>
    <col min="2049" max="2049" width="15" bestFit="1" customWidth="1"/>
    <col min="2050" max="2050" width="13.28515625" bestFit="1" customWidth="1"/>
    <col min="2051" max="2051" width="12.42578125" bestFit="1" customWidth="1"/>
    <col min="2052" max="2052" width="12.35546875" bestFit="1" customWidth="1"/>
    <col min="2053" max="2053" width="13.140625" bestFit="1" customWidth="1"/>
    <col min="2054" max="2054" width="19.28515625" bestFit="1" customWidth="1"/>
    <col min="2055" max="2055" width="12.640625" bestFit="1" customWidth="1"/>
    <col min="2056" max="2056" width="10" bestFit="1" customWidth="1"/>
    <col min="2057" max="2057" width="14" bestFit="1" customWidth="1"/>
    <col min="2058" max="2058" width="13.640625" bestFit="1" customWidth="1"/>
    <col min="2059" max="2059" width="17.140625" bestFit="1" customWidth="1"/>
    <col min="2060" max="2060" width="17.2109375" bestFit="1" customWidth="1"/>
    <col min="2061" max="2061" width="17.92578125" bestFit="1" customWidth="1"/>
    <col min="2062" max="2062" width="11.92578125" bestFit="1" customWidth="1"/>
    <col min="2063" max="2063" width="13.42578125" bestFit="1" customWidth="1"/>
    <col min="2064" max="2064" width="14.5" bestFit="1" customWidth="1"/>
    <col min="2065" max="2065" width="14.35546875" bestFit="1" customWidth="1"/>
    <col min="2066" max="2066" width="11.640625" bestFit="1" customWidth="1"/>
    <col min="2067" max="2067" width="12.28515625" bestFit="1" customWidth="1"/>
    <col min="2068" max="2068" width="17.78515625" bestFit="1" customWidth="1"/>
    <col min="2069" max="2069" width="14.42578125" bestFit="1" customWidth="1"/>
    <col min="2070" max="2070" width="18.2109375" bestFit="1" customWidth="1"/>
    <col min="2071" max="2071" width="13" bestFit="1" customWidth="1"/>
    <col min="2072" max="2072" width="10.640625" bestFit="1" customWidth="1"/>
    <col min="2073" max="2073" width="15.35546875" bestFit="1" customWidth="1"/>
    <col min="2074" max="2074" width="14.42578125" bestFit="1" customWidth="1"/>
    <col min="2075" max="2075" width="16.0703125" bestFit="1" customWidth="1"/>
    <col min="2076" max="2076" width="16.140625" bestFit="1" customWidth="1"/>
    <col min="2077" max="2077" width="15.78515625" bestFit="1" customWidth="1"/>
    <col min="2078" max="2078" width="14.28515625" bestFit="1" customWidth="1"/>
    <col min="2079" max="2079" width="10" bestFit="1" customWidth="1"/>
    <col min="2080" max="2080" width="13.7109375" bestFit="1" customWidth="1"/>
    <col min="2081" max="2081" width="13.5" bestFit="1" customWidth="1"/>
    <col min="2082" max="2082" width="8.92578125" bestFit="1" customWidth="1"/>
    <col min="2083" max="2083" width="11.140625" bestFit="1" customWidth="1"/>
    <col min="2084" max="2084" width="11.28515625" bestFit="1" customWidth="1"/>
    <col min="2085" max="2085" width="13.42578125" bestFit="1" customWidth="1"/>
    <col min="2086" max="2086" width="9.7109375" bestFit="1" customWidth="1"/>
    <col min="2087" max="2087" width="12.5703125" bestFit="1" customWidth="1"/>
    <col min="2088" max="2088" width="16.28515625" bestFit="1" customWidth="1"/>
    <col min="2089" max="2089" width="12.42578125" bestFit="1" customWidth="1"/>
    <col min="2090" max="2090" width="12.35546875" bestFit="1" customWidth="1"/>
    <col min="2091" max="2091" width="13.5703125" bestFit="1" customWidth="1"/>
    <col min="2092" max="2092" width="14.0703125" bestFit="1" customWidth="1"/>
    <col min="2093" max="2093" width="13.85546875" bestFit="1" customWidth="1"/>
    <col min="2094" max="2094" width="14.0703125" bestFit="1" customWidth="1"/>
    <col min="2095" max="2095" width="14.92578125" bestFit="1" customWidth="1"/>
    <col min="2096" max="2096" width="11.5" bestFit="1" customWidth="1"/>
    <col min="2097" max="2097" width="13.140625" bestFit="1" customWidth="1"/>
    <col min="2098" max="2098" width="11.0703125" bestFit="1" customWidth="1"/>
    <col min="2099" max="2099" width="12.35546875" bestFit="1" customWidth="1"/>
    <col min="2100" max="2100" width="11.5703125" bestFit="1" customWidth="1"/>
    <col min="2101" max="2101" width="21.28515625" bestFit="1" customWidth="1"/>
    <col min="2102" max="2102" width="14.2109375" bestFit="1" customWidth="1"/>
    <col min="2103" max="2103" width="13.42578125" bestFit="1" customWidth="1"/>
    <col min="2104" max="2104" width="11.35546875" bestFit="1" customWidth="1"/>
    <col min="2105" max="2105" width="12.35546875" bestFit="1" customWidth="1"/>
    <col min="2106" max="2106" width="13.7109375" bestFit="1" customWidth="1"/>
    <col min="2107" max="2107" width="11.640625" bestFit="1" customWidth="1"/>
    <col min="2108" max="2108" width="10.5" bestFit="1" customWidth="1"/>
    <col min="2109" max="2109" width="15.640625" bestFit="1" customWidth="1"/>
    <col min="2110" max="2110" width="14.2109375" bestFit="1" customWidth="1"/>
    <col min="2111" max="2111" width="13.640625" bestFit="1" customWidth="1"/>
    <col min="2112" max="2112" width="12.5703125" bestFit="1" customWidth="1"/>
    <col min="2113" max="2113" width="14.35546875" bestFit="1" customWidth="1"/>
    <col min="2114" max="2114" width="11.5703125" bestFit="1" customWidth="1"/>
    <col min="2115" max="2115" width="18.35546875" bestFit="1" customWidth="1"/>
    <col min="2116" max="2116" width="8.5" bestFit="1" customWidth="1"/>
    <col min="2117" max="2117" width="8.42578125" bestFit="1" customWidth="1"/>
    <col min="2118" max="2118" width="14.0703125" bestFit="1" customWidth="1"/>
    <col min="2119" max="2119" width="19.35546875" bestFit="1" customWidth="1"/>
    <col min="2120" max="2120" width="12.5" bestFit="1" customWidth="1"/>
    <col min="2121" max="2121" width="6.85546875" bestFit="1" customWidth="1"/>
    <col min="2122" max="2122" width="17.85546875" bestFit="1" customWidth="1"/>
    <col min="2123" max="2123" width="13.5703125" bestFit="1" customWidth="1"/>
    <col min="2124" max="2124" width="13.140625" bestFit="1" customWidth="1"/>
    <col min="2125" max="2125" width="13.42578125" bestFit="1" customWidth="1"/>
    <col min="2126" max="2126" width="14.2109375" bestFit="1" customWidth="1"/>
    <col min="2127" max="2127" width="15.640625" bestFit="1" customWidth="1"/>
    <col min="2128" max="2128" width="10.42578125" bestFit="1" customWidth="1"/>
    <col min="2129" max="2129" width="16.640625" bestFit="1" customWidth="1"/>
    <col min="2130" max="2130" width="11.35546875" bestFit="1" customWidth="1"/>
    <col min="2131" max="2131" width="18.85546875" bestFit="1" customWidth="1"/>
    <col min="2132" max="2132" width="16.28515625" bestFit="1" customWidth="1"/>
    <col min="2133" max="2133" width="9.640625" bestFit="1" customWidth="1"/>
    <col min="2134" max="2134" width="8" bestFit="1" customWidth="1"/>
    <col min="2135" max="2135" width="12.92578125" bestFit="1" customWidth="1"/>
    <col min="2136" max="2136" width="21" bestFit="1" customWidth="1"/>
    <col min="2137" max="2137" width="12.640625" bestFit="1" customWidth="1"/>
    <col min="2138" max="2138" width="12.28515625" bestFit="1" customWidth="1"/>
    <col min="2139" max="2139" width="10.42578125" bestFit="1" customWidth="1"/>
    <col min="2140" max="2140" width="7.5" bestFit="1" customWidth="1"/>
    <col min="2141" max="2141" width="24.78515625" bestFit="1" customWidth="1"/>
    <col min="2142" max="2142" width="21.5703125" bestFit="1" customWidth="1"/>
    <col min="2143" max="2143" width="23.28515625" bestFit="1" customWidth="1"/>
    <col min="2144" max="2144" width="15.140625" bestFit="1" customWidth="1"/>
    <col min="2145" max="2145" width="15.85546875" bestFit="1" customWidth="1"/>
    <col min="2146" max="2146" width="15.5703125" bestFit="1" customWidth="1"/>
    <col min="2147" max="2147" width="17.28515625" bestFit="1" customWidth="1"/>
    <col min="2148" max="2148" width="13.5" bestFit="1" customWidth="1"/>
    <col min="2149" max="2149" width="15.640625" bestFit="1" customWidth="1"/>
    <col min="2150" max="2150" width="15.42578125" bestFit="1" customWidth="1"/>
    <col min="2151" max="2151" width="14.28515625" bestFit="1" customWidth="1"/>
    <col min="2152" max="2152" width="11.5" bestFit="1" customWidth="1"/>
    <col min="2153" max="2153" width="14.92578125" bestFit="1" customWidth="1"/>
    <col min="2154" max="2154" width="9.78515625" bestFit="1" customWidth="1"/>
    <col min="2155" max="2155" width="11.640625" bestFit="1" customWidth="1"/>
    <col min="2156" max="2156" width="13.140625" bestFit="1" customWidth="1"/>
    <col min="2157" max="2157" width="13.0703125" bestFit="1" customWidth="1"/>
    <col min="2158" max="2158" width="16.92578125" bestFit="1" customWidth="1"/>
    <col min="2159" max="2159" width="14.0703125" bestFit="1" customWidth="1"/>
    <col min="2160" max="2160" width="11.35546875" bestFit="1" customWidth="1"/>
    <col min="2161" max="2161" width="17.42578125" bestFit="1" customWidth="1"/>
    <col min="2162" max="2162" width="13.640625" bestFit="1" customWidth="1"/>
    <col min="2163" max="2163" width="11" bestFit="1" customWidth="1"/>
    <col min="2164" max="2164" width="16.28515625" bestFit="1" customWidth="1"/>
    <col min="2165" max="2165" width="11.5" bestFit="1" customWidth="1"/>
    <col min="2166" max="2166" width="16.42578125" bestFit="1" customWidth="1"/>
    <col min="2167" max="2167" width="13.35546875" bestFit="1" customWidth="1"/>
    <col min="2168" max="2168" width="16.78515625" bestFit="1" customWidth="1"/>
    <col min="2169" max="2169" width="11.42578125" bestFit="1" customWidth="1"/>
    <col min="2170" max="2170" width="13" bestFit="1" customWidth="1"/>
    <col min="2171" max="2171" width="16.0703125" bestFit="1" customWidth="1"/>
    <col min="2172" max="2172" width="12.28515625" bestFit="1" customWidth="1"/>
    <col min="2173" max="2173" width="19.28515625" bestFit="1" customWidth="1"/>
    <col min="2174" max="2174" width="16.640625" bestFit="1" customWidth="1"/>
    <col min="2175" max="2175" width="11.0703125" bestFit="1" customWidth="1"/>
    <col min="2176" max="2176" width="10.640625" bestFit="1" customWidth="1"/>
    <col min="2177" max="2177" width="12.0703125" bestFit="1" customWidth="1"/>
    <col min="2178" max="2178" width="10.5703125" bestFit="1" customWidth="1"/>
    <col min="2179" max="2179" width="11.42578125" bestFit="1" customWidth="1"/>
    <col min="2180" max="2180" width="19.92578125" bestFit="1" customWidth="1"/>
    <col min="2181" max="2181" width="14.140625" bestFit="1" customWidth="1"/>
    <col min="2182" max="2182" width="14.78515625" bestFit="1" customWidth="1"/>
    <col min="2183" max="2183" width="18.5703125" bestFit="1" customWidth="1"/>
    <col min="2184" max="2184" width="10.28515625" bestFit="1" customWidth="1"/>
    <col min="2185" max="2185" width="16.640625" bestFit="1" customWidth="1"/>
    <col min="2186" max="2186" width="12.0703125" bestFit="1" customWidth="1"/>
    <col min="2187" max="2187" width="8.2109375" bestFit="1" customWidth="1"/>
    <col min="2188" max="2188" width="13.5703125" bestFit="1" customWidth="1"/>
    <col min="2189" max="2189" width="16.42578125" bestFit="1" customWidth="1"/>
    <col min="2190" max="2190" width="13.0703125" bestFit="1" customWidth="1"/>
    <col min="2191" max="2191" width="12.0703125" bestFit="1" customWidth="1"/>
    <col min="2192" max="2192" width="10.35546875" bestFit="1" customWidth="1"/>
    <col min="2193" max="2194" width="14.92578125" bestFit="1" customWidth="1"/>
    <col min="2195" max="2195" width="15.78515625" bestFit="1" customWidth="1"/>
    <col min="2196" max="2196" width="16.92578125" bestFit="1" customWidth="1"/>
    <col min="2197" max="2197" width="14.0703125" bestFit="1" customWidth="1"/>
    <col min="2198" max="2198" width="13.28515625" bestFit="1" customWidth="1"/>
    <col min="2199" max="2200" width="13.85546875" bestFit="1" customWidth="1"/>
    <col min="2201" max="2201" width="15.35546875" bestFit="1" customWidth="1"/>
    <col min="2202" max="2202" width="12.2109375" bestFit="1" customWidth="1"/>
    <col min="2203" max="2203" width="12" bestFit="1" customWidth="1"/>
    <col min="2204" max="2204" width="11.0703125" bestFit="1" customWidth="1"/>
    <col min="2205" max="2205" width="13.7109375" bestFit="1" customWidth="1"/>
    <col min="2206" max="2206" width="11.640625" bestFit="1" customWidth="1"/>
    <col min="2207" max="2207" width="16.28515625" bestFit="1" customWidth="1"/>
    <col min="2208" max="2208" width="11.42578125" bestFit="1" customWidth="1"/>
    <col min="2209" max="2209" width="13.5703125" bestFit="1" customWidth="1"/>
    <col min="2210" max="2210" width="12.28515625" bestFit="1" customWidth="1"/>
    <col min="2211" max="2211" width="8.42578125" bestFit="1" customWidth="1"/>
    <col min="2212" max="2212" width="9.2109375" bestFit="1" customWidth="1"/>
    <col min="2213" max="2213" width="12.0703125" bestFit="1" customWidth="1"/>
    <col min="2214" max="2214" width="17" bestFit="1" customWidth="1"/>
    <col min="2215" max="2215" width="13.35546875" bestFit="1" customWidth="1"/>
    <col min="2216" max="2216" width="10.2109375" bestFit="1" customWidth="1"/>
    <col min="2217" max="2217" width="14.5703125" bestFit="1" customWidth="1"/>
    <col min="2218" max="2218" width="11" bestFit="1" customWidth="1"/>
    <col min="2219" max="2219" width="17.78515625" bestFit="1" customWidth="1"/>
    <col min="2220" max="2220" width="16.5" bestFit="1" customWidth="1"/>
    <col min="2221" max="2221" width="12.5" bestFit="1" customWidth="1"/>
    <col min="2222" max="2222" width="12.0703125" bestFit="1" customWidth="1"/>
    <col min="2223" max="2223" width="10.85546875" bestFit="1" customWidth="1"/>
    <col min="2224" max="2224" width="19.78515625" bestFit="1" customWidth="1"/>
    <col min="2225" max="2225" width="13.7109375" bestFit="1" customWidth="1"/>
    <col min="2226" max="2226" width="16.2109375" bestFit="1" customWidth="1"/>
    <col min="2227" max="2227" width="13.5703125" bestFit="1" customWidth="1"/>
    <col min="2228" max="2228" width="15.78515625" bestFit="1" customWidth="1"/>
    <col min="2229" max="2229" width="16.2109375" bestFit="1" customWidth="1"/>
    <col min="2230" max="2230" width="16.7109375" bestFit="1" customWidth="1"/>
    <col min="2231" max="2231" width="10.85546875" bestFit="1" customWidth="1"/>
    <col min="2232" max="2232" width="10.28515625" bestFit="1" customWidth="1"/>
    <col min="2233" max="2233" width="14.0703125" bestFit="1" customWidth="1"/>
    <col min="2234" max="2234" width="17.5" bestFit="1" customWidth="1"/>
    <col min="2235" max="2235" width="10.5703125" bestFit="1" customWidth="1"/>
    <col min="2236" max="2236" width="16" bestFit="1" customWidth="1"/>
    <col min="2237" max="2237" width="12.5" bestFit="1" customWidth="1"/>
    <col min="2238" max="2238" width="15.0703125" bestFit="1" customWidth="1"/>
    <col min="2239" max="2239" width="11.78515625" bestFit="1" customWidth="1"/>
    <col min="2240" max="2240" width="18.140625" bestFit="1" customWidth="1"/>
    <col min="2241" max="2241" width="10.78515625" bestFit="1" customWidth="1"/>
    <col min="2242" max="2242" width="11.7109375" bestFit="1" customWidth="1"/>
    <col min="2243" max="2243" width="18.2109375" bestFit="1" customWidth="1"/>
    <col min="2244" max="2244" width="18.640625" bestFit="1" customWidth="1"/>
    <col min="2245" max="2245" width="15.42578125" bestFit="1" customWidth="1"/>
    <col min="2246" max="2246" width="12.28515625" bestFit="1" customWidth="1"/>
    <col min="2247" max="2247" width="10.140625" bestFit="1" customWidth="1"/>
    <col min="2248" max="2248" width="16.28515625" bestFit="1" customWidth="1"/>
    <col min="2249" max="2249" width="13" bestFit="1" customWidth="1"/>
    <col min="2250" max="2250" width="13.5703125" bestFit="1" customWidth="1"/>
    <col min="2251" max="2251" width="14.42578125" bestFit="1" customWidth="1"/>
    <col min="2252" max="2252" width="12.28515625" bestFit="1" customWidth="1"/>
    <col min="2253" max="2253" width="11.640625" bestFit="1" customWidth="1"/>
    <col min="2254" max="2254" width="11.28515625" bestFit="1" customWidth="1"/>
    <col min="2255" max="2255" width="13.140625" bestFit="1" customWidth="1"/>
    <col min="2256" max="2256" width="12.5703125" bestFit="1" customWidth="1"/>
    <col min="2257" max="2257" width="11.85546875" bestFit="1" customWidth="1"/>
    <col min="2258" max="2258" width="15.78515625" bestFit="1" customWidth="1"/>
    <col min="2259" max="2259" width="11.0703125" bestFit="1" customWidth="1"/>
    <col min="2260" max="2260" width="13.140625" bestFit="1" customWidth="1"/>
    <col min="2261" max="2261" width="14.78515625" bestFit="1" customWidth="1"/>
    <col min="2262" max="2262" width="10.7109375" bestFit="1" customWidth="1"/>
    <col min="2263" max="2263" width="7" bestFit="1" customWidth="1"/>
    <col min="2264" max="2264" width="10.42578125" bestFit="1" customWidth="1"/>
    <col min="2265" max="2265" width="10.35546875" bestFit="1" customWidth="1"/>
    <col min="2266" max="2266" width="13.28515625" bestFit="1" customWidth="1"/>
    <col min="2267" max="2267" width="13.35546875" bestFit="1" customWidth="1"/>
    <col min="2268" max="2268" width="9.78515625" bestFit="1" customWidth="1"/>
    <col min="2269" max="2269" width="11.140625" bestFit="1" customWidth="1"/>
    <col min="2270" max="2270" width="12.5" bestFit="1" customWidth="1"/>
    <col min="2271" max="2271" width="12.42578125" bestFit="1" customWidth="1"/>
    <col min="2272" max="2272" width="14.0703125" bestFit="1" customWidth="1"/>
    <col min="2273" max="2273" width="17.140625" bestFit="1" customWidth="1"/>
    <col min="2274" max="2274" width="20.640625" bestFit="1" customWidth="1"/>
    <col min="2275" max="2275" width="18" bestFit="1" customWidth="1"/>
    <col min="2276" max="2276" width="16.2109375" bestFit="1" customWidth="1"/>
    <col min="2277" max="2277" width="14.42578125" bestFit="1" customWidth="1"/>
    <col min="2278" max="2278" width="19.2109375" bestFit="1" customWidth="1"/>
    <col min="2279" max="2279" width="14.35546875" bestFit="1" customWidth="1"/>
    <col min="2280" max="2280" width="16.28515625" bestFit="1" customWidth="1"/>
    <col min="2281" max="2281" width="13.78515625" bestFit="1" customWidth="1"/>
    <col min="2282" max="2282" width="13.85546875" bestFit="1" customWidth="1"/>
    <col min="2283" max="2283" width="17.42578125" bestFit="1" customWidth="1"/>
    <col min="2284" max="2284" width="11.140625" bestFit="1" customWidth="1"/>
    <col min="2285" max="2285" width="14.2109375" bestFit="1" customWidth="1"/>
    <col min="2286" max="2286" width="15.640625" bestFit="1" customWidth="1"/>
    <col min="2287" max="2287" width="10.92578125" bestFit="1" customWidth="1"/>
    <col min="2288" max="2288" width="16.2109375" bestFit="1" customWidth="1"/>
    <col min="2289" max="2289" width="14.2109375" bestFit="1" customWidth="1"/>
    <col min="2290" max="2290" width="13.5" bestFit="1" customWidth="1"/>
    <col min="2291" max="2291" width="12.640625" bestFit="1" customWidth="1"/>
    <col min="2292" max="2292" width="15.42578125" bestFit="1" customWidth="1"/>
    <col min="2293" max="2293" width="15.78515625" bestFit="1" customWidth="1"/>
    <col min="2294" max="2294" width="11.7109375" bestFit="1" customWidth="1"/>
    <col min="2295" max="2295" width="14.140625" bestFit="1" customWidth="1"/>
    <col min="2296" max="2296" width="11.640625" bestFit="1" customWidth="1"/>
    <col min="2297" max="2297" width="16.78515625" bestFit="1" customWidth="1"/>
    <col min="2298" max="2298" width="14" bestFit="1" customWidth="1"/>
    <col min="2299" max="2299" width="8.140625" bestFit="1" customWidth="1"/>
    <col min="2300" max="2300" width="13.42578125" bestFit="1" customWidth="1"/>
    <col min="2301" max="2301" width="12" bestFit="1" customWidth="1"/>
    <col min="2302" max="2302" width="9.5703125" bestFit="1" customWidth="1"/>
    <col min="2303" max="2303" width="10.42578125" bestFit="1" customWidth="1"/>
    <col min="2304" max="2304" width="15.2109375" bestFit="1" customWidth="1"/>
    <col min="2305" max="2305" width="12.35546875" bestFit="1" customWidth="1"/>
    <col min="2306" max="2306" width="13.2109375" bestFit="1" customWidth="1"/>
    <col min="2307" max="2307" width="15.2109375" bestFit="1" customWidth="1"/>
    <col min="2308" max="2308" width="11.640625" bestFit="1" customWidth="1"/>
    <col min="2309" max="2309" width="14.140625" bestFit="1" customWidth="1"/>
    <col min="2310" max="2310" width="26.640625" bestFit="1" customWidth="1"/>
    <col min="2311" max="2311" width="8.92578125" bestFit="1" customWidth="1"/>
    <col min="2312" max="2312" width="13.7109375" bestFit="1" customWidth="1"/>
    <col min="2313" max="2313" width="16.92578125" bestFit="1" customWidth="1"/>
    <col min="2314" max="2314" width="14" bestFit="1" customWidth="1"/>
    <col min="2315" max="2315" width="11.0703125" bestFit="1" customWidth="1"/>
    <col min="2316" max="2316" width="13.140625" bestFit="1" customWidth="1"/>
    <col min="2317" max="2317" width="12.140625" bestFit="1" customWidth="1"/>
    <col min="2318" max="2318" width="12.28515625" bestFit="1" customWidth="1"/>
    <col min="2319" max="2319" width="15.42578125" bestFit="1" customWidth="1"/>
    <col min="2320" max="2320" width="10.92578125" bestFit="1" customWidth="1"/>
    <col min="2321" max="2321" width="14.85546875" bestFit="1" customWidth="1"/>
    <col min="2322" max="2322" width="14.78515625" bestFit="1" customWidth="1"/>
    <col min="2323" max="2323" width="11.7109375" bestFit="1" customWidth="1"/>
    <col min="2324" max="2324" width="15.85546875" bestFit="1" customWidth="1"/>
    <col min="2325" max="2325" width="15.28515625" bestFit="1" customWidth="1"/>
    <col min="2326" max="2326" width="12.0703125" bestFit="1" customWidth="1"/>
    <col min="2327" max="2327" width="14.7109375" bestFit="1" customWidth="1"/>
    <col min="2328" max="2328" width="14.2109375" bestFit="1" customWidth="1"/>
    <col min="2329" max="2329" width="14.5703125" bestFit="1" customWidth="1"/>
    <col min="2330" max="2330" width="11.85546875" bestFit="1" customWidth="1"/>
    <col min="2331" max="2331" width="12.42578125" bestFit="1" customWidth="1"/>
    <col min="2332" max="2332" width="12.92578125" bestFit="1" customWidth="1"/>
    <col min="2333" max="2333" width="16.2109375" bestFit="1" customWidth="1"/>
    <col min="2334" max="2334" width="14.5" bestFit="1" customWidth="1"/>
    <col min="2335" max="2335" width="15.92578125" bestFit="1" customWidth="1"/>
    <col min="2336" max="2336" width="14.28515625" bestFit="1" customWidth="1"/>
    <col min="2337" max="2337" width="9.78515625" bestFit="1" customWidth="1"/>
    <col min="2339" max="2339" width="18.5703125" bestFit="1" customWidth="1"/>
    <col min="2340" max="2340" width="15.7109375" bestFit="1" customWidth="1"/>
    <col min="2341" max="2341" width="16.140625" bestFit="1" customWidth="1"/>
    <col min="2342" max="2342" width="8.5" bestFit="1" customWidth="1"/>
    <col min="2343" max="2343" width="12.85546875" bestFit="1" customWidth="1"/>
    <col min="2344" max="2344" width="12.7109375" bestFit="1" customWidth="1"/>
    <col min="2345" max="2345" width="12.5" bestFit="1" customWidth="1"/>
    <col min="2346" max="2346" width="17.140625" bestFit="1" customWidth="1"/>
    <col min="2347" max="2347" width="13.78515625" bestFit="1" customWidth="1"/>
    <col min="2348" max="2348" width="11.2109375" bestFit="1" customWidth="1"/>
    <col min="2349" max="2349" width="10.5" bestFit="1" customWidth="1"/>
    <col min="2350" max="2350" width="14.42578125" bestFit="1" customWidth="1"/>
    <col min="2351" max="2351" width="21.140625" bestFit="1" customWidth="1"/>
    <col min="2352" max="2352" width="17.7109375" bestFit="1" customWidth="1"/>
    <col min="2353" max="2353" width="15.78515625" bestFit="1" customWidth="1"/>
    <col min="2354" max="2354" width="9.42578125" bestFit="1" customWidth="1"/>
    <col min="2355" max="2355" width="12.2109375" bestFit="1" customWidth="1"/>
    <col min="2356" max="2356" width="11.5" bestFit="1" customWidth="1"/>
    <col min="2357" max="2357" width="15.92578125" bestFit="1" customWidth="1"/>
    <col min="2358" max="2358" width="15.28515625" bestFit="1" customWidth="1"/>
    <col min="2359" max="2359" width="9.92578125" bestFit="1" customWidth="1"/>
    <col min="2360" max="2360" width="15.0703125" bestFit="1" customWidth="1"/>
    <col min="2361" max="2361" width="17.5703125" bestFit="1" customWidth="1"/>
    <col min="2362" max="2362" width="12.85546875" bestFit="1" customWidth="1"/>
    <col min="2363" max="2363" width="12.140625" bestFit="1" customWidth="1"/>
    <col min="2364" max="2364" width="18.2109375" bestFit="1" customWidth="1"/>
    <col min="2365" max="2365" width="11.35546875" bestFit="1" customWidth="1"/>
    <col min="2366" max="2366" width="10.0703125" bestFit="1" customWidth="1"/>
    <col min="2367" max="2367" width="20.140625" bestFit="1" customWidth="1"/>
    <col min="2368" max="2368" width="11.28515625" bestFit="1" customWidth="1"/>
    <col min="2369" max="2369" width="14.5" bestFit="1" customWidth="1"/>
    <col min="2370" max="2370" width="19" bestFit="1" customWidth="1"/>
    <col min="2371" max="2371" width="14.35546875" bestFit="1" customWidth="1"/>
    <col min="2372" max="2372" width="14.640625" bestFit="1" customWidth="1"/>
    <col min="2373" max="2373" width="10.140625" bestFit="1" customWidth="1"/>
    <col min="2374" max="2374" width="14.35546875" bestFit="1" customWidth="1"/>
    <col min="2375" max="2375" width="11.28515625" bestFit="1" customWidth="1"/>
    <col min="2376" max="2376" width="13.5" bestFit="1" customWidth="1"/>
    <col min="2377" max="2377" width="13.140625" bestFit="1" customWidth="1"/>
    <col min="2378" max="2378" width="14.28515625" bestFit="1" customWidth="1"/>
    <col min="2379" max="2379" width="15.78515625" bestFit="1" customWidth="1"/>
    <col min="2380" max="2380" width="12.140625" bestFit="1" customWidth="1"/>
    <col min="2381" max="2381" width="13.28515625" bestFit="1" customWidth="1"/>
    <col min="2382" max="2382" width="14.140625" bestFit="1" customWidth="1"/>
    <col min="2383" max="2383" width="11.78515625" bestFit="1" customWidth="1"/>
    <col min="2384" max="2384" width="16.35546875" bestFit="1" customWidth="1"/>
    <col min="2385" max="2385" width="14.85546875" bestFit="1" customWidth="1"/>
    <col min="2386" max="2386" width="11.92578125" bestFit="1" customWidth="1"/>
    <col min="2387" max="2387" width="15.85546875" bestFit="1" customWidth="1"/>
    <col min="2388" max="2388" width="17" bestFit="1" customWidth="1"/>
    <col min="2389" max="2389" width="16" bestFit="1" customWidth="1"/>
    <col min="2390" max="2390" width="16.35546875" bestFit="1" customWidth="1"/>
    <col min="2391" max="2391" width="16.2109375" bestFit="1" customWidth="1"/>
    <col min="2392" max="2392" width="13.140625" bestFit="1" customWidth="1"/>
    <col min="2393" max="2393" width="13.5" bestFit="1" customWidth="1"/>
    <col min="2394" max="2394" width="16.2109375" bestFit="1" customWidth="1"/>
    <col min="2395" max="2395" width="12.640625" bestFit="1" customWidth="1"/>
    <col min="2396" max="2396" width="13.0703125" bestFit="1" customWidth="1"/>
    <col min="2397" max="2397" width="14.5" bestFit="1" customWidth="1"/>
    <col min="2398" max="2398" width="15.640625" bestFit="1" customWidth="1"/>
    <col min="2399" max="2399" width="15.85546875" bestFit="1" customWidth="1"/>
    <col min="2400" max="2400" width="15.35546875" bestFit="1" customWidth="1"/>
    <col min="2401" max="2401" width="16.140625" bestFit="1" customWidth="1"/>
    <col min="2402" max="2402" width="21" bestFit="1" customWidth="1"/>
    <col min="2403" max="2403" width="18.92578125" bestFit="1" customWidth="1"/>
    <col min="2404" max="2404" width="18.640625" bestFit="1" customWidth="1"/>
    <col min="2405" max="2405" width="15.7109375" bestFit="1" customWidth="1"/>
    <col min="2406" max="2406" width="15.78515625" bestFit="1" customWidth="1"/>
    <col min="2407" max="2407" width="16.5703125" bestFit="1" customWidth="1"/>
    <col min="2408" max="2408" width="17.5703125" bestFit="1" customWidth="1"/>
    <col min="2409" max="2409" width="14.28515625" bestFit="1" customWidth="1"/>
    <col min="2410" max="2410" width="15" bestFit="1" customWidth="1"/>
    <col min="2411" max="2411" width="11.640625" bestFit="1" customWidth="1"/>
    <col min="2412" max="2412" width="15.78515625" bestFit="1" customWidth="1"/>
    <col min="2413" max="2413" width="13.7109375" bestFit="1" customWidth="1"/>
    <col min="2414" max="2414" width="13.2109375" bestFit="1" customWidth="1"/>
    <col min="2415" max="2415" width="13" bestFit="1" customWidth="1"/>
    <col min="2416" max="2416" width="20" bestFit="1" customWidth="1"/>
    <col min="2417" max="2417" width="12.28515625" bestFit="1" customWidth="1"/>
    <col min="2418" max="2418" width="14.78515625" bestFit="1" customWidth="1"/>
    <col min="2419" max="2419" width="15.78515625" bestFit="1" customWidth="1"/>
    <col min="2420" max="2420" width="15.85546875" bestFit="1" customWidth="1"/>
    <col min="2421" max="2421" width="16" bestFit="1" customWidth="1"/>
    <col min="2422" max="2422" width="12.92578125" bestFit="1" customWidth="1"/>
    <col min="2423" max="2423" width="12.2109375" bestFit="1" customWidth="1"/>
    <col min="2424" max="2424" width="12.42578125" bestFit="1" customWidth="1"/>
    <col min="2425" max="2425" width="11.2109375" bestFit="1" customWidth="1"/>
    <col min="2426" max="2426" width="11.28515625" bestFit="1" customWidth="1"/>
    <col min="2427" max="2427" width="11.5703125" bestFit="1" customWidth="1"/>
    <col min="2428" max="2428" width="13.42578125" bestFit="1" customWidth="1"/>
    <col min="2429" max="2429" width="13.78515625" bestFit="1" customWidth="1"/>
    <col min="2430" max="2430" width="8.140625" bestFit="1" customWidth="1"/>
    <col min="2431" max="2431" width="10.640625" bestFit="1" customWidth="1"/>
    <col min="2432" max="2432" width="15.0703125" bestFit="1" customWidth="1"/>
    <col min="2433" max="2433" width="12.7109375" bestFit="1" customWidth="1"/>
    <col min="2434" max="2434" width="10.140625" bestFit="1" customWidth="1"/>
    <col min="2435" max="2435" width="12.5" bestFit="1" customWidth="1"/>
    <col min="2436" max="2436" width="11" bestFit="1" customWidth="1"/>
    <col min="2437" max="2437" width="10.78515625" bestFit="1" customWidth="1"/>
    <col min="2438" max="2438" width="16.42578125" bestFit="1" customWidth="1"/>
    <col min="2439" max="2439" width="11.5703125" bestFit="1" customWidth="1"/>
    <col min="2440" max="2440" width="15.140625" bestFit="1" customWidth="1"/>
    <col min="2441" max="2441" width="9.2109375" bestFit="1" customWidth="1"/>
    <col min="2442" max="2442" width="12.640625" bestFit="1" customWidth="1"/>
    <col min="2443" max="2443" width="14.42578125" bestFit="1" customWidth="1"/>
    <col min="2444" max="2444" width="14.2109375" bestFit="1" customWidth="1"/>
    <col min="2445" max="2445" width="13.2109375" bestFit="1" customWidth="1"/>
    <col min="2446" max="2446" width="16.140625" bestFit="1" customWidth="1"/>
    <col min="2447" max="2447" width="13" bestFit="1" customWidth="1"/>
    <col min="2448" max="2448" width="12.42578125" bestFit="1" customWidth="1"/>
    <col min="2449" max="2449" width="11.7109375" bestFit="1" customWidth="1"/>
    <col min="2450" max="2450" width="16.92578125" bestFit="1" customWidth="1"/>
    <col min="2451" max="2451" width="15.5" bestFit="1" customWidth="1"/>
    <col min="2452" max="2452" width="22.0703125" bestFit="1" customWidth="1"/>
    <col min="2453" max="2453" width="11.85546875" bestFit="1" customWidth="1"/>
    <col min="2454" max="2454" width="13.78515625" bestFit="1" customWidth="1"/>
    <col min="2455" max="2455" width="10.42578125" bestFit="1" customWidth="1"/>
    <col min="2456" max="2456" width="16" bestFit="1" customWidth="1"/>
    <col min="2457" max="2457" width="12.92578125" bestFit="1" customWidth="1"/>
    <col min="2458" max="2458" width="7.92578125" bestFit="1" customWidth="1"/>
    <col min="2459" max="2459" width="21.5" bestFit="1" customWidth="1"/>
    <col min="2460" max="2460" width="17.2109375" bestFit="1" customWidth="1"/>
    <col min="2461" max="2461" width="16.35546875" bestFit="1" customWidth="1"/>
    <col min="2462" max="2462" width="14.0703125" bestFit="1" customWidth="1"/>
    <col min="2463" max="2463" width="17.7109375" bestFit="1" customWidth="1"/>
    <col min="2464" max="2464" width="12.5" bestFit="1" customWidth="1"/>
    <col min="2465" max="2465" width="14.2109375" bestFit="1" customWidth="1"/>
    <col min="2466" max="2466" width="11.78515625" bestFit="1" customWidth="1"/>
    <col min="2467" max="2467" width="13" bestFit="1" customWidth="1"/>
    <col min="2468" max="2468" width="12.0703125" bestFit="1" customWidth="1"/>
    <col min="2469" max="2469" width="11.640625" bestFit="1" customWidth="1"/>
    <col min="2470" max="2470" width="11.28515625" bestFit="1" customWidth="1"/>
    <col min="2471" max="2471" width="8.42578125" bestFit="1" customWidth="1"/>
    <col min="2472" max="2472" width="14.0703125" bestFit="1" customWidth="1"/>
    <col min="2473" max="2473" width="10.5703125" bestFit="1" customWidth="1"/>
    <col min="2474" max="2474" width="10.7109375" bestFit="1" customWidth="1"/>
    <col min="2475" max="2475" width="9.35546875" bestFit="1" customWidth="1"/>
    <col min="2476" max="2476" width="12.92578125" bestFit="1" customWidth="1"/>
    <col min="2477" max="2477" width="14" bestFit="1" customWidth="1"/>
    <col min="2478" max="2478" width="12.2109375" bestFit="1" customWidth="1"/>
    <col min="2479" max="2479" width="16.640625" bestFit="1" customWidth="1"/>
    <col min="2480" max="2480" width="12.140625" bestFit="1" customWidth="1"/>
    <col min="2481" max="2481" width="10.78515625" bestFit="1" customWidth="1"/>
    <col min="2482" max="2482" width="13.35546875" bestFit="1" customWidth="1"/>
    <col min="2483" max="2483" width="15.140625" bestFit="1" customWidth="1"/>
    <col min="2484" max="2484" width="14.640625" bestFit="1" customWidth="1"/>
    <col min="2485" max="2485" width="16.5703125" bestFit="1" customWidth="1"/>
    <col min="2486" max="2486" width="12.5703125" bestFit="1" customWidth="1"/>
    <col min="2487" max="2487" width="16.78515625" bestFit="1" customWidth="1"/>
    <col min="2488" max="2488" width="11.0703125" bestFit="1" customWidth="1"/>
    <col min="2489" max="2489" width="12.5" bestFit="1" customWidth="1"/>
    <col min="2490" max="2490" width="20.42578125" bestFit="1" customWidth="1"/>
    <col min="2491" max="2491" width="18.7109375" bestFit="1" customWidth="1"/>
    <col min="2492" max="2492" width="10.5" bestFit="1" customWidth="1"/>
    <col min="2493" max="2493" width="11.85546875" bestFit="1" customWidth="1"/>
    <col min="2494" max="2494" width="15.0703125" bestFit="1" customWidth="1"/>
    <col min="2495" max="2495" width="12.140625" bestFit="1" customWidth="1"/>
    <col min="2496" max="2496" width="11.42578125" bestFit="1" customWidth="1"/>
    <col min="2497" max="2497" width="11.7109375" bestFit="1" customWidth="1"/>
    <col min="2498" max="2498" width="16.640625" bestFit="1" customWidth="1"/>
    <col min="2499" max="2499" width="12.42578125" bestFit="1" customWidth="1"/>
    <col min="2500" max="2500" width="11.2109375" bestFit="1" customWidth="1"/>
    <col min="2501" max="2501" width="18.2109375" bestFit="1" customWidth="1"/>
    <col min="2502" max="2502" width="8.0703125" bestFit="1" customWidth="1"/>
    <col min="2503" max="2503" width="11.5" bestFit="1" customWidth="1"/>
    <col min="2504" max="2504" width="13.640625" bestFit="1" customWidth="1"/>
    <col min="2505" max="2505" width="13.7109375" bestFit="1" customWidth="1"/>
    <col min="2506" max="2506" width="12.2109375" bestFit="1" customWidth="1"/>
    <col min="2507" max="2507" width="17.42578125" bestFit="1" customWidth="1"/>
    <col min="2508" max="2508" width="11.85546875" bestFit="1" customWidth="1"/>
    <col min="2509" max="2509" width="14.7109375" bestFit="1" customWidth="1"/>
    <col min="2510" max="2510" width="15.140625" bestFit="1" customWidth="1"/>
    <col min="2511" max="2511" width="16.42578125" bestFit="1" customWidth="1"/>
    <col min="2512" max="2512" width="16.28515625" bestFit="1" customWidth="1"/>
    <col min="2513" max="2513" width="11.5703125" bestFit="1" customWidth="1"/>
    <col min="2514" max="2514" width="14" bestFit="1" customWidth="1"/>
    <col min="2515" max="2515" width="13" bestFit="1" customWidth="1"/>
    <col min="2516" max="2516" width="13.78515625" bestFit="1" customWidth="1"/>
    <col min="2517" max="2517" width="11.85546875" bestFit="1" customWidth="1"/>
    <col min="2518" max="2518" width="10.2109375" bestFit="1" customWidth="1"/>
    <col min="2519" max="2519" width="11.78515625" bestFit="1" customWidth="1"/>
    <col min="2520" max="2520" width="10.2109375" bestFit="1" customWidth="1"/>
    <col min="2521" max="2521" width="18.7109375" bestFit="1" customWidth="1"/>
    <col min="2522" max="2522" width="16.7109375" bestFit="1" customWidth="1"/>
    <col min="2523" max="2523" width="12.640625" bestFit="1" customWidth="1"/>
    <col min="2524" max="2524" width="14.35546875" bestFit="1" customWidth="1"/>
    <col min="2525" max="2525" width="9.85546875" bestFit="1" customWidth="1"/>
    <col min="2526" max="2526" width="14.92578125" bestFit="1" customWidth="1"/>
    <col min="2527" max="2527" width="12.35546875" bestFit="1" customWidth="1"/>
    <col min="2528" max="2528" width="7.2109375" bestFit="1" customWidth="1"/>
    <col min="2529" max="2529" width="9.640625" bestFit="1" customWidth="1"/>
    <col min="2530" max="2530" width="10.85546875" bestFit="1" customWidth="1"/>
    <col min="2531" max="2531" width="10.78515625" bestFit="1" customWidth="1"/>
    <col min="2532" max="2532" width="17.85546875" bestFit="1" customWidth="1"/>
    <col min="2533" max="2533" width="13" bestFit="1" customWidth="1"/>
    <col min="2534" max="2534" width="13.5" bestFit="1" customWidth="1"/>
    <col min="2535" max="2535" width="10.85546875" bestFit="1" customWidth="1"/>
    <col min="2536" max="2536" width="10.35546875" bestFit="1" customWidth="1"/>
    <col min="2537" max="2537" width="12" bestFit="1" customWidth="1"/>
    <col min="2538" max="2538" width="11.35546875" bestFit="1" customWidth="1"/>
    <col min="2539" max="2539" width="16" bestFit="1" customWidth="1"/>
    <col min="2540" max="2540" width="13.0703125" bestFit="1" customWidth="1"/>
    <col min="2541" max="2541" width="9" bestFit="1" customWidth="1"/>
    <col min="2542" max="2542" width="11.0703125" bestFit="1" customWidth="1"/>
    <col min="2543" max="2543" width="6.5" bestFit="1" customWidth="1"/>
    <col min="2544" max="2544" width="11.5703125" bestFit="1" customWidth="1"/>
    <col min="2545" max="2545" width="14.2109375" bestFit="1" customWidth="1"/>
    <col min="2546" max="2546" width="11.140625" bestFit="1" customWidth="1"/>
    <col min="2547" max="2547" width="14.92578125" bestFit="1" customWidth="1"/>
    <col min="2548" max="2548" width="17" bestFit="1" customWidth="1"/>
    <col min="2549" max="2549" width="14.42578125" bestFit="1" customWidth="1"/>
    <col min="2550" max="2550" width="13.28515625" bestFit="1" customWidth="1"/>
    <col min="2551" max="2551" width="11.85546875" bestFit="1" customWidth="1"/>
    <col min="2552" max="2552" width="15.2109375" bestFit="1" customWidth="1"/>
    <col min="2553" max="2553" width="14.5" bestFit="1" customWidth="1"/>
    <col min="2554" max="2554" width="15.5" bestFit="1" customWidth="1"/>
    <col min="2555" max="2555" width="13.78515625" bestFit="1" customWidth="1"/>
    <col min="2556" max="2556" width="13.140625" bestFit="1" customWidth="1"/>
    <col min="2557" max="2557" width="10.0703125" bestFit="1" customWidth="1"/>
    <col min="2558" max="2558" width="13.140625" bestFit="1" customWidth="1"/>
    <col min="2559" max="2559" width="11.28515625" bestFit="1" customWidth="1"/>
    <col min="2560" max="2560" width="14" bestFit="1" customWidth="1"/>
    <col min="2561" max="2561" width="16.28515625" bestFit="1" customWidth="1"/>
    <col min="2562" max="2562" width="16.78515625" bestFit="1" customWidth="1"/>
    <col min="2563" max="2563" width="14.2109375" bestFit="1" customWidth="1"/>
    <col min="2564" max="2564" width="12.0703125" bestFit="1" customWidth="1"/>
    <col min="2565" max="2565" width="18.140625" bestFit="1" customWidth="1"/>
    <col min="2566" max="2566" width="12.92578125" bestFit="1" customWidth="1"/>
    <col min="2567" max="2567" width="14" bestFit="1" customWidth="1"/>
    <col min="2568" max="2568" width="13.35546875" bestFit="1" customWidth="1"/>
    <col min="2569" max="2569" width="14.140625" bestFit="1" customWidth="1"/>
    <col min="2570" max="2570" width="13.7109375" bestFit="1" customWidth="1"/>
    <col min="2571" max="2571" width="13.140625" bestFit="1" customWidth="1"/>
    <col min="2572" max="2572" width="10.92578125" bestFit="1" customWidth="1"/>
    <col min="2573" max="2573" width="10.7109375" bestFit="1" customWidth="1"/>
    <col min="2574" max="2574" width="12.2109375" bestFit="1" customWidth="1"/>
    <col min="2575" max="2575" width="15.5703125" bestFit="1" customWidth="1"/>
    <col min="2576" max="2576" width="9.42578125" bestFit="1" customWidth="1"/>
    <col min="2577" max="2577" width="13.35546875" bestFit="1" customWidth="1"/>
    <col min="2578" max="2579" width="9.5703125" bestFit="1" customWidth="1"/>
    <col min="2580" max="2580" width="9.0703125" bestFit="1" customWidth="1"/>
    <col min="2581" max="2581" width="14.42578125" bestFit="1" customWidth="1"/>
    <col min="2582" max="2582" width="12.28515625" bestFit="1" customWidth="1"/>
    <col min="2583" max="2583" width="12.92578125" bestFit="1" customWidth="1"/>
    <col min="2584" max="2585" width="11.78515625" bestFit="1" customWidth="1"/>
    <col min="2586" max="2586" width="9.42578125" bestFit="1" customWidth="1"/>
    <col min="2587" max="2587" width="8.5" bestFit="1" customWidth="1"/>
    <col min="2588" max="2588" width="9.42578125" bestFit="1" customWidth="1"/>
    <col min="2589" max="2589" width="12.85546875" bestFit="1" customWidth="1"/>
    <col min="2590" max="2590" width="12.92578125" bestFit="1" customWidth="1"/>
    <col min="2591" max="2591" width="8.5" bestFit="1" customWidth="1"/>
    <col min="2592" max="2592" width="14.140625" bestFit="1" customWidth="1"/>
    <col min="2593" max="2593" width="14.92578125" bestFit="1" customWidth="1"/>
    <col min="2594" max="2594" width="13.0703125" bestFit="1" customWidth="1"/>
    <col min="2595" max="2595" width="14.5" bestFit="1" customWidth="1"/>
    <col min="2596" max="2596" width="14.78515625" bestFit="1" customWidth="1"/>
    <col min="2597" max="2597" width="11.5703125" bestFit="1" customWidth="1"/>
    <col min="2598" max="2598" width="15.28515625" bestFit="1" customWidth="1"/>
    <col min="2599" max="2599" width="15.5703125" bestFit="1" customWidth="1"/>
    <col min="2600" max="2600" width="19.5703125" bestFit="1" customWidth="1"/>
    <col min="2601" max="2601" width="10.92578125" bestFit="1" customWidth="1"/>
    <col min="2602" max="2602" width="15.140625" bestFit="1" customWidth="1"/>
    <col min="2603" max="2603" width="16.140625" bestFit="1" customWidth="1"/>
    <col min="2604" max="2604" width="16.7109375" bestFit="1" customWidth="1"/>
    <col min="2605" max="2605" width="15.5703125" bestFit="1" customWidth="1"/>
    <col min="2606" max="2606" width="10.640625" bestFit="1" customWidth="1"/>
  </cols>
  <sheetData>
    <row r="3" spans="1:2" x14ac:dyDescent="0.45">
      <c r="A3" s="4" t="s">
        <v>2714</v>
      </c>
      <c r="B3" t="s">
        <v>2719</v>
      </c>
    </row>
    <row r="4" spans="1:2" x14ac:dyDescent="0.45">
      <c r="A4" s="5" t="s">
        <v>85</v>
      </c>
      <c r="B4" s="6">
        <v>314</v>
      </c>
    </row>
    <row r="5" spans="1:2" x14ac:dyDescent="0.45">
      <c r="A5" s="5" t="s">
        <v>88</v>
      </c>
      <c r="B5" s="6">
        <v>215</v>
      </c>
    </row>
    <row r="6" spans="1:2" x14ac:dyDescent="0.45">
      <c r="A6" s="5" t="s">
        <v>90</v>
      </c>
      <c r="B6" s="6">
        <v>168</v>
      </c>
    </row>
    <row r="7" spans="1:2" x14ac:dyDescent="0.45">
      <c r="A7" s="5" t="s">
        <v>94</v>
      </c>
      <c r="B7" s="6">
        <v>297</v>
      </c>
    </row>
    <row r="8" spans="1:2" x14ac:dyDescent="0.45">
      <c r="A8" s="5" t="s">
        <v>99</v>
      </c>
      <c r="B8" s="6">
        <v>3</v>
      </c>
    </row>
    <row r="9" spans="1:2" x14ac:dyDescent="0.45">
      <c r="A9" s="5" t="s">
        <v>96</v>
      </c>
      <c r="B9" s="6">
        <v>99</v>
      </c>
    </row>
    <row r="10" spans="1:2" x14ac:dyDescent="0.45">
      <c r="A10" s="5" t="s">
        <v>86</v>
      </c>
      <c r="B10" s="6">
        <v>146</v>
      </c>
    </row>
    <row r="11" spans="1:2" x14ac:dyDescent="0.45">
      <c r="A11" s="5" t="s">
        <v>87</v>
      </c>
      <c r="B11" s="6">
        <v>171</v>
      </c>
    </row>
    <row r="12" spans="1:2" x14ac:dyDescent="0.45">
      <c r="A12" s="5" t="s">
        <v>91</v>
      </c>
      <c r="B12" s="6">
        <v>436</v>
      </c>
    </row>
    <row r="13" spans="1:2" x14ac:dyDescent="0.45">
      <c r="A13" s="5" t="s">
        <v>95</v>
      </c>
      <c r="B13" s="6">
        <v>110</v>
      </c>
    </row>
    <row r="14" spans="1:2" x14ac:dyDescent="0.45">
      <c r="A14" s="5" t="s">
        <v>97</v>
      </c>
      <c r="B14" s="6">
        <v>54</v>
      </c>
    </row>
    <row r="15" spans="1:2" x14ac:dyDescent="0.45">
      <c r="A15" s="5" t="s">
        <v>98</v>
      </c>
      <c r="B15" s="6">
        <v>110</v>
      </c>
    </row>
    <row r="16" spans="1:2" x14ac:dyDescent="0.45">
      <c r="A16" s="5" t="s">
        <v>100</v>
      </c>
      <c r="B16" s="6">
        <v>48</v>
      </c>
    </row>
    <row r="17" spans="1:2" x14ac:dyDescent="0.45">
      <c r="A17" s="5" t="s">
        <v>92</v>
      </c>
      <c r="B17" s="6">
        <v>69</v>
      </c>
    </row>
    <row r="18" spans="1:2" x14ac:dyDescent="0.45">
      <c r="A18" s="5" t="s">
        <v>93</v>
      </c>
      <c r="B18" s="6">
        <v>188</v>
      </c>
    </row>
    <row r="19" spans="1:2" x14ac:dyDescent="0.45">
      <c r="A19" s="5" t="s">
        <v>89</v>
      </c>
      <c r="B19" s="6">
        <v>177</v>
      </c>
    </row>
    <row r="20" spans="1:2" x14ac:dyDescent="0.45">
      <c r="A20" s="5" t="s">
        <v>102</v>
      </c>
      <c r="B20" s="6">
        <v>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C872F1-C4E9-4112-9EA7-377CF6276635}">
  <dimension ref="A3:B7"/>
  <sheetViews>
    <sheetView workbookViewId="0">
      <selection activeCell="L33" sqref="L33"/>
    </sheetView>
  </sheetViews>
  <sheetFormatPr defaultRowHeight="18.5" x14ac:dyDescent="0.45"/>
  <cols>
    <col min="1" max="1" width="16.7109375" bestFit="1" customWidth="1"/>
    <col min="2" max="2" width="20.0703125" bestFit="1" customWidth="1"/>
  </cols>
  <sheetData>
    <row r="3" spans="1:2" x14ac:dyDescent="0.45">
      <c r="A3" s="4" t="s">
        <v>2714</v>
      </c>
      <c r="B3" t="s">
        <v>2719</v>
      </c>
    </row>
    <row r="4" spans="1:2" x14ac:dyDescent="0.45">
      <c r="A4" s="5" t="s">
        <v>2720</v>
      </c>
      <c r="B4" s="6">
        <v>26</v>
      </c>
    </row>
    <row r="5" spans="1:2" x14ac:dyDescent="0.45">
      <c r="A5" s="5" t="s">
        <v>2721</v>
      </c>
      <c r="B5" s="6">
        <v>516</v>
      </c>
    </row>
    <row r="6" spans="1:2" x14ac:dyDescent="0.45">
      <c r="A6" s="5" t="s">
        <v>2722</v>
      </c>
      <c r="B6" s="6">
        <v>5</v>
      </c>
    </row>
    <row r="7" spans="1:2" x14ac:dyDescent="0.45">
      <c r="A7" s="5" t="s">
        <v>2723</v>
      </c>
      <c r="B7" s="6">
        <v>2059</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09E62C-103A-4ADE-86A3-732F127610F0}">
  <dimension ref="A3:B86"/>
  <sheetViews>
    <sheetView workbookViewId="0">
      <selection activeCell="L33" sqref="L33"/>
    </sheetView>
  </sheetViews>
  <sheetFormatPr defaultRowHeight="18.5" x14ac:dyDescent="0.45"/>
  <cols>
    <col min="1" max="1" width="20.28515625" bestFit="1" customWidth="1"/>
    <col min="2" max="2" width="12.92578125" bestFit="1" customWidth="1"/>
  </cols>
  <sheetData>
    <row r="3" spans="1:2" x14ac:dyDescent="0.45">
      <c r="A3" s="4" t="s">
        <v>2714</v>
      </c>
      <c r="B3" t="s">
        <v>2716</v>
      </c>
    </row>
    <row r="4" spans="1:2" x14ac:dyDescent="0.45">
      <c r="A4" s="5" t="s">
        <v>0</v>
      </c>
      <c r="B4" s="7">
        <v>3.8372985418265541E-4</v>
      </c>
    </row>
    <row r="5" spans="1:2" x14ac:dyDescent="0.45">
      <c r="A5" s="5" t="s">
        <v>1</v>
      </c>
      <c r="B5" s="7">
        <v>3.8372985418265541E-4</v>
      </c>
    </row>
    <row r="6" spans="1:2" x14ac:dyDescent="0.45">
      <c r="A6" s="5" t="s">
        <v>2</v>
      </c>
      <c r="B6" s="7">
        <v>1.918649270913277E-3</v>
      </c>
    </row>
    <row r="7" spans="1:2" x14ac:dyDescent="0.45">
      <c r="A7" s="5" t="s">
        <v>3</v>
      </c>
      <c r="B7" s="7">
        <v>2.6861089792785879E-3</v>
      </c>
    </row>
    <row r="8" spans="1:2" x14ac:dyDescent="0.45">
      <c r="A8" s="5" t="s">
        <v>4</v>
      </c>
      <c r="B8" s="7">
        <v>1.5349194167306216E-3</v>
      </c>
    </row>
    <row r="9" spans="1:2" x14ac:dyDescent="0.45">
      <c r="A9" s="5" t="s">
        <v>5</v>
      </c>
      <c r="B9" s="7">
        <v>1.5349194167306216E-2</v>
      </c>
    </row>
    <row r="10" spans="1:2" x14ac:dyDescent="0.45">
      <c r="A10" s="5" t="s">
        <v>6</v>
      </c>
      <c r="B10" s="7">
        <v>3.0698388334612432E-2</v>
      </c>
    </row>
    <row r="11" spans="1:2" x14ac:dyDescent="0.45">
      <c r="A11" s="5" t="s">
        <v>7</v>
      </c>
      <c r="B11" s="7">
        <v>7.6745970836531081E-4</v>
      </c>
    </row>
    <row r="12" spans="1:2" x14ac:dyDescent="0.45">
      <c r="A12" s="5" t="s">
        <v>8</v>
      </c>
      <c r="B12" s="7">
        <v>1.9186492709132769E-2</v>
      </c>
    </row>
    <row r="13" spans="1:2" x14ac:dyDescent="0.45">
      <c r="A13" s="5" t="s">
        <v>9</v>
      </c>
      <c r="B13" s="7">
        <v>3.0698388334612432E-3</v>
      </c>
    </row>
    <row r="14" spans="1:2" x14ac:dyDescent="0.45">
      <c r="A14" s="5" t="s">
        <v>10</v>
      </c>
      <c r="B14" s="7">
        <v>3.8372985418265541E-4</v>
      </c>
    </row>
    <row r="15" spans="1:2" x14ac:dyDescent="0.45">
      <c r="A15" s="5" t="s">
        <v>11</v>
      </c>
      <c r="B15" s="7">
        <v>1.918649270913277E-3</v>
      </c>
    </row>
    <row r="16" spans="1:2" x14ac:dyDescent="0.45">
      <c r="A16" s="5" t="s">
        <v>12</v>
      </c>
      <c r="B16" s="7">
        <v>1.918649270913277E-3</v>
      </c>
    </row>
    <row r="17" spans="1:2" x14ac:dyDescent="0.45">
      <c r="A17" s="5" t="s">
        <v>13</v>
      </c>
      <c r="B17" s="7">
        <v>6.9071373752877972E-3</v>
      </c>
    </row>
    <row r="18" spans="1:2" x14ac:dyDescent="0.45">
      <c r="A18" s="5" t="s">
        <v>14</v>
      </c>
      <c r="B18" s="7">
        <v>7.7897160399079055E-2</v>
      </c>
    </row>
    <row r="19" spans="1:2" x14ac:dyDescent="0.45">
      <c r="A19" s="5" t="s">
        <v>15</v>
      </c>
      <c r="B19" s="7">
        <v>3.8372985418265541E-4</v>
      </c>
    </row>
    <row r="20" spans="1:2" x14ac:dyDescent="0.45">
      <c r="A20" s="5" t="s">
        <v>16</v>
      </c>
      <c r="B20" s="7">
        <v>1.1511895625479663E-3</v>
      </c>
    </row>
    <row r="21" spans="1:2" x14ac:dyDescent="0.45">
      <c r="A21" s="5" t="s">
        <v>17</v>
      </c>
      <c r="B21" s="7">
        <v>3.3384497313891023E-2</v>
      </c>
    </row>
    <row r="22" spans="1:2" x14ac:dyDescent="0.45">
      <c r="A22" s="5" t="s">
        <v>76</v>
      </c>
      <c r="B22" s="7">
        <v>3.8372985418265541E-4</v>
      </c>
    </row>
    <row r="23" spans="1:2" x14ac:dyDescent="0.45">
      <c r="A23" s="5" t="s">
        <v>18</v>
      </c>
      <c r="B23" s="7">
        <v>3.8372985418265541E-4</v>
      </c>
    </row>
    <row r="24" spans="1:2" x14ac:dyDescent="0.45">
      <c r="A24" s="5" t="s">
        <v>19</v>
      </c>
      <c r="B24" s="7">
        <v>6.9071373752877972E-3</v>
      </c>
    </row>
    <row r="25" spans="1:2" x14ac:dyDescent="0.45">
      <c r="A25" s="5" t="s">
        <v>20</v>
      </c>
      <c r="B25" s="7">
        <v>7.6745970836531081E-4</v>
      </c>
    </row>
    <row r="26" spans="1:2" x14ac:dyDescent="0.45">
      <c r="A26" s="5" t="s">
        <v>21</v>
      </c>
      <c r="B26" s="7">
        <v>3.4919416730621641E-2</v>
      </c>
    </row>
    <row r="27" spans="1:2" x14ac:dyDescent="0.45">
      <c r="A27" s="5" t="s">
        <v>22</v>
      </c>
      <c r="B27" s="7">
        <v>6.9071373752877972E-3</v>
      </c>
    </row>
    <row r="28" spans="1:2" x14ac:dyDescent="0.45">
      <c r="A28" s="5" t="s">
        <v>23</v>
      </c>
      <c r="B28" s="7">
        <v>1.1128165771297006E-2</v>
      </c>
    </row>
    <row r="29" spans="1:2" x14ac:dyDescent="0.45">
      <c r="A29" s="5" t="s">
        <v>24</v>
      </c>
      <c r="B29" s="7">
        <v>3.8372985418265541E-4</v>
      </c>
    </row>
    <row r="30" spans="1:2" x14ac:dyDescent="0.45">
      <c r="A30" s="5" t="s">
        <v>25</v>
      </c>
      <c r="B30" s="7">
        <v>3.6070606293169612E-2</v>
      </c>
    </row>
    <row r="31" spans="1:2" x14ac:dyDescent="0.45">
      <c r="A31" s="5" t="s">
        <v>26</v>
      </c>
      <c r="B31" s="7">
        <v>4.1059094397544127E-2</v>
      </c>
    </row>
    <row r="32" spans="1:2" x14ac:dyDescent="0.45">
      <c r="A32" s="5" t="s">
        <v>27</v>
      </c>
      <c r="B32" s="7">
        <v>3.0698388334612432E-3</v>
      </c>
    </row>
    <row r="33" spans="1:2" x14ac:dyDescent="0.45">
      <c r="A33" s="5" t="s">
        <v>28</v>
      </c>
      <c r="B33" s="7">
        <v>5.832693783576362E-2</v>
      </c>
    </row>
    <row r="34" spans="1:2" x14ac:dyDescent="0.45">
      <c r="A34" s="5" t="s">
        <v>29</v>
      </c>
      <c r="B34" s="7">
        <v>3.8372985418265541E-4</v>
      </c>
    </row>
    <row r="35" spans="1:2" x14ac:dyDescent="0.45">
      <c r="A35" s="5" t="s">
        <v>30</v>
      </c>
      <c r="B35" s="7">
        <v>1.9570222563315427E-2</v>
      </c>
    </row>
    <row r="36" spans="1:2" x14ac:dyDescent="0.45">
      <c r="A36" s="5" t="s">
        <v>31</v>
      </c>
      <c r="B36" s="7">
        <v>2.6861089792785879E-3</v>
      </c>
    </row>
    <row r="37" spans="1:2" x14ac:dyDescent="0.45">
      <c r="A37" s="5" t="s">
        <v>32</v>
      </c>
      <c r="B37" s="7">
        <v>3.8372985418265541E-4</v>
      </c>
    </row>
    <row r="38" spans="1:2" x14ac:dyDescent="0.45">
      <c r="A38" s="5" t="s">
        <v>33</v>
      </c>
      <c r="B38" s="7">
        <v>5.7559478127398311E-3</v>
      </c>
    </row>
    <row r="39" spans="1:2" x14ac:dyDescent="0.45">
      <c r="A39" s="5" t="s">
        <v>34</v>
      </c>
      <c r="B39" s="7">
        <v>1.5349194167306216E-3</v>
      </c>
    </row>
    <row r="40" spans="1:2" x14ac:dyDescent="0.45">
      <c r="A40" s="5" t="s">
        <v>35</v>
      </c>
      <c r="B40" s="7">
        <v>1.1511895625479663E-3</v>
      </c>
    </row>
    <row r="41" spans="1:2" x14ac:dyDescent="0.45">
      <c r="A41" s="5" t="s">
        <v>36</v>
      </c>
      <c r="B41" s="7">
        <v>2.3023791250959325E-3</v>
      </c>
    </row>
    <row r="42" spans="1:2" x14ac:dyDescent="0.45">
      <c r="A42" s="5" t="s">
        <v>37</v>
      </c>
      <c r="B42" s="7">
        <v>2.3023791250959325E-3</v>
      </c>
    </row>
    <row r="43" spans="1:2" x14ac:dyDescent="0.45">
      <c r="A43" s="5" t="s">
        <v>38</v>
      </c>
      <c r="B43" s="7">
        <v>1.1511895625479663E-3</v>
      </c>
    </row>
    <row r="44" spans="1:2" x14ac:dyDescent="0.45">
      <c r="A44" s="5" t="s">
        <v>39</v>
      </c>
      <c r="B44" s="7">
        <v>4.1442824251726781E-2</v>
      </c>
    </row>
    <row r="45" spans="1:2" x14ac:dyDescent="0.45">
      <c r="A45" s="5" t="s">
        <v>40</v>
      </c>
      <c r="B45" s="7">
        <v>3.8372985418265541E-4</v>
      </c>
    </row>
    <row r="46" spans="1:2" x14ac:dyDescent="0.45">
      <c r="A46" s="5" t="s">
        <v>41</v>
      </c>
      <c r="B46" s="7">
        <v>3.568687643898695E-2</v>
      </c>
    </row>
    <row r="47" spans="1:2" x14ac:dyDescent="0.45">
      <c r="A47" s="5" t="s">
        <v>42</v>
      </c>
      <c r="B47" s="7">
        <v>1.4581734458940905E-2</v>
      </c>
    </row>
    <row r="48" spans="1:2" x14ac:dyDescent="0.45">
      <c r="A48" s="5" t="s">
        <v>101</v>
      </c>
      <c r="B48" s="7">
        <v>3.8372985418265541E-4</v>
      </c>
    </row>
    <row r="49" spans="1:2" x14ac:dyDescent="0.45">
      <c r="A49" s="5" t="s">
        <v>45</v>
      </c>
      <c r="B49" s="7">
        <v>7.6745970836531081E-4</v>
      </c>
    </row>
    <row r="50" spans="1:2" x14ac:dyDescent="0.45">
      <c r="A50" s="5" t="s">
        <v>46</v>
      </c>
      <c r="B50" s="7">
        <v>2.2256331542594012E-2</v>
      </c>
    </row>
    <row r="51" spans="1:2" x14ac:dyDescent="0.45">
      <c r="A51" s="5" t="s">
        <v>47</v>
      </c>
      <c r="B51" s="7">
        <v>1.1511895625479663E-3</v>
      </c>
    </row>
    <row r="52" spans="1:2" x14ac:dyDescent="0.45">
      <c r="A52" s="5" t="s">
        <v>48</v>
      </c>
      <c r="B52" s="7">
        <v>2.3023791250959325E-3</v>
      </c>
    </row>
    <row r="53" spans="1:2" x14ac:dyDescent="0.45">
      <c r="A53" s="5" t="s">
        <v>49</v>
      </c>
      <c r="B53" s="7">
        <v>2.3023791250959325E-3</v>
      </c>
    </row>
    <row r="54" spans="1:2" x14ac:dyDescent="0.45">
      <c r="A54" s="5" t="s">
        <v>50</v>
      </c>
      <c r="B54" s="7">
        <v>1.5349194167306216E-3</v>
      </c>
    </row>
    <row r="55" spans="1:2" x14ac:dyDescent="0.45">
      <c r="A55" s="5" t="s">
        <v>51</v>
      </c>
      <c r="B55" s="7">
        <v>3.8372985418265541E-4</v>
      </c>
    </row>
    <row r="56" spans="1:2" x14ac:dyDescent="0.45">
      <c r="A56" s="5" t="s">
        <v>52</v>
      </c>
      <c r="B56" s="7">
        <v>2.6861089792785879E-3</v>
      </c>
    </row>
    <row r="57" spans="1:2" x14ac:dyDescent="0.45">
      <c r="A57" s="5" t="s">
        <v>53</v>
      </c>
      <c r="B57" s="7">
        <v>1.1511895625479663E-3</v>
      </c>
    </row>
    <row r="58" spans="1:2" x14ac:dyDescent="0.45">
      <c r="A58" s="5" t="s">
        <v>54</v>
      </c>
      <c r="B58" s="7">
        <v>7.6745970836531081E-4</v>
      </c>
    </row>
    <row r="59" spans="1:2" x14ac:dyDescent="0.45">
      <c r="A59" s="5" t="s">
        <v>55</v>
      </c>
      <c r="B59" s="7">
        <v>3.8372985418265541E-4</v>
      </c>
    </row>
    <row r="60" spans="1:2" x14ac:dyDescent="0.45">
      <c r="A60" s="5" t="s">
        <v>56</v>
      </c>
      <c r="B60" s="7">
        <v>3.8372985418265541E-4</v>
      </c>
    </row>
    <row r="61" spans="1:2" x14ac:dyDescent="0.45">
      <c r="A61" s="5" t="s">
        <v>57</v>
      </c>
      <c r="B61" s="7">
        <v>7.6745970836531081E-4</v>
      </c>
    </row>
    <row r="62" spans="1:2" x14ac:dyDescent="0.45">
      <c r="A62" s="5" t="s">
        <v>58</v>
      </c>
      <c r="B62" s="7">
        <v>1.3046815042210284E-2</v>
      </c>
    </row>
    <row r="63" spans="1:2" x14ac:dyDescent="0.45">
      <c r="A63" s="5" t="s">
        <v>59</v>
      </c>
      <c r="B63" s="7">
        <v>6.1396776669224865E-3</v>
      </c>
    </row>
    <row r="64" spans="1:2" x14ac:dyDescent="0.45">
      <c r="A64" s="5" t="s">
        <v>43</v>
      </c>
      <c r="B64" s="7">
        <v>7.6745970836531081E-4</v>
      </c>
    </row>
    <row r="65" spans="1:2" x14ac:dyDescent="0.45">
      <c r="A65" s="5" t="s">
        <v>60</v>
      </c>
      <c r="B65" s="7">
        <v>3.7221795855717575E-2</v>
      </c>
    </row>
    <row r="66" spans="1:2" x14ac:dyDescent="0.45">
      <c r="A66" s="5" t="s">
        <v>61</v>
      </c>
      <c r="B66" s="7">
        <v>3.8372985418265541E-4</v>
      </c>
    </row>
    <row r="67" spans="1:2" x14ac:dyDescent="0.45">
      <c r="A67" s="5" t="s">
        <v>62</v>
      </c>
      <c r="B67" s="7">
        <v>1.1511895625479663E-3</v>
      </c>
    </row>
    <row r="68" spans="1:2" x14ac:dyDescent="0.45">
      <c r="A68" s="5" t="s">
        <v>63</v>
      </c>
      <c r="B68" s="7">
        <v>1.9186492709132769E-2</v>
      </c>
    </row>
    <row r="69" spans="1:2" x14ac:dyDescent="0.45">
      <c r="A69" s="5" t="s">
        <v>64</v>
      </c>
      <c r="B69" s="7">
        <v>3.8372985418265541E-4</v>
      </c>
    </row>
    <row r="70" spans="1:2" x14ac:dyDescent="0.45">
      <c r="A70" s="5" t="s">
        <v>65</v>
      </c>
      <c r="B70" s="7">
        <v>1.1128165771297006E-2</v>
      </c>
    </row>
    <row r="71" spans="1:2" x14ac:dyDescent="0.45">
      <c r="A71" s="5" t="s">
        <v>66</v>
      </c>
      <c r="B71" s="7">
        <v>6.792018419033001E-2</v>
      </c>
    </row>
    <row r="72" spans="1:2" x14ac:dyDescent="0.45">
      <c r="A72" s="5" t="s">
        <v>67</v>
      </c>
      <c r="B72" s="7">
        <v>7.6745970836531081E-4</v>
      </c>
    </row>
    <row r="73" spans="1:2" x14ac:dyDescent="0.45">
      <c r="A73" s="5" t="s">
        <v>68</v>
      </c>
      <c r="B73" s="7">
        <v>3.8372985418265541E-4</v>
      </c>
    </row>
    <row r="74" spans="1:2" x14ac:dyDescent="0.45">
      <c r="A74" s="5" t="s">
        <v>69</v>
      </c>
      <c r="B74" s="7">
        <v>3.8372985418265539E-3</v>
      </c>
    </row>
    <row r="75" spans="1:2" x14ac:dyDescent="0.45">
      <c r="A75" s="5" t="s">
        <v>70</v>
      </c>
      <c r="B75" s="7">
        <v>2.7628549501151189E-2</v>
      </c>
    </row>
    <row r="76" spans="1:2" x14ac:dyDescent="0.45">
      <c r="A76" s="5" t="s">
        <v>71</v>
      </c>
      <c r="B76" s="7">
        <v>1.8802762854950115E-2</v>
      </c>
    </row>
    <row r="77" spans="1:2" x14ac:dyDescent="0.45">
      <c r="A77" s="5" t="s">
        <v>72</v>
      </c>
      <c r="B77" s="7">
        <v>7.6745970836531081E-4</v>
      </c>
    </row>
    <row r="78" spans="1:2" x14ac:dyDescent="0.45">
      <c r="A78" s="5" t="s">
        <v>44</v>
      </c>
      <c r="B78" s="7">
        <v>1.7651573292402148E-2</v>
      </c>
    </row>
    <row r="79" spans="1:2" x14ac:dyDescent="0.45">
      <c r="A79" s="5" t="s">
        <v>73</v>
      </c>
      <c r="B79" s="7">
        <v>6.9071373752877972E-3</v>
      </c>
    </row>
    <row r="80" spans="1:2" x14ac:dyDescent="0.45">
      <c r="A80" s="5" t="s">
        <v>74</v>
      </c>
      <c r="B80" s="7">
        <v>4.0675364543361472E-2</v>
      </c>
    </row>
    <row r="81" spans="1:2" x14ac:dyDescent="0.45">
      <c r="A81" s="5" t="s">
        <v>75</v>
      </c>
      <c r="B81" s="7">
        <v>5.5640828856485032E-2</v>
      </c>
    </row>
    <row r="82" spans="1:2" x14ac:dyDescent="0.45">
      <c r="A82" s="5" t="s">
        <v>77</v>
      </c>
      <c r="B82" s="7">
        <v>3.8372985418265541E-4</v>
      </c>
    </row>
    <row r="83" spans="1:2" x14ac:dyDescent="0.45">
      <c r="A83" s="5" t="s">
        <v>78</v>
      </c>
      <c r="B83" s="7">
        <v>1.918649270913277E-3</v>
      </c>
    </row>
    <row r="84" spans="1:2" x14ac:dyDescent="0.45">
      <c r="A84" s="5" t="s">
        <v>79</v>
      </c>
      <c r="B84" s="7">
        <v>1.7267843438219493E-2</v>
      </c>
    </row>
    <row r="85" spans="1:2" x14ac:dyDescent="0.45">
      <c r="A85" s="5" t="s">
        <v>80</v>
      </c>
      <c r="B85" s="7">
        <v>8.2118188795088254E-2</v>
      </c>
    </row>
    <row r="86" spans="1:2" x14ac:dyDescent="0.45">
      <c r="A86" s="5" t="s">
        <v>81</v>
      </c>
      <c r="B86" s="7">
        <v>1.1511895625479663E-3</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95BE2E-29F6-4B24-9084-354FB701AB26}">
  <sheetPr>
    <tabColor rgb="FFFFFF00"/>
  </sheetPr>
  <dimension ref="A1"/>
  <sheetViews>
    <sheetView showGridLines="0" zoomScale="47" zoomScaleNormal="47" workbookViewId="0">
      <selection activeCell="L39" sqref="L39"/>
    </sheetView>
  </sheetViews>
  <sheetFormatPr defaultRowHeight="18.5" x14ac:dyDescent="0.45"/>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1ACCDE-3876-4B10-8268-F3B7F48E3B84}">
  <dimension ref="A3:H38"/>
  <sheetViews>
    <sheetView workbookViewId="0">
      <selection activeCell="L33" sqref="L33"/>
    </sheetView>
  </sheetViews>
  <sheetFormatPr defaultRowHeight="18.5" x14ac:dyDescent="0.45"/>
  <cols>
    <col min="1" max="1" width="11.92578125" bestFit="1" customWidth="1"/>
    <col min="2" max="2" width="17.640625" bestFit="1" customWidth="1"/>
    <col min="3" max="3" width="2.0703125" customWidth="1"/>
    <col min="4" max="4" width="11.92578125" bestFit="1" customWidth="1"/>
    <col min="5" max="5" width="17.640625" bestFit="1" customWidth="1"/>
    <col min="6" max="6" width="2.5" customWidth="1"/>
    <col min="7" max="7" width="11.92578125" bestFit="1" customWidth="1"/>
    <col min="8" max="8" width="17.640625" bestFit="1" customWidth="1"/>
    <col min="9" max="9" width="2.7109375" customWidth="1"/>
    <col min="10" max="10" width="11.85546875" bestFit="1" customWidth="1"/>
    <col min="11" max="11" width="12.42578125" bestFit="1" customWidth="1"/>
    <col min="12" max="12" width="11.85546875" bestFit="1" customWidth="1"/>
    <col min="13" max="13" width="13" bestFit="1" customWidth="1"/>
    <col min="14" max="14" width="16.5703125" bestFit="1" customWidth="1"/>
    <col min="15" max="15" width="13.92578125" bestFit="1" customWidth="1"/>
    <col min="16" max="16" width="15" bestFit="1" customWidth="1"/>
    <col min="17" max="17" width="11.28515625" bestFit="1" customWidth="1"/>
    <col min="18" max="18" width="12.5" bestFit="1" customWidth="1"/>
    <col min="19" max="19" width="14.640625" bestFit="1" customWidth="1"/>
    <col min="20" max="20" width="15.28515625" bestFit="1" customWidth="1"/>
    <col min="21" max="21" width="13.0703125" bestFit="1" customWidth="1"/>
    <col min="22" max="22" width="13.7109375" bestFit="1" customWidth="1"/>
    <col min="23" max="23" width="16.92578125" bestFit="1" customWidth="1"/>
    <col min="24" max="24" width="15.5703125" bestFit="1" customWidth="1"/>
    <col min="25" max="25" width="14.92578125" bestFit="1" customWidth="1"/>
    <col min="26" max="26" width="13.7109375" bestFit="1" customWidth="1"/>
    <col min="27" max="27" width="14.140625" bestFit="1" customWidth="1"/>
    <col min="28" max="28" width="13.85546875" bestFit="1" customWidth="1"/>
    <col min="29" max="29" width="16.140625" bestFit="1" customWidth="1"/>
    <col min="30" max="30" width="13.85546875" bestFit="1" customWidth="1"/>
    <col min="31" max="31" width="16.85546875" bestFit="1" customWidth="1"/>
    <col min="32" max="32" width="15.2109375" bestFit="1" customWidth="1"/>
    <col min="33" max="33" width="16" bestFit="1" customWidth="1"/>
    <col min="34" max="34" width="13.5703125" bestFit="1" customWidth="1"/>
    <col min="35" max="35" width="9.35546875" bestFit="1" customWidth="1"/>
    <col min="36" max="36" width="11.28515625" bestFit="1" customWidth="1"/>
    <col min="37" max="37" width="12.2109375" bestFit="1" customWidth="1"/>
    <col min="38" max="38" width="12.5" bestFit="1" customWidth="1"/>
    <col min="39" max="39" width="11.35546875" bestFit="1" customWidth="1"/>
    <col min="40" max="40" width="13.5" bestFit="1" customWidth="1"/>
    <col min="41" max="41" width="19.35546875" bestFit="1" customWidth="1"/>
    <col min="42" max="42" width="12.640625" bestFit="1" customWidth="1"/>
    <col min="43" max="43" width="13.78515625" bestFit="1" customWidth="1"/>
    <col min="44" max="44" width="12.92578125" bestFit="1" customWidth="1"/>
    <col min="45" max="45" width="21.35546875" bestFit="1" customWidth="1"/>
    <col min="46" max="46" width="18.2109375" bestFit="1" customWidth="1"/>
    <col min="47" max="47" width="17.140625" bestFit="1" customWidth="1"/>
    <col min="48" max="48" width="10.42578125" bestFit="1" customWidth="1"/>
    <col min="49" max="49" width="14.42578125" bestFit="1" customWidth="1"/>
    <col min="50" max="50" width="14" bestFit="1" customWidth="1"/>
    <col min="51" max="51" width="15.42578125" bestFit="1" customWidth="1"/>
    <col min="52" max="52" width="8.78515625" bestFit="1" customWidth="1"/>
    <col min="53" max="53" width="10.7109375" bestFit="1" customWidth="1"/>
    <col min="54" max="54" width="16.85546875" bestFit="1" customWidth="1"/>
    <col min="55" max="55" width="14.78515625" bestFit="1" customWidth="1"/>
    <col min="56" max="56" width="14.28515625" bestFit="1" customWidth="1"/>
    <col min="57" max="57" width="10.0703125" bestFit="1" customWidth="1"/>
    <col min="58" max="58" width="12.5" bestFit="1" customWidth="1"/>
    <col min="59" max="60" width="13.5703125" bestFit="1" customWidth="1"/>
    <col min="61" max="61" width="14.5" bestFit="1" customWidth="1"/>
    <col min="62" max="62" width="13.0703125" bestFit="1" customWidth="1"/>
    <col min="63" max="63" width="16.5703125" bestFit="1" customWidth="1"/>
    <col min="64" max="64" width="13" bestFit="1" customWidth="1"/>
    <col min="65" max="65" width="13.5703125" bestFit="1" customWidth="1"/>
    <col min="66" max="67" width="14.42578125" bestFit="1" customWidth="1"/>
    <col min="68" max="68" width="11.5" bestFit="1" customWidth="1"/>
    <col min="69" max="69" width="16.5703125" bestFit="1" customWidth="1"/>
    <col min="70" max="70" width="15.42578125" bestFit="1" customWidth="1"/>
    <col min="71" max="71" width="13" bestFit="1" customWidth="1"/>
    <col min="72" max="72" width="22.7109375" bestFit="1" customWidth="1"/>
    <col min="73" max="73" width="13.7109375" bestFit="1" customWidth="1"/>
    <col min="74" max="74" width="11.78515625" bestFit="1" customWidth="1"/>
    <col min="75" max="75" width="16" bestFit="1" customWidth="1"/>
    <col min="76" max="76" width="15.140625" bestFit="1" customWidth="1"/>
    <col min="77" max="77" width="9.85546875" bestFit="1" customWidth="1"/>
    <col min="78" max="78" width="14.42578125" bestFit="1" customWidth="1"/>
    <col min="79" max="79" width="11.85546875" bestFit="1" customWidth="1"/>
    <col min="80" max="80" width="13.2109375" bestFit="1" customWidth="1"/>
    <col min="81" max="81" width="13.78515625" bestFit="1" customWidth="1"/>
    <col min="82" max="82" width="11" bestFit="1" customWidth="1"/>
    <col min="83" max="83" width="12.85546875" bestFit="1" customWidth="1"/>
    <col min="84" max="84" width="12.2109375" bestFit="1" customWidth="1"/>
    <col min="85" max="85" width="11.140625" bestFit="1" customWidth="1"/>
    <col min="86" max="86" width="14.7109375" bestFit="1" customWidth="1"/>
    <col min="87" max="87" width="11.640625" bestFit="1" customWidth="1"/>
    <col min="88" max="88" width="12.5" bestFit="1" customWidth="1"/>
    <col min="89" max="89" width="11" bestFit="1" customWidth="1"/>
    <col min="90" max="90" width="17" bestFit="1" customWidth="1"/>
    <col min="91" max="91" width="11.92578125" bestFit="1" customWidth="1"/>
    <col min="92" max="92" width="13.5" bestFit="1" customWidth="1"/>
    <col min="93" max="93" width="17.35546875" bestFit="1" customWidth="1"/>
    <col min="94" max="94" width="13.640625" bestFit="1" customWidth="1"/>
    <col min="95" max="95" width="9.7109375" bestFit="1" customWidth="1"/>
    <col min="96" max="96" width="15.78515625" bestFit="1" customWidth="1"/>
    <col min="97" max="97" width="18.42578125" bestFit="1" customWidth="1"/>
    <col min="98" max="98" width="13.28515625" bestFit="1" customWidth="1"/>
    <col min="99" max="99" width="15" bestFit="1" customWidth="1"/>
    <col min="100" max="100" width="18.5" bestFit="1" customWidth="1"/>
    <col min="101" max="101" width="16.28515625" bestFit="1" customWidth="1"/>
    <col min="102" max="102" width="16" bestFit="1" customWidth="1"/>
    <col min="103" max="103" width="12.28515625" bestFit="1" customWidth="1"/>
    <col min="104" max="104" width="9.92578125" bestFit="1" customWidth="1"/>
    <col min="105" max="105" width="10.42578125" bestFit="1" customWidth="1"/>
    <col min="106" max="106" width="11.28515625" bestFit="1" customWidth="1"/>
    <col min="107" max="107" width="12.5703125" bestFit="1" customWidth="1"/>
    <col min="108" max="108" width="10.92578125" bestFit="1" customWidth="1"/>
    <col min="109" max="109" width="13.78515625" bestFit="1" customWidth="1"/>
    <col min="110" max="110" width="12.92578125" bestFit="1" customWidth="1"/>
    <col min="111" max="111" width="15.2109375" bestFit="1" customWidth="1"/>
    <col min="112" max="112" width="15.85546875" bestFit="1" customWidth="1"/>
    <col min="113" max="113" width="11.7109375" bestFit="1" customWidth="1"/>
    <col min="114" max="114" width="12.85546875" bestFit="1" customWidth="1"/>
    <col min="115" max="115" width="11.42578125" bestFit="1" customWidth="1"/>
    <col min="116" max="116" width="20.0703125" bestFit="1" customWidth="1"/>
    <col min="117" max="117" width="12.640625" bestFit="1" customWidth="1"/>
    <col min="118" max="118" width="11.92578125" bestFit="1" customWidth="1"/>
    <col min="119" max="119" width="12.140625" bestFit="1" customWidth="1"/>
    <col min="120" max="120" width="12.78515625" bestFit="1" customWidth="1"/>
    <col min="121" max="121" width="13.5703125" bestFit="1" customWidth="1"/>
    <col min="122" max="122" width="16.2109375" bestFit="1" customWidth="1"/>
    <col min="123" max="123" width="12.140625" bestFit="1" customWidth="1"/>
    <col min="124" max="124" width="12.5" bestFit="1" customWidth="1"/>
    <col min="125" max="125" width="14.78515625" bestFit="1" customWidth="1"/>
    <col min="126" max="126" width="13.0703125" bestFit="1" customWidth="1"/>
    <col min="127" max="127" width="12.140625" bestFit="1" customWidth="1"/>
    <col min="128" max="128" width="14.85546875" bestFit="1" customWidth="1"/>
    <col min="129" max="129" width="11.85546875" bestFit="1" customWidth="1"/>
    <col min="130" max="130" width="12.92578125" bestFit="1" customWidth="1"/>
    <col min="131" max="131" width="13.7109375" bestFit="1" customWidth="1"/>
    <col min="132" max="132" width="11.85546875" bestFit="1" customWidth="1"/>
    <col min="133" max="133" width="13.7109375" bestFit="1" customWidth="1"/>
    <col min="134" max="134" width="13.2109375" bestFit="1" customWidth="1"/>
    <col min="135" max="135" width="11.140625" bestFit="1" customWidth="1"/>
    <col min="136" max="136" width="9.92578125" bestFit="1" customWidth="1"/>
    <col min="137" max="137" width="9" bestFit="1" customWidth="1"/>
    <col min="138" max="138" width="11.140625" bestFit="1" customWidth="1"/>
    <col min="139" max="139" width="10.35546875" bestFit="1" customWidth="1"/>
    <col min="140" max="140" width="12.2109375" bestFit="1" customWidth="1"/>
    <col min="141" max="141" width="10.640625" bestFit="1" customWidth="1"/>
    <col min="142" max="142" width="14.92578125" bestFit="1" customWidth="1"/>
    <col min="143" max="143" width="11.5" bestFit="1" customWidth="1"/>
    <col min="144" max="144" width="14.140625" bestFit="1" customWidth="1"/>
    <col min="145" max="145" width="17.42578125" bestFit="1" customWidth="1"/>
    <col min="146" max="146" width="15.5703125" bestFit="1" customWidth="1"/>
    <col min="147" max="147" width="14.92578125" bestFit="1" customWidth="1"/>
    <col min="148" max="148" width="12.35546875" bestFit="1" customWidth="1"/>
    <col min="149" max="149" width="15.5703125" bestFit="1" customWidth="1"/>
    <col min="150" max="150" width="13.28515625" bestFit="1" customWidth="1"/>
    <col min="151" max="151" width="11.78515625" bestFit="1" customWidth="1"/>
    <col min="152" max="152" width="14.35546875" bestFit="1" customWidth="1"/>
    <col min="153" max="153" width="14.85546875" bestFit="1" customWidth="1"/>
    <col min="154" max="154" width="12.35546875" bestFit="1" customWidth="1"/>
    <col min="155" max="155" width="13.5703125" bestFit="1" customWidth="1"/>
    <col min="156" max="156" width="14.85546875" bestFit="1" customWidth="1"/>
    <col min="157" max="157" width="11.85546875" bestFit="1" customWidth="1"/>
    <col min="158" max="158" width="11.5" bestFit="1" customWidth="1"/>
    <col min="159" max="159" width="14.28515625" bestFit="1" customWidth="1"/>
    <col min="160" max="160" width="11.35546875" bestFit="1" customWidth="1"/>
    <col min="161" max="161" width="18.28515625" bestFit="1" customWidth="1"/>
    <col min="162" max="162" width="17.2109375" bestFit="1" customWidth="1"/>
    <col min="163" max="163" width="17.35546875" bestFit="1" customWidth="1"/>
    <col min="164" max="164" width="11.78515625" bestFit="1" customWidth="1"/>
    <col min="165" max="166" width="13.140625" bestFit="1" customWidth="1"/>
    <col min="167" max="167" width="13.5703125" bestFit="1" customWidth="1"/>
    <col min="168" max="168" width="20.92578125" bestFit="1" customWidth="1"/>
    <col min="169" max="169" width="19.0703125" bestFit="1" customWidth="1"/>
    <col min="170" max="170" width="15.78515625" bestFit="1" customWidth="1"/>
    <col min="171" max="171" width="20" bestFit="1" customWidth="1"/>
    <col min="172" max="172" width="13.85546875" bestFit="1" customWidth="1"/>
    <col min="173" max="173" width="14.5" bestFit="1" customWidth="1"/>
    <col min="174" max="174" width="19.640625" bestFit="1" customWidth="1"/>
    <col min="175" max="175" width="13.640625" bestFit="1" customWidth="1"/>
    <col min="176" max="176" width="12.640625" bestFit="1" customWidth="1"/>
    <col min="177" max="177" width="16.2109375" bestFit="1" customWidth="1"/>
    <col min="178" max="178" width="15.640625" bestFit="1" customWidth="1"/>
    <col min="179" max="179" width="12.5" bestFit="1" customWidth="1"/>
    <col min="180" max="180" width="13.140625" bestFit="1" customWidth="1"/>
    <col min="181" max="181" width="9.2109375" bestFit="1" customWidth="1"/>
    <col min="182" max="182" width="14.85546875" bestFit="1" customWidth="1"/>
    <col min="183" max="183" width="11.5" bestFit="1" customWidth="1"/>
    <col min="184" max="184" width="11.140625" bestFit="1" customWidth="1"/>
    <col min="185" max="185" width="19.140625" bestFit="1" customWidth="1"/>
    <col min="186" max="186" width="15.28515625" bestFit="1" customWidth="1"/>
    <col min="187" max="187" width="15.0703125" bestFit="1" customWidth="1"/>
    <col min="188" max="188" width="9.35546875" bestFit="1" customWidth="1"/>
    <col min="189" max="189" width="13.42578125" bestFit="1" customWidth="1"/>
    <col min="190" max="190" width="12.42578125" bestFit="1" customWidth="1"/>
    <col min="191" max="191" width="10.85546875" bestFit="1" customWidth="1"/>
    <col min="192" max="192" width="15.0703125" bestFit="1" customWidth="1"/>
    <col min="193" max="193" width="17.140625" bestFit="1" customWidth="1"/>
    <col min="194" max="194" width="14.92578125" bestFit="1" customWidth="1"/>
    <col min="195" max="195" width="15.5703125" bestFit="1" customWidth="1"/>
    <col min="196" max="196" width="18.78515625" bestFit="1" customWidth="1"/>
    <col min="197" max="197" width="14.78515625" bestFit="1" customWidth="1"/>
    <col min="198" max="198" width="16.78515625" bestFit="1" customWidth="1"/>
    <col min="199" max="199" width="14.640625" bestFit="1" customWidth="1"/>
    <col min="200" max="200" width="7" bestFit="1" customWidth="1"/>
    <col min="201" max="201" width="18.5" bestFit="1" customWidth="1"/>
    <col min="202" max="202" width="14.92578125" bestFit="1" customWidth="1"/>
    <col min="203" max="203" width="15.5" bestFit="1" customWidth="1"/>
    <col min="204" max="204" width="13.85546875" bestFit="1" customWidth="1"/>
    <col min="205" max="205" width="13.7109375" bestFit="1" customWidth="1"/>
    <col min="206" max="206" width="13.35546875" bestFit="1" customWidth="1"/>
    <col min="207" max="207" width="16.2109375" bestFit="1" customWidth="1"/>
    <col min="208" max="208" width="21.2109375" bestFit="1" customWidth="1"/>
    <col min="209" max="209" width="9.28515625" bestFit="1" customWidth="1"/>
    <col min="210" max="210" width="15.78515625" bestFit="1" customWidth="1"/>
    <col min="211" max="211" width="15.92578125" bestFit="1" customWidth="1"/>
    <col min="212" max="212" width="16.92578125" bestFit="1" customWidth="1"/>
    <col min="213" max="213" width="11.28515625" bestFit="1" customWidth="1"/>
    <col min="214" max="214" width="15.5" bestFit="1" customWidth="1"/>
    <col min="215" max="215" width="21.7109375" bestFit="1" customWidth="1"/>
    <col min="216" max="216" width="13.2109375" bestFit="1" customWidth="1"/>
    <col min="217" max="217" width="10.7109375" bestFit="1" customWidth="1"/>
    <col min="218" max="218" width="10.85546875" bestFit="1" customWidth="1"/>
    <col min="219" max="219" width="14.35546875" bestFit="1" customWidth="1"/>
    <col min="220" max="220" width="15.5" bestFit="1" customWidth="1"/>
    <col min="221" max="221" width="21.42578125" bestFit="1" customWidth="1"/>
    <col min="222" max="222" width="12.5" bestFit="1" customWidth="1"/>
    <col min="223" max="223" width="13.140625" bestFit="1" customWidth="1"/>
    <col min="224" max="224" width="11.92578125" bestFit="1" customWidth="1"/>
    <col min="225" max="225" width="10.5703125" bestFit="1" customWidth="1"/>
    <col min="226" max="226" width="10.92578125" bestFit="1" customWidth="1"/>
    <col min="227" max="227" width="11.140625" bestFit="1" customWidth="1"/>
    <col min="228" max="228" width="15.85546875" bestFit="1" customWidth="1"/>
    <col min="229" max="229" width="11.5703125" bestFit="1" customWidth="1"/>
    <col min="230" max="230" width="13.85546875" bestFit="1" customWidth="1"/>
    <col min="231" max="231" width="14.85546875" bestFit="1" customWidth="1"/>
    <col min="232" max="232" width="10.85546875" bestFit="1" customWidth="1"/>
    <col min="233" max="233" width="14.28515625" bestFit="1" customWidth="1"/>
    <col min="234" max="234" width="11.28515625" bestFit="1" customWidth="1"/>
    <col min="235" max="235" width="12.2109375" bestFit="1" customWidth="1"/>
    <col min="236" max="236" width="13" bestFit="1" customWidth="1"/>
    <col min="237" max="237" width="14.2109375" bestFit="1" customWidth="1"/>
    <col min="238" max="238" width="13.7109375" bestFit="1" customWidth="1"/>
    <col min="239" max="239" width="15.78515625" bestFit="1" customWidth="1"/>
    <col min="240" max="240" width="11.2109375" bestFit="1" customWidth="1"/>
    <col min="241" max="241" width="17.2109375" bestFit="1" customWidth="1"/>
    <col min="242" max="242" width="13.5703125" bestFit="1" customWidth="1"/>
    <col min="243" max="243" width="14.140625" bestFit="1" customWidth="1"/>
    <col min="244" max="244" width="11.78515625" bestFit="1" customWidth="1"/>
    <col min="245" max="245" width="12.35546875" bestFit="1" customWidth="1"/>
    <col min="246" max="246" width="11.640625" bestFit="1" customWidth="1"/>
    <col min="247" max="247" width="13.0703125" bestFit="1" customWidth="1"/>
    <col min="248" max="248" width="16" bestFit="1" customWidth="1"/>
    <col min="249" max="249" width="14.5" bestFit="1" customWidth="1"/>
    <col min="250" max="250" width="10.5703125" bestFit="1" customWidth="1"/>
    <col min="251" max="251" width="12.7109375" bestFit="1" customWidth="1"/>
    <col min="252" max="252" width="13.28515625" bestFit="1" customWidth="1"/>
    <col min="253" max="253" width="10.7109375" bestFit="1" customWidth="1"/>
    <col min="254" max="254" width="11.0703125" bestFit="1" customWidth="1"/>
    <col min="255" max="255" width="12.85546875" bestFit="1" customWidth="1"/>
    <col min="256" max="256" width="13.0703125" bestFit="1" customWidth="1"/>
    <col min="257" max="257" width="9.28515625" bestFit="1" customWidth="1"/>
    <col min="258" max="258" width="13.0703125" bestFit="1" customWidth="1"/>
    <col min="259" max="259" width="15.140625" bestFit="1" customWidth="1"/>
    <col min="260" max="260" width="10" bestFit="1" customWidth="1"/>
    <col min="261" max="261" width="13.140625" bestFit="1" customWidth="1"/>
    <col min="262" max="262" width="10.5703125" bestFit="1" customWidth="1"/>
    <col min="263" max="263" width="11.28515625" bestFit="1" customWidth="1"/>
    <col min="264" max="264" width="8.0703125" bestFit="1" customWidth="1"/>
    <col min="265" max="265" width="12.28515625" bestFit="1" customWidth="1"/>
    <col min="266" max="266" width="10.85546875" bestFit="1" customWidth="1"/>
    <col min="267" max="267" width="11.35546875" bestFit="1" customWidth="1"/>
    <col min="268" max="268" width="14.92578125" bestFit="1" customWidth="1"/>
    <col min="269" max="269" width="14.0703125" bestFit="1" customWidth="1"/>
    <col min="270" max="270" width="12.5703125" bestFit="1" customWidth="1"/>
    <col min="271" max="271" width="12.640625" bestFit="1" customWidth="1"/>
    <col min="272" max="272" width="18.640625" bestFit="1" customWidth="1"/>
    <col min="273" max="273" width="13.85546875" bestFit="1" customWidth="1"/>
    <col min="274" max="274" width="20.28515625" bestFit="1" customWidth="1"/>
    <col min="275" max="275" width="13.92578125" bestFit="1" customWidth="1"/>
    <col min="276" max="276" width="15.28515625" bestFit="1" customWidth="1"/>
    <col min="277" max="277" width="13.7109375" bestFit="1" customWidth="1"/>
    <col min="278" max="278" width="15.42578125" bestFit="1" customWidth="1"/>
    <col min="279" max="279" width="15.0703125" bestFit="1" customWidth="1"/>
    <col min="280" max="280" width="15.640625" bestFit="1" customWidth="1"/>
    <col min="281" max="281" width="9.0703125" bestFit="1" customWidth="1"/>
    <col min="282" max="282" width="15" bestFit="1" customWidth="1"/>
    <col min="283" max="283" width="15.42578125" bestFit="1" customWidth="1"/>
    <col min="284" max="284" width="13.640625" bestFit="1" customWidth="1"/>
    <col min="285" max="285" width="11.2109375" bestFit="1" customWidth="1"/>
    <col min="286" max="286" width="13.85546875" bestFit="1" customWidth="1"/>
    <col min="287" max="287" width="11.2109375" bestFit="1" customWidth="1"/>
    <col min="288" max="288" width="17.7109375" bestFit="1" customWidth="1"/>
    <col min="289" max="289" width="15.5703125" bestFit="1" customWidth="1"/>
    <col min="290" max="290" width="13.7109375" bestFit="1" customWidth="1"/>
    <col min="291" max="291" width="15.92578125" bestFit="1" customWidth="1"/>
    <col min="292" max="292" width="12.5" bestFit="1" customWidth="1"/>
    <col min="293" max="293" width="17.0703125" bestFit="1" customWidth="1"/>
    <col min="294" max="294" width="16.92578125" bestFit="1" customWidth="1"/>
    <col min="295" max="295" width="19.5" bestFit="1" customWidth="1"/>
    <col min="296" max="296" width="11.28515625" bestFit="1" customWidth="1"/>
    <col min="297" max="297" width="14.640625" bestFit="1" customWidth="1"/>
    <col min="298" max="298" width="14.140625" bestFit="1" customWidth="1"/>
    <col min="299" max="299" width="13.2109375" bestFit="1" customWidth="1"/>
    <col min="300" max="300" width="13.28515625" bestFit="1" customWidth="1"/>
    <col min="301" max="301" width="15.7109375" bestFit="1" customWidth="1"/>
    <col min="302" max="302" width="9" bestFit="1" customWidth="1"/>
    <col min="303" max="303" width="8.92578125" bestFit="1" customWidth="1"/>
    <col min="304" max="304" width="9.640625" bestFit="1" customWidth="1"/>
    <col min="305" max="305" width="14.7109375" bestFit="1" customWidth="1"/>
    <col min="306" max="306" width="13.28515625" bestFit="1" customWidth="1"/>
    <col min="307" max="307" width="11.78515625" bestFit="1" customWidth="1"/>
    <col min="308" max="308" width="17.0703125" bestFit="1" customWidth="1"/>
    <col min="309" max="309" width="17.140625" bestFit="1" customWidth="1"/>
    <col min="310" max="310" width="11.5" bestFit="1" customWidth="1"/>
    <col min="311" max="311" width="10.640625" bestFit="1" customWidth="1"/>
    <col min="312" max="312" width="17.85546875" bestFit="1" customWidth="1"/>
    <col min="313" max="313" width="8.140625" bestFit="1" customWidth="1"/>
    <col min="314" max="314" width="14.35546875" bestFit="1" customWidth="1"/>
    <col min="315" max="315" width="16.92578125" bestFit="1" customWidth="1"/>
    <col min="316" max="316" width="16.78515625" bestFit="1" customWidth="1"/>
    <col min="317" max="317" width="12.5703125" bestFit="1" customWidth="1"/>
    <col min="318" max="318" width="20.140625" bestFit="1" customWidth="1"/>
    <col min="319" max="319" width="11.5703125" bestFit="1" customWidth="1"/>
    <col min="320" max="320" width="10" bestFit="1" customWidth="1"/>
    <col min="321" max="321" width="13.28515625" bestFit="1" customWidth="1"/>
    <col min="322" max="322" width="11.35546875" bestFit="1" customWidth="1"/>
    <col min="323" max="323" width="11.28515625" bestFit="1" customWidth="1"/>
    <col min="324" max="324" width="9.640625" bestFit="1" customWidth="1"/>
    <col min="325" max="325" width="16.92578125" bestFit="1" customWidth="1"/>
    <col min="326" max="326" width="10.5703125" bestFit="1" customWidth="1"/>
    <col min="327" max="327" width="10.5" bestFit="1" customWidth="1"/>
    <col min="328" max="328" width="13.5" bestFit="1" customWidth="1"/>
    <col min="329" max="329" width="12.5703125" bestFit="1" customWidth="1"/>
    <col min="330" max="330" width="10.5" bestFit="1" customWidth="1"/>
    <col min="331" max="331" width="12.92578125" bestFit="1" customWidth="1"/>
    <col min="332" max="332" width="15.35546875" bestFit="1" customWidth="1"/>
    <col min="333" max="333" width="17.5" bestFit="1" customWidth="1"/>
    <col min="334" max="334" width="12.5" bestFit="1" customWidth="1"/>
    <col min="335" max="335" width="14.35546875" bestFit="1" customWidth="1"/>
    <col min="336" max="336" width="11.85546875" bestFit="1" customWidth="1"/>
    <col min="337" max="337" width="24.0703125" bestFit="1" customWidth="1"/>
    <col min="338" max="338" width="13.5703125" bestFit="1" customWidth="1"/>
    <col min="339" max="339" width="13.7109375" bestFit="1" customWidth="1"/>
    <col min="340" max="340" width="11.92578125" bestFit="1" customWidth="1"/>
    <col min="341" max="341" width="14.42578125" bestFit="1" customWidth="1"/>
    <col min="342" max="342" width="11.640625" bestFit="1" customWidth="1"/>
    <col min="343" max="343" width="9.92578125" bestFit="1" customWidth="1"/>
    <col min="344" max="344" width="10.92578125" bestFit="1" customWidth="1"/>
    <col min="345" max="345" width="11.7109375" bestFit="1" customWidth="1"/>
    <col min="346" max="346" width="13.0703125" bestFit="1" customWidth="1"/>
    <col min="347" max="347" width="12.35546875" bestFit="1" customWidth="1"/>
    <col min="348" max="348" width="14.2109375" bestFit="1" customWidth="1"/>
    <col min="349" max="349" width="13.85546875" bestFit="1" customWidth="1"/>
    <col min="350" max="350" width="14.7109375" bestFit="1" customWidth="1"/>
    <col min="351" max="351" width="11.140625" bestFit="1" customWidth="1"/>
    <col min="352" max="352" width="17.42578125" bestFit="1" customWidth="1"/>
    <col min="353" max="353" width="16.0703125" bestFit="1" customWidth="1"/>
    <col min="354" max="354" width="13.35546875" bestFit="1" customWidth="1"/>
    <col min="355" max="355" width="16.2109375" bestFit="1" customWidth="1"/>
    <col min="356" max="356" width="11.5" bestFit="1" customWidth="1"/>
    <col min="357" max="357" width="13.85546875" bestFit="1" customWidth="1"/>
    <col min="358" max="358" width="12.92578125" bestFit="1" customWidth="1"/>
    <col min="359" max="359" width="13.0703125" bestFit="1" customWidth="1"/>
    <col min="360" max="360" width="12.5" bestFit="1" customWidth="1"/>
    <col min="361" max="361" width="11.35546875" bestFit="1" customWidth="1"/>
    <col min="362" max="362" width="11.85546875" bestFit="1" customWidth="1"/>
    <col min="363" max="363" width="12.5" bestFit="1" customWidth="1"/>
    <col min="364" max="364" width="13" bestFit="1" customWidth="1"/>
    <col min="365" max="365" width="15.35546875" bestFit="1" customWidth="1"/>
    <col min="366" max="366" width="12.5703125" bestFit="1" customWidth="1"/>
    <col min="367" max="367" width="12.35546875" bestFit="1" customWidth="1"/>
    <col min="368" max="368" width="12.140625" bestFit="1" customWidth="1"/>
    <col min="369" max="369" width="16.42578125" bestFit="1" customWidth="1"/>
    <col min="370" max="370" width="8.78515625" bestFit="1" customWidth="1"/>
    <col min="371" max="371" width="12.35546875" bestFit="1" customWidth="1"/>
    <col min="372" max="372" width="12.640625" bestFit="1" customWidth="1"/>
    <col min="373" max="373" width="17.0703125" bestFit="1" customWidth="1"/>
    <col min="374" max="374" width="11.5" bestFit="1" customWidth="1"/>
    <col min="375" max="375" width="11.640625" bestFit="1" customWidth="1"/>
    <col min="376" max="376" width="11.5" bestFit="1" customWidth="1"/>
    <col min="377" max="377" width="11.640625" bestFit="1" customWidth="1"/>
    <col min="378" max="378" width="14.35546875" bestFit="1" customWidth="1"/>
    <col min="379" max="379" width="13.85546875" bestFit="1" customWidth="1"/>
    <col min="380" max="380" width="12.35546875" bestFit="1" customWidth="1"/>
    <col min="381" max="381" width="14.35546875" bestFit="1" customWidth="1"/>
    <col min="382" max="382" width="14.5703125" bestFit="1" customWidth="1"/>
    <col min="383" max="383" width="12.5703125" bestFit="1" customWidth="1"/>
    <col min="384" max="384" width="16.35546875" bestFit="1" customWidth="1"/>
    <col min="385" max="385" width="16.28515625" bestFit="1" customWidth="1"/>
    <col min="386" max="386" width="12.5703125" bestFit="1" customWidth="1"/>
    <col min="387" max="387" width="10.85546875" bestFit="1" customWidth="1"/>
    <col min="388" max="388" width="10.35546875" bestFit="1" customWidth="1"/>
    <col min="389" max="389" width="12.5703125" bestFit="1" customWidth="1"/>
    <col min="390" max="390" width="20.35546875" bestFit="1" customWidth="1"/>
    <col min="391" max="391" width="11.0703125" bestFit="1" customWidth="1"/>
    <col min="392" max="392" width="15.7109375" bestFit="1" customWidth="1"/>
    <col min="393" max="393" width="18.7109375" bestFit="1" customWidth="1"/>
    <col min="394" max="394" width="15.140625" bestFit="1" customWidth="1"/>
    <col min="395" max="395" width="17.5703125" bestFit="1" customWidth="1"/>
    <col min="396" max="396" width="19.35546875" bestFit="1" customWidth="1"/>
    <col min="397" max="397" width="12.42578125" bestFit="1" customWidth="1"/>
    <col min="398" max="398" width="13.85546875" bestFit="1" customWidth="1"/>
    <col min="399" max="399" width="12.35546875" bestFit="1" customWidth="1"/>
    <col min="400" max="400" width="15.28515625" bestFit="1" customWidth="1"/>
    <col min="401" max="401" width="15.2109375" bestFit="1" customWidth="1"/>
    <col min="402" max="402" width="18.78515625" bestFit="1" customWidth="1"/>
    <col min="403" max="403" width="12.7109375" bestFit="1" customWidth="1"/>
    <col min="404" max="404" width="17.5" bestFit="1" customWidth="1"/>
    <col min="405" max="405" width="16.2109375" bestFit="1" customWidth="1"/>
    <col min="406" max="406" width="14.28515625" bestFit="1" customWidth="1"/>
    <col min="407" max="407" width="14.0703125" bestFit="1" customWidth="1"/>
    <col min="408" max="408" width="12.640625" bestFit="1" customWidth="1"/>
    <col min="409" max="409" width="10.92578125" bestFit="1" customWidth="1"/>
    <col min="410" max="410" width="18.140625" bestFit="1" customWidth="1"/>
    <col min="411" max="411" width="13.640625" bestFit="1" customWidth="1"/>
    <col min="412" max="412" width="15.0703125" bestFit="1" customWidth="1"/>
    <col min="413" max="413" width="13.92578125" bestFit="1" customWidth="1"/>
    <col min="414" max="414" width="14.140625" bestFit="1" customWidth="1"/>
    <col min="415" max="415" width="16.92578125" bestFit="1" customWidth="1"/>
    <col min="416" max="416" width="17.5" bestFit="1" customWidth="1"/>
    <col min="417" max="417" width="14.92578125" bestFit="1" customWidth="1"/>
    <col min="418" max="418" width="13.78515625" bestFit="1" customWidth="1"/>
    <col min="419" max="419" width="16.78515625" bestFit="1" customWidth="1"/>
    <col min="420" max="420" width="23.42578125" bestFit="1" customWidth="1"/>
    <col min="421" max="421" width="16.7109375" bestFit="1" customWidth="1"/>
    <col min="422" max="422" width="14.85546875" bestFit="1" customWidth="1"/>
    <col min="423" max="423" width="14.2109375" bestFit="1" customWidth="1"/>
    <col min="424" max="424" width="11.78515625" bestFit="1" customWidth="1"/>
    <col min="425" max="425" width="13.5" bestFit="1" customWidth="1"/>
    <col min="426" max="426" width="20.85546875" bestFit="1" customWidth="1"/>
    <col min="427" max="427" width="14.5" bestFit="1" customWidth="1"/>
    <col min="428" max="428" width="10.0703125" bestFit="1" customWidth="1"/>
    <col min="429" max="429" width="14.0703125" bestFit="1" customWidth="1"/>
    <col min="430" max="430" width="16.5703125" bestFit="1" customWidth="1"/>
    <col min="431" max="431" width="11.92578125" bestFit="1" customWidth="1"/>
    <col min="432" max="432" width="12.35546875" bestFit="1" customWidth="1"/>
    <col min="433" max="433" width="12.28515625" bestFit="1" customWidth="1"/>
    <col min="434" max="434" width="11" bestFit="1" customWidth="1"/>
    <col min="435" max="435" width="9.7109375" bestFit="1" customWidth="1"/>
    <col min="436" max="436" width="13.140625" bestFit="1" customWidth="1"/>
    <col min="437" max="437" width="9.7109375" bestFit="1" customWidth="1"/>
    <col min="438" max="438" width="16.28515625" bestFit="1" customWidth="1"/>
    <col min="439" max="439" width="16.7109375" bestFit="1" customWidth="1"/>
    <col min="440" max="440" width="15.28515625" bestFit="1" customWidth="1"/>
    <col min="441" max="441" width="19.640625" bestFit="1" customWidth="1"/>
    <col min="442" max="442" width="11.35546875" bestFit="1" customWidth="1"/>
    <col min="443" max="443" width="16.35546875" bestFit="1" customWidth="1"/>
    <col min="444" max="444" width="15.0703125" bestFit="1" customWidth="1"/>
    <col min="445" max="445" width="16.78515625" bestFit="1" customWidth="1"/>
    <col min="446" max="446" width="10.92578125" bestFit="1" customWidth="1"/>
    <col min="447" max="448" width="13.640625" bestFit="1" customWidth="1"/>
    <col min="449" max="449" width="12.5" bestFit="1" customWidth="1"/>
    <col min="450" max="450" width="13" bestFit="1" customWidth="1"/>
    <col min="451" max="451" width="15.0703125" bestFit="1" customWidth="1"/>
    <col min="452" max="452" width="14.5703125" bestFit="1" customWidth="1"/>
    <col min="453" max="453" width="18.640625" bestFit="1" customWidth="1"/>
    <col min="454" max="454" width="11.78515625" bestFit="1" customWidth="1"/>
    <col min="455" max="455" width="12.5703125" bestFit="1" customWidth="1"/>
    <col min="456" max="456" width="18.140625" bestFit="1" customWidth="1"/>
    <col min="457" max="457" width="8.5703125" bestFit="1" customWidth="1"/>
    <col min="458" max="458" width="12.28515625" bestFit="1" customWidth="1"/>
    <col min="459" max="459" width="10.2109375" bestFit="1" customWidth="1"/>
    <col min="460" max="460" width="20.28515625" bestFit="1" customWidth="1"/>
    <col min="461" max="461" width="12.85546875" bestFit="1" customWidth="1"/>
    <col min="462" max="462" width="19.0703125" bestFit="1" customWidth="1"/>
    <col min="463" max="463" width="11.28515625" bestFit="1" customWidth="1"/>
    <col min="464" max="464" width="14.85546875" bestFit="1" customWidth="1"/>
    <col min="465" max="465" width="13.42578125" bestFit="1" customWidth="1"/>
    <col min="466" max="466" width="12.28515625" bestFit="1" customWidth="1"/>
    <col min="467" max="467" width="14.28515625" bestFit="1" customWidth="1"/>
    <col min="468" max="468" width="12.5703125" bestFit="1" customWidth="1"/>
    <col min="469" max="469" width="13" bestFit="1" customWidth="1"/>
    <col min="470" max="470" width="13.7109375" bestFit="1" customWidth="1"/>
    <col min="471" max="471" width="19.85546875" bestFit="1" customWidth="1"/>
    <col min="472" max="472" width="14.5" bestFit="1" customWidth="1"/>
    <col min="473" max="473" width="10.92578125" bestFit="1" customWidth="1"/>
    <col min="474" max="474" width="13.78515625" bestFit="1" customWidth="1"/>
    <col min="475" max="475" width="13.5" bestFit="1" customWidth="1"/>
    <col min="476" max="476" width="14.85546875" bestFit="1" customWidth="1"/>
    <col min="477" max="477" width="12.35546875" bestFit="1" customWidth="1"/>
    <col min="478" max="478" width="13.2109375" bestFit="1" customWidth="1"/>
    <col min="479" max="479" width="16.5" bestFit="1" customWidth="1"/>
    <col min="480" max="480" width="13.7109375" bestFit="1" customWidth="1"/>
    <col min="481" max="481" width="14.5703125" bestFit="1" customWidth="1"/>
    <col min="482" max="482" width="13.35546875" bestFit="1" customWidth="1"/>
    <col min="483" max="483" width="15.5" bestFit="1" customWidth="1"/>
    <col min="484" max="484" width="14.35546875" bestFit="1" customWidth="1"/>
    <col min="485" max="485" width="13.28515625" bestFit="1" customWidth="1"/>
    <col min="486" max="486" width="10.28515625" bestFit="1" customWidth="1"/>
    <col min="487" max="487" width="9.85546875" bestFit="1" customWidth="1"/>
    <col min="488" max="488" width="12.5" bestFit="1" customWidth="1"/>
    <col min="489" max="489" width="10.42578125" bestFit="1" customWidth="1"/>
    <col min="490" max="490" width="12.78515625" bestFit="1" customWidth="1"/>
    <col min="491" max="491" width="12.7109375" bestFit="1" customWidth="1"/>
    <col min="492" max="492" width="14.92578125" bestFit="1" customWidth="1"/>
    <col min="493" max="493" width="18.7109375" bestFit="1" customWidth="1"/>
    <col min="494" max="494" width="16.5703125" bestFit="1" customWidth="1"/>
    <col min="495" max="495" width="11.0703125" bestFit="1" customWidth="1"/>
    <col min="496" max="496" width="7.5" bestFit="1" customWidth="1"/>
    <col min="497" max="497" width="9.92578125" bestFit="1" customWidth="1"/>
    <col min="498" max="498" width="13.28515625" bestFit="1" customWidth="1"/>
    <col min="499" max="499" width="14.28515625" bestFit="1" customWidth="1"/>
    <col min="500" max="500" width="15.5" bestFit="1" customWidth="1"/>
    <col min="501" max="501" width="8.5" bestFit="1" customWidth="1"/>
    <col min="502" max="502" width="12.5703125" bestFit="1" customWidth="1"/>
    <col min="503" max="503" width="14.0703125" bestFit="1" customWidth="1"/>
    <col min="504" max="504" width="12.140625" bestFit="1" customWidth="1"/>
    <col min="505" max="505" width="11.78515625" bestFit="1" customWidth="1"/>
    <col min="506" max="506" width="13.7109375" bestFit="1" customWidth="1"/>
    <col min="507" max="507" width="10.42578125" bestFit="1" customWidth="1"/>
    <col min="508" max="508" width="16.0703125" bestFit="1" customWidth="1"/>
    <col min="509" max="509" width="11.35546875" bestFit="1" customWidth="1"/>
    <col min="510" max="510" width="11.640625" bestFit="1" customWidth="1"/>
    <col min="511" max="511" width="13" bestFit="1" customWidth="1"/>
    <col min="512" max="512" width="16.28515625" bestFit="1" customWidth="1"/>
    <col min="513" max="513" width="9.640625" bestFit="1" customWidth="1"/>
    <col min="514" max="514" width="16.5703125" bestFit="1" customWidth="1"/>
    <col min="515" max="515" width="19.5" bestFit="1" customWidth="1"/>
    <col min="516" max="516" width="13" bestFit="1" customWidth="1"/>
    <col min="517" max="517" width="11.78515625" bestFit="1" customWidth="1"/>
    <col min="518" max="518" width="13.7109375" bestFit="1" customWidth="1"/>
    <col min="519" max="519" width="11.85546875" bestFit="1" customWidth="1"/>
    <col min="520" max="520" width="11.42578125" bestFit="1" customWidth="1"/>
    <col min="521" max="521" width="12.92578125" bestFit="1" customWidth="1"/>
    <col min="522" max="522" width="11.85546875" bestFit="1" customWidth="1"/>
    <col min="523" max="523" width="13.78515625" bestFit="1" customWidth="1"/>
    <col min="524" max="524" width="8.7109375" bestFit="1" customWidth="1"/>
    <col min="525" max="525" width="10" bestFit="1" customWidth="1"/>
    <col min="526" max="526" width="20.5703125" bestFit="1" customWidth="1"/>
    <col min="527" max="527" width="12.85546875" bestFit="1" customWidth="1"/>
    <col min="528" max="528" width="8.92578125" bestFit="1" customWidth="1"/>
    <col min="529" max="529" width="12.7109375" bestFit="1" customWidth="1"/>
    <col min="530" max="530" width="16.5" bestFit="1" customWidth="1"/>
    <col min="531" max="531" width="14.5" bestFit="1" customWidth="1"/>
    <col min="532" max="532" width="13.85546875" bestFit="1" customWidth="1"/>
    <col min="533" max="533" width="13.92578125" bestFit="1" customWidth="1"/>
    <col min="534" max="534" width="12.85546875" bestFit="1" customWidth="1"/>
    <col min="535" max="535" width="16.640625" bestFit="1" customWidth="1"/>
    <col min="536" max="536" width="14.42578125" bestFit="1" customWidth="1"/>
    <col min="537" max="537" width="10" bestFit="1" customWidth="1"/>
    <col min="538" max="538" width="13.92578125" bestFit="1" customWidth="1"/>
    <col min="539" max="539" width="11.78515625" bestFit="1" customWidth="1"/>
    <col min="540" max="540" width="13.7109375" bestFit="1" customWidth="1"/>
    <col min="541" max="541" width="11.2109375" bestFit="1" customWidth="1"/>
    <col min="542" max="542" width="10.42578125" bestFit="1" customWidth="1"/>
    <col min="543" max="543" width="14.85546875" bestFit="1" customWidth="1"/>
    <col min="544" max="544" width="10.0703125" bestFit="1" customWidth="1"/>
    <col min="545" max="545" width="16.92578125" bestFit="1" customWidth="1"/>
    <col min="546" max="546" width="11.5703125" bestFit="1" customWidth="1"/>
    <col min="547" max="547" width="10.85546875" bestFit="1" customWidth="1"/>
    <col min="548" max="548" width="15.2109375" bestFit="1" customWidth="1"/>
    <col min="549" max="549" width="12.140625" bestFit="1" customWidth="1"/>
    <col min="550" max="550" width="10.85546875" bestFit="1" customWidth="1"/>
    <col min="551" max="551" width="16.42578125" bestFit="1" customWidth="1"/>
    <col min="552" max="552" width="8.28515625" bestFit="1" customWidth="1"/>
    <col min="553" max="553" width="14.28515625" bestFit="1" customWidth="1"/>
    <col min="554" max="554" width="14.78515625" bestFit="1" customWidth="1"/>
    <col min="555" max="555" width="17.28515625" bestFit="1" customWidth="1"/>
    <col min="556" max="556" width="11.92578125" bestFit="1" customWidth="1"/>
    <col min="557" max="557" width="16.0703125" bestFit="1" customWidth="1"/>
    <col min="558" max="558" width="21.5703125" bestFit="1" customWidth="1"/>
    <col min="559" max="559" width="10.640625" bestFit="1" customWidth="1"/>
    <col min="560" max="560" width="23.42578125" bestFit="1" customWidth="1"/>
    <col min="561" max="561" width="11.640625" bestFit="1" customWidth="1"/>
    <col min="562" max="562" width="17.28515625" bestFit="1" customWidth="1"/>
    <col min="563" max="563" width="9.5703125" bestFit="1" customWidth="1"/>
    <col min="564" max="564" width="13.28515625" bestFit="1" customWidth="1"/>
    <col min="565" max="565" width="16.5" bestFit="1" customWidth="1"/>
    <col min="567" max="567" width="15.85546875" bestFit="1" customWidth="1"/>
    <col min="568" max="568" width="17.42578125" bestFit="1" customWidth="1"/>
    <col min="569" max="569" width="14.78515625" bestFit="1" customWidth="1"/>
    <col min="570" max="570" width="12.0703125" bestFit="1" customWidth="1"/>
    <col min="571" max="571" width="15.78515625" bestFit="1" customWidth="1"/>
    <col min="572" max="572" width="9" bestFit="1" customWidth="1"/>
    <col min="573" max="573" width="14.7109375" bestFit="1" customWidth="1"/>
    <col min="574" max="574" width="11.28515625" bestFit="1" customWidth="1"/>
    <col min="575" max="575" width="15" bestFit="1" customWidth="1"/>
    <col min="576" max="576" width="13.140625" bestFit="1" customWidth="1"/>
    <col min="577" max="577" width="15.140625" bestFit="1" customWidth="1"/>
    <col min="578" max="578" width="14.7109375" bestFit="1" customWidth="1"/>
    <col min="579" max="579" width="14.2109375" bestFit="1" customWidth="1"/>
    <col min="580" max="580" width="13.2109375" bestFit="1" customWidth="1"/>
    <col min="581" max="581" width="12.2109375" bestFit="1" customWidth="1"/>
    <col min="582" max="582" width="14.640625" bestFit="1" customWidth="1"/>
    <col min="583" max="583" width="17" bestFit="1" customWidth="1"/>
    <col min="584" max="584" width="14.42578125" bestFit="1" customWidth="1"/>
    <col min="585" max="585" width="11.78515625" bestFit="1" customWidth="1"/>
    <col min="586" max="586" width="10.2109375" bestFit="1" customWidth="1"/>
    <col min="587" max="587" width="10.92578125" bestFit="1" customWidth="1"/>
    <col min="588" max="588" width="13.140625" bestFit="1" customWidth="1"/>
    <col min="589" max="589" width="10.35546875" bestFit="1" customWidth="1"/>
    <col min="590" max="590" width="12.5" bestFit="1" customWidth="1"/>
    <col min="591" max="591" width="20.78515625" bestFit="1" customWidth="1"/>
    <col min="592" max="592" width="11.78515625" bestFit="1" customWidth="1"/>
    <col min="593" max="593" width="10.5" bestFit="1" customWidth="1"/>
    <col min="594" max="594" width="10.92578125" bestFit="1" customWidth="1"/>
    <col min="595" max="595" width="12.2109375" bestFit="1" customWidth="1"/>
    <col min="596" max="596" width="16.0703125" bestFit="1" customWidth="1"/>
    <col min="597" max="597" width="13.85546875" bestFit="1" customWidth="1"/>
    <col min="598" max="598" width="15.85546875" bestFit="1" customWidth="1"/>
    <col min="599" max="599" width="13.85546875" bestFit="1" customWidth="1"/>
    <col min="600" max="600" width="20.140625" bestFit="1" customWidth="1"/>
    <col min="601" max="601" width="13.35546875" bestFit="1" customWidth="1"/>
    <col min="602" max="602" width="16.28515625" bestFit="1" customWidth="1"/>
    <col min="603" max="603" width="15.5" bestFit="1" customWidth="1"/>
    <col min="604" max="604" width="14.28515625" bestFit="1" customWidth="1"/>
    <col min="605" max="605" width="12.78515625" bestFit="1" customWidth="1"/>
    <col min="606" max="606" width="13.92578125" bestFit="1" customWidth="1"/>
    <col min="607" max="607" width="14.85546875" bestFit="1" customWidth="1"/>
    <col min="608" max="608" width="8.640625" bestFit="1" customWidth="1"/>
    <col min="609" max="609" width="11.5703125" bestFit="1" customWidth="1"/>
    <col min="610" max="610" width="12.92578125" bestFit="1" customWidth="1"/>
    <col min="611" max="611" width="15.78515625" bestFit="1" customWidth="1"/>
    <col min="612" max="612" width="13.78515625" bestFit="1" customWidth="1"/>
    <col min="613" max="613" width="16.85546875" bestFit="1" customWidth="1"/>
    <col min="614" max="614" width="23.5" bestFit="1" customWidth="1"/>
    <col min="615" max="615" width="13.7109375" bestFit="1" customWidth="1"/>
    <col min="616" max="616" width="15" bestFit="1" customWidth="1"/>
    <col min="617" max="617" width="12.28515625" bestFit="1" customWidth="1"/>
    <col min="618" max="618" width="16.140625" bestFit="1" customWidth="1"/>
    <col min="619" max="619" width="12.92578125" bestFit="1" customWidth="1"/>
    <col min="620" max="620" width="11.7109375" bestFit="1" customWidth="1"/>
    <col min="621" max="621" width="11.5" bestFit="1" customWidth="1"/>
    <col min="622" max="622" width="18.2109375" bestFit="1" customWidth="1"/>
    <col min="623" max="623" width="11.78515625" bestFit="1" customWidth="1"/>
    <col min="624" max="624" width="14.28515625" bestFit="1" customWidth="1"/>
    <col min="625" max="625" width="18.7109375" bestFit="1" customWidth="1"/>
    <col min="626" max="626" width="13.0703125" bestFit="1" customWidth="1"/>
    <col min="627" max="627" width="13" bestFit="1" customWidth="1"/>
    <col min="628" max="628" width="12.92578125" bestFit="1" customWidth="1"/>
    <col min="629" max="629" width="14.35546875" bestFit="1" customWidth="1"/>
    <col min="630" max="630" width="23.92578125" bestFit="1" customWidth="1"/>
    <col min="631" max="631" width="13" bestFit="1" customWidth="1"/>
    <col min="632" max="632" width="16.140625" bestFit="1" customWidth="1"/>
    <col min="633" max="633" width="11.35546875" bestFit="1" customWidth="1"/>
    <col min="634" max="634" width="15.5703125" bestFit="1" customWidth="1"/>
    <col min="635" max="635" width="10.42578125" bestFit="1" customWidth="1"/>
    <col min="636" max="636" width="22.0703125" bestFit="1" customWidth="1"/>
    <col min="637" max="637" width="14.42578125" bestFit="1" customWidth="1"/>
    <col min="638" max="638" width="8.92578125" bestFit="1" customWidth="1"/>
    <col min="639" max="639" width="16.5703125" bestFit="1" customWidth="1"/>
    <col min="640" max="640" width="12.42578125" bestFit="1" customWidth="1"/>
    <col min="641" max="641" width="13.92578125" bestFit="1" customWidth="1"/>
    <col min="642" max="642" width="14.640625" bestFit="1" customWidth="1"/>
    <col min="643" max="643" width="10.0703125" bestFit="1" customWidth="1"/>
    <col min="644" max="644" width="17.35546875" bestFit="1" customWidth="1"/>
    <col min="645" max="645" width="11" bestFit="1" customWidth="1"/>
    <col min="646" max="646" width="11.0703125" bestFit="1" customWidth="1"/>
    <col min="647" max="647" width="9.7109375" bestFit="1" customWidth="1"/>
    <col min="648" max="648" width="12.640625" bestFit="1" customWidth="1"/>
    <col min="649" max="649" width="10.28515625" bestFit="1" customWidth="1"/>
    <col min="650" max="650" width="14.5" bestFit="1" customWidth="1"/>
    <col min="651" max="651" width="13.28515625" bestFit="1" customWidth="1"/>
    <col min="652" max="652" width="14.0703125" bestFit="1" customWidth="1"/>
    <col min="653" max="653" width="14.2109375" bestFit="1" customWidth="1"/>
    <col min="654" max="654" width="13.85546875" bestFit="1" customWidth="1"/>
    <col min="655" max="655" width="15.7109375" bestFit="1" customWidth="1"/>
    <col min="656" max="656" width="9.7109375" bestFit="1" customWidth="1"/>
    <col min="657" max="657" width="14.2109375" bestFit="1" customWidth="1"/>
    <col min="658" max="658" width="13" bestFit="1" customWidth="1"/>
    <col min="659" max="659" width="10.35546875" bestFit="1" customWidth="1"/>
    <col min="660" max="660" width="10.5" bestFit="1" customWidth="1"/>
    <col min="661" max="661" width="15.640625" bestFit="1" customWidth="1"/>
    <col min="662" max="662" width="16.35546875" bestFit="1" customWidth="1"/>
    <col min="663" max="663" width="13.5" bestFit="1" customWidth="1"/>
    <col min="664" max="664" width="10" bestFit="1" customWidth="1"/>
    <col min="665" max="665" width="11.5703125" bestFit="1" customWidth="1"/>
    <col min="666" max="666" width="16.0703125" bestFit="1" customWidth="1"/>
    <col min="667" max="667" width="13.5703125" bestFit="1" customWidth="1"/>
    <col min="668" max="668" width="11.0703125" bestFit="1" customWidth="1"/>
    <col min="669" max="669" width="11.85546875" bestFit="1" customWidth="1"/>
    <col min="670" max="670" width="12.140625" bestFit="1" customWidth="1"/>
    <col min="671" max="671" width="13" bestFit="1" customWidth="1"/>
    <col min="672" max="672" width="16.140625" bestFit="1" customWidth="1"/>
    <col min="673" max="673" width="12.92578125" bestFit="1" customWidth="1"/>
    <col min="674" max="674" width="12.28515625" bestFit="1" customWidth="1"/>
    <col min="675" max="675" width="12.92578125" bestFit="1" customWidth="1"/>
    <col min="676" max="676" width="11.5" bestFit="1" customWidth="1"/>
    <col min="677" max="677" width="14.5703125" bestFit="1" customWidth="1"/>
    <col min="678" max="678" width="16.0703125" bestFit="1" customWidth="1"/>
    <col min="679" max="679" width="16.140625" bestFit="1" customWidth="1"/>
    <col min="680" max="680" width="15.0703125" bestFit="1" customWidth="1"/>
    <col min="681" max="681" width="12.35546875" bestFit="1" customWidth="1"/>
    <col min="682" max="682" width="17.7109375" bestFit="1" customWidth="1"/>
    <col min="683" max="683" width="15.5" bestFit="1" customWidth="1"/>
    <col min="684" max="684" width="15" bestFit="1" customWidth="1"/>
    <col min="685" max="685" width="10.5" bestFit="1" customWidth="1"/>
    <col min="686" max="686" width="13.640625" bestFit="1" customWidth="1"/>
    <col min="687" max="687" width="15" bestFit="1" customWidth="1"/>
    <col min="688" max="688" width="13.28515625" bestFit="1" customWidth="1"/>
    <col min="689" max="689" width="12.92578125" bestFit="1" customWidth="1"/>
    <col min="690" max="690" width="19" bestFit="1" customWidth="1"/>
    <col min="691" max="691" width="12.92578125" bestFit="1" customWidth="1"/>
    <col min="692" max="692" width="12.2109375" bestFit="1" customWidth="1"/>
    <col min="693" max="693" width="18.85546875" bestFit="1" customWidth="1"/>
    <col min="694" max="694" width="8.7109375" bestFit="1" customWidth="1"/>
    <col min="695" max="695" width="17.7109375" bestFit="1" customWidth="1"/>
    <col min="696" max="696" width="17.85546875" bestFit="1" customWidth="1"/>
    <col min="697" max="697" width="13.7109375" bestFit="1" customWidth="1"/>
    <col min="698" max="698" width="20.85546875" bestFit="1" customWidth="1"/>
    <col min="699" max="699" width="15.28515625" bestFit="1" customWidth="1"/>
    <col min="700" max="700" width="10" bestFit="1" customWidth="1"/>
    <col min="701" max="701" width="9.78515625" bestFit="1" customWidth="1"/>
    <col min="702" max="702" width="15.640625" bestFit="1" customWidth="1"/>
    <col min="703" max="703" width="15.42578125" bestFit="1" customWidth="1"/>
    <col min="704" max="704" width="18.640625" bestFit="1" customWidth="1"/>
    <col min="705" max="705" width="14.140625" bestFit="1" customWidth="1"/>
    <col min="706" max="706" width="14.78515625" bestFit="1" customWidth="1"/>
    <col min="707" max="707" width="18" bestFit="1" customWidth="1"/>
    <col min="708" max="708" width="13.640625" bestFit="1" customWidth="1"/>
    <col min="709" max="709" width="11" bestFit="1" customWidth="1"/>
    <col min="710" max="710" width="11.640625" bestFit="1" customWidth="1"/>
    <col min="711" max="711" width="9.78515625" bestFit="1" customWidth="1"/>
    <col min="712" max="712" width="13.28515625" bestFit="1" customWidth="1"/>
    <col min="713" max="713" width="16.140625" bestFit="1" customWidth="1"/>
    <col min="714" max="714" width="14.85546875" bestFit="1" customWidth="1"/>
    <col min="715" max="715" width="12.5" bestFit="1" customWidth="1"/>
    <col min="716" max="716" width="12" bestFit="1" customWidth="1"/>
    <col min="717" max="717" width="11.2109375" bestFit="1" customWidth="1"/>
    <col min="718" max="718" width="13.2109375" bestFit="1" customWidth="1"/>
    <col min="719" max="719" width="12.640625" bestFit="1" customWidth="1"/>
    <col min="720" max="720" width="13.7109375" bestFit="1" customWidth="1"/>
    <col min="721" max="721" width="11.7109375" bestFit="1" customWidth="1"/>
    <col min="722" max="722" width="12.5703125" bestFit="1" customWidth="1"/>
    <col min="723" max="723" width="14.42578125" bestFit="1" customWidth="1"/>
    <col min="724" max="724" width="11.42578125" bestFit="1" customWidth="1"/>
    <col min="725" max="725" width="13.0703125" bestFit="1" customWidth="1"/>
    <col min="726" max="727" width="17.140625" bestFit="1" customWidth="1"/>
    <col min="728" max="728" width="13.7109375" bestFit="1" customWidth="1"/>
    <col min="729" max="729" width="10.5703125" bestFit="1" customWidth="1"/>
    <col min="730" max="730" width="11.640625" bestFit="1" customWidth="1"/>
    <col min="731" max="731" width="14.42578125" bestFit="1" customWidth="1"/>
    <col min="732" max="732" width="15.2109375" bestFit="1" customWidth="1"/>
    <col min="733" max="733" width="14.140625" bestFit="1" customWidth="1"/>
    <col min="734" max="734" width="15.28515625" bestFit="1" customWidth="1"/>
    <col min="735" max="735" width="10.5" bestFit="1" customWidth="1"/>
    <col min="736" max="736" width="9.5" bestFit="1" customWidth="1"/>
    <col min="737" max="737" width="10.7109375" bestFit="1" customWidth="1"/>
    <col min="738" max="738" width="12.35546875" bestFit="1" customWidth="1"/>
    <col min="739" max="739" width="13.7109375" bestFit="1" customWidth="1"/>
    <col min="740" max="740" width="15.92578125" bestFit="1" customWidth="1"/>
    <col min="741" max="741" width="14" bestFit="1" customWidth="1"/>
    <col min="742" max="742" width="15.7109375" bestFit="1" customWidth="1"/>
    <col min="743" max="743" width="9.28515625" bestFit="1" customWidth="1"/>
    <col min="744" max="744" width="14.92578125" bestFit="1" customWidth="1"/>
    <col min="745" max="745" width="10.85546875" bestFit="1" customWidth="1"/>
    <col min="746" max="746" width="11.85546875" bestFit="1" customWidth="1"/>
    <col min="747" max="747" width="12.140625" bestFit="1" customWidth="1"/>
    <col min="748" max="748" width="14.7109375" bestFit="1" customWidth="1"/>
    <col min="749" max="749" width="14.140625" bestFit="1" customWidth="1"/>
    <col min="750" max="750" width="13.2109375" bestFit="1" customWidth="1"/>
    <col min="751" max="751" width="9.28515625" bestFit="1" customWidth="1"/>
    <col min="752" max="752" width="13.92578125" bestFit="1" customWidth="1"/>
    <col min="753" max="753" width="10.92578125" bestFit="1" customWidth="1"/>
    <col min="754" max="754" width="13.5703125" bestFit="1" customWidth="1"/>
    <col min="755" max="755" width="17.2109375" bestFit="1" customWidth="1"/>
    <col min="756" max="756" width="17.78515625" bestFit="1" customWidth="1"/>
    <col min="757" max="757" width="9.0703125" bestFit="1" customWidth="1"/>
    <col min="758" max="758" width="17.7109375" bestFit="1" customWidth="1"/>
    <col min="759" max="759" width="12.140625" bestFit="1" customWidth="1"/>
    <col min="760" max="760" width="12" bestFit="1" customWidth="1"/>
    <col min="761" max="761" width="12.7109375" bestFit="1" customWidth="1"/>
    <col min="762" max="762" width="13.0703125" bestFit="1" customWidth="1"/>
    <col min="763" max="763" width="9.85546875" bestFit="1" customWidth="1"/>
    <col min="764" max="764" width="15.7109375" bestFit="1" customWidth="1"/>
    <col min="765" max="765" width="16.140625" bestFit="1" customWidth="1"/>
    <col min="766" max="766" width="17.85546875" bestFit="1" customWidth="1"/>
    <col min="767" max="767" width="12.42578125" bestFit="1" customWidth="1"/>
    <col min="768" max="768" width="8.640625" bestFit="1" customWidth="1"/>
    <col min="769" max="769" width="10.78515625" bestFit="1" customWidth="1"/>
    <col min="770" max="770" width="11.85546875" bestFit="1" customWidth="1"/>
    <col min="771" max="771" width="12.5" bestFit="1" customWidth="1"/>
    <col min="772" max="772" width="12.78515625" bestFit="1" customWidth="1"/>
    <col min="773" max="773" width="12.140625" bestFit="1" customWidth="1"/>
    <col min="774" max="774" width="15.0703125" bestFit="1" customWidth="1"/>
    <col min="775" max="775" width="11.85546875" bestFit="1" customWidth="1"/>
    <col min="776" max="776" width="12.2109375" bestFit="1" customWidth="1"/>
    <col min="777" max="777" width="11.78515625" bestFit="1" customWidth="1"/>
    <col min="778" max="778" width="11.640625" bestFit="1" customWidth="1"/>
    <col min="779" max="779" width="10.640625" bestFit="1" customWidth="1"/>
    <col min="780" max="780" width="12.35546875" bestFit="1" customWidth="1"/>
    <col min="781" max="781" width="9.35546875" bestFit="1" customWidth="1"/>
    <col min="782" max="782" width="16.35546875" bestFit="1" customWidth="1"/>
    <col min="783" max="783" width="14.42578125" bestFit="1" customWidth="1"/>
    <col min="784" max="784" width="11.28515625" bestFit="1" customWidth="1"/>
    <col min="785" max="785" width="10.42578125" bestFit="1" customWidth="1"/>
    <col min="786" max="786" width="8.78515625" bestFit="1" customWidth="1"/>
    <col min="787" max="787" width="15.7109375" bestFit="1" customWidth="1"/>
    <col min="788" max="788" width="10" bestFit="1" customWidth="1"/>
    <col min="789" max="789" width="13.640625" bestFit="1" customWidth="1"/>
    <col min="790" max="790" width="13.2109375" bestFit="1" customWidth="1"/>
    <col min="791" max="791" width="13.5703125" bestFit="1" customWidth="1"/>
    <col min="792" max="793" width="14.640625" bestFit="1" customWidth="1"/>
    <col min="794" max="794" width="16.140625" bestFit="1" customWidth="1"/>
    <col min="795" max="795" width="13.42578125" bestFit="1" customWidth="1"/>
    <col min="796" max="796" width="11.28515625" bestFit="1" customWidth="1"/>
    <col min="797" max="797" width="12.5" bestFit="1" customWidth="1"/>
    <col min="798" max="798" width="11.5703125" bestFit="1" customWidth="1"/>
    <col min="799" max="799" width="15.28515625" bestFit="1" customWidth="1"/>
    <col min="800" max="800" width="10.35546875" bestFit="1" customWidth="1"/>
    <col min="801" max="801" width="13.28515625" bestFit="1" customWidth="1"/>
    <col min="802" max="802" width="9.28515625" bestFit="1" customWidth="1"/>
    <col min="803" max="803" width="10.35546875" bestFit="1" customWidth="1"/>
    <col min="804" max="804" width="12.0703125" bestFit="1" customWidth="1"/>
    <col min="805" max="805" width="11.78515625" bestFit="1" customWidth="1"/>
    <col min="806" max="806" width="14.140625" bestFit="1" customWidth="1"/>
    <col min="807" max="807" width="19.5703125" bestFit="1" customWidth="1"/>
    <col min="808" max="808" width="10.640625" bestFit="1" customWidth="1"/>
    <col min="809" max="809" width="11.7109375" bestFit="1" customWidth="1"/>
    <col min="810" max="810" width="15.0703125" bestFit="1" customWidth="1"/>
    <col min="811" max="811" width="13.5" bestFit="1" customWidth="1"/>
    <col min="812" max="812" width="18.42578125" bestFit="1" customWidth="1"/>
    <col min="813" max="813" width="12.5703125" bestFit="1" customWidth="1"/>
    <col min="814" max="814" width="10.0703125" bestFit="1" customWidth="1"/>
    <col min="815" max="815" width="9.78515625" bestFit="1" customWidth="1"/>
    <col min="816" max="816" width="10.85546875" bestFit="1" customWidth="1"/>
    <col min="817" max="817" width="10.7109375" bestFit="1" customWidth="1"/>
    <col min="818" max="818" width="16.7109375" bestFit="1" customWidth="1"/>
    <col min="819" max="819" width="13.78515625" bestFit="1" customWidth="1"/>
    <col min="820" max="820" width="16.0703125" bestFit="1" customWidth="1"/>
    <col min="821" max="821" width="11.92578125" bestFit="1" customWidth="1"/>
    <col min="822" max="822" width="14.5" bestFit="1" customWidth="1"/>
    <col min="823" max="823" width="11.7109375" bestFit="1" customWidth="1"/>
    <col min="824" max="824" width="17.5" bestFit="1" customWidth="1"/>
    <col min="825" max="825" width="19.140625" bestFit="1" customWidth="1"/>
    <col min="826" max="826" width="11.28515625" bestFit="1" customWidth="1"/>
    <col min="827" max="827" width="13.85546875" bestFit="1" customWidth="1"/>
    <col min="828" max="828" width="16.2109375" bestFit="1" customWidth="1"/>
    <col min="829" max="829" width="10.5" bestFit="1" customWidth="1"/>
    <col min="830" max="830" width="9.78515625" bestFit="1" customWidth="1"/>
    <col min="831" max="831" width="12.42578125" bestFit="1" customWidth="1"/>
    <col min="832" max="832" width="12.78515625" bestFit="1" customWidth="1"/>
    <col min="833" max="833" width="14.78515625" bestFit="1" customWidth="1"/>
    <col min="834" max="834" width="11.0703125" bestFit="1" customWidth="1"/>
    <col min="835" max="835" width="14.28515625" bestFit="1" customWidth="1"/>
    <col min="836" max="836" width="17.85546875" bestFit="1" customWidth="1"/>
    <col min="837" max="837" width="10.35546875" bestFit="1" customWidth="1"/>
    <col min="838" max="838" width="12" bestFit="1" customWidth="1"/>
    <col min="839" max="839" width="12.2109375" bestFit="1" customWidth="1"/>
    <col min="840" max="840" width="9.85546875" bestFit="1" customWidth="1"/>
    <col min="841" max="841" width="14.2109375" bestFit="1" customWidth="1"/>
    <col min="842" max="842" width="12.35546875" bestFit="1" customWidth="1"/>
    <col min="843" max="843" width="13.0703125" bestFit="1" customWidth="1"/>
    <col min="844" max="844" width="10.2109375" bestFit="1" customWidth="1"/>
    <col min="845" max="845" width="9.2109375" bestFit="1" customWidth="1"/>
    <col min="846" max="846" width="14.35546875" bestFit="1" customWidth="1"/>
    <col min="847" max="847" width="7.7109375" bestFit="1" customWidth="1"/>
    <col min="848" max="848" width="11.7109375" bestFit="1" customWidth="1"/>
    <col min="849" max="849" width="20.35546875" bestFit="1" customWidth="1"/>
    <col min="850" max="850" width="10.5" bestFit="1" customWidth="1"/>
    <col min="851" max="851" width="15.5703125" bestFit="1" customWidth="1"/>
    <col min="852" max="852" width="7.28515625" bestFit="1" customWidth="1"/>
    <col min="853" max="853" width="11.0703125" bestFit="1" customWidth="1"/>
    <col min="854" max="854" width="13.92578125" bestFit="1" customWidth="1"/>
    <col min="855" max="855" width="13.78515625" bestFit="1" customWidth="1"/>
    <col min="856" max="856" width="11.0703125" bestFit="1" customWidth="1"/>
    <col min="857" max="857" width="12.140625" bestFit="1" customWidth="1"/>
    <col min="858" max="858" width="11.85546875" bestFit="1" customWidth="1"/>
    <col min="859" max="859" width="12.92578125" bestFit="1" customWidth="1"/>
    <col min="860" max="860" width="11.5" bestFit="1" customWidth="1"/>
    <col min="861" max="861" width="8.92578125" bestFit="1" customWidth="1"/>
    <col min="862" max="862" width="11.85546875" bestFit="1" customWidth="1"/>
    <col min="863" max="863" width="15.78515625" bestFit="1" customWidth="1"/>
    <col min="864" max="864" width="8.0703125" bestFit="1" customWidth="1"/>
    <col min="865" max="865" width="9.42578125" bestFit="1" customWidth="1"/>
    <col min="866" max="866" width="11.85546875" bestFit="1" customWidth="1"/>
    <col min="867" max="867" width="8.640625" bestFit="1" customWidth="1"/>
    <col min="868" max="868" width="15" bestFit="1" customWidth="1"/>
    <col min="869" max="869" width="16.85546875" bestFit="1" customWidth="1"/>
    <col min="870" max="870" width="11.5703125" bestFit="1" customWidth="1"/>
    <col min="871" max="871" width="14.640625" bestFit="1" customWidth="1"/>
    <col min="872" max="872" width="11.5703125" bestFit="1" customWidth="1"/>
    <col min="873" max="873" width="17" bestFit="1" customWidth="1"/>
    <col min="874" max="874" width="16.85546875" bestFit="1" customWidth="1"/>
    <col min="875" max="875" width="14.5703125" bestFit="1" customWidth="1"/>
    <col min="876" max="876" width="12.92578125" bestFit="1" customWidth="1"/>
    <col min="877" max="877" width="11.5" bestFit="1" customWidth="1"/>
    <col min="878" max="878" width="10.42578125" bestFit="1" customWidth="1"/>
    <col min="879" max="879" width="10.85546875" bestFit="1" customWidth="1"/>
    <col min="880" max="880" width="11.28515625" bestFit="1" customWidth="1"/>
    <col min="881" max="881" width="10" bestFit="1" customWidth="1"/>
    <col min="882" max="882" width="12.78515625" bestFit="1" customWidth="1"/>
    <col min="883" max="883" width="13.5703125" bestFit="1" customWidth="1"/>
    <col min="884" max="884" width="13.0703125" bestFit="1" customWidth="1"/>
    <col min="885" max="885" width="11.35546875" bestFit="1" customWidth="1"/>
    <col min="886" max="886" width="13" bestFit="1" customWidth="1"/>
    <col min="887" max="887" width="8.92578125" bestFit="1" customWidth="1"/>
    <col min="888" max="888" width="7.85546875" bestFit="1" customWidth="1"/>
    <col min="889" max="889" width="7.35546875" bestFit="1" customWidth="1"/>
    <col min="890" max="890" width="13.5" bestFit="1" customWidth="1"/>
    <col min="891" max="891" width="14.0703125" bestFit="1" customWidth="1"/>
    <col min="892" max="892" width="10.42578125" bestFit="1" customWidth="1"/>
    <col min="893" max="893" width="17.0703125" bestFit="1" customWidth="1"/>
    <col min="894" max="894" width="16.0703125" bestFit="1" customWidth="1"/>
    <col min="895" max="895" width="15.5" bestFit="1" customWidth="1"/>
    <col min="896" max="896" width="14.640625" bestFit="1" customWidth="1"/>
    <col min="897" max="897" width="23.92578125" bestFit="1" customWidth="1"/>
    <col min="898" max="898" width="15.5" bestFit="1" customWidth="1"/>
    <col min="899" max="899" width="12.640625" bestFit="1" customWidth="1"/>
    <col min="900" max="900" width="13.5703125" bestFit="1" customWidth="1"/>
    <col min="901" max="901" width="10.85546875" bestFit="1" customWidth="1"/>
    <col min="902" max="902" width="13.35546875" bestFit="1" customWidth="1"/>
    <col min="903" max="903" width="15.140625" bestFit="1" customWidth="1"/>
    <col min="904" max="904" width="10.42578125" bestFit="1" customWidth="1"/>
    <col min="905" max="905" width="10.640625" bestFit="1" customWidth="1"/>
    <col min="906" max="906" width="13.2109375" bestFit="1" customWidth="1"/>
    <col min="907" max="907" width="10.7109375" bestFit="1" customWidth="1"/>
    <col min="908" max="908" width="14.35546875" bestFit="1" customWidth="1"/>
    <col min="909" max="909" width="10.2109375" bestFit="1" customWidth="1"/>
    <col min="910" max="910" width="13.140625" bestFit="1" customWidth="1"/>
    <col min="911" max="911" width="11.92578125" bestFit="1" customWidth="1"/>
    <col min="912" max="912" width="9.7109375" bestFit="1" customWidth="1"/>
    <col min="913" max="913" width="12.5" bestFit="1" customWidth="1"/>
    <col min="914" max="914" width="12.85546875" bestFit="1" customWidth="1"/>
    <col min="915" max="915" width="11.2109375" bestFit="1" customWidth="1"/>
    <col min="916" max="916" width="15.0703125" bestFit="1" customWidth="1"/>
    <col min="917" max="917" width="13.2109375" bestFit="1" customWidth="1"/>
    <col min="918" max="918" width="14.85546875" bestFit="1" customWidth="1"/>
    <col min="919" max="919" width="13.140625" bestFit="1" customWidth="1"/>
    <col min="920" max="920" width="10.28515625" bestFit="1" customWidth="1"/>
    <col min="921" max="921" width="11.640625" bestFit="1" customWidth="1"/>
    <col min="922" max="922" width="11.140625" bestFit="1" customWidth="1"/>
    <col min="923" max="923" width="10.5703125" bestFit="1" customWidth="1"/>
    <col min="924" max="924" width="12.5703125" bestFit="1" customWidth="1"/>
    <col min="925" max="925" width="15.42578125" bestFit="1" customWidth="1"/>
    <col min="926" max="926" width="9.85546875" bestFit="1" customWidth="1"/>
    <col min="927" max="927" width="14.28515625" bestFit="1" customWidth="1"/>
    <col min="929" max="929" width="13.0703125" bestFit="1" customWidth="1"/>
    <col min="930" max="930" width="12.92578125" bestFit="1" customWidth="1"/>
    <col min="931" max="931" width="10.7109375" bestFit="1" customWidth="1"/>
    <col min="932" max="932" width="13.2109375" bestFit="1" customWidth="1"/>
    <col min="933" max="933" width="15" bestFit="1" customWidth="1"/>
    <col min="934" max="934" width="9.85546875" bestFit="1" customWidth="1"/>
    <col min="935" max="935" width="11.35546875" bestFit="1" customWidth="1"/>
    <col min="936" max="936" width="7.7109375" bestFit="1" customWidth="1"/>
    <col min="937" max="937" width="10.42578125" bestFit="1" customWidth="1"/>
    <col min="938" max="938" width="8.0703125" bestFit="1" customWidth="1"/>
    <col min="939" max="939" width="9" bestFit="1" customWidth="1"/>
    <col min="940" max="940" width="9.0703125" bestFit="1" customWidth="1"/>
    <col min="941" max="941" width="11.640625" bestFit="1" customWidth="1"/>
    <col min="942" max="942" width="12.35546875" bestFit="1" customWidth="1"/>
    <col min="943" max="943" width="10.7109375" bestFit="1" customWidth="1"/>
    <col min="944" max="944" width="16.42578125" bestFit="1" customWidth="1"/>
    <col min="945" max="945" width="22.0703125" bestFit="1" customWidth="1"/>
    <col min="946" max="946" width="13.78515625" bestFit="1" customWidth="1"/>
    <col min="947" max="947" width="13.92578125" bestFit="1" customWidth="1"/>
    <col min="948" max="948" width="11.140625" bestFit="1" customWidth="1"/>
    <col min="949" max="949" width="12.78515625" bestFit="1" customWidth="1"/>
    <col min="950" max="950" width="11.42578125" bestFit="1" customWidth="1"/>
    <col min="951" max="951" width="21.2109375" bestFit="1" customWidth="1"/>
    <col min="952" max="952" width="15.7109375" bestFit="1" customWidth="1"/>
    <col min="953" max="953" width="10.42578125" bestFit="1" customWidth="1"/>
    <col min="954" max="954" width="13.28515625" bestFit="1" customWidth="1"/>
    <col min="955" max="955" width="16.28515625" bestFit="1" customWidth="1"/>
    <col min="956" max="956" width="13.7109375" bestFit="1" customWidth="1"/>
    <col min="957" max="957" width="14.42578125" bestFit="1" customWidth="1"/>
    <col min="958" max="958" width="15.5703125" bestFit="1" customWidth="1"/>
    <col min="959" max="959" width="17" bestFit="1" customWidth="1"/>
    <col min="960" max="960" width="15.5703125" bestFit="1" customWidth="1"/>
    <col min="961" max="961" width="11.92578125" bestFit="1" customWidth="1"/>
    <col min="962" max="962" width="8.35546875" bestFit="1" customWidth="1"/>
    <col min="963" max="963" width="10.7109375" bestFit="1" customWidth="1"/>
    <col min="964" max="964" width="14.42578125" bestFit="1" customWidth="1"/>
    <col min="965" max="965" width="11.85546875" bestFit="1" customWidth="1"/>
    <col min="966" max="966" width="12" bestFit="1" customWidth="1"/>
    <col min="967" max="967" width="14.2109375" bestFit="1" customWidth="1"/>
    <col min="968" max="968" width="12.85546875" bestFit="1" customWidth="1"/>
    <col min="969" max="969" width="16.28515625" bestFit="1" customWidth="1"/>
    <col min="970" max="970" width="18.140625" bestFit="1" customWidth="1"/>
    <col min="971" max="971" width="13.140625" bestFit="1" customWidth="1"/>
    <col min="972" max="972" width="15.0703125" bestFit="1" customWidth="1"/>
    <col min="973" max="973" width="12.640625" bestFit="1" customWidth="1"/>
    <col min="974" max="974" width="15.92578125" bestFit="1" customWidth="1"/>
    <col min="975" max="975" width="12.78515625" bestFit="1" customWidth="1"/>
    <col min="976" max="976" width="16.35546875" bestFit="1" customWidth="1"/>
    <col min="977" max="977" width="13.2109375" bestFit="1" customWidth="1"/>
    <col min="978" max="978" width="13.140625" bestFit="1" customWidth="1"/>
    <col min="979" max="979" width="15.85546875" bestFit="1" customWidth="1"/>
    <col min="980" max="980" width="11.5703125" bestFit="1" customWidth="1"/>
    <col min="981" max="981" width="13.92578125" bestFit="1" customWidth="1"/>
    <col min="982" max="982" width="11.2109375" bestFit="1" customWidth="1"/>
    <col min="983" max="983" width="14.92578125" bestFit="1" customWidth="1"/>
    <col min="984" max="985" width="12.35546875" bestFit="1" customWidth="1"/>
    <col min="986" max="986" width="18.140625" bestFit="1" customWidth="1"/>
    <col min="987" max="987" width="13.7109375" bestFit="1" customWidth="1"/>
    <col min="988" max="988" width="15.0703125" bestFit="1" customWidth="1"/>
    <col min="989" max="989" width="15.2109375" bestFit="1" customWidth="1"/>
    <col min="990" max="990" width="13" bestFit="1" customWidth="1"/>
    <col min="991" max="992" width="11.7109375" bestFit="1" customWidth="1"/>
    <col min="993" max="993" width="11.28515625" bestFit="1" customWidth="1"/>
    <col min="994" max="994" width="12.42578125" bestFit="1" customWidth="1"/>
    <col min="995" max="995" width="15.5" bestFit="1" customWidth="1"/>
    <col min="996" max="996" width="16.78515625" bestFit="1" customWidth="1"/>
    <col min="997" max="997" width="8.92578125" bestFit="1" customWidth="1"/>
    <col min="998" max="998" width="15.5703125" bestFit="1" customWidth="1"/>
    <col min="999" max="999" width="12.85546875" bestFit="1" customWidth="1"/>
    <col min="1000" max="1000" width="15" bestFit="1" customWidth="1"/>
    <col min="1001" max="1001" width="15.92578125" bestFit="1" customWidth="1"/>
    <col min="1002" max="1002" width="11.640625" bestFit="1" customWidth="1"/>
    <col min="1003" max="1003" width="18.7109375" bestFit="1" customWidth="1"/>
    <col min="1004" max="1004" width="11.85546875" bestFit="1" customWidth="1"/>
    <col min="1005" max="1005" width="7.85546875" bestFit="1" customWidth="1"/>
    <col min="1006" max="1006" width="10.2109375" bestFit="1" customWidth="1"/>
    <col min="1007" max="1007" width="16.85546875" bestFit="1" customWidth="1"/>
    <col min="1008" max="1008" width="14.640625" bestFit="1" customWidth="1"/>
    <col min="1009" max="1009" width="12.640625" bestFit="1" customWidth="1"/>
    <col min="1010" max="1010" width="14.5703125" bestFit="1" customWidth="1"/>
    <col min="1011" max="1011" width="10.92578125" bestFit="1" customWidth="1"/>
    <col min="1012" max="1012" width="14.640625" bestFit="1" customWidth="1"/>
    <col min="1013" max="1013" width="11.92578125" bestFit="1" customWidth="1"/>
    <col min="1014" max="1014" width="11.0703125" bestFit="1" customWidth="1"/>
    <col min="1015" max="1015" width="14.0703125" bestFit="1" customWidth="1"/>
    <col min="1016" max="1016" width="11.0703125" bestFit="1" customWidth="1"/>
    <col min="1017" max="1017" width="12.5" bestFit="1" customWidth="1"/>
    <col min="1018" max="1018" width="12.5703125" bestFit="1" customWidth="1"/>
    <col min="1019" max="1019" width="11.640625" bestFit="1" customWidth="1"/>
    <col min="1020" max="1020" width="13.7109375" bestFit="1" customWidth="1"/>
    <col min="1021" max="1021" width="15.85546875" bestFit="1" customWidth="1"/>
    <col min="1022" max="1022" width="13" bestFit="1" customWidth="1"/>
    <col min="1023" max="1023" width="12.92578125" bestFit="1" customWidth="1"/>
    <col min="1024" max="1024" width="14.78515625" bestFit="1" customWidth="1"/>
    <col min="1025" max="1025" width="8.92578125" bestFit="1" customWidth="1"/>
    <col min="1026" max="1026" width="8.7109375" bestFit="1" customWidth="1"/>
    <col min="1027" max="1027" width="10.5" bestFit="1" customWidth="1"/>
    <col min="1028" max="1028" width="14.0703125" bestFit="1" customWidth="1"/>
    <col min="1029" max="1029" width="13.140625" bestFit="1" customWidth="1"/>
    <col min="1030" max="1030" width="10.640625" bestFit="1" customWidth="1"/>
    <col min="1031" max="1031" width="9.7109375" bestFit="1" customWidth="1"/>
    <col min="1032" max="1032" width="13.5" bestFit="1" customWidth="1"/>
    <col min="1033" max="1033" width="18.28515625" bestFit="1" customWidth="1"/>
    <col min="1034" max="1034" width="12" bestFit="1" customWidth="1"/>
    <col min="1035" max="1035" width="18.42578125" bestFit="1" customWidth="1"/>
    <col min="1036" max="1036" width="13.7109375" bestFit="1" customWidth="1"/>
    <col min="1037" max="1037" width="13.35546875" bestFit="1" customWidth="1"/>
    <col min="1038" max="1038" width="14.2109375" bestFit="1" customWidth="1"/>
    <col min="1039" max="1039" width="15.78515625" bestFit="1" customWidth="1"/>
    <col min="1040" max="1040" width="23.92578125" bestFit="1" customWidth="1"/>
    <col min="1041" max="1041" width="17.35546875" bestFit="1" customWidth="1"/>
    <col min="1042" max="1042" width="9.42578125" bestFit="1" customWidth="1"/>
    <col min="1043" max="1043" width="15.2109375" bestFit="1" customWidth="1"/>
    <col min="1044" max="1044" width="13" bestFit="1" customWidth="1"/>
    <col min="1045" max="1045" width="10.28515625" bestFit="1" customWidth="1"/>
    <col min="1046" max="1046" width="11.140625" bestFit="1" customWidth="1"/>
    <col min="1047" max="1047" width="10.92578125" bestFit="1" customWidth="1"/>
    <col min="1048" max="1048" width="12.2109375" bestFit="1" customWidth="1"/>
    <col min="1049" max="1049" width="12.35546875" bestFit="1" customWidth="1"/>
    <col min="1050" max="1050" width="10.85546875" bestFit="1" customWidth="1"/>
    <col min="1051" max="1051" width="13.140625" bestFit="1" customWidth="1"/>
    <col min="1052" max="1052" width="11.28515625" bestFit="1" customWidth="1"/>
    <col min="1053" max="1053" width="9.5703125" bestFit="1" customWidth="1"/>
    <col min="1054" max="1054" width="13.5703125" bestFit="1" customWidth="1"/>
    <col min="1055" max="1055" width="9.7109375" bestFit="1" customWidth="1"/>
    <col min="1056" max="1056" width="13.28515625" bestFit="1" customWidth="1"/>
    <col min="1057" max="1057" width="14.5703125" bestFit="1" customWidth="1"/>
    <col min="1058" max="1058" width="11.7109375" bestFit="1" customWidth="1"/>
    <col min="1059" max="1059" width="15.5" bestFit="1" customWidth="1"/>
    <col min="1060" max="1060" width="18.5" bestFit="1" customWidth="1"/>
    <col min="1061" max="1061" width="12.92578125" bestFit="1" customWidth="1"/>
    <col min="1062" max="1062" width="12.5" bestFit="1" customWidth="1"/>
    <col min="1063" max="1063" width="13.5" bestFit="1" customWidth="1"/>
    <col min="1064" max="1064" width="9.2109375" bestFit="1" customWidth="1"/>
    <col min="1065" max="1065" width="13.92578125" bestFit="1" customWidth="1"/>
    <col min="1066" max="1066" width="11.0703125" bestFit="1" customWidth="1"/>
    <col min="1067" max="1067" width="13.85546875" bestFit="1" customWidth="1"/>
    <col min="1068" max="1068" width="12.2109375" bestFit="1" customWidth="1"/>
    <col min="1069" max="1069" width="13.640625" bestFit="1" customWidth="1"/>
    <col min="1071" max="1071" width="14.5" bestFit="1" customWidth="1"/>
    <col min="1072" max="1072" width="13.640625" bestFit="1" customWidth="1"/>
    <col min="1073" max="1073" width="10.5" bestFit="1" customWidth="1"/>
    <col min="1074" max="1074" width="16.42578125" bestFit="1" customWidth="1"/>
    <col min="1075" max="1075" width="9.78515625" bestFit="1" customWidth="1"/>
    <col min="1076" max="1076" width="12.85546875" bestFit="1" customWidth="1"/>
    <col min="1077" max="1077" width="14.35546875" bestFit="1" customWidth="1"/>
    <col min="1078" max="1078" width="9.0703125" bestFit="1" customWidth="1"/>
    <col min="1079" max="1079" width="11.7109375" bestFit="1" customWidth="1"/>
    <col min="1080" max="1080" width="11.2109375" bestFit="1" customWidth="1"/>
    <col min="1081" max="1081" width="11.5703125" bestFit="1" customWidth="1"/>
    <col min="1082" max="1082" width="11.640625" bestFit="1" customWidth="1"/>
    <col min="1083" max="1083" width="11.5703125" bestFit="1" customWidth="1"/>
    <col min="1084" max="1084" width="11.5" bestFit="1" customWidth="1"/>
    <col min="1085" max="1085" width="16.7109375" bestFit="1" customWidth="1"/>
    <col min="1086" max="1086" width="15.85546875" bestFit="1" customWidth="1"/>
    <col min="1087" max="1087" width="12.2109375" bestFit="1" customWidth="1"/>
    <col min="1088" max="1088" width="9.7109375" bestFit="1" customWidth="1"/>
    <col min="1089" max="1089" width="14.28515625" bestFit="1" customWidth="1"/>
    <col min="1090" max="1090" width="11.0703125" bestFit="1" customWidth="1"/>
    <col min="1091" max="1091" width="13.85546875" bestFit="1" customWidth="1"/>
    <col min="1092" max="1092" width="10.5703125" bestFit="1" customWidth="1"/>
    <col min="1093" max="1093" width="12.92578125" bestFit="1" customWidth="1"/>
    <col min="1094" max="1094" width="11" bestFit="1" customWidth="1"/>
    <col min="1095" max="1095" width="13.2109375" bestFit="1" customWidth="1"/>
    <col min="1096" max="1096" width="9.85546875" bestFit="1" customWidth="1"/>
    <col min="1097" max="1097" width="9.28515625" bestFit="1" customWidth="1"/>
    <col min="1098" max="1098" width="11.2109375" bestFit="1" customWidth="1"/>
    <col min="1099" max="1099" width="9.92578125" bestFit="1" customWidth="1"/>
    <col min="1100" max="1100" width="14.85546875" bestFit="1" customWidth="1"/>
    <col min="1101" max="1101" width="11.0703125" bestFit="1" customWidth="1"/>
    <col min="1102" max="1102" width="13.85546875" bestFit="1" customWidth="1"/>
    <col min="1103" max="1103" width="13.640625" bestFit="1" customWidth="1"/>
    <col min="1104" max="1104" width="14.92578125" bestFit="1" customWidth="1"/>
    <col min="1105" max="1105" width="10.35546875" bestFit="1" customWidth="1"/>
    <col min="1106" max="1106" width="11.92578125" bestFit="1" customWidth="1"/>
    <col min="1107" max="1107" width="13.78515625" bestFit="1" customWidth="1"/>
    <col min="1108" max="1108" width="13.0703125" bestFit="1" customWidth="1"/>
    <col min="1109" max="1109" width="16.5703125" bestFit="1" customWidth="1"/>
    <col min="1110" max="1110" width="14.28515625" bestFit="1" customWidth="1"/>
    <col min="1111" max="1111" width="13" bestFit="1" customWidth="1"/>
    <col min="1112" max="1112" width="16.35546875" bestFit="1" customWidth="1"/>
    <col min="1113" max="1113" width="14.28515625" bestFit="1" customWidth="1"/>
    <col min="1114" max="1114" width="9.640625" bestFit="1" customWidth="1"/>
    <col min="1115" max="1115" width="13.78515625" bestFit="1" customWidth="1"/>
    <col min="1116" max="1116" width="17.42578125" bestFit="1" customWidth="1"/>
    <col min="1117" max="1117" width="12.92578125" bestFit="1" customWidth="1"/>
    <col min="1118" max="1118" width="13.5" bestFit="1" customWidth="1"/>
    <col min="1119" max="1119" width="17.2109375" bestFit="1" customWidth="1"/>
    <col min="1120" max="1120" width="12.640625" bestFit="1" customWidth="1"/>
    <col min="1121" max="1121" width="10.5" bestFit="1" customWidth="1"/>
    <col min="1122" max="1122" width="9.5703125" bestFit="1" customWidth="1"/>
    <col min="1123" max="1123" width="17" bestFit="1" customWidth="1"/>
    <col min="1124" max="1124" width="13.0703125" bestFit="1" customWidth="1"/>
    <col min="1125" max="1125" width="10.28515625" bestFit="1" customWidth="1"/>
    <col min="1126" max="1126" width="8.5" bestFit="1" customWidth="1"/>
    <col min="1127" max="1127" width="12.78515625" bestFit="1" customWidth="1"/>
    <col min="1128" max="1128" width="12.2109375" bestFit="1" customWidth="1"/>
    <col min="1129" max="1129" width="11.640625" bestFit="1" customWidth="1"/>
    <col min="1130" max="1130" width="17.0703125" bestFit="1" customWidth="1"/>
    <col min="1131" max="1131" width="14.640625" bestFit="1" customWidth="1"/>
    <col min="1132" max="1132" width="14.35546875" bestFit="1" customWidth="1"/>
    <col min="1133" max="1133" width="17.78515625" bestFit="1" customWidth="1"/>
    <col min="1134" max="1134" width="14.640625" bestFit="1" customWidth="1"/>
    <col min="1135" max="1135" width="12.2109375" bestFit="1" customWidth="1"/>
    <col min="1136" max="1136" width="14.92578125" bestFit="1" customWidth="1"/>
    <col min="1137" max="1137" width="12.640625" bestFit="1" customWidth="1"/>
    <col min="1138" max="1138" width="10.28515625" bestFit="1" customWidth="1"/>
    <col min="1139" max="1139" width="12.78515625" bestFit="1" customWidth="1"/>
    <col min="1140" max="1140" width="15.28515625" bestFit="1" customWidth="1"/>
    <col min="1141" max="1141" width="16.28515625" bestFit="1" customWidth="1"/>
    <col min="1142" max="1143" width="12.78515625" bestFit="1" customWidth="1"/>
    <col min="1144" max="1144" width="11.78515625" bestFit="1" customWidth="1"/>
    <col min="1145" max="1145" width="15.28515625" bestFit="1" customWidth="1"/>
    <col min="1146" max="1146" width="14.78515625" bestFit="1" customWidth="1"/>
    <col min="1147" max="1147" width="11" bestFit="1" customWidth="1"/>
    <col min="1148" max="1148" width="13.2109375" bestFit="1" customWidth="1"/>
    <col min="1149" max="1149" width="11.5703125" bestFit="1" customWidth="1"/>
    <col min="1150" max="1150" width="13.2109375" bestFit="1" customWidth="1"/>
    <col min="1151" max="1151" width="15.42578125" bestFit="1" customWidth="1"/>
    <col min="1152" max="1152" width="11.35546875" bestFit="1" customWidth="1"/>
    <col min="1153" max="1153" width="16.42578125" bestFit="1" customWidth="1"/>
    <col min="1154" max="1154" width="11.85546875" bestFit="1" customWidth="1"/>
    <col min="1155" max="1155" width="14.85546875" bestFit="1" customWidth="1"/>
    <col min="1156" max="1156" width="12.28515625" bestFit="1" customWidth="1"/>
    <col min="1157" max="1157" width="13.640625" bestFit="1" customWidth="1"/>
    <col min="1158" max="1158" width="10.7109375" bestFit="1" customWidth="1"/>
    <col min="1159" max="1159" width="13.92578125" bestFit="1" customWidth="1"/>
    <col min="1160" max="1160" width="12.85546875" bestFit="1" customWidth="1"/>
    <col min="1161" max="1161" width="11.28515625" bestFit="1" customWidth="1"/>
    <col min="1162" max="1162" width="13.7109375" bestFit="1" customWidth="1"/>
    <col min="1163" max="1163" width="12" bestFit="1" customWidth="1"/>
    <col min="1164" max="1164" width="18.640625" bestFit="1" customWidth="1"/>
    <col min="1165" max="1165" width="12.5703125" bestFit="1" customWidth="1"/>
    <col min="1166" max="1166" width="11.5" bestFit="1" customWidth="1"/>
    <col min="1167" max="1167" width="11.7109375" bestFit="1" customWidth="1"/>
    <col min="1168" max="1168" width="10.640625" bestFit="1" customWidth="1"/>
    <col min="1169" max="1169" width="13.78515625" bestFit="1" customWidth="1"/>
    <col min="1170" max="1170" width="13.92578125" bestFit="1" customWidth="1"/>
    <col min="1171" max="1171" width="13.5" bestFit="1" customWidth="1"/>
    <col min="1172" max="1172" width="11.5" bestFit="1" customWidth="1"/>
    <col min="1173" max="1173" width="8.92578125" bestFit="1" customWidth="1"/>
    <col min="1174" max="1174" width="11.5703125" bestFit="1" customWidth="1"/>
    <col min="1175" max="1175" width="12.85546875" bestFit="1" customWidth="1"/>
    <col min="1176" max="1176" width="10.35546875" bestFit="1" customWidth="1"/>
    <col min="1177" max="1177" width="14.92578125" bestFit="1" customWidth="1"/>
    <col min="1178" max="1178" width="13" bestFit="1" customWidth="1"/>
    <col min="1179" max="1179" width="14.42578125" bestFit="1" customWidth="1"/>
    <col min="1180" max="1180" width="11" bestFit="1" customWidth="1"/>
    <col min="1181" max="1181" width="10.92578125" bestFit="1" customWidth="1"/>
    <col min="1182" max="1182" width="12.78515625" bestFit="1" customWidth="1"/>
    <col min="1183" max="1183" width="11.28515625" bestFit="1" customWidth="1"/>
    <col min="1184" max="1184" width="12.85546875" bestFit="1" customWidth="1"/>
    <col min="1185" max="1185" width="14.2109375" bestFit="1" customWidth="1"/>
    <col min="1186" max="1186" width="16.28515625" bestFit="1" customWidth="1"/>
    <col min="1187" max="1187" width="18.5" bestFit="1" customWidth="1"/>
    <col min="1188" max="1188" width="13.92578125" bestFit="1" customWidth="1"/>
    <col min="1189" max="1189" width="13.5" bestFit="1" customWidth="1"/>
    <col min="1190" max="1190" width="14.640625" bestFit="1" customWidth="1"/>
    <col min="1191" max="1191" width="12.640625" bestFit="1" customWidth="1"/>
    <col min="1192" max="1192" width="11" bestFit="1" customWidth="1"/>
    <col min="1193" max="1193" width="10.5" bestFit="1" customWidth="1"/>
    <col min="1194" max="1194" width="16.85546875" bestFit="1" customWidth="1"/>
    <col min="1195" max="1195" width="14.42578125" bestFit="1" customWidth="1"/>
    <col min="1196" max="1196" width="16.5" bestFit="1" customWidth="1"/>
    <col min="1197" max="1197" width="12.28515625" bestFit="1" customWidth="1"/>
    <col min="1198" max="1198" width="14.640625" bestFit="1" customWidth="1"/>
    <col min="1199" max="1199" width="12.140625" bestFit="1" customWidth="1"/>
    <col min="1200" max="1200" width="16.42578125" bestFit="1" customWidth="1"/>
    <col min="1201" max="1201" width="10.7109375" bestFit="1" customWidth="1"/>
    <col min="1202" max="1202" width="13.640625" bestFit="1" customWidth="1"/>
    <col min="1203" max="1203" width="13" bestFit="1" customWidth="1"/>
    <col min="1204" max="1204" width="15.35546875" bestFit="1" customWidth="1"/>
    <col min="1205" max="1205" width="14.5" bestFit="1" customWidth="1"/>
    <col min="1206" max="1206" width="15" bestFit="1" customWidth="1"/>
    <col min="1207" max="1207" width="15.85546875" bestFit="1" customWidth="1"/>
    <col min="1208" max="1208" width="15.28515625" bestFit="1" customWidth="1"/>
    <col min="1209" max="1209" width="11.640625" bestFit="1" customWidth="1"/>
    <col min="1210" max="1210" width="13.2109375" bestFit="1" customWidth="1"/>
    <col min="1211" max="1211" width="9.42578125" bestFit="1" customWidth="1"/>
    <col min="1212" max="1212" width="17.35546875" bestFit="1" customWidth="1"/>
    <col min="1213" max="1213" width="15.640625" bestFit="1" customWidth="1"/>
    <col min="1214" max="1214" width="17" bestFit="1" customWidth="1"/>
    <col min="1215" max="1215" width="9.78515625" bestFit="1" customWidth="1"/>
    <col min="1216" max="1216" width="12.78515625" bestFit="1" customWidth="1"/>
    <col min="1217" max="1217" width="15.85546875" bestFit="1" customWidth="1"/>
    <col min="1218" max="1218" width="11.78515625" bestFit="1" customWidth="1"/>
    <col min="1219" max="1219" width="10.7109375" bestFit="1" customWidth="1"/>
    <col min="1220" max="1220" width="15" bestFit="1" customWidth="1"/>
    <col min="1221" max="1221" width="14.85546875" bestFit="1" customWidth="1"/>
    <col min="1222" max="1222" width="15.78515625" bestFit="1" customWidth="1"/>
    <col min="1223" max="1223" width="17.78515625" bestFit="1" customWidth="1"/>
    <col min="1224" max="1224" width="15.42578125" bestFit="1" customWidth="1"/>
    <col min="1225" max="1225" width="18.2109375" bestFit="1" customWidth="1"/>
    <col min="1226" max="1226" width="16.5703125" bestFit="1" customWidth="1"/>
    <col min="1227" max="1227" width="18.42578125" bestFit="1" customWidth="1"/>
    <col min="1228" max="1228" width="19.0703125" bestFit="1" customWidth="1"/>
    <col min="1229" max="1229" width="12" bestFit="1" customWidth="1"/>
    <col min="1230" max="1230" width="11.28515625" bestFit="1" customWidth="1"/>
    <col min="1231" max="1231" width="18.85546875" bestFit="1" customWidth="1"/>
    <col min="1232" max="1232" width="14.2109375" bestFit="1" customWidth="1"/>
    <col min="1233" max="1233" width="15.42578125" bestFit="1" customWidth="1"/>
    <col min="1234" max="1234" width="13.85546875" bestFit="1" customWidth="1"/>
    <col min="1235" max="1235" width="12.2109375" bestFit="1" customWidth="1"/>
    <col min="1236" max="1236" width="11.5" bestFit="1" customWidth="1"/>
    <col min="1237" max="1237" width="11.78515625" bestFit="1" customWidth="1"/>
    <col min="1238" max="1238" width="19" bestFit="1" customWidth="1"/>
    <col min="1239" max="1239" width="13.92578125" bestFit="1" customWidth="1"/>
    <col min="1240" max="1240" width="11.85546875" bestFit="1" customWidth="1"/>
    <col min="1241" max="1241" width="10.85546875" bestFit="1" customWidth="1"/>
    <col min="1242" max="1242" width="11.0703125" bestFit="1" customWidth="1"/>
    <col min="1243" max="1243" width="14.28515625" bestFit="1" customWidth="1"/>
    <col min="1244" max="1244" width="19.78515625" bestFit="1" customWidth="1"/>
    <col min="1245" max="1245" width="21.2109375" bestFit="1" customWidth="1"/>
    <col min="1246" max="1246" width="13.85546875" bestFit="1" customWidth="1"/>
    <col min="1247" max="1247" width="12.92578125" bestFit="1" customWidth="1"/>
    <col min="1248" max="1248" width="11.0703125" bestFit="1" customWidth="1"/>
    <col min="1249" max="1249" width="19.0703125" bestFit="1" customWidth="1"/>
    <col min="1250" max="1250" width="13.85546875" bestFit="1" customWidth="1"/>
    <col min="1251" max="1251" width="12.5" bestFit="1" customWidth="1"/>
    <col min="1252" max="1252" width="13.5" bestFit="1" customWidth="1"/>
    <col min="1253" max="1253" width="16.78515625" bestFit="1" customWidth="1"/>
    <col min="1254" max="1254" width="13.7109375" bestFit="1" customWidth="1"/>
    <col min="1255" max="1255" width="17.35546875" bestFit="1" customWidth="1"/>
    <col min="1256" max="1256" width="15.42578125" bestFit="1" customWidth="1"/>
    <col min="1257" max="1257" width="14.140625" bestFit="1" customWidth="1"/>
    <col min="1258" max="1258" width="9.2109375" bestFit="1" customWidth="1"/>
    <col min="1259" max="1259" width="13" bestFit="1" customWidth="1"/>
    <col min="1260" max="1260" width="11" bestFit="1" customWidth="1"/>
    <col min="1261" max="1261" width="11.640625" bestFit="1" customWidth="1"/>
    <col min="1262" max="1262" width="10.28515625" bestFit="1" customWidth="1"/>
    <col min="1263" max="1263" width="9.7109375" bestFit="1" customWidth="1"/>
    <col min="1264" max="1264" width="9.640625" bestFit="1" customWidth="1"/>
    <col min="1265" max="1265" width="11.640625" bestFit="1" customWidth="1"/>
    <col min="1266" max="1266" width="9.78515625" bestFit="1" customWidth="1"/>
    <col min="1267" max="1267" width="10.640625" bestFit="1" customWidth="1"/>
    <col min="1268" max="1268" width="10.85546875" bestFit="1" customWidth="1"/>
    <col min="1269" max="1269" width="13.0703125" bestFit="1" customWidth="1"/>
    <col min="1270" max="1270" width="8.92578125" bestFit="1" customWidth="1"/>
    <col min="1271" max="1271" width="13.5" bestFit="1" customWidth="1"/>
    <col min="1272" max="1272" width="12.640625" bestFit="1" customWidth="1"/>
    <col min="1273" max="1273" width="14.5" bestFit="1" customWidth="1"/>
    <col min="1274" max="1274" width="8.42578125" bestFit="1" customWidth="1"/>
    <col min="1275" max="1275" width="15.7109375" bestFit="1" customWidth="1"/>
    <col min="1276" max="1276" width="20.140625" bestFit="1" customWidth="1"/>
    <col min="1277" max="1277" width="15.140625" bestFit="1" customWidth="1"/>
    <col min="1278" max="1278" width="14.78515625" bestFit="1" customWidth="1"/>
    <col min="1279" max="1279" width="12.140625" bestFit="1" customWidth="1"/>
    <col min="1280" max="1280" width="10.85546875" bestFit="1" customWidth="1"/>
    <col min="1281" max="1281" width="12.28515625" bestFit="1" customWidth="1"/>
    <col min="1282" max="1282" width="16.2109375" bestFit="1" customWidth="1"/>
    <col min="1283" max="1283" width="13.5703125" bestFit="1" customWidth="1"/>
    <col min="1284" max="1284" width="12" bestFit="1" customWidth="1"/>
    <col min="1285" max="1285" width="13.0703125" bestFit="1" customWidth="1"/>
    <col min="1286" max="1286" width="11.92578125" bestFit="1" customWidth="1"/>
    <col min="1287" max="1287" width="11.35546875" bestFit="1" customWidth="1"/>
    <col min="1288" max="1288" width="13.0703125" bestFit="1" customWidth="1"/>
    <col min="1289" max="1289" width="10.85546875" bestFit="1" customWidth="1"/>
    <col min="1290" max="1290" width="18.140625" bestFit="1" customWidth="1"/>
    <col min="1291" max="1291" width="10.28515625" bestFit="1" customWidth="1"/>
    <col min="1292" max="1292" width="14.140625" bestFit="1" customWidth="1"/>
    <col min="1293" max="1293" width="11" bestFit="1" customWidth="1"/>
    <col min="1294" max="1294" width="10" bestFit="1" customWidth="1"/>
    <col min="1295" max="1295" width="5.140625" bestFit="1" customWidth="1"/>
    <col min="1296" max="1296" width="6.5" bestFit="1" customWidth="1"/>
    <col min="1297" max="1297" width="5.35546875" bestFit="1" customWidth="1"/>
    <col min="1298" max="1298" width="12.640625" bestFit="1" customWidth="1"/>
    <col min="1299" max="1299" width="14.0703125" bestFit="1" customWidth="1"/>
    <col min="1300" max="1300" width="14.5" bestFit="1" customWidth="1"/>
    <col min="1301" max="1301" width="13.92578125" bestFit="1" customWidth="1"/>
    <col min="1302" max="1302" width="9.42578125" bestFit="1" customWidth="1"/>
    <col min="1303" max="1303" width="13.640625" bestFit="1" customWidth="1"/>
    <col min="1304" max="1304" width="14.2109375" bestFit="1" customWidth="1"/>
    <col min="1305" max="1305" width="12.5" bestFit="1" customWidth="1"/>
    <col min="1306" max="1306" width="15.92578125" bestFit="1" customWidth="1"/>
    <col min="1307" max="1307" width="16.0703125" bestFit="1" customWidth="1"/>
    <col min="1308" max="1308" width="18.0703125" bestFit="1" customWidth="1"/>
    <col min="1309" max="1309" width="10.28515625" bestFit="1" customWidth="1"/>
    <col min="1310" max="1311" width="14.5" bestFit="1" customWidth="1"/>
    <col min="1312" max="1312" width="19.5" bestFit="1" customWidth="1"/>
    <col min="1313" max="1313" width="15.92578125" bestFit="1" customWidth="1"/>
    <col min="1314" max="1314" width="12.2109375" bestFit="1" customWidth="1"/>
    <col min="1315" max="1315" width="11.2109375" bestFit="1" customWidth="1"/>
    <col min="1316" max="1316" width="13.0703125" bestFit="1" customWidth="1"/>
    <col min="1317" max="1317" width="15.640625" bestFit="1" customWidth="1"/>
    <col min="1318" max="1318" width="13.28515625" bestFit="1" customWidth="1"/>
    <col min="1319" max="1319" width="14.5" bestFit="1" customWidth="1"/>
    <col min="1320" max="1320" width="12.28515625" bestFit="1" customWidth="1"/>
    <col min="1321" max="1321" width="9.0703125" bestFit="1" customWidth="1"/>
    <col min="1322" max="1322" width="7.85546875" bestFit="1" customWidth="1"/>
    <col min="1323" max="1323" width="6.92578125" bestFit="1" customWidth="1"/>
    <col min="1324" max="1324" width="6.42578125" bestFit="1" customWidth="1"/>
    <col min="1325" max="1325" width="10.42578125" bestFit="1" customWidth="1"/>
    <col min="1326" max="1326" width="10.85546875" bestFit="1" customWidth="1"/>
    <col min="1327" max="1327" width="6.78515625" bestFit="1" customWidth="1"/>
    <col min="1328" max="1328" width="6.35546875" bestFit="1" customWidth="1"/>
    <col min="1329" max="1329" width="12.7109375" bestFit="1" customWidth="1"/>
    <col min="1330" max="1330" width="8.640625" bestFit="1" customWidth="1"/>
    <col min="1331" max="1331" width="12.35546875" bestFit="1" customWidth="1"/>
    <col min="1332" max="1332" width="9.0703125" bestFit="1" customWidth="1"/>
    <col min="1333" max="1333" width="9.78515625" bestFit="1" customWidth="1"/>
    <col min="1334" max="1334" width="13.92578125" bestFit="1" customWidth="1"/>
    <col min="1335" max="1335" width="14.5703125" bestFit="1" customWidth="1"/>
    <col min="1336" max="1336" width="13" bestFit="1" customWidth="1"/>
    <col min="1337" max="1337" width="14.35546875" bestFit="1" customWidth="1"/>
    <col min="1338" max="1338" width="13.0703125" bestFit="1" customWidth="1"/>
    <col min="1339" max="1339" width="19.28515625" bestFit="1" customWidth="1"/>
    <col min="1340" max="1340" width="8.92578125" bestFit="1" customWidth="1"/>
    <col min="1341" max="1341" width="19.0703125" bestFit="1" customWidth="1"/>
    <col min="1342" max="1342" width="13.5" bestFit="1" customWidth="1"/>
    <col min="1343" max="1343" width="12.2109375" bestFit="1" customWidth="1"/>
    <col min="1344" max="1344" width="12.78515625" bestFit="1" customWidth="1"/>
    <col min="1345" max="1345" width="14.35546875" bestFit="1" customWidth="1"/>
    <col min="1346" max="1346" width="11.640625" bestFit="1" customWidth="1"/>
    <col min="1347" max="1347" width="13.78515625" bestFit="1" customWidth="1"/>
    <col min="1348" max="1348" width="12.28515625" bestFit="1" customWidth="1"/>
    <col min="1349" max="1349" width="14.28515625" bestFit="1" customWidth="1"/>
    <col min="1350" max="1350" width="14.42578125" bestFit="1" customWidth="1"/>
    <col min="1351" max="1351" width="11.78515625" bestFit="1" customWidth="1"/>
    <col min="1352" max="1352" width="8.92578125" bestFit="1" customWidth="1"/>
    <col min="1353" max="1353" width="17.85546875" bestFit="1" customWidth="1"/>
    <col min="1354" max="1354" width="7.42578125" bestFit="1" customWidth="1"/>
    <col min="1355" max="1355" width="9.640625" bestFit="1" customWidth="1"/>
    <col min="1356" max="1356" width="13" bestFit="1" customWidth="1"/>
    <col min="1357" max="1357" width="10.85546875" bestFit="1" customWidth="1"/>
    <col min="1358" max="1358" width="13.140625" bestFit="1" customWidth="1"/>
    <col min="1359" max="1359" width="8.28515625" bestFit="1" customWidth="1"/>
    <col min="1360" max="1360" width="12.35546875" bestFit="1" customWidth="1"/>
    <col min="1362" max="1362" width="15" bestFit="1" customWidth="1"/>
    <col min="1363" max="1363" width="11.78515625" bestFit="1" customWidth="1"/>
    <col min="1364" max="1364" width="14.2109375" bestFit="1" customWidth="1"/>
    <col min="1365" max="1365" width="11.7109375" bestFit="1" customWidth="1"/>
    <col min="1366" max="1366" width="11.42578125" bestFit="1" customWidth="1"/>
    <col min="1367" max="1367" width="11.7109375" bestFit="1" customWidth="1"/>
    <col min="1368" max="1368" width="15.85546875" bestFit="1" customWidth="1"/>
    <col min="1369" max="1369" width="12.640625" bestFit="1" customWidth="1"/>
    <col min="1370" max="1370" width="6.7109375" bestFit="1" customWidth="1"/>
    <col min="1371" max="1371" width="10.92578125" bestFit="1" customWidth="1"/>
    <col min="1372" max="1372" width="17.78515625" bestFit="1" customWidth="1"/>
    <col min="1373" max="1373" width="15.2109375" bestFit="1" customWidth="1"/>
    <col min="1374" max="1374" width="13.78515625" bestFit="1" customWidth="1"/>
    <col min="1375" max="1375" width="17.5703125" bestFit="1" customWidth="1"/>
    <col min="1376" max="1376" width="16.140625" bestFit="1" customWidth="1"/>
    <col min="1377" max="1377" width="12.7109375" bestFit="1" customWidth="1"/>
    <col min="1378" max="1378" width="14.640625" bestFit="1" customWidth="1"/>
    <col min="1379" max="1379" width="12.5" bestFit="1" customWidth="1"/>
    <col min="1380" max="1380" width="8.640625" bestFit="1" customWidth="1"/>
    <col min="1381" max="1381" width="20" bestFit="1" customWidth="1"/>
    <col min="1382" max="1382" width="12.2109375" bestFit="1" customWidth="1"/>
    <col min="1383" max="1383" width="8.78515625" bestFit="1" customWidth="1"/>
    <col min="1384" max="1384" width="10" bestFit="1" customWidth="1"/>
    <col min="1385" max="1385" width="14.5" bestFit="1" customWidth="1"/>
    <col min="1386" max="1386" width="11.35546875" bestFit="1" customWidth="1"/>
    <col min="1387" max="1387" width="15.7109375" bestFit="1" customWidth="1"/>
    <col min="1388" max="1388" width="15.2109375" bestFit="1" customWidth="1"/>
    <col min="1389" max="1389" width="14.92578125" bestFit="1" customWidth="1"/>
    <col min="1390" max="1390" width="17.5703125" bestFit="1" customWidth="1"/>
    <col min="1391" max="1391" width="25.42578125" bestFit="1" customWidth="1"/>
    <col min="1392" max="1392" width="12" bestFit="1" customWidth="1"/>
    <col min="1393" max="1393" width="16.28515625" bestFit="1" customWidth="1"/>
    <col min="1394" max="1394" width="11.5703125" bestFit="1" customWidth="1"/>
    <col min="1395" max="1395" width="12.35546875" bestFit="1" customWidth="1"/>
    <col min="1396" max="1396" width="18.78515625" bestFit="1" customWidth="1"/>
    <col min="1397" max="1397" width="15" bestFit="1" customWidth="1"/>
    <col min="1398" max="1398" width="13" bestFit="1" customWidth="1"/>
    <col min="1399" max="1399" width="13.2109375" bestFit="1" customWidth="1"/>
    <col min="1400" max="1400" width="11.78515625" bestFit="1" customWidth="1"/>
    <col min="1401" max="1401" width="16.7109375" bestFit="1" customWidth="1"/>
    <col min="1402" max="1402" width="13.5703125" bestFit="1" customWidth="1"/>
    <col min="1403" max="1403" width="13.640625" bestFit="1" customWidth="1"/>
    <col min="1404" max="1404" width="19.5" bestFit="1" customWidth="1"/>
    <col min="1405" max="1405" width="11.92578125" bestFit="1" customWidth="1"/>
    <col min="1406" max="1406" width="11.5" bestFit="1" customWidth="1"/>
    <col min="1407" max="1407" width="12.5" bestFit="1" customWidth="1"/>
    <col min="1408" max="1408" width="12.35546875" bestFit="1" customWidth="1"/>
    <col min="1409" max="1409" width="12.5703125" bestFit="1" customWidth="1"/>
    <col min="1410" max="1410" width="16.140625" bestFit="1" customWidth="1"/>
    <col min="1411" max="1411" width="9.78515625" bestFit="1" customWidth="1"/>
    <col min="1412" max="1412" width="15.5703125" bestFit="1" customWidth="1"/>
    <col min="1413" max="1413" width="15.28515625" bestFit="1" customWidth="1"/>
    <col min="1414" max="1414" width="16.42578125" bestFit="1" customWidth="1"/>
    <col min="1415" max="1415" width="11.640625" bestFit="1" customWidth="1"/>
    <col min="1416" max="1416" width="20.640625" bestFit="1" customWidth="1"/>
    <col min="1417" max="1417" width="13.78515625" bestFit="1" customWidth="1"/>
    <col min="1418" max="1418" width="10.7109375" bestFit="1" customWidth="1"/>
    <col min="1419" max="1419" width="9.35546875" bestFit="1" customWidth="1"/>
    <col min="1420" max="1420" width="10.5703125" bestFit="1" customWidth="1"/>
    <col min="1421" max="1421" width="16.92578125" bestFit="1" customWidth="1"/>
    <col min="1422" max="1422" width="14.2109375" bestFit="1" customWidth="1"/>
    <col min="1423" max="1423" width="13.85546875" bestFit="1" customWidth="1"/>
    <col min="1424" max="1424" width="14.140625" bestFit="1" customWidth="1"/>
    <col min="1425" max="1425" width="19.0703125" bestFit="1" customWidth="1"/>
    <col min="1426" max="1426" width="14.5703125" bestFit="1" customWidth="1"/>
    <col min="1427" max="1427" width="15.0703125" bestFit="1" customWidth="1"/>
    <col min="1428" max="1428" width="15.5" bestFit="1" customWidth="1"/>
    <col min="1429" max="1429" width="10.92578125" bestFit="1" customWidth="1"/>
    <col min="1430" max="1430" width="11.35546875" bestFit="1" customWidth="1"/>
    <col min="1431" max="1431" width="11.7109375" bestFit="1" customWidth="1"/>
    <col min="1432" max="1432" width="10.28515625" bestFit="1" customWidth="1"/>
    <col min="1433" max="1433" width="15" bestFit="1" customWidth="1"/>
    <col min="1434" max="1434" width="10.0703125" bestFit="1" customWidth="1"/>
    <col min="1435" max="1435" width="13.5" bestFit="1" customWidth="1"/>
    <col min="1436" max="1436" width="17.35546875" bestFit="1" customWidth="1"/>
    <col min="1437" max="1437" width="10.5" bestFit="1" customWidth="1"/>
    <col min="1438" max="1438" width="14.92578125" bestFit="1" customWidth="1"/>
    <col min="1439" max="1439" width="15.640625" bestFit="1" customWidth="1"/>
    <col min="1440" max="1440" width="17.2109375" bestFit="1" customWidth="1"/>
    <col min="1441" max="1441" width="13.85546875" bestFit="1" customWidth="1"/>
    <col min="1442" max="1442" width="16.92578125" bestFit="1" customWidth="1"/>
    <col min="1443" max="1443" width="9.85546875" bestFit="1" customWidth="1"/>
    <col min="1444" max="1444" width="15.140625" bestFit="1" customWidth="1"/>
    <col min="1445" max="1445" width="14.5703125" bestFit="1" customWidth="1"/>
    <col min="1446" max="1446" width="16.35546875" bestFit="1" customWidth="1"/>
    <col min="1447" max="1447" width="16.78515625" bestFit="1" customWidth="1"/>
    <col min="1448" max="1448" width="17.140625" bestFit="1" customWidth="1"/>
    <col min="1449" max="1449" width="17.35546875" bestFit="1" customWidth="1"/>
    <col min="1450" max="1450" width="12.35546875" bestFit="1" customWidth="1"/>
    <col min="1451" max="1451" width="10.5" bestFit="1" customWidth="1"/>
    <col min="1452" max="1452" width="17.42578125" bestFit="1" customWidth="1"/>
    <col min="1453" max="1453" width="18" bestFit="1" customWidth="1"/>
    <col min="1454" max="1454" width="17.35546875" bestFit="1" customWidth="1"/>
    <col min="1455" max="1455" width="13.28515625" bestFit="1" customWidth="1"/>
    <col min="1456" max="1456" width="12.5703125" bestFit="1" customWidth="1"/>
    <col min="1457" max="1457" width="9.35546875" bestFit="1" customWidth="1"/>
    <col min="1458" max="1458" width="19.92578125" bestFit="1" customWidth="1"/>
    <col min="1459" max="1459" width="14.28515625" bestFit="1" customWidth="1"/>
    <col min="1460" max="1460" width="16.35546875" bestFit="1" customWidth="1"/>
    <col min="1461" max="1461" width="14.28515625" bestFit="1" customWidth="1"/>
    <col min="1462" max="1462" width="14.5" bestFit="1" customWidth="1"/>
    <col min="1463" max="1463" width="14.28515625" bestFit="1" customWidth="1"/>
    <col min="1464" max="1464" width="14.640625" bestFit="1" customWidth="1"/>
    <col min="1465" max="1465" width="14.140625" bestFit="1" customWidth="1"/>
    <col min="1466" max="1466" width="14.28515625" bestFit="1" customWidth="1"/>
    <col min="1467" max="1467" width="13.28515625" bestFit="1" customWidth="1"/>
    <col min="1468" max="1468" width="17.0703125" bestFit="1" customWidth="1"/>
    <col min="1469" max="1469" width="12.5703125" bestFit="1" customWidth="1"/>
    <col min="1470" max="1471" width="14.42578125" bestFit="1" customWidth="1"/>
    <col min="1472" max="1472" width="14.28515625" bestFit="1" customWidth="1"/>
    <col min="1473" max="1473" width="17.78515625" bestFit="1" customWidth="1"/>
    <col min="1474" max="1474" width="16.5703125" bestFit="1" customWidth="1"/>
    <col min="1475" max="1475" width="11.78515625" bestFit="1" customWidth="1"/>
    <col min="1476" max="1476" width="13.85546875" bestFit="1" customWidth="1"/>
    <col min="1477" max="1477" width="11.0703125" bestFit="1" customWidth="1"/>
    <col min="1478" max="1478" width="10.42578125" bestFit="1" customWidth="1"/>
    <col min="1479" max="1479" width="13" bestFit="1" customWidth="1"/>
    <col min="1480" max="1480" width="15.42578125" bestFit="1" customWidth="1"/>
    <col min="1481" max="1481" width="16.7109375" bestFit="1" customWidth="1"/>
    <col min="1482" max="1482" width="23.5703125" bestFit="1" customWidth="1"/>
    <col min="1483" max="1483" width="14.0703125" bestFit="1" customWidth="1"/>
    <col min="1484" max="1484" width="10.85546875" bestFit="1" customWidth="1"/>
    <col min="1485" max="1485" width="11.92578125" bestFit="1" customWidth="1"/>
    <col min="1486" max="1486" width="15.92578125" bestFit="1" customWidth="1"/>
    <col min="1487" max="1487" width="14.92578125" bestFit="1" customWidth="1"/>
    <col min="1488" max="1488" width="14.5" bestFit="1" customWidth="1"/>
    <col min="1489" max="1489" width="12.140625" bestFit="1" customWidth="1"/>
    <col min="1490" max="1490" width="12" bestFit="1" customWidth="1"/>
    <col min="1491" max="1491" width="12.140625" bestFit="1" customWidth="1"/>
    <col min="1492" max="1492" width="12.28515625" bestFit="1" customWidth="1"/>
    <col min="1493" max="1493" width="14.2109375" bestFit="1" customWidth="1"/>
    <col min="1494" max="1494" width="13.7109375" bestFit="1" customWidth="1"/>
    <col min="1495" max="1495" width="15" bestFit="1" customWidth="1"/>
    <col min="1496" max="1496" width="13.7109375" bestFit="1" customWidth="1"/>
    <col min="1497" max="1497" width="16.28515625" bestFit="1" customWidth="1"/>
    <col min="1498" max="1498" width="13.5" bestFit="1" customWidth="1"/>
    <col min="1499" max="1499" width="13.92578125" bestFit="1" customWidth="1"/>
    <col min="1500" max="1500" width="14.92578125" bestFit="1" customWidth="1"/>
    <col min="1501" max="1501" width="16.78515625" bestFit="1" customWidth="1"/>
    <col min="1502" max="1502" width="14.640625" bestFit="1" customWidth="1"/>
    <col min="1503" max="1503" width="16.140625" bestFit="1" customWidth="1"/>
    <col min="1504" max="1504" width="17.85546875" bestFit="1" customWidth="1"/>
    <col min="1505" max="1505" width="11.140625" bestFit="1" customWidth="1"/>
    <col min="1506" max="1506" width="10.5703125" bestFit="1" customWidth="1"/>
    <col min="1507" max="1507" width="10.42578125" bestFit="1" customWidth="1"/>
    <col min="1508" max="1508" width="16.78515625" bestFit="1" customWidth="1"/>
    <col min="1509" max="1509" width="13.28515625" bestFit="1" customWidth="1"/>
    <col min="1510" max="1510" width="15.78515625" bestFit="1" customWidth="1"/>
    <col min="1511" max="1511" width="10.92578125" bestFit="1" customWidth="1"/>
    <col min="1512" max="1512" width="15.0703125" bestFit="1" customWidth="1"/>
    <col min="1513" max="1513" width="12" bestFit="1" customWidth="1"/>
    <col min="1514" max="1514" width="29.5" bestFit="1" customWidth="1"/>
    <col min="1515" max="1515" width="13.7109375" bestFit="1" customWidth="1"/>
    <col min="1516" max="1516" width="11.140625" bestFit="1" customWidth="1"/>
    <col min="1517" max="1517" width="15.2109375" bestFit="1" customWidth="1"/>
    <col min="1518" max="1518" width="11.85546875" bestFit="1" customWidth="1"/>
    <col min="1519" max="1519" width="11.5703125" bestFit="1" customWidth="1"/>
    <col min="1520" max="1520" width="15.140625" bestFit="1" customWidth="1"/>
    <col min="1521" max="1521" width="12.5703125" bestFit="1" customWidth="1"/>
    <col min="1522" max="1522" width="12" bestFit="1" customWidth="1"/>
    <col min="1523" max="1523" width="14.35546875" bestFit="1" customWidth="1"/>
    <col min="1524" max="1524" width="14.92578125" bestFit="1" customWidth="1"/>
    <col min="1525" max="1525" width="15" bestFit="1" customWidth="1"/>
    <col min="1526" max="1526" width="12.640625" bestFit="1" customWidth="1"/>
    <col min="1527" max="1527" width="18.640625" bestFit="1" customWidth="1"/>
    <col min="1528" max="1528" width="11.2109375" bestFit="1" customWidth="1"/>
    <col min="1529" max="1529" width="11.35546875" bestFit="1" customWidth="1"/>
    <col min="1530" max="1530" width="9.640625" bestFit="1" customWidth="1"/>
    <col min="1531" max="1531" width="12" bestFit="1" customWidth="1"/>
    <col min="1532" max="1532" width="19.140625" bestFit="1" customWidth="1"/>
    <col min="1533" max="1533" width="10.2109375" bestFit="1" customWidth="1"/>
    <col min="1534" max="1534" width="10.5" bestFit="1" customWidth="1"/>
    <col min="1535" max="1535" width="14.35546875" bestFit="1" customWidth="1"/>
    <col min="1536" max="1536" width="15.0703125" bestFit="1" customWidth="1"/>
    <col min="1537" max="1537" width="12.35546875" bestFit="1" customWidth="1"/>
    <col min="1538" max="1538" width="12.42578125" bestFit="1" customWidth="1"/>
    <col min="1539" max="1539" width="14.0703125" bestFit="1" customWidth="1"/>
    <col min="1540" max="1540" width="18" bestFit="1" customWidth="1"/>
    <col min="1541" max="1541" width="14.42578125" bestFit="1" customWidth="1"/>
    <col min="1542" max="1542" width="18.85546875" bestFit="1" customWidth="1"/>
    <col min="1543" max="1543" width="13.5703125" bestFit="1" customWidth="1"/>
    <col min="1544" max="1544" width="14.28515625" bestFit="1" customWidth="1"/>
    <col min="1545" max="1545" width="14.140625" bestFit="1" customWidth="1"/>
    <col min="1546" max="1546" width="16.140625" bestFit="1" customWidth="1"/>
    <col min="1547" max="1547" width="13.0703125" bestFit="1" customWidth="1"/>
    <col min="1548" max="1548" width="14.42578125" bestFit="1" customWidth="1"/>
    <col min="1549" max="1549" width="16.2109375" bestFit="1" customWidth="1"/>
    <col min="1550" max="1550" width="13.5" bestFit="1" customWidth="1"/>
    <col min="1551" max="1551" width="11.640625" bestFit="1" customWidth="1"/>
    <col min="1552" max="1552" width="10.640625" bestFit="1" customWidth="1"/>
    <col min="1553" max="1553" width="14.42578125" bestFit="1" customWidth="1"/>
    <col min="1554" max="1554" width="15.28515625" bestFit="1" customWidth="1"/>
    <col min="1555" max="1555" width="13.28515625" bestFit="1" customWidth="1"/>
    <col min="1556" max="1556" width="14.28515625" bestFit="1" customWidth="1"/>
    <col min="1557" max="1557" width="15.78515625" bestFit="1" customWidth="1"/>
    <col min="1558" max="1558" width="13.85546875" bestFit="1" customWidth="1"/>
    <col min="1559" max="1559" width="10.7109375" bestFit="1" customWidth="1"/>
    <col min="1560" max="1560" width="13" bestFit="1" customWidth="1"/>
    <col min="1561" max="1561" width="11.5" bestFit="1" customWidth="1"/>
    <col min="1562" max="1562" width="11" bestFit="1" customWidth="1"/>
    <col min="1563" max="1563" width="12.42578125" bestFit="1" customWidth="1"/>
    <col min="1564" max="1564" width="16.5703125" bestFit="1" customWidth="1"/>
    <col min="1565" max="1565" width="13.2109375" bestFit="1" customWidth="1"/>
    <col min="1566" max="1566" width="12.640625" bestFit="1" customWidth="1"/>
    <col min="1567" max="1567" width="12.35546875" bestFit="1" customWidth="1"/>
    <col min="1568" max="1568" width="10.35546875" bestFit="1" customWidth="1"/>
    <col min="1569" max="1569" width="9" bestFit="1" customWidth="1"/>
    <col min="1570" max="1570" width="10.92578125" bestFit="1" customWidth="1"/>
    <col min="1571" max="1571" width="16.5" bestFit="1" customWidth="1"/>
    <col min="1572" max="1572" width="12.78515625" bestFit="1" customWidth="1"/>
    <col min="1573" max="1573" width="11.7109375" bestFit="1" customWidth="1"/>
    <col min="1574" max="1574" width="13.640625" bestFit="1" customWidth="1"/>
    <col min="1575" max="1575" width="12.5703125" bestFit="1" customWidth="1"/>
    <col min="1576" max="1576" width="13.5703125" bestFit="1" customWidth="1"/>
    <col min="1577" max="1577" width="14.2109375" bestFit="1" customWidth="1"/>
    <col min="1578" max="1578" width="11.140625" bestFit="1" customWidth="1"/>
    <col min="1579" max="1579" width="11.0703125" bestFit="1" customWidth="1"/>
    <col min="1580" max="1580" width="16.28515625" bestFit="1" customWidth="1"/>
    <col min="1581" max="1581" width="15.5703125" bestFit="1" customWidth="1"/>
    <col min="1582" max="1582" width="15.0703125" bestFit="1" customWidth="1"/>
    <col min="1583" max="1583" width="12.640625" bestFit="1" customWidth="1"/>
    <col min="1584" max="1584" width="11.140625" bestFit="1" customWidth="1"/>
    <col min="1585" max="1585" width="12.5703125" bestFit="1" customWidth="1"/>
    <col min="1586" max="1586" width="12.2109375" bestFit="1" customWidth="1"/>
    <col min="1587" max="1587" width="13.140625" bestFit="1" customWidth="1"/>
    <col min="1588" max="1588" width="14.640625" bestFit="1" customWidth="1"/>
    <col min="1589" max="1589" width="17.85546875" bestFit="1" customWidth="1"/>
    <col min="1590" max="1590" width="11.78515625" bestFit="1" customWidth="1"/>
    <col min="1591" max="1591" width="15.140625" bestFit="1" customWidth="1"/>
    <col min="1592" max="1592" width="15.35546875" bestFit="1" customWidth="1"/>
    <col min="1593" max="1593" width="15" bestFit="1" customWidth="1"/>
    <col min="1594" max="1594" width="10.640625" bestFit="1" customWidth="1"/>
    <col min="1595" max="1595" width="11.7109375" bestFit="1" customWidth="1"/>
    <col min="1596" max="1596" width="11.640625" bestFit="1" customWidth="1"/>
    <col min="1597" max="1597" width="8.78515625" bestFit="1" customWidth="1"/>
    <col min="1598" max="1598" width="8.7109375" bestFit="1" customWidth="1"/>
    <col min="1599" max="1599" width="15.0703125" bestFit="1" customWidth="1"/>
    <col min="1600" max="1600" width="15.140625" bestFit="1" customWidth="1"/>
    <col min="1601" max="1601" width="12.85546875" bestFit="1" customWidth="1"/>
    <col min="1602" max="1602" width="16.0703125" bestFit="1" customWidth="1"/>
    <col min="1603" max="1603" width="12.140625" bestFit="1" customWidth="1"/>
    <col min="1604" max="1604" width="9.78515625" bestFit="1" customWidth="1"/>
    <col min="1605" max="1605" width="12.2109375" bestFit="1" customWidth="1"/>
    <col min="1606" max="1606" width="14.5703125" bestFit="1" customWidth="1"/>
    <col min="1607" max="1607" width="14.35546875" bestFit="1" customWidth="1"/>
    <col min="1608" max="1608" width="14.92578125" bestFit="1" customWidth="1"/>
    <col min="1609" max="1609" width="15" bestFit="1" customWidth="1"/>
    <col min="1610" max="1610" width="15.42578125" bestFit="1" customWidth="1"/>
    <col min="1611" max="1611" width="16.7109375" bestFit="1" customWidth="1"/>
    <col min="1612" max="1612" width="16.85546875" bestFit="1" customWidth="1"/>
    <col min="1613" max="1613" width="14.92578125" bestFit="1" customWidth="1"/>
    <col min="1614" max="1614" width="14.85546875" bestFit="1" customWidth="1"/>
    <col min="1615" max="1615" width="13.85546875" bestFit="1" customWidth="1"/>
    <col min="1616" max="1616" width="14.92578125" bestFit="1" customWidth="1"/>
    <col min="1617" max="1617" width="15.5" bestFit="1" customWidth="1"/>
    <col min="1618" max="1618" width="14.28515625" bestFit="1" customWidth="1"/>
    <col min="1619" max="1619" width="16.5703125" bestFit="1" customWidth="1"/>
    <col min="1620" max="1620" width="18.42578125" bestFit="1" customWidth="1"/>
    <col min="1621" max="1621" width="15.92578125" bestFit="1" customWidth="1"/>
    <col min="1622" max="1622" width="19.28515625" bestFit="1" customWidth="1"/>
    <col min="1623" max="1623" width="11" bestFit="1" customWidth="1"/>
    <col min="1624" max="1624" width="15.85546875" bestFit="1" customWidth="1"/>
    <col min="1625" max="1625" width="10.0703125" bestFit="1" customWidth="1"/>
    <col min="1626" max="1626" width="17.0703125" bestFit="1" customWidth="1"/>
    <col min="1627" max="1627" width="13.78515625" bestFit="1" customWidth="1"/>
    <col min="1628" max="1628" width="9.640625" bestFit="1" customWidth="1"/>
    <col min="1629" max="1629" width="13.35546875" bestFit="1" customWidth="1"/>
    <col min="1630" max="1630" width="12" bestFit="1" customWidth="1"/>
    <col min="1631" max="1631" width="10.42578125" bestFit="1" customWidth="1"/>
    <col min="1632" max="1632" width="16.28515625" bestFit="1" customWidth="1"/>
    <col min="1633" max="1633" width="12.140625" bestFit="1" customWidth="1"/>
    <col min="1634" max="1634" width="27" bestFit="1" customWidth="1"/>
    <col min="1635" max="1635" width="12.85546875" bestFit="1" customWidth="1"/>
    <col min="1636" max="1636" width="10.28515625" bestFit="1" customWidth="1"/>
    <col min="1637" max="1637" width="13.640625" bestFit="1" customWidth="1"/>
    <col min="1638" max="1638" width="9.85546875" bestFit="1" customWidth="1"/>
    <col min="1639" max="1639" width="14.640625" bestFit="1" customWidth="1"/>
    <col min="1640" max="1640" width="14.0703125" bestFit="1" customWidth="1"/>
    <col min="1641" max="1641" width="12.2109375" bestFit="1" customWidth="1"/>
    <col min="1642" max="1642" width="15.92578125" bestFit="1" customWidth="1"/>
    <col min="1643" max="1643" width="9.640625" bestFit="1" customWidth="1"/>
    <col min="1644" max="1644" width="13.85546875" bestFit="1" customWidth="1"/>
    <col min="1645" max="1645" width="20.140625" bestFit="1" customWidth="1"/>
    <col min="1646" max="1646" width="13.85546875" bestFit="1" customWidth="1"/>
    <col min="1647" max="1647" width="13.28515625" bestFit="1" customWidth="1"/>
    <col min="1648" max="1648" width="13.92578125" bestFit="1" customWidth="1"/>
    <col min="1649" max="1649" width="16.35546875" bestFit="1" customWidth="1"/>
    <col min="1650" max="1650" width="15.5703125" bestFit="1" customWidth="1"/>
    <col min="1651" max="1651" width="14.0703125" bestFit="1" customWidth="1"/>
    <col min="1652" max="1652" width="12.78515625" bestFit="1" customWidth="1"/>
    <col min="1653" max="1653" width="19.42578125" bestFit="1" customWidth="1"/>
    <col min="1654" max="1654" width="16.35546875" bestFit="1" customWidth="1"/>
    <col min="1655" max="1655" width="12.92578125" bestFit="1" customWidth="1"/>
    <col min="1656" max="1656" width="13" bestFit="1" customWidth="1"/>
    <col min="1657" max="1657" width="13.28515625" bestFit="1" customWidth="1"/>
    <col min="1658" max="1658" width="11.640625" bestFit="1" customWidth="1"/>
    <col min="1659" max="1659" width="14.28515625" bestFit="1" customWidth="1"/>
    <col min="1660" max="1660" width="12.85546875" bestFit="1" customWidth="1"/>
    <col min="1661" max="1661" width="14.42578125" bestFit="1" customWidth="1"/>
    <col min="1662" max="1662" width="16.78515625" bestFit="1" customWidth="1"/>
    <col min="1663" max="1663" width="21.5703125" bestFit="1" customWidth="1"/>
    <col min="1664" max="1664" width="11.7109375" bestFit="1" customWidth="1"/>
    <col min="1665" max="1665" width="10.42578125" bestFit="1" customWidth="1"/>
    <col min="1666" max="1666" width="14.0703125" bestFit="1" customWidth="1"/>
    <col min="1667" max="1667" width="12.42578125" bestFit="1" customWidth="1"/>
    <col min="1668" max="1668" width="12.5" bestFit="1" customWidth="1"/>
    <col min="1669" max="1669" width="13.78515625" bestFit="1" customWidth="1"/>
    <col min="1670" max="1670" width="18.5" bestFit="1" customWidth="1"/>
    <col min="1671" max="1671" width="17.35546875" bestFit="1" customWidth="1"/>
    <col min="1672" max="1672" width="11.2109375" bestFit="1" customWidth="1"/>
    <col min="1673" max="1673" width="16.2109375" bestFit="1" customWidth="1"/>
    <col min="1674" max="1674" width="14.35546875" bestFit="1" customWidth="1"/>
    <col min="1675" max="1675" width="10.42578125" bestFit="1" customWidth="1"/>
    <col min="1676" max="1676" width="13.85546875" bestFit="1" customWidth="1"/>
    <col min="1677" max="1677" width="12.0703125" bestFit="1" customWidth="1"/>
    <col min="1678" max="1678" width="16.35546875" bestFit="1" customWidth="1"/>
    <col min="1680" max="1680" width="11.640625" bestFit="1" customWidth="1"/>
    <col min="1681" max="1681" width="10.42578125" bestFit="1" customWidth="1"/>
    <col min="1682" max="1682" width="14.85546875" bestFit="1" customWidth="1"/>
    <col min="1683" max="1683" width="10.78515625" bestFit="1" customWidth="1"/>
    <col min="1684" max="1684" width="14.7109375" bestFit="1" customWidth="1"/>
    <col min="1685" max="1685" width="13.7109375" bestFit="1" customWidth="1"/>
    <col min="1686" max="1686" width="12.140625" bestFit="1" customWidth="1"/>
    <col min="1687" max="1687" width="8.35546875" bestFit="1" customWidth="1"/>
    <col min="1688" max="1688" width="22.92578125" bestFit="1" customWidth="1"/>
    <col min="1689" max="1689" width="10.85546875" bestFit="1" customWidth="1"/>
    <col min="1690" max="1690" width="11.140625" bestFit="1" customWidth="1"/>
    <col min="1691" max="1691" width="11" bestFit="1" customWidth="1"/>
    <col min="1692" max="1692" width="11.640625" bestFit="1" customWidth="1"/>
    <col min="1693" max="1693" width="12.640625" bestFit="1" customWidth="1"/>
    <col min="1694" max="1694" width="10.78515625" bestFit="1" customWidth="1"/>
    <col min="1695" max="1695" width="16.2109375" bestFit="1" customWidth="1"/>
    <col min="1696" max="1696" width="11.7109375" bestFit="1" customWidth="1"/>
    <col min="1697" max="1697" width="11.140625" bestFit="1" customWidth="1"/>
    <col min="1698" max="1698" width="16.7109375" bestFit="1" customWidth="1"/>
    <col min="1699" max="1699" width="11.0703125" bestFit="1" customWidth="1"/>
    <col min="1700" max="1700" width="11.140625" bestFit="1" customWidth="1"/>
    <col min="1701" max="1701" width="11.640625" bestFit="1" customWidth="1"/>
    <col min="1702" max="1702" width="11.92578125" bestFit="1" customWidth="1"/>
    <col min="1703" max="1703" width="21.640625" bestFit="1" customWidth="1"/>
    <col min="1704" max="1704" width="9.640625" bestFit="1" customWidth="1"/>
    <col min="1705" max="1705" width="13.28515625" bestFit="1" customWidth="1"/>
    <col min="1706" max="1706" width="12.640625" bestFit="1" customWidth="1"/>
    <col min="1707" max="1707" width="10.2109375" bestFit="1" customWidth="1"/>
    <col min="1708" max="1708" width="19.140625" bestFit="1" customWidth="1"/>
    <col min="1709" max="1709" width="16.2109375" bestFit="1" customWidth="1"/>
    <col min="1710" max="1710" width="17.5703125" bestFit="1" customWidth="1"/>
    <col min="1711" max="1711" width="11.85546875" bestFit="1" customWidth="1"/>
    <col min="1712" max="1712" width="8.5" bestFit="1" customWidth="1"/>
    <col min="1713" max="1713" width="11.140625" bestFit="1" customWidth="1"/>
    <col min="1714" max="1714" width="15" bestFit="1" customWidth="1"/>
    <col min="1715" max="1715" width="7.42578125" bestFit="1" customWidth="1"/>
    <col min="1716" max="1716" width="22.5703125" bestFit="1" customWidth="1"/>
    <col min="1717" max="1717" width="11.7109375" bestFit="1" customWidth="1"/>
    <col min="1718" max="1718" width="14.78515625" bestFit="1" customWidth="1"/>
    <col min="1719" max="1719" width="7.85546875" bestFit="1" customWidth="1"/>
    <col min="1720" max="1720" width="11.140625" bestFit="1" customWidth="1"/>
    <col min="1721" max="1721" width="15.640625" bestFit="1" customWidth="1"/>
    <col min="1722" max="1722" width="13.28515625" bestFit="1" customWidth="1"/>
    <col min="1723" max="1723" width="8.140625" bestFit="1" customWidth="1"/>
    <col min="1724" max="1724" width="13.0703125" bestFit="1" customWidth="1"/>
    <col min="1725" max="1725" width="15.85546875" bestFit="1" customWidth="1"/>
    <col min="1726" max="1726" width="12.35546875" bestFit="1" customWidth="1"/>
    <col min="1727" max="1727" width="9.2109375" bestFit="1" customWidth="1"/>
    <col min="1728" max="1728" width="16.0703125" bestFit="1" customWidth="1"/>
    <col min="1729" max="1729" width="19.5703125" bestFit="1" customWidth="1"/>
    <col min="1730" max="1730" width="27.640625" bestFit="1" customWidth="1"/>
    <col min="1731" max="1731" width="23.7109375" bestFit="1" customWidth="1"/>
    <col min="1732" max="1732" width="14.35546875" bestFit="1" customWidth="1"/>
    <col min="1733" max="1733" width="12.28515625" bestFit="1" customWidth="1"/>
    <col min="1734" max="1734" width="10.2109375" bestFit="1" customWidth="1"/>
    <col min="1735" max="1735" width="13.140625" bestFit="1" customWidth="1"/>
    <col min="1736" max="1736" width="12.5" bestFit="1" customWidth="1"/>
    <col min="1737" max="1737" width="10.92578125" bestFit="1" customWidth="1"/>
    <col min="1738" max="1738" width="10.7109375" bestFit="1" customWidth="1"/>
    <col min="1739" max="1739" width="12.140625" bestFit="1" customWidth="1"/>
    <col min="1740" max="1740" width="14.35546875" bestFit="1" customWidth="1"/>
    <col min="1741" max="1741" width="13.35546875" bestFit="1" customWidth="1"/>
    <col min="1742" max="1742" width="13.5" bestFit="1" customWidth="1"/>
    <col min="1743" max="1743" width="10.85546875" bestFit="1" customWidth="1"/>
    <col min="1744" max="1744" width="11.5703125" bestFit="1" customWidth="1"/>
    <col min="1745" max="1745" width="15.5703125" bestFit="1" customWidth="1"/>
    <col min="1746" max="1746" width="15.85546875" bestFit="1" customWidth="1"/>
    <col min="1747" max="1747" width="13.85546875" bestFit="1" customWidth="1"/>
    <col min="1748" max="1748" width="20.28515625" bestFit="1" customWidth="1"/>
    <col min="1749" max="1749" width="11" bestFit="1" customWidth="1"/>
    <col min="1750" max="1750" width="12.5" bestFit="1" customWidth="1"/>
    <col min="1751" max="1751" width="11.85546875" bestFit="1" customWidth="1"/>
    <col min="1752" max="1752" width="12.640625" bestFit="1" customWidth="1"/>
    <col min="1753" max="1753" width="11.85546875" bestFit="1" customWidth="1"/>
    <col min="1754" max="1754" width="20.7109375" bestFit="1" customWidth="1"/>
    <col min="1755" max="1755" width="12.28515625" bestFit="1" customWidth="1"/>
    <col min="1756" max="1756" width="16.5703125" bestFit="1" customWidth="1"/>
    <col min="1757" max="1757" width="11.28515625" bestFit="1" customWidth="1"/>
    <col min="1758" max="1758" width="9.28515625" bestFit="1" customWidth="1"/>
    <col min="1759" max="1759" width="10" bestFit="1" customWidth="1"/>
    <col min="1760" max="1760" width="15.5" bestFit="1" customWidth="1"/>
    <col min="1761" max="1761" width="11.85546875" bestFit="1" customWidth="1"/>
    <col min="1762" max="1762" width="18.78515625" bestFit="1" customWidth="1"/>
    <col min="1763" max="1763" width="13" bestFit="1" customWidth="1"/>
    <col min="1764" max="1764" width="14.78515625" bestFit="1" customWidth="1"/>
    <col min="1765" max="1765" width="20.35546875" bestFit="1" customWidth="1"/>
    <col min="1766" max="1766" width="15" bestFit="1" customWidth="1"/>
    <col min="1767" max="1767" width="18.0703125" bestFit="1" customWidth="1"/>
    <col min="1768" max="1768" width="17.0703125" bestFit="1" customWidth="1"/>
    <col min="1769" max="1769" width="14.92578125" bestFit="1" customWidth="1"/>
    <col min="1770" max="1771" width="12.140625" bestFit="1" customWidth="1"/>
    <col min="1772" max="1772" width="13.140625" bestFit="1" customWidth="1"/>
    <col min="1773" max="1773" width="14.5703125" bestFit="1" customWidth="1"/>
    <col min="1774" max="1774" width="10.35546875" bestFit="1" customWidth="1"/>
    <col min="1775" max="1775" width="15.640625" bestFit="1" customWidth="1"/>
    <col min="1776" max="1776" width="14.0703125" bestFit="1" customWidth="1"/>
    <col min="1777" max="1777" width="16.2109375" bestFit="1" customWidth="1"/>
    <col min="1778" max="1778" width="20.5703125" bestFit="1" customWidth="1"/>
    <col min="1779" max="1779" width="15.85546875" bestFit="1" customWidth="1"/>
    <col min="1780" max="1780" width="13.7109375" bestFit="1" customWidth="1"/>
    <col min="1781" max="1781" width="10" bestFit="1" customWidth="1"/>
    <col min="1782" max="1782" width="13" bestFit="1" customWidth="1"/>
    <col min="1783" max="1783" width="15.640625" bestFit="1" customWidth="1"/>
    <col min="1784" max="1784" width="17.2109375" bestFit="1" customWidth="1"/>
    <col min="1785" max="1785" width="13.7109375" bestFit="1" customWidth="1"/>
    <col min="1786" max="1786" width="12.5" bestFit="1" customWidth="1"/>
    <col min="1787" max="1787" width="11.0703125" bestFit="1" customWidth="1"/>
    <col min="1788" max="1788" width="11.85546875" bestFit="1" customWidth="1"/>
    <col min="1789" max="1789" width="15.0703125" bestFit="1" customWidth="1"/>
    <col min="1790" max="1790" width="16" bestFit="1" customWidth="1"/>
    <col min="1791" max="1791" width="20.78515625" bestFit="1" customWidth="1"/>
    <col min="1792" max="1792" width="14.2109375" bestFit="1" customWidth="1"/>
    <col min="1793" max="1793" width="15.2109375" bestFit="1" customWidth="1"/>
    <col min="1794" max="1794" width="13" bestFit="1" customWidth="1"/>
    <col min="1795" max="1795" width="15.42578125" bestFit="1" customWidth="1"/>
    <col min="1796" max="1796" width="11.2109375" bestFit="1" customWidth="1"/>
    <col min="1797" max="1797" width="8.7109375" bestFit="1" customWidth="1"/>
    <col min="1798" max="1798" width="14.78515625" bestFit="1" customWidth="1"/>
    <col min="1799" max="1799" width="17.0703125" bestFit="1" customWidth="1"/>
    <col min="1800" max="1800" width="10.42578125" bestFit="1" customWidth="1"/>
    <col min="1801" max="1801" width="12.35546875" bestFit="1" customWidth="1"/>
    <col min="1802" max="1802" width="11.7109375" bestFit="1" customWidth="1"/>
    <col min="1803" max="1803" width="16.5" bestFit="1" customWidth="1"/>
    <col min="1804" max="1804" width="15.5703125" bestFit="1" customWidth="1"/>
    <col min="1805" max="1805" width="12.42578125" bestFit="1" customWidth="1"/>
    <col min="1806" max="1806" width="10.5703125" bestFit="1" customWidth="1"/>
    <col min="1807" max="1807" width="13.2109375" bestFit="1" customWidth="1"/>
    <col min="1808" max="1808" width="17.2109375" bestFit="1" customWidth="1"/>
    <col min="1809" max="1809" width="11.35546875" bestFit="1" customWidth="1"/>
    <col min="1810" max="1810" width="14.78515625" bestFit="1" customWidth="1"/>
    <col min="1811" max="1811" width="16.92578125" bestFit="1" customWidth="1"/>
    <col min="1812" max="1812" width="13.640625" bestFit="1" customWidth="1"/>
    <col min="1813" max="1813" width="11.78515625" bestFit="1" customWidth="1"/>
    <col min="1814" max="1814" width="14.92578125" bestFit="1" customWidth="1"/>
    <col min="1815" max="1815" width="12.35546875" bestFit="1" customWidth="1"/>
    <col min="1816" max="1816" width="15.0703125" bestFit="1" customWidth="1"/>
    <col min="1817" max="1817" width="15.140625" bestFit="1" customWidth="1"/>
    <col min="1818" max="1818" width="14.0703125" bestFit="1" customWidth="1"/>
    <col min="1819" max="1819" width="14.5" bestFit="1" customWidth="1"/>
    <col min="1820" max="1820" width="20.2109375" bestFit="1" customWidth="1"/>
    <col min="1821" max="1821" width="16.140625" bestFit="1" customWidth="1"/>
    <col min="1822" max="1822" width="10.5" bestFit="1" customWidth="1"/>
    <col min="1823" max="1823" width="16.5" bestFit="1" customWidth="1"/>
    <col min="1824" max="1824" width="16.5703125" bestFit="1" customWidth="1"/>
    <col min="1825" max="1825" width="19.0703125" bestFit="1" customWidth="1"/>
    <col min="1826" max="1826" width="12" bestFit="1" customWidth="1"/>
    <col min="1827" max="1827" width="13.140625" bestFit="1" customWidth="1"/>
    <col min="1828" max="1828" width="15.5" bestFit="1" customWidth="1"/>
    <col min="1829" max="1829" width="12.35546875" bestFit="1" customWidth="1"/>
    <col min="1830" max="1830" width="12.5" bestFit="1" customWidth="1"/>
    <col min="1831" max="1831" width="18.92578125" bestFit="1" customWidth="1"/>
    <col min="1832" max="1832" width="13.35546875" bestFit="1" customWidth="1"/>
    <col min="1833" max="1833" width="9.5703125" bestFit="1" customWidth="1"/>
    <col min="1834" max="1834" width="15.140625" bestFit="1" customWidth="1"/>
    <col min="1835" max="1835" width="14.0703125" bestFit="1" customWidth="1"/>
    <col min="1836" max="1836" width="14.5703125" bestFit="1" customWidth="1"/>
    <col min="1837" max="1837" width="11.7109375" bestFit="1" customWidth="1"/>
    <col min="1838" max="1838" width="14.5" bestFit="1" customWidth="1"/>
    <col min="1839" max="1839" width="18.0703125" bestFit="1" customWidth="1"/>
    <col min="1840" max="1840" width="10.5703125" bestFit="1" customWidth="1"/>
    <col min="1841" max="1841" width="9.640625" bestFit="1" customWidth="1"/>
    <col min="1842" max="1842" width="13.640625" bestFit="1" customWidth="1"/>
    <col min="1843" max="1843" width="16" bestFit="1" customWidth="1"/>
    <col min="1844" max="1844" width="16.42578125" bestFit="1" customWidth="1"/>
    <col min="1845" max="1845" width="16.7109375" bestFit="1" customWidth="1"/>
    <col min="1846" max="1846" width="13.640625" bestFit="1" customWidth="1"/>
    <col min="1847" max="1847" width="17" bestFit="1" customWidth="1"/>
    <col min="1848" max="1848" width="16.5703125" bestFit="1" customWidth="1"/>
    <col min="1849" max="1849" width="12.140625" bestFit="1" customWidth="1"/>
    <col min="1850" max="1850" width="12.85546875" bestFit="1" customWidth="1"/>
    <col min="1851" max="1852" width="13.78515625" bestFit="1" customWidth="1"/>
    <col min="1853" max="1853" width="14.140625" bestFit="1" customWidth="1"/>
    <col min="1854" max="1854" width="15.78515625" bestFit="1" customWidth="1"/>
    <col min="1855" max="1855" width="14.2109375" bestFit="1" customWidth="1"/>
    <col min="1856" max="1856" width="16.2109375" bestFit="1" customWidth="1"/>
    <col min="1857" max="1857" width="15.92578125" bestFit="1" customWidth="1"/>
    <col min="1858" max="1858" width="11.5703125" bestFit="1" customWidth="1"/>
    <col min="1859" max="1859" width="10.5" bestFit="1" customWidth="1"/>
    <col min="1860" max="1860" width="15.5703125" bestFit="1" customWidth="1"/>
    <col min="1861" max="1861" width="11.7109375" bestFit="1" customWidth="1"/>
    <col min="1862" max="1862" width="9.92578125" bestFit="1" customWidth="1"/>
    <col min="1863" max="1863" width="13.0703125" bestFit="1" customWidth="1"/>
    <col min="1864" max="1864" width="22.140625" bestFit="1" customWidth="1"/>
    <col min="1865" max="1865" width="14.640625" bestFit="1" customWidth="1"/>
    <col min="1866" max="1866" width="12" bestFit="1" customWidth="1"/>
    <col min="1867" max="1867" width="17.78515625" bestFit="1" customWidth="1"/>
    <col min="1868" max="1868" width="17.92578125" bestFit="1" customWidth="1"/>
    <col min="1869" max="1869" width="18.5" bestFit="1" customWidth="1"/>
    <col min="1870" max="1870" width="9.92578125" bestFit="1" customWidth="1"/>
    <col min="1871" max="1871" width="10.2109375" bestFit="1" customWidth="1"/>
    <col min="1872" max="1872" width="13.92578125" bestFit="1" customWidth="1"/>
    <col min="1873" max="1873" width="16.0703125" bestFit="1" customWidth="1"/>
    <col min="1874" max="1874" width="10.35546875" bestFit="1" customWidth="1"/>
    <col min="1875" max="1875" width="14.0703125" bestFit="1" customWidth="1"/>
    <col min="1876" max="1876" width="10.92578125" bestFit="1" customWidth="1"/>
    <col min="1877" max="1877" width="18" bestFit="1" customWidth="1"/>
    <col min="1878" max="1878" width="11.92578125" bestFit="1" customWidth="1"/>
    <col min="1879" max="1879" width="14.35546875" bestFit="1" customWidth="1"/>
    <col min="1880" max="1880" width="13.5" bestFit="1" customWidth="1"/>
    <col min="1881" max="1881" width="11.140625" bestFit="1" customWidth="1"/>
    <col min="1882" max="1882" width="10.35546875" bestFit="1" customWidth="1"/>
    <col min="1883" max="1883" width="9.7109375" bestFit="1" customWidth="1"/>
    <col min="1884" max="1884" width="13.92578125" bestFit="1" customWidth="1"/>
    <col min="1885" max="1885" width="13.5703125" bestFit="1" customWidth="1"/>
    <col min="1886" max="1886" width="14.35546875" bestFit="1" customWidth="1"/>
    <col min="1887" max="1887" width="11.7109375" bestFit="1" customWidth="1"/>
    <col min="1888" max="1888" width="14.2109375" bestFit="1" customWidth="1"/>
    <col min="1889" max="1889" width="14.92578125" bestFit="1" customWidth="1"/>
    <col min="1890" max="1890" width="17.5703125" bestFit="1" customWidth="1"/>
    <col min="1891" max="1891" width="12.85546875" bestFit="1" customWidth="1"/>
    <col min="1892" max="1892" width="11" bestFit="1" customWidth="1"/>
    <col min="1893" max="1893" width="11.140625" bestFit="1" customWidth="1"/>
    <col min="1894" max="1894" width="14.92578125" bestFit="1" customWidth="1"/>
    <col min="1895" max="1895" width="7.35546875" bestFit="1" customWidth="1"/>
    <col min="1896" max="1896" width="11" bestFit="1" customWidth="1"/>
    <col min="1897" max="1897" width="16.7109375" bestFit="1" customWidth="1"/>
    <col min="1898" max="1898" width="14.640625" bestFit="1" customWidth="1"/>
    <col min="1899" max="1899" width="14.92578125" bestFit="1" customWidth="1"/>
    <col min="1900" max="1900" width="16.0703125" bestFit="1" customWidth="1"/>
    <col min="1901" max="1901" width="13.78515625" bestFit="1" customWidth="1"/>
    <col min="1902" max="1902" width="15.28515625" bestFit="1" customWidth="1"/>
    <col min="1903" max="1903" width="11.0703125" bestFit="1" customWidth="1"/>
    <col min="1904" max="1905" width="13.28515625" bestFit="1" customWidth="1"/>
    <col min="1906" max="1906" width="14" bestFit="1" customWidth="1"/>
    <col min="1907" max="1907" width="12.640625" bestFit="1" customWidth="1"/>
    <col min="1908" max="1908" width="15.0703125" bestFit="1" customWidth="1"/>
    <col min="1909" max="1909" width="17.42578125" bestFit="1" customWidth="1"/>
    <col min="1910" max="1910" width="15.640625" bestFit="1" customWidth="1"/>
    <col min="1911" max="1911" width="16.7109375" bestFit="1" customWidth="1"/>
    <col min="1912" max="1912" width="12.28515625" bestFit="1" customWidth="1"/>
    <col min="1913" max="1913" width="17.92578125" bestFit="1" customWidth="1"/>
    <col min="1914" max="1914" width="13.28515625" bestFit="1" customWidth="1"/>
    <col min="1915" max="1916" width="14.5703125" bestFit="1" customWidth="1"/>
    <col min="1917" max="1917" width="16.0703125" bestFit="1" customWidth="1"/>
    <col min="1918" max="1918" width="11.5703125" bestFit="1" customWidth="1"/>
    <col min="1919" max="1919" width="13.640625" bestFit="1" customWidth="1"/>
    <col min="1920" max="1920" width="13.35546875" bestFit="1" customWidth="1"/>
    <col min="1921" max="1921" width="15.42578125" bestFit="1" customWidth="1"/>
    <col min="1922" max="1922" width="10.0703125" bestFit="1" customWidth="1"/>
    <col min="1923" max="1923" width="13.28515625" bestFit="1" customWidth="1"/>
    <col min="1924" max="1924" width="21.42578125" bestFit="1" customWidth="1"/>
    <col min="1925" max="1925" width="13.92578125" bestFit="1" customWidth="1"/>
    <col min="1926" max="1926" width="10.92578125" bestFit="1" customWidth="1"/>
    <col min="1927" max="1927" width="13.92578125" bestFit="1" customWidth="1"/>
    <col min="1928" max="1928" width="12.78515625" bestFit="1" customWidth="1"/>
    <col min="1929" max="1929" width="14.28515625" bestFit="1" customWidth="1"/>
    <col min="1930" max="1930" width="15.640625" bestFit="1" customWidth="1"/>
    <col min="1931" max="1931" width="14.7109375" bestFit="1" customWidth="1"/>
    <col min="1932" max="1932" width="15.2109375" bestFit="1" customWidth="1"/>
    <col min="1933" max="1933" width="12.140625" bestFit="1" customWidth="1"/>
    <col min="1934" max="1934" width="13.42578125" bestFit="1" customWidth="1"/>
    <col min="1935" max="1935" width="18.78515625" bestFit="1" customWidth="1"/>
    <col min="1936" max="1936" width="15.28515625" bestFit="1" customWidth="1"/>
    <col min="1937" max="1937" width="16.35546875" bestFit="1" customWidth="1"/>
    <col min="1938" max="1938" width="15.28515625" bestFit="1" customWidth="1"/>
    <col min="1939" max="1939" width="17.35546875" bestFit="1" customWidth="1"/>
    <col min="1940" max="1940" width="13.42578125" bestFit="1" customWidth="1"/>
    <col min="1941" max="1941" width="9.640625" bestFit="1" customWidth="1"/>
    <col min="1942" max="1942" width="14.0703125" bestFit="1" customWidth="1"/>
    <col min="1943" max="1943" width="14.640625" bestFit="1" customWidth="1"/>
    <col min="1944" max="1944" width="11" bestFit="1" customWidth="1"/>
    <col min="1945" max="1945" width="10.92578125" bestFit="1" customWidth="1"/>
    <col min="1946" max="1946" width="13" bestFit="1" customWidth="1"/>
    <col min="1947" max="1947" width="13.7109375" bestFit="1" customWidth="1"/>
    <col min="1948" max="1948" width="15.2109375" bestFit="1" customWidth="1"/>
    <col min="1949" max="1949" width="16.42578125" bestFit="1" customWidth="1"/>
    <col min="1950" max="1950" width="13.78515625" bestFit="1" customWidth="1"/>
    <col min="1951" max="1951" width="13.7109375" bestFit="1" customWidth="1"/>
    <col min="1952" max="1952" width="12.92578125" bestFit="1" customWidth="1"/>
    <col min="1953" max="1953" width="20.28515625" bestFit="1" customWidth="1"/>
    <col min="1954" max="1954" width="10.7109375" bestFit="1" customWidth="1"/>
    <col min="1955" max="1955" width="15.42578125" bestFit="1" customWidth="1"/>
    <col min="1956" max="1956" width="15.5703125" bestFit="1" customWidth="1"/>
    <col min="1957" max="1957" width="11.2109375" bestFit="1" customWidth="1"/>
    <col min="1958" max="1958" width="17.7109375" bestFit="1" customWidth="1"/>
    <col min="1959" max="1959" width="9.85546875" bestFit="1" customWidth="1"/>
    <col min="1960" max="1960" width="14.2109375" bestFit="1" customWidth="1"/>
    <col min="1961" max="1961" width="11.7109375" bestFit="1" customWidth="1"/>
    <col min="1962" max="1962" width="12.85546875" bestFit="1" customWidth="1"/>
    <col min="1963" max="1963" width="23.5703125" bestFit="1" customWidth="1"/>
    <col min="1964" max="1964" width="14.5703125" bestFit="1" customWidth="1"/>
    <col min="1965" max="1966" width="14.5" bestFit="1" customWidth="1"/>
    <col min="1967" max="1967" width="12.5" bestFit="1" customWidth="1"/>
    <col min="1968" max="1968" width="17.5" bestFit="1" customWidth="1"/>
    <col min="1969" max="1969" width="11.28515625" bestFit="1" customWidth="1"/>
    <col min="1970" max="1970" width="14.28515625" bestFit="1" customWidth="1"/>
    <col min="1971" max="1971" width="10.0703125" bestFit="1" customWidth="1"/>
    <col min="1972" max="1972" width="13.0703125" bestFit="1" customWidth="1"/>
    <col min="1973" max="1973" width="14.5" bestFit="1" customWidth="1"/>
    <col min="1974" max="1974" width="18.35546875" bestFit="1" customWidth="1"/>
    <col min="1975" max="1975" width="9.640625" bestFit="1" customWidth="1"/>
    <col min="1976" max="1976" width="21.5703125" bestFit="1" customWidth="1"/>
    <col min="1977" max="1977" width="15.42578125" bestFit="1" customWidth="1"/>
    <col min="1978" max="1978" width="20.2109375" bestFit="1" customWidth="1"/>
    <col min="1979" max="1979" width="16.5" bestFit="1" customWidth="1"/>
    <col min="1980" max="1980" width="15.92578125" bestFit="1" customWidth="1"/>
    <col min="1981" max="1981" width="16.35546875" bestFit="1" customWidth="1"/>
    <col min="1982" max="1982" width="9.85546875" bestFit="1" customWidth="1"/>
    <col min="1983" max="1983" width="11.5" bestFit="1" customWidth="1"/>
    <col min="1984" max="1984" width="11.35546875" bestFit="1" customWidth="1"/>
    <col min="1985" max="1985" width="13.640625" bestFit="1" customWidth="1"/>
    <col min="1986" max="1986" width="15.5703125" bestFit="1" customWidth="1"/>
    <col min="1987" max="1987" width="11.640625" bestFit="1" customWidth="1"/>
    <col min="1988" max="1988" width="12.140625" bestFit="1" customWidth="1"/>
    <col min="1989" max="1989" width="17.5703125" bestFit="1" customWidth="1"/>
    <col min="1990" max="1990" width="12.5" bestFit="1" customWidth="1"/>
    <col min="1991" max="1991" width="10.640625" bestFit="1" customWidth="1"/>
    <col min="1992" max="1992" width="15.78515625" bestFit="1" customWidth="1"/>
    <col min="1993" max="1993" width="13.85546875" bestFit="1" customWidth="1"/>
    <col min="1994" max="1994" width="11.7109375" bestFit="1" customWidth="1"/>
    <col min="1995" max="1995" width="15" bestFit="1" customWidth="1"/>
    <col min="1996" max="1996" width="15.42578125" bestFit="1" customWidth="1"/>
    <col min="1997" max="1997" width="14.5" bestFit="1" customWidth="1"/>
    <col min="1998" max="1998" width="12.5703125" bestFit="1" customWidth="1"/>
    <col min="1999" max="1999" width="18" bestFit="1" customWidth="1"/>
    <col min="2000" max="2000" width="12.5" bestFit="1" customWidth="1"/>
    <col min="2001" max="2001" width="15.92578125" bestFit="1" customWidth="1"/>
    <col min="2002" max="2002" width="16.35546875" bestFit="1" customWidth="1"/>
    <col min="2003" max="2003" width="21.35546875" bestFit="1" customWidth="1"/>
    <col min="2004" max="2004" width="12.92578125" bestFit="1" customWidth="1"/>
    <col min="2005" max="2005" width="14.92578125" bestFit="1" customWidth="1"/>
    <col min="2006" max="2006" width="9.92578125" bestFit="1" customWidth="1"/>
    <col min="2007" max="2007" width="11.7109375" bestFit="1" customWidth="1"/>
    <col min="2008" max="2008" width="18.78515625" bestFit="1" customWidth="1"/>
    <col min="2009" max="2009" width="8.28515625" bestFit="1" customWidth="1"/>
    <col min="2010" max="2010" width="11.0703125" bestFit="1" customWidth="1"/>
    <col min="2011" max="2011" width="10.7109375" bestFit="1" customWidth="1"/>
    <col min="2012" max="2012" width="8.78515625" bestFit="1" customWidth="1"/>
    <col min="2013" max="2013" width="13.28515625" bestFit="1" customWidth="1"/>
    <col min="2014" max="2014" width="14.92578125" bestFit="1" customWidth="1"/>
    <col min="2015" max="2015" width="14.5" bestFit="1" customWidth="1"/>
    <col min="2016" max="2016" width="13.5703125" bestFit="1" customWidth="1"/>
    <col min="2017" max="2017" width="12" bestFit="1" customWidth="1"/>
    <col min="2018" max="2018" width="14.5703125" bestFit="1" customWidth="1"/>
    <col min="2019" max="2019" width="14.35546875" bestFit="1" customWidth="1"/>
    <col min="2020" max="2020" width="13.28515625" bestFit="1" customWidth="1"/>
    <col min="2021" max="2021" width="11.35546875" bestFit="1" customWidth="1"/>
    <col min="2022" max="2022" width="10.85546875" bestFit="1" customWidth="1"/>
    <col min="2023" max="2023" width="13.2109375" bestFit="1" customWidth="1"/>
    <col min="2024" max="2024" width="9.92578125" bestFit="1" customWidth="1"/>
    <col min="2025" max="2025" width="9.28515625" bestFit="1" customWidth="1"/>
    <col min="2026" max="2026" width="16.5703125" bestFit="1" customWidth="1"/>
    <col min="2027" max="2027" width="11.92578125" bestFit="1" customWidth="1"/>
    <col min="2028" max="2028" width="15.5" bestFit="1" customWidth="1"/>
    <col min="2029" max="2029" width="22.42578125" bestFit="1" customWidth="1"/>
    <col min="2030" max="2030" width="20.640625" bestFit="1" customWidth="1"/>
    <col min="2031" max="2031" width="21.7109375" bestFit="1" customWidth="1"/>
    <col min="2032" max="2032" width="12.92578125" bestFit="1" customWidth="1"/>
    <col min="2033" max="2033" width="10.0703125" bestFit="1" customWidth="1"/>
    <col min="2034" max="2034" width="14.42578125" bestFit="1" customWidth="1"/>
    <col min="2035" max="2035" width="11.7109375" bestFit="1" customWidth="1"/>
    <col min="2036" max="2036" width="9.28515625" bestFit="1" customWidth="1"/>
    <col min="2037" max="2037" width="12.5" bestFit="1" customWidth="1"/>
    <col min="2038" max="2038" width="14.7109375" bestFit="1" customWidth="1"/>
    <col min="2039" max="2039" width="10.640625" bestFit="1" customWidth="1"/>
    <col min="2040" max="2040" width="15.28515625" bestFit="1" customWidth="1"/>
    <col min="2041" max="2041" width="15.0703125" bestFit="1" customWidth="1"/>
    <col min="2042" max="2042" width="13.140625" bestFit="1" customWidth="1"/>
    <col min="2043" max="2043" width="14.42578125" bestFit="1" customWidth="1"/>
    <col min="2044" max="2044" width="11.7109375" bestFit="1" customWidth="1"/>
    <col min="2045" max="2045" width="13.5703125" bestFit="1" customWidth="1"/>
    <col min="2046" max="2046" width="15.78515625" bestFit="1" customWidth="1"/>
    <col min="2047" max="2047" width="14.140625" bestFit="1" customWidth="1"/>
    <col min="2048" max="2048" width="12.5703125" bestFit="1" customWidth="1"/>
    <col min="2049" max="2049" width="15" bestFit="1" customWidth="1"/>
    <col min="2050" max="2050" width="13.5" bestFit="1" customWidth="1"/>
    <col min="2051" max="2052" width="12.42578125" bestFit="1" customWidth="1"/>
    <col min="2053" max="2053" width="13.140625" bestFit="1" customWidth="1"/>
    <col min="2054" max="2054" width="19.5" bestFit="1" customWidth="1"/>
    <col min="2055" max="2055" width="12.640625" bestFit="1" customWidth="1"/>
    <col min="2056" max="2056" width="10" bestFit="1" customWidth="1"/>
    <col min="2057" max="2057" width="14" bestFit="1" customWidth="1"/>
    <col min="2058" max="2058" width="13.640625" bestFit="1" customWidth="1"/>
    <col min="2059" max="2059" width="17.140625" bestFit="1" customWidth="1"/>
    <col min="2060" max="2060" width="17.2109375" bestFit="1" customWidth="1"/>
    <col min="2061" max="2061" width="17.92578125" bestFit="1" customWidth="1"/>
    <col min="2062" max="2062" width="11.92578125" bestFit="1" customWidth="1"/>
    <col min="2063" max="2063" width="13.5" bestFit="1" customWidth="1"/>
    <col min="2064" max="2065" width="14.5" bestFit="1" customWidth="1"/>
    <col min="2066" max="2066" width="11.640625" bestFit="1" customWidth="1"/>
    <col min="2067" max="2067" width="12.28515625" bestFit="1" customWidth="1"/>
    <col min="2068" max="2068" width="18" bestFit="1" customWidth="1"/>
    <col min="2069" max="2069" width="14.42578125" bestFit="1" customWidth="1"/>
    <col min="2070" max="2070" width="18.2109375" bestFit="1" customWidth="1"/>
    <col min="2071" max="2071" width="13" bestFit="1" customWidth="1"/>
    <col min="2072" max="2072" width="10.85546875" bestFit="1" customWidth="1"/>
    <col min="2073" max="2073" width="15.35546875" bestFit="1" customWidth="1"/>
    <col min="2074" max="2074" width="14.42578125" bestFit="1" customWidth="1"/>
    <col min="2075" max="2075" width="16.0703125" bestFit="1" customWidth="1"/>
    <col min="2076" max="2076" width="16.140625" bestFit="1" customWidth="1"/>
    <col min="2077" max="2077" width="15.85546875" bestFit="1" customWidth="1"/>
    <col min="2078" max="2078" width="14.35546875" bestFit="1" customWidth="1"/>
    <col min="2079" max="2079" width="10.2109375" bestFit="1" customWidth="1"/>
    <col min="2080" max="2080" width="13.85546875" bestFit="1" customWidth="1"/>
    <col min="2081" max="2081" width="13.7109375" bestFit="1" customWidth="1"/>
    <col min="2082" max="2082" width="9.2109375" bestFit="1" customWidth="1"/>
    <col min="2083" max="2083" width="11.2109375" bestFit="1" customWidth="1"/>
    <col min="2084" max="2084" width="11.5" bestFit="1" customWidth="1"/>
    <col min="2085" max="2085" width="13.78515625" bestFit="1" customWidth="1"/>
    <col min="2086" max="2086" width="9.92578125" bestFit="1" customWidth="1"/>
    <col min="2087" max="2087" width="12.85546875" bestFit="1" customWidth="1"/>
    <col min="2088" max="2088" width="16.5" bestFit="1" customWidth="1"/>
    <col min="2089" max="2089" width="12.640625" bestFit="1" customWidth="1"/>
    <col min="2090" max="2090" width="12.5703125" bestFit="1" customWidth="1"/>
    <col min="2091" max="2091" width="13.7109375" bestFit="1" customWidth="1"/>
    <col min="2092" max="2092" width="14.35546875" bestFit="1" customWidth="1"/>
    <col min="2093" max="2093" width="14.0703125" bestFit="1" customWidth="1"/>
    <col min="2094" max="2094" width="14.28515625" bestFit="1" customWidth="1"/>
    <col min="2095" max="2095" width="15" bestFit="1" customWidth="1"/>
    <col min="2096" max="2096" width="11.640625" bestFit="1" customWidth="1"/>
    <col min="2097" max="2097" width="13.2109375" bestFit="1" customWidth="1"/>
    <col min="2098" max="2098" width="11.2109375" bestFit="1" customWidth="1"/>
    <col min="2099" max="2099" width="12.5" bestFit="1" customWidth="1"/>
    <col min="2100" max="2100" width="11.640625" bestFit="1" customWidth="1"/>
    <col min="2101" max="2101" width="21.28515625" bestFit="1" customWidth="1"/>
    <col min="2102" max="2102" width="14.5" bestFit="1" customWidth="1"/>
    <col min="2103" max="2103" width="13.5703125" bestFit="1" customWidth="1"/>
    <col min="2104" max="2104" width="11.5" bestFit="1" customWidth="1"/>
    <col min="2105" max="2105" width="12.5" bestFit="1" customWidth="1"/>
    <col min="2106" max="2106" width="13.92578125" bestFit="1" customWidth="1"/>
    <col min="2107" max="2107" width="12" bestFit="1" customWidth="1"/>
    <col min="2108" max="2108" width="10.640625" bestFit="1" customWidth="1"/>
    <col min="2109" max="2109" width="16.0703125" bestFit="1" customWidth="1"/>
    <col min="2110" max="2110" width="14.2109375" bestFit="1" customWidth="1"/>
    <col min="2111" max="2111" width="13.640625" bestFit="1" customWidth="1"/>
    <col min="2112" max="2112" width="12.78515625" bestFit="1" customWidth="1"/>
    <col min="2113" max="2113" width="14.35546875" bestFit="1" customWidth="1"/>
    <col min="2114" max="2114" width="11.640625" bestFit="1" customWidth="1"/>
    <col min="2115" max="2115" width="18.35546875" bestFit="1" customWidth="1"/>
    <col min="2116" max="2116" width="8.5703125" bestFit="1" customWidth="1"/>
    <col min="2117" max="2117" width="8.640625" bestFit="1" customWidth="1"/>
    <col min="2118" max="2118" width="14.0703125" bestFit="1" customWidth="1"/>
    <col min="2119" max="2119" width="19.42578125" bestFit="1" customWidth="1"/>
    <col min="2120" max="2120" width="12.5703125" bestFit="1" customWidth="1"/>
    <col min="2121" max="2121" width="6.92578125" bestFit="1" customWidth="1"/>
    <col min="2122" max="2122" width="18" bestFit="1" customWidth="1"/>
    <col min="2123" max="2123" width="13.5703125" bestFit="1" customWidth="1"/>
    <col min="2124" max="2124" width="13.140625" bestFit="1" customWidth="1"/>
    <col min="2125" max="2125" width="13.78515625" bestFit="1" customWidth="1"/>
    <col min="2126" max="2126" width="14.28515625" bestFit="1" customWidth="1"/>
    <col min="2127" max="2127" width="15.7109375" bestFit="1" customWidth="1"/>
    <col min="2128" max="2128" width="10.5703125" bestFit="1" customWidth="1"/>
    <col min="2129" max="2129" width="16.7109375" bestFit="1" customWidth="1"/>
    <col min="2130" max="2130" width="11.5" bestFit="1" customWidth="1"/>
    <col min="2131" max="2131" width="18.85546875" bestFit="1" customWidth="1"/>
    <col min="2132" max="2132" width="16.28515625" bestFit="1" customWidth="1"/>
    <col min="2133" max="2133" width="9.7109375" bestFit="1" customWidth="1"/>
    <col min="2134" max="2134" width="8.0703125" bestFit="1" customWidth="1"/>
    <col min="2135" max="2135" width="12.92578125" bestFit="1" customWidth="1"/>
    <col min="2136" max="2136" width="21.2109375" bestFit="1" customWidth="1"/>
    <col min="2137" max="2137" width="12.640625" bestFit="1" customWidth="1"/>
    <col min="2138" max="2138" width="12.35546875" bestFit="1" customWidth="1"/>
    <col min="2139" max="2139" width="10.5" bestFit="1" customWidth="1"/>
    <col min="2140" max="2140" width="7.640625" bestFit="1" customWidth="1"/>
    <col min="2141" max="2141" width="24.92578125" bestFit="1" customWidth="1"/>
    <col min="2142" max="2142" width="21.5703125" bestFit="1" customWidth="1"/>
    <col min="2143" max="2143" width="23.5" bestFit="1" customWidth="1"/>
    <col min="2144" max="2144" width="15.140625" bestFit="1" customWidth="1"/>
    <col min="2145" max="2145" width="16.0703125" bestFit="1" customWidth="1"/>
    <col min="2146" max="2146" width="15.640625" bestFit="1" customWidth="1"/>
    <col min="2147" max="2147" width="17.35546875" bestFit="1" customWidth="1"/>
    <col min="2148" max="2148" width="13.5" bestFit="1" customWidth="1"/>
    <col min="2149" max="2149" width="15.640625" bestFit="1" customWidth="1"/>
    <col min="2150" max="2150" width="15.42578125" bestFit="1" customWidth="1"/>
    <col min="2151" max="2151" width="14.28515625" bestFit="1" customWidth="1"/>
    <col min="2152" max="2152" width="11.640625" bestFit="1" customWidth="1"/>
    <col min="2153" max="2153" width="15.2109375" bestFit="1" customWidth="1"/>
    <col min="2154" max="2154" width="9.85546875" bestFit="1" customWidth="1"/>
    <col min="2155" max="2155" width="11.640625" bestFit="1" customWidth="1"/>
    <col min="2156" max="2156" width="13.28515625" bestFit="1" customWidth="1"/>
    <col min="2157" max="2157" width="13.0703125" bestFit="1" customWidth="1"/>
    <col min="2158" max="2158" width="16.92578125" bestFit="1" customWidth="1"/>
    <col min="2159" max="2159" width="14.28515625" bestFit="1" customWidth="1"/>
    <col min="2160" max="2160" width="11.640625" bestFit="1" customWidth="1"/>
    <col min="2161" max="2161" width="17.78515625" bestFit="1" customWidth="1"/>
    <col min="2162" max="2162" width="13.7109375" bestFit="1" customWidth="1"/>
    <col min="2163" max="2163" width="11.140625" bestFit="1" customWidth="1"/>
    <col min="2164" max="2164" width="16.28515625" bestFit="1" customWidth="1"/>
    <col min="2165" max="2165" width="11.5703125" bestFit="1" customWidth="1"/>
    <col min="2166" max="2166" width="16.5703125" bestFit="1" customWidth="1"/>
    <col min="2167" max="2167" width="13.5" bestFit="1" customWidth="1"/>
    <col min="2168" max="2168" width="17.0703125" bestFit="1" customWidth="1"/>
    <col min="2169" max="2169" width="11.640625" bestFit="1" customWidth="1"/>
    <col min="2170" max="2170" width="13.0703125" bestFit="1" customWidth="1"/>
    <col min="2171" max="2171" width="16.0703125" bestFit="1" customWidth="1"/>
    <col min="2172" max="2172" width="12.5" bestFit="1" customWidth="1"/>
    <col min="2173" max="2173" width="19.35546875" bestFit="1" customWidth="1"/>
    <col min="2174" max="2174" width="16.7109375" bestFit="1" customWidth="1"/>
    <col min="2175" max="2175" width="11.0703125" bestFit="1" customWidth="1"/>
    <col min="2176" max="2176" width="10.640625" bestFit="1" customWidth="1"/>
    <col min="2177" max="2177" width="12.2109375" bestFit="1" customWidth="1"/>
    <col min="2178" max="2178" width="10.7109375" bestFit="1" customWidth="1"/>
    <col min="2179" max="2179" width="11.5" bestFit="1" customWidth="1"/>
    <col min="2180" max="2180" width="20.0703125" bestFit="1" customWidth="1"/>
    <col min="2181" max="2181" width="14.2109375" bestFit="1" customWidth="1"/>
    <col min="2182" max="2182" width="14.85546875" bestFit="1" customWidth="1"/>
    <col min="2183" max="2183" width="18.7109375" bestFit="1" customWidth="1"/>
    <col min="2184" max="2184" width="10.35546875" bestFit="1" customWidth="1"/>
    <col min="2185" max="2185" width="16.92578125" bestFit="1" customWidth="1"/>
    <col min="2186" max="2186" width="12.140625" bestFit="1" customWidth="1"/>
    <col min="2187" max="2187" width="8.35546875" bestFit="1" customWidth="1"/>
    <col min="2188" max="2188" width="13.7109375" bestFit="1" customWidth="1"/>
    <col min="2189" max="2189" width="16.5703125" bestFit="1" customWidth="1"/>
    <col min="2190" max="2190" width="13.0703125" bestFit="1" customWidth="1"/>
    <col min="2191" max="2191" width="12.28515625" bestFit="1" customWidth="1"/>
    <col min="2192" max="2192" width="10.42578125" bestFit="1" customWidth="1"/>
    <col min="2193" max="2193" width="15" bestFit="1" customWidth="1"/>
    <col min="2194" max="2194" width="15.140625" bestFit="1" customWidth="1"/>
    <col min="2195" max="2195" width="15.78515625" bestFit="1" customWidth="1"/>
    <col min="2196" max="2196" width="16.92578125" bestFit="1" customWidth="1"/>
    <col min="2197" max="2197" width="14.140625" bestFit="1" customWidth="1"/>
    <col min="2198" max="2198" width="13.28515625" bestFit="1" customWidth="1"/>
    <col min="2199" max="2200" width="13.85546875" bestFit="1" customWidth="1"/>
    <col min="2201" max="2201" width="15.35546875" bestFit="1" customWidth="1"/>
    <col min="2202" max="2202" width="12.28515625" bestFit="1" customWidth="1"/>
    <col min="2203" max="2203" width="12.2109375" bestFit="1" customWidth="1"/>
    <col min="2204" max="2204" width="11.140625" bestFit="1" customWidth="1"/>
    <col min="2205" max="2205" width="13.7109375" bestFit="1" customWidth="1"/>
    <col min="2206" max="2206" width="11.7109375" bestFit="1" customWidth="1"/>
    <col min="2207" max="2207" width="16.35546875" bestFit="1" customWidth="1"/>
    <col min="2208" max="2208" width="11.5703125" bestFit="1" customWidth="1"/>
    <col min="2209" max="2209" width="13.7109375" bestFit="1" customWidth="1"/>
    <col min="2210" max="2210" width="12.5703125" bestFit="1" customWidth="1"/>
    <col min="2211" max="2211" width="8.42578125" bestFit="1" customWidth="1"/>
    <col min="2212" max="2212" width="9.35546875" bestFit="1" customWidth="1"/>
    <col min="2213" max="2213" width="12.140625" bestFit="1" customWidth="1"/>
    <col min="2214" max="2214" width="17.0703125" bestFit="1" customWidth="1"/>
    <col min="2215" max="2215" width="13.35546875" bestFit="1" customWidth="1"/>
    <col min="2216" max="2216" width="10.35546875" bestFit="1" customWidth="1"/>
    <col min="2217" max="2217" width="14.640625" bestFit="1" customWidth="1"/>
    <col min="2218" max="2218" width="11.0703125" bestFit="1" customWidth="1"/>
    <col min="2219" max="2219" width="17.85546875" bestFit="1" customWidth="1"/>
    <col min="2220" max="2220" width="16.5" bestFit="1" customWidth="1"/>
    <col min="2221" max="2221" width="12.640625" bestFit="1" customWidth="1"/>
    <col min="2222" max="2222" width="12.2109375" bestFit="1" customWidth="1"/>
    <col min="2223" max="2223" width="10.92578125" bestFit="1" customWidth="1"/>
    <col min="2224" max="2224" width="20.140625" bestFit="1" customWidth="1"/>
    <col min="2225" max="2225" width="13.85546875" bestFit="1" customWidth="1"/>
    <col min="2226" max="2226" width="16.2109375" bestFit="1" customWidth="1"/>
    <col min="2227" max="2227" width="13.5703125" bestFit="1" customWidth="1"/>
    <col min="2228" max="2228" width="15.85546875" bestFit="1" customWidth="1"/>
    <col min="2229" max="2229" width="16.35546875" bestFit="1" customWidth="1"/>
    <col min="2230" max="2230" width="16.85546875" bestFit="1" customWidth="1"/>
    <col min="2231" max="2231" width="10.92578125" bestFit="1" customWidth="1"/>
    <col min="2232" max="2232" width="10.42578125" bestFit="1" customWidth="1"/>
    <col min="2233" max="2233" width="14.2109375" bestFit="1" customWidth="1"/>
    <col min="2234" max="2234" width="17.5" bestFit="1" customWidth="1"/>
    <col min="2235" max="2235" width="10.5703125" bestFit="1" customWidth="1"/>
    <col min="2236" max="2236" width="16.0703125" bestFit="1" customWidth="1"/>
    <col min="2237" max="2237" width="12.5" bestFit="1" customWidth="1"/>
    <col min="2238" max="2238" width="15.0703125" bestFit="1" customWidth="1"/>
    <col min="2239" max="2239" width="11.85546875" bestFit="1" customWidth="1"/>
    <col min="2240" max="2240" width="18.2109375" bestFit="1" customWidth="1"/>
    <col min="2241" max="2241" width="10.92578125" bestFit="1" customWidth="1"/>
    <col min="2242" max="2242" width="11.92578125" bestFit="1" customWidth="1"/>
    <col min="2243" max="2243" width="18.2109375" bestFit="1" customWidth="1"/>
    <col min="2244" max="2244" width="18.640625" bestFit="1" customWidth="1"/>
    <col min="2245" max="2245" width="15.5" bestFit="1" customWidth="1"/>
    <col min="2246" max="2246" width="12.42578125" bestFit="1" customWidth="1"/>
    <col min="2247" max="2247" width="10.42578125" bestFit="1" customWidth="1"/>
    <col min="2248" max="2248" width="16.7109375" bestFit="1" customWidth="1"/>
    <col min="2249" max="2249" width="13" bestFit="1" customWidth="1"/>
    <col min="2250" max="2250" width="13.640625" bestFit="1" customWidth="1"/>
    <col min="2251" max="2251" width="14.5703125" bestFit="1" customWidth="1"/>
    <col min="2252" max="2252" width="12.42578125" bestFit="1" customWidth="1"/>
    <col min="2253" max="2253" width="11.7109375" bestFit="1" customWidth="1"/>
    <col min="2254" max="2254" width="11.5" bestFit="1" customWidth="1"/>
    <col min="2255" max="2255" width="13.140625" bestFit="1" customWidth="1"/>
    <col min="2256" max="2256" width="12.5703125" bestFit="1" customWidth="1"/>
    <col min="2257" max="2257" width="11.92578125" bestFit="1" customWidth="1"/>
    <col min="2258" max="2258" width="15.78515625" bestFit="1" customWidth="1"/>
    <col min="2259" max="2259" width="11.0703125" bestFit="1" customWidth="1"/>
    <col min="2260" max="2260" width="13.140625" bestFit="1" customWidth="1"/>
    <col min="2261" max="2261" width="14.92578125" bestFit="1" customWidth="1"/>
    <col min="2262" max="2262" width="10.7109375" bestFit="1" customWidth="1"/>
    <col min="2263" max="2263" width="7.0703125" bestFit="1" customWidth="1"/>
    <col min="2264" max="2264" width="10.5703125" bestFit="1" customWidth="1"/>
    <col min="2265" max="2265" width="10.5" bestFit="1" customWidth="1"/>
    <col min="2266" max="2267" width="13.5" bestFit="1" customWidth="1"/>
    <col min="2268" max="2268" width="9.92578125" bestFit="1" customWidth="1"/>
    <col min="2269" max="2269" width="11.28515625" bestFit="1" customWidth="1"/>
    <col min="2270" max="2270" width="12.5703125" bestFit="1" customWidth="1"/>
    <col min="2271" max="2271" width="12.5" bestFit="1" customWidth="1"/>
    <col min="2272" max="2272" width="14.28515625" bestFit="1" customWidth="1"/>
    <col min="2273" max="2273" width="17.35546875" bestFit="1" customWidth="1"/>
    <col min="2274" max="2274" width="20.640625" bestFit="1" customWidth="1"/>
    <col min="2275" max="2275" width="18.28515625" bestFit="1" customWidth="1"/>
    <col min="2276" max="2276" width="16.35546875" bestFit="1" customWidth="1"/>
    <col min="2277" max="2277" width="14.85546875" bestFit="1" customWidth="1"/>
    <col min="2278" max="2278" width="19.5" bestFit="1" customWidth="1"/>
    <col min="2279" max="2279" width="14.35546875" bestFit="1" customWidth="1"/>
    <col min="2280" max="2280" width="16.28515625" bestFit="1" customWidth="1"/>
    <col min="2281" max="2281" width="14.0703125" bestFit="1" customWidth="1"/>
    <col min="2282" max="2282" width="13.92578125" bestFit="1" customWidth="1"/>
    <col min="2283" max="2283" width="17.7109375" bestFit="1" customWidth="1"/>
    <col min="2284" max="2284" width="11.140625" bestFit="1" customWidth="1"/>
    <col min="2285" max="2285" width="14.42578125" bestFit="1" customWidth="1"/>
    <col min="2286" max="2286" width="15.7109375" bestFit="1" customWidth="1"/>
    <col min="2287" max="2287" width="11" bestFit="1" customWidth="1"/>
    <col min="2288" max="2288" width="16.2109375" bestFit="1" customWidth="1"/>
    <col min="2289" max="2289" width="14.2109375" bestFit="1" customWidth="1"/>
    <col min="2290" max="2290" width="13.5" bestFit="1" customWidth="1"/>
    <col min="2291" max="2291" width="12.640625" bestFit="1" customWidth="1"/>
    <col min="2292" max="2292" width="15.42578125" bestFit="1" customWidth="1"/>
    <col min="2293" max="2293" width="15.78515625" bestFit="1" customWidth="1"/>
    <col min="2294" max="2294" width="11.7109375" bestFit="1" customWidth="1"/>
    <col min="2295" max="2295" width="14.2109375" bestFit="1" customWidth="1"/>
    <col min="2296" max="2296" width="11.640625" bestFit="1" customWidth="1"/>
    <col min="2297" max="2297" width="16.78515625" bestFit="1" customWidth="1"/>
    <col min="2298" max="2298" width="14.0703125" bestFit="1" customWidth="1"/>
    <col min="2299" max="2299" width="8.140625" bestFit="1" customWidth="1"/>
    <col min="2300" max="2300" width="13.7109375" bestFit="1" customWidth="1"/>
    <col min="2301" max="2301" width="12.140625" bestFit="1" customWidth="1"/>
    <col min="2302" max="2302" width="9.640625" bestFit="1" customWidth="1"/>
    <col min="2303" max="2303" width="10.42578125" bestFit="1" customWidth="1"/>
    <col min="2304" max="2304" width="15.2109375" bestFit="1" customWidth="1"/>
    <col min="2305" max="2305" width="12.35546875" bestFit="1" customWidth="1"/>
    <col min="2306" max="2306" width="13.28515625" bestFit="1" customWidth="1"/>
    <col min="2307" max="2307" width="15.2109375" bestFit="1" customWidth="1"/>
    <col min="2308" max="2308" width="11.85546875" bestFit="1" customWidth="1"/>
    <col min="2309" max="2309" width="14.140625" bestFit="1" customWidth="1"/>
    <col min="2310" max="2310" width="26.640625" bestFit="1" customWidth="1"/>
    <col min="2311" max="2311" width="9.0703125" bestFit="1" customWidth="1"/>
    <col min="2312" max="2312" width="13.92578125" bestFit="1" customWidth="1"/>
    <col min="2313" max="2313" width="17.0703125" bestFit="1" customWidth="1"/>
    <col min="2314" max="2314" width="14.2109375" bestFit="1" customWidth="1"/>
    <col min="2315" max="2315" width="11.140625" bestFit="1" customWidth="1"/>
    <col min="2316" max="2316" width="13.140625" bestFit="1" customWidth="1"/>
    <col min="2317" max="2317" width="12.2109375" bestFit="1" customWidth="1"/>
    <col min="2318" max="2318" width="12.28515625" bestFit="1" customWidth="1"/>
    <col min="2319" max="2319" width="15.42578125" bestFit="1" customWidth="1"/>
    <col min="2320" max="2320" width="10.92578125" bestFit="1" customWidth="1"/>
    <col min="2321" max="2321" width="14.92578125" bestFit="1" customWidth="1"/>
    <col min="2322" max="2322" width="14.85546875" bestFit="1" customWidth="1"/>
    <col min="2323" max="2323" width="11.7109375" bestFit="1" customWidth="1"/>
    <col min="2324" max="2324" width="15.85546875" bestFit="1" customWidth="1"/>
    <col min="2325" max="2325" width="15.42578125" bestFit="1" customWidth="1"/>
    <col min="2326" max="2326" width="12.140625" bestFit="1" customWidth="1"/>
    <col min="2327" max="2327" width="14.7109375" bestFit="1" customWidth="1"/>
    <col min="2328" max="2328" width="14.2109375" bestFit="1" customWidth="1"/>
    <col min="2329" max="2329" width="14.5703125" bestFit="1" customWidth="1"/>
    <col min="2330" max="2330" width="11.85546875" bestFit="1" customWidth="1"/>
    <col min="2331" max="2331" width="12.42578125" bestFit="1" customWidth="1"/>
    <col min="2332" max="2332" width="12.92578125" bestFit="1" customWidth="1"/>
    <col min="2333" max="2333" width="16.28515625" bestFit="1" customWidth="1"/>
    <col min="2334" max="2334" width="14.640625" bestFit="1" customWidth="1"/>
    <col min="2335" max="2335" width="15.92578125" bestFit="1" customWidth="1"/>
    <col min="2336" max="2336" width="14.28515625" bestFit="1" customWidth="1"/>
    <col min="2337" max="2337" width="9.78515625" bestFit="1" customWidth="1"/>
    <col min="2339" max="2339" width="18.78515625" bestFit="1" customWidth="1"/>
    <col min="2340" max="2340" width="15.7109375" bestFit="1" customWidth="1"/>
    <col min="2341" max="2341" width="16.140625" bestFit="1" customWidth="1"/>
    <col min="2342" max="2342" width="8.5" bestFit="1" customWidth="1"/>
    <col min="2343" max="2343" width="12.92578125" bestFit="1" customWidth="1"/>
    <col min="2344" max="2344" width="12.7109375" bestFit="1" customWidth="1"/>
    <col min="2345" max="2345" width="12.5" bestFit="1" customWidth="1"/>
    <col min="2346" max="2346" width="17.140625" bestFit="1" customWidth="1"/>
    <col min="2347" max="2347" width="13.78515625" bestFit="1" customWidth="1"/>
    <col min="2348" max="2348" width="11.35546875" bestFit="1" customWidth="1"/>
    <col min="2349" max="2349" width="10.5" bestFit="1" customWidth="1"/>
    <col min="2350" max="2350" width="14.640625" bestFit="1" customWidth="1"/>
    <col min="2351" max="2351" width="21.140625" bestFit="1" customWidth="1"/>
    <col min="2352" max="2352" width="17.78515625" bestFit="1" customWidth="1"/>
    <col min="2353" max="2353" width="15.78515625" bestFit="1" customWidth="1"/>
    <col min="2354" max="2354" width="9.42578125" bestFit="1" customWidth="1"/>
    <col min="2355" max="2355" width="12.2109375" bestFit="1" customWidth="1"/>
    <col min="2356" max="2356" width="11.5703125" bestFit="1" customWidth="1"/>
    <col min="2357" max="2357" width="16.0703125" bestFit="1" customWidth="1"/>
    <col min="2358" max="2358" width="15.28515625" bestFit="1" customWidth="1"/>
    <col min="2359" max="2359" width="10.2109375" bestFit="1" customWidth="1"/>
    <col min="2360" max="2360" width="15.0703125" bestFit="1" customWidth="1"/>
    <col min="2361" max="2361" width="17.5703125" bestFit="1" customWidth="1"/>
    <col min="2362" max="2362" width="12.85546875" bestFit="1" customWidth="1"/>
    <col min="2363" max="2363" width="12.140625" bestFit="1" customWidth="1"/>
    <col min="2364" max="2364" width="18.2109375" bestFit="1" customWidth="1"/>
    <col min="2365" max="2365" width="11.35546875" bestFit="1" customWidth="1"/>
    <col min="2366" max="2366" width="10.0703125" bestFit="1" customWidth="1"/>
    <col min="2367" max="2367" width="20.28515625" bestFit="1" customWidth="1"/>
    <col min="2368" max="2368" width="11.5" bestFit="1" customWidth="1"/>
    <col min="2369" max="2369" width="14.5703125" bestFit="1" customWidth="1"/>
    <col min="2370" max="2370" width="19" bestFit="1" customWidth="1"/>
    <col min="2371" max="2371" width="14.35546875" bestFit="1" customWidth="1"/>
    <col min="2372" max="2372" width="14.78515625" bestFit="1" customWidth="1"/>
    <col min="2373" max="2373" width="10.28515625" bestFit="1" customWidth="1"/>
    <col min="2374" max="2374" width="14.42578125" bestFit="1" customWidth="1"/>
    <col min="2375" max="2375" width="11.28515625" bestFit="1" customWidth="1"/>
    <col min="2376" max="2376" width="13.640625" bestFit="1" customWidth="1"/>
    <col min="2377" max="2377" width="13.28515625" bestFit="1" customWidth="1"/>
    <col min="2378" max="2378" width="14.42578125" bestFit="1" customWidth="1"/>
    <col min="2379" max="2379" width="15.78515625" bestFit="1" customWidth="1"/>
    <col min="2380" max="2380" width="12.140625" bestFit="1" customWidth="1"/>
    <col min="2381" max="2381" width="13.28515625" bestFit="1" customWidth="1"/>
    <col min="2382" max="2382" width="14.28515625" bestFit="1" customWidth="1"/>
    <col min="2383" max="2383" width="11.92578125" bestFit="1" customWidth="1"/>
    <col min="2384" max="2384" width="16.42578125" bestFit="1" customWidth="1"/>
    <col min="2385" max="2385" width="15.140625" bestFit="1" customWidth="1"/>
    <col min="2386" max="2386" width="11.92578125" bestFit="1" customWidth="1"/>
    <col min="2387" max="2387" width="15.85546875" bestFit="1" customWidth="1"/>
    <col min="2388" max="2388" width="17.140625" bestFit="1" customWidth="1"/>
    <col min="2389" max="2389" width="16" bestFit="1" customWidth="1"/>
    <col min="2390" max="2390" width="16.35546875" bestFit="1" customWidth="1"/>
    <col min="2391" max="2391" width="16.2109375" bestFit="1" customWidth="1"/>
    <col min="2392" max="2392" width="13.140625" bestFit="1" customWidth="1"/>
    <col min="2393" max="2393" width="13.5" bestFit="1" customWidth="1"/>
    <col min="2394" max="2394" width="16.2109375" bestFit="1" customWidth="1"/>
    <col min="2395" max="2395" width="12.640625" bestFit="1" customWidth="1"/>
    <col min="2396" max="2396" width="13.0703125" bestFit="1" customWidth="1"/>
    <col min="2397" max="2397" width="14.5" bestFit="1" customWidth="1"/>
    <col min="2398" max="2398" width="15.7109375" bestFit="1" customWidth="1"/>
    <col min="2399" max="2399" width="15.85546875" bestFit="1" customWidth="1"/>
    <col min="2400" max="2400" width="15.42578125" bestFit="1" customWidth="1"/>
    <col min="2401" max="2401" width="16.42578125" bestFit="1" customWidth="1"/>
    <col min="2402" max="2402" width="21.2109375" bestFit="1" customWidth="1"/>
    <col min="2403" max="2403" width="19.140625" bestFit="1" customWidth="1"/>
    <col min="2404" max="2404" width="19" bestFit="1" customWidth="1"/>
    <col min="2405" max="2405" width="15.85546875" bestFit="1" customWidth="1"/>
    <col min="2406" max="2406" width="15.78515625" bestFit="1" customWidth="1"/>
    <col min="2407" max="2407" width="16.78515625" bestFit="1" customWidth="1"/>
    <col min="2408" max="2408" width="17.7109375" bestFit="1" customWidth="1"/>
    <col min="2409" max="2409" width="14.28515625" bestFit="1" customWidth="1"/>
    <col min="2410" max="2410" width="15.0703125" bestFit="1" customWidth="1"/>
    <col min="2411" max="2411" width="11.78515625" bestFit="1" customWidth="1"/>
    <col min="2412" max="2412" width="16.0703125" bestFit="1" customWidth="1"/>
    <col min="2413" max="2413" width="13.7109375" bestFit="1" customWidth="1"/>
    <col min="2414" max="2414" width="13.2109375" bestFit="1" customWidth="1"/>
    <col min="2415" max="2415" width="13.0703125" bestFit="1" customWidth="1"/>
    <col min="2416" max="2416" width="20" bestFit="1" customWidth="1"/>
    <col min="2417" max="2417" width="12.42578125" bestFit="1" customWidth="1"/>
    <col min="2418" max="2418" width="14.85546875" bestFit="1" customWidth="1"/>
    <col min="2419" max="2419" width="15.85546875" bestFit="1" customWidth="1"/>
    <col min="2420" max="2421" width="16.0703125" bestFit="1" customWidth="1"/>
    <col min="2422" max="2422" width="13.0703125" bestFit="1" customWidth="1"/>
    <col min="2423" max="2423" width="12.42578125" bestFit="1" customWidth="1"/>
    <col min="2424" max="2424" width="12.5" bestFit="1" customWidth="1"/>
    <col min="2425" max="2425" width="11.5" bestFit="1" customWidth="1"/>
    <col min="2426" max="2426" width="11.640625" bestFit="1" customWidth="1"/>
    <col min="2427" max="2427" width="11.78515625" bestFit="1" customWidth="1"/>
    <col min="2428" max="2428" width="13.5703125" bestFit="1" customWidth="1"/>
    <col min="2429" max="2429" width="13.85546875" bestFit="1" customWidth="1"/>
    <col min="2430" max="2430" width="8.28515625" bestFit="1" customWidth="1"/>
    <col min="2431" max="2431" width="10.640625" bestFit="1" customWidth="1"/>
    <col min="2432" max="2432" width="15.0703125" bestFit="1" customWidth="1"/>
    <col min="2433" max="2433" width="12.78515625" bestFit="1" customWidth="1"/>
    <col min="2434" max="2434" width="10.140625" bestFit="1" customWidth="1"/>
    <col min="2435" max="2435" width="12.5" bestFit="1" customWidth="1"/>
    <col min="2436" max="2436" width="11.140625" bestFit="1" customWidth="1"/>
    <col min="2437" max="2437" width="10.85546875" bestFit="1" customWidth="1"/>
    <col min="2438" max="2438" width="16.5" bestFit="1" customWidth="1"/>
    <col min="2439" max="2439" width="11.85546875" bestFit="1" customWidth="1"/>
    <col min="2440" max="2440" width="15.2109375" bestFit="1" customWidth="1"/>
    <col min="2441" max="2441" width="9.28515625" bestFit="1" customWidth="1"/>
    <col min="2442" max="2442" width="12.640625" bestFit="1" customWidth="1"/>
    <col min="2443" max="2443" width="14.5703125" bestFit="1" customWidth="1"/>
    <col min="2444" max="2444" width="14.35546875" bestFit="1" customWidth="1"/>
    <col min="2445" max="2445" width="13.2109375" bestFit="1" customWidth="1"/>
    <col min="2446" max="2446" width="16.140625" bestFit="1" customWidth="1"/>
    <col min="2447" max="2447" width="13.0703125" bestFit="1" customWidth="1"/>
    <col min="2448" max="2448" width="12.78515625" bestFit="1" customWidth="1"/>
    <col min="2449" max="2449" width="11.78515625" bestFit="1" customWidth="1"/>
    <col min="2450" max="2450" width="16.92578125" bestFit="1" customWidth="1"/>
    <col min="2451" max="2451" width="15.640625" bestFit="1" customWidth="1"/>
    <col min="2452" max="2452" width="22.140625" bestFit="1" customWidth="1"/>
    <col min="2453" max="2453" width="11.92578125" bestFit="1" customWidth="1"/>
    <col min="2454" max="2454" width="13.78515625" bestFit="1" customWidth="1"/>
    <col min="2455" max="2455" width="10.5703125" bestFit="1" customWidth="1"/>
    <col min="2456" max="2456" width="16" bestFit="1" customWidth="1"/>
    <col min="2457" max="2457" width="12.92578125" bestFit="1" customWidth="1"/>
    <col min="2458" max="2458" width="7.92578125" bestFit="1" customWidth="1"/>
    <col min="2459" max="2459" width="21.5703125" bestFit="1" customWidth="1"/>
    <col min="2460" max="2460" width="17.2109375" bestFit="1" customWidth="1"/>
    <col min="2461" max="2461" width="16.5" bestFit="1" customWidth="1"/>
    <col min="2462" max="2462" width="14.28515625" bestFit="1" customWidth="1"/>
    <col min="2463" max="2463" width="17.7109375" bestFit="1" customWidth="1"/>
    <col min="2464" max="2464" width="12.640625" bestFit="1" customWidth="1"/>
    <col min="2465" max="2465" width="14.42578125" bestFit="1" customWidth="1"/>
    <col min="2466" max="2466" width="11.85546875" bestFit="1" customWidth="1"/>
    <col min="2467" max="2467" width="13.0703125" bestFit="1" customWidth="1"/>
    <col min="2468" max="2468" width="12.2109375" bestFit="1" customWidth="1"/>
    <col min="2469" max="2469" width="11.78515625" bestFit="1" customWidth="1"/>
    <col min="2470" max="2470" width="11.28515625" bestFit="1" customWidth="1"/>
    <col min="2471" max="2471" width="8.5703125" bestFit="1" customWidth="1"/>
    <col min="2472" max="2472" width="14.140625" bestFit="1" customWidth="1"/>
    <col min="2473" max="2473" width="10.640625" bestFit="1" customWidth="1"/>
    <col min="2474" max="2474" width="11" bestFit="1" customWidth="1"/>
    <col min="2475" max="2475" width="9.42578125" bestFit="1" customWidth="1"/>
    <col min="2476" max="2476" width="13" bestFit="1" customWidth="1"/>
    <col min="2477" max="2477" width="14.140625" bestFit="1" customWidth="1"/>
    <col min="2478" max="2478" width="12.35546875" bestFit="1" customWidth="1"/>
    <col min="2479" max="2479" width="16.640625" bestFit="1" customWidth="1"/>
    <col min="2480" max="2480" width="12.35546875" bestFit="1" customWidth="1"/>
    <col min="2481" max="2481" width="11.0703125" bestFit="1" customWidth="1"/>
    <col min="2482" max="2482" width="13.5" bestFit="1" customWidth="1"/>
    <col min="2483" max="2483" width="15.42578125" bestFit="1" customWidth="1"/>
    <col min="2484" max="2484" width="14.85546875" bestFit="1" customWidth="1"/>
    <col min="2485" max="2485" width="16.78515625" bestFit="1" customWidth="1"/>
    <col min="2486" max="2486" width="12.85546875" bestFit="1" customWidth="1"/>
    <col min="2487" max="2487" width="16.85546875" bestFit="1" customWidth="1"/>
    <col min="2488" max="2488" width="11.2109375" bestFit="1" customWidth="1"/>
    <col min="2489" max="2489" width="12.640625" bestFit="1" customWidth="1"/>
    <col min="2490" max="2490" width="20.5703125" bestFit="1" customWidth="1"/>
    <col min="2491" max="2491" width="18.85546875" bestFit="1" customWidth="1"/>
    <col min="2492" max="2492" width="10.7109375" bestFit="1" customWidth="1"/>
    <col min="2493" max="2493" width="12.140625" bestFit="1" customWidth="1"/>
    <col min="2494" max="2494" width="15.140625" bestFit="1" customWidth="1"/>
    <col min="2495" max="2495" width="12.28515625" bestFit="1" customWidth="1"/>
    <col min="2496" max="2496" width="11.5703125" bestFit="1" customWidth="1"/>
    <col min="2497" max="2497" width="11.92578125" bestFit="1" customWidth="1"/>
    <col min="2498" max="2498" width="16.78515625" bestFit="1" customWidth="1"/>
    <col min="2499" max="2499" width="12.5703125" bestFit="1" customWidth="1"/>
    <col min="2500" max="2500" width="11.2109375" bestFit="1" customWidth="1"/>
    <col min="2501" max="2501" width="18.5" bestFit="1" customWidth="1"/>
    <col min="2502" max="2502" width="8.28515625" bestFit="1" customWidth="1"/>
    <col min="2503" max="2503" width="11.640625" bestFit="1" customWidth="1"/>
    <col min="2504" max="2504" width="13.7109375" bestFit="1" customWidth="1"/>
    <col min="2505" max="2505" width="13.85546875" bestFit="1" customWidth="1"/>
    <col min="2506" max="2506" width="12.28515625" bestFit="1" customWidth="1"/>
    <col min="2507" max="2507" width="17.5" bestFit="1" customWidth="1"/>
    <col min="2508" max="2508" width="11.92578125" bestFit="1" customWidth="1"/>
    <col min="2509" max="2509" width="14.85546875" bestFit="1" customWidth="1"/>
    <col min="2510" max="2510" width="15.2109375" bestFit="1" customWidth="1"/>
    <col min="2511" max="2511" width="16.42578125" bestFit="1" customWidth="1"/>
    <col min="2512" max="2512" width="16.5" bestFit="1" customWidth="1"/>
    <col min="2513" max="2513" width="11.85546875" bestFit="1" customWidth="1"/>
    <col min="2514" max="2514" width="14.28515625" bestFit="1" customWidth="1"/>
    <col min="2515" max="2515" width="13.0703125" bestFit="1" customWidth="1"/>
    <col min="2516" max="2516" width="13.85546875" bestFit="1" customWidth="1"/>
    <col min="2517" max="2517" width="11.92578125" bestFit="1" customWidth="1"/>
    <col min="2518" max="2518" width="10.42578125" bestFit="1" customWidth="1"/>
    <col min="2519" max="2519" width="12" bestFit="1" customWidth="1"/>
    <col min="2520" max="2520" width="10.28515625" bestFit="1" customWidth="1"/>
    <col min="2521" max="2521" width="18.92578125" bestFit="1" customWidth="1"/>
    <col min="2522" max="2522" width="16.85546875" bestFit="1" customWidth="1"/>
    <col min="2523" max="2523" width="12.92578125" bestFit="1" customWidth="1"/>
    <col min="2524" max="2524" width="14.35546875" bestFit="1" customWidth="1"/>
    <col min="2525" max="2525" width="10.2109375" bestFit="1" customWidth="1"/>
    <col min="2526" max="2526" width="15" bestFit="1" customWidth="1"/>
    <col min="2527" max="2527" width="12.640625" bestFit="1" customWidth="1"/>
    <col min="2528" max="2528" width="7.28515625" bestFit="1" customWidth="1"/>
    <col min="2529" max="2529" width="9.7109375" bestFit="1" customWidth="1"/>
    <col min="2530" max="2530" width="11.0703125" bestFit="1" customWidth="1"/>
    <col min="2531" max="2531" width="11" bestFit="1" customWidth="1"/>
    <col min="2532" max="2532" width="17.85546875" bestFit="1" customWidth="1"/>
    <col min="2533" max="2533" width="13" bestFit="1" customWidth="1"/>
    <col min="2534" max="2534" width="13.5" bestFit="1" customWidth="1"/>
    <col min="2535" max="2535" width="10.85546875" bestFit="1" customWidth="1"/>
    <col min="2536" max="2536" width="10.35546875" bestFit="1" customWidth="1"/>
    <col min="2537" max="2537" width="12.28515625" bestFit="1" customWidth="1"/>
    <col min="2538" max="2538" width="11.35546875" bestFit="1" customWidth="1"/>
    <col min="2539" max="2539" width="16" bestFit="1" customWidth="1"/>
    <col min="2540" max="2540" width="13.0703125" bestFit="1" customWidth="1"/>
    <col min="2541" max="2541" width="9.0703125" bestFit="1" customWidth="1"/>
    <col min="2542" max="2542" width="11.140625" bestFit="1" customWidth="1"/>
    <col min="2543" max="2543" width="6.5703125" bestFit="1" customWidth="1"/>
    <col min="2544" max="2544" width="11.5703125" bestFit="1" customWidth="1"/>
    <col min="2545" max="2545" width="14.28515625" bestFit="1" customWidth="1"/>
    <col min="2546" max="2546" width="11.2109375" bestFit="1" customWidth="1"/>
    <col min="2547" max="2547" width="15.2109375" bestFit="1" customWidth="1"/>
    <col min="2548" max="2548" width="17" bestFit="1" customWidth="1"/>
    <col min="2549" max="2549" width="14.5" bestFit="1" customWidth="1"/>
    <col min="2550" max="2550" width="13.5" bestFit="1" customWidth="1"/>
    <col min="2551" max="2551" width="12" bestFit="1" customWidth="1"/>
    <col min="2552" max="2552" width="15.2109375" bestFit="1" customWidth="1"/>
    <col min="2553" max="2553" width="14.5" bestFit="1" customWidth="1"/>
    <col min="2554" max="2554" width="15.5703125" bestFit="1" customWidth="1"/>
    <col min="2555" max="2555" width="14.0703125" bestFit="1" customWidth="1"/>
    <col min="2556" max="2556" width="13.28515625" bestFit="1" customWidth="1"/>
    <col min="2557" max="2557" width="10.2109375" bestFit="1" customWidth="1"/>
    <col min="2558" max="2558" width="13.2109375" bestFit="1" customWidth="1"/>
    <col min="2559" max="2559" width="11.28515625" bestFit="1" customWidth="1"/>
    <col min="2560" max="2560" width="14.0703125" bestFit="1" customWidth="1"/>
    <col min="2561" max="2561" width="16.28515625" bestFit="1" customWidth="1"/>
    <col min="2562" max="2562" width="16.92578125" bestFit="1" customWidth="1"/>
    <col min="2563" max="2563" width="14.35546875" bestFit="1" customWidth="1"/>
    <col min="2564" max="2564" width="12.140625" bestFit="1" customWidth="1"/>
    <col min="2565" max="2565" width="18.42578125" bestFit="1" customWidth="1"/>
    <col min="2566" max="2566" width="12.92578125" bestFit="1" customWidth="1"/>
    <col min="2567" max="2567" width="14.0703125" bestFit="1" customWidth="1"/>
    <col min="2568" max="2568" width="13.35546875" bestFit="1" customWidth="1"/>
    <col min="2569" max="2569" width="14.28515625" bestFit="1" customWidth="1"/>
    <col min="2570" max="2570" width="13.92578125" bestFit="1" customWidth="1"/>
    <col min="2571" max="2571" width="13.140625" bestFit="1" customWidth="1"/>
    <col min="2572" max="2572" width="11.140625" bestFit="1" customWidth="1"/>
    <col min="2573" max="2573" width="11" bestFit="1" customWidth="1"/>
    <col min="2574" max="2574" width="12.42578125" bestFit="1" customWidth="1"/>
    <col min="2575" max="2575" width="15.92578125" bestFit="1" customWidth="1"/>
    <col min="2576" max="2576" width="9.5703125" bestFit="1" customWidth="1"/>
    <col min="2577" max="2577" width="13.5703125" bestFit="1" customWidth="1"/>
    <col min="2578" max="2579" width="9.640625" bestFit="1" customWidth="1"/>
    <col min="2581" max="2581" width="14.640625" bestFit="1" customWidth="1"/>
    <col min="2582" max="2582" width="12.35546875" bestFit="1" customWidth="1"/>
    <col min="2583" max="2583" width="12.92578125" bestFit="1" customWidth="1"/>
    <col min="2584" max="2585" width="11.78515625" bestFit="1" customWidth="1"/>
    <col min="2586" max="2586" width="9.640625" bestFit="1" customWidth="1"/>
    <col min="2587" max="2587" width="8.5" bestFit="1" customWidth="1"/>
    <col min="2588" max="2588" width="9.42578125" bestFit="1" customWidth="1"/>
    <col min="2589" max="2589" width="13" bestFit="1" customWidth="1"/>
    <col min="2590" max="2590" width="13.0703125" bestFit="1" customWidth="1"/>
    <col min="2591" max="2591" width="8.5703125" bestFit="1" customWidth="1"/>
    <col min="2592" max="2592" width="14.5703125" bestFit="1" customWidth="1"/>
    <col min="2593" max="2593" width="15.0703125" bestFit="1" customWidth="1"/>
    <col min="2594" max="2594" width="13.0703125" bestFit="1" customWidth="1"/>
    <col min="2595" max="2595" width="14.78515625" bestFit="1" customWidth="1"/>
    <col min="2596" max="2596" width="14.85546875" bestFit="1" customWidth="1"/>
    <col min="2597" max="2597" width="11.640625" bestFit="1" customWidth="1"/>
    <col min="2598" max="2598" width="15.28515625" bestFit="1" customWidth="1"/>
    <col min="2599" max="2599" width="15.640625" bestFit="1" customWidth="1"/>
    <col min="2600" max="2600" width="19.640625" bestFit="1" customWidth="1"/>
    <col min="2601" max="2601" width="11.140625" bestFit="1" customWidth="1"/>
    <col min="2602" max="2602" width="15.28515625" bestFit="1" customWidth="1"/>
    <col min="2603" max="2603" width="16.2109375" bestFit="1" customWidth="1"/>
    <col min="2604" max="2604" width="16.78515625" bestFit="1" customWidth="1"/>
    <col min="2605" max="2605" width="15.85546875" bestFit="1" customWidth="1"/>
  </cols>
  <sheetData>
    <row r="3" spans="1:8" x14ac:dyDescent="0.45">
      <c r="A3" s="4" t="s">
        <v>2714</v>
      </c>
      <c r="B3" t="s">
        <v>2715</v>
      </c>
      <c r="D3" s="4" t="s">
        <v>2714</v>
      </c>
      <c r="E3" t="s">
        <v>2715</v>
      </c>
      <c r="G3" s="4" t="s">
        <v>2714</v>
      </c>
      <c r="H3" t="s">
        <v>2715</v>
      </c>
    </row>
    <row r="4" spans="1:8" x14ac:dyDescent="0.45">
      <c r="A4" s="5">
        <v>15</v>
      </c>
      <c r="B4" s="6">
        <v>5</v>
      </c>
      <c r="D4" s="5">
        <v>20</v>
      </c>
      <c r="E4" s="6">
        <v>137</v>
      </c>
      <c r="G4" s="5">
        <v>15</v>
      </c>
      <c r="H4" s="6">
        <v>5</v>
      </c>
    </row>
    <row r="5" spans="1:8" x14ac:dyDescent="0.45">
      <c r="A5" s="5">
        <v>16</v>
      </c>
      <c r="B5" s="6">
        <v>21</v>
      </c>
      <c r="D5" s="5">
        <v>21</v>
      </c>
      <c r="E5" s="6">
        <v>157</v>
      </c>
      <c r="G5" s="5">
        <v>41</v>
      </c>
      <c r="H5" s="6">
        <v>1</v>
      </c>
    </row>
    <row r="6" spans="1:8" x14ac:dyDescent="0.45">
      <c r="A6" s="5">
        <v>17</v>
      </c>
      <c r="B6" s="6">
        <v>40</v>
      </c>
      <c r="D6" s="5">
        <v>22</v>
      </c>
      <c r="E6" s="6">
        <v>176</v>
      </c>
      <c r="G6" s="5">
        <v>42</v>
      </c>
      <c r="H6" s="6">
        <v>4</v>
      </c>
    </row>
    <row r="7" spans="1:8" x14ac:dyDescent="0.45">
      <c r="A7" s="5">
        <v>18</v>
      </c>
      <c r="B7" s="6">
        <v>55</v>
      </c>
      <c r="D7" s="5">
        <v>23</v>
      </c>
      <c r="E7" s="6">
        <v>187</v>
      </c>
      <c r="G7" s="5">
        <v>43</v>
      </c>
      <c r="H7" s="6">
        <v>4</v>
      </c>
    </row>
    <row r="8" spans="1:8" x14ac:dyDescent="0.45">
      <c r="A8" s="5">
        <v>19</v>
      </c>
      <c r="B8" s="6">
        <v>95</v>
      </c>
      <c r="D8" s="5">
        <v>24</v>
      </c>
      <c r="E8" s="6">
        <v>238</v>
      </c>
      <c r="G8" s="5">
        <v>44</v>
      </c>
      <c r="H8" s="6">
        <v>3</v>
      </c>
    </row>
    <row r="9" spans="1:8" x14ac:dyDescent="0.45">
      <c r="A9" s="5">
        <v>20</v>
      </c>
      <c r="B9" s="6">
        <v>137</v>
      </c>
      <c r="D9" s="5">
        <v>25</v>
      </c>
      <c r="E9" s="6">
        <v>228</v>
      </c>
      <c r="G9" s="5">
        <v>45</v>
      </c>
      <c r="H9" s="6">
        <v>3</v>
      </c>
    </row>
    <row r="10" spans="1:8" x14ac:dyDescent="0.45">
      <c r="A10" s="5">
        <v>21</v>
      </c>
      <c r="B10" s="6">
        <v>157</v>
      </c>
      <c r="D10" s="5">
        <v>26</v>
      </c>
      <c r="E10" s="6">
        <v>169</v>
      </c>
      <c r="G10" s="5">
        <v>46</v>
      </c>
      <c r="H10" s="6">
        <v>1</v>
      </c>
    </row>
    <row r="11" spans="1:8" x14ac:dyDescent="0.45">
      <c r="A11" s="5">
        <v>22</v>
      </c>
      <c r="B11" s="6">
        <v>176</v>
      </c>
      <c r="D11" s="5">
        <v>27</v>
      </c>
      <c r="E11" s="6">
        <v>188</v>
      </c>
      <c r="G11" s="5">
        <v>47</v>
      </c>
      <c r="H11" s="6">
        <v>2</v>
      </c>
    </row>
    <row r="12" spans="1:8" x14ac:dyDescent="0.45">
      <c r="A12" s="5">
        <v>23</v>
      </c>
      <c r="B12" s="6">
        <v>187</v>
      </c>
      <c r="D12" s="5">
        <v>28</v>
      </c>
      <c r="E12" s="6">
        <v>143</v>
      </c>
      <c r="G12" s="5">
        <v>48</v>
      </c>
      <c r="H12" s="6">
        <v>1</v>
      </c>
    </row>
    <row r="13" spans="1:8" x14ac:dyDescent="0.45">
      <c r="A13" s="5">
        <v>24</v>
      </c>
      <c r="B13" s="6">
        <v>238</v>
      </c>
      <c r="D13" s="5">
        <v>29</v>
      </c>
      <c r="E13" s="6">
        <v>149</v>
      </c>
      <c r="G13" s="5">
        <v>51</v>
      </c>
      <c r="H13" s="6">
        <v>1</v>
      </c>
    </row>
    <row r="14" spans="1:8" x14ac:dyDescent="0.45">
      <c r="A14" s="5">
        <v>25</v>
      </c>
      <c r="B14" s="6">
        <v>228</v>
      </c>
    </row>
    <row r="15" spans="1:8" x14ac:dyDescent="0.45">
      <c r="A15" s="5">
        <v>26</v>
      </c>
      <c r="B15" s="6">
        <v>169</v>
      </c>
    </row>
    <row r="16" spans="1:8" x14ac:dyDescent="0.45">
      <c r="A16" s="5">
        <v>27</v>
      </c>
      <c r="B16" s="6">
        <v>188</v>
      </c>
    </row>
    <row r="17" spans="1:2" x14ac:dyDescent="0.45">
      <c r="A17" s="5">
        <v>28</v>
      </c>
      <c r="B17" s="6">
        <v>143</v>
      </c>
    </row>
    <row r="18" spans="1:2" x14ac:dyDescent="0.45">
      <c r="A18" s="5">
        <v>29</v>
      </c>
      <c r="B18" s="6">
        <v>149</v>
      </c>
    </row>
    <row r="19" spans="1:2" x14ac:dyDescent="0.45">
      <c r="A19" s="5">
        <v>30</v>
      </c>
      <c r="B19" s="6">
        <v>97</v>
      </c>
    </row>
    <row r="20" spans="1:2" x14ac:dyDescent="0.45">
      <c r="A20" s="5">
        <v>31</v>
      </c>
      <c r="B20" s="6">
        <v>102</v>
      </c>
    </row>
    <row r="21" spans="1:2" x14ac:dyDescent="0.45">
      <c r="A21" s="5">
        <v>32</v>
      </c>
      <c r="B21" s="6">
        <v>102</v>
      </c>
    </row>
    <row r="22" spans="1:2" x14ac:dyDescent="0.45">
      <c r="A22" s="5">
        <v>33</v>
      </c>
      <c r="B22" s="6">
        <v>78</v>
      </c>
    </row>
    <row r="23" spans="1:2" x14ac:dyDescent="0.45">
      <c r="A23" s="5">
        <v>34</v>
      </c>
      <c r="B23" s="6">
        <v>47</v>
      </c>
    </row>
    <row r="24" spans="1:2" x14ac:dyDescent="0.45">
      <c r="A24" s="5">
        <v>35</v>
      </c>
      <c r="B24" s="6">
        <v>52</v>
      </c>
    </row>
    <row r="25" spans="1:2" x14ac:dyDescent="0.45">
      <c r="A25" s="5">
        <v>36</v>
      </c>
      <c r="B25" s="6">
        <v>39</v>
      </c>
    </row>
    <row r="26" spans="1:2" x14ac:dyDescent="0.45">
      <c r="A26" s="5">
        <v>37</v>
      </c>
      <c r="B26" s="6">
        <v>30</v>
      </c>
    </row>
    <row r="27" spans="1:2" x14ac:dyDescent="0.45">
      <c r="A27" s="5">
        <v>38</v>
      </c>
      <c r="B27" s="6">
        <v>22</v>
      </c>
    </row>
    <row r="28" spans="1:2" x14ac:dyDescent="0.45">
      <c r="A28" s="5">
        <v>39</v>
      </c>
      <c r="B28" s="6">
        <v>16</v>
      </c>
    </row>
    <row r="29" spans="1:2" x14ac:dyDescent="0.45">
      <c r="A29" s="5">
        <v>40</v>
      </c>
      <c r="B29" s="6">
        <v>13</v>
      </c>
    </row>
    <row r="30" spans="1:2" x14ac:dyDescent="0.45">
      <c r="A30" s="5">
        <v>41</v>
      </c>
      <c r="B30" s="6">
        <v>1</v>
      </c>
    </row>
    <row r="31" spans="1:2" x14ac:dyDescent="0.45">
      <c r="A31" s="5">
        <v>42</v>
      </c>
      <c r="B31" s="6">
        <v>4</v>
      </c>
    </row>
    <row r="32" spans="1:2" x14ac:dyDescent="0.45">
      <c r="A32" s="5">
        <v>43</v>
      </c>
      <c r="B32" s="6">
        <v>4</v>
      </c>
    </row>
    <row r="33" spans="1:2" x14ac:dyDescent="0.45">
      <c r="A33" s="5">
        <v>44</v>
      </c>
      <c r="B33" s="6">
        <v>3</v>
      </c>
    </row>
    <row r="34" spans="1:2" x14ac:dyDescent="0.45">
      <c r="A34" s="5">
        <v>45</v>
      </c>
      <c r="B34" s="6">
        <v>3</v>
      </c>
    </row>
    <row r="35" spans="1:2" x14ac:dyDescent="0.45">
      <c r="A35" s="5">
        <v>46</v>
      </c>
      <c r="B35" s="6">
        <v>1</v>
      </c>
    </row>
    <row r="36" spans="1:2" x14ac:dyDescent="0.45">
      <c r="A36" s="5">
        <v>47</v>
      </c>
      <c r="B36" s="6">
        <v>2</v>
      </c>
    </row>
    <row r="37" spans="1:2" x14ac:dyDescent="0.45">
      <c r="A37" s="5">
        <v>48</v>
      </c>
      <c r="B37" s="6">
        <v>1</v>
      </c>
    </row>
    <row r="38" spans="1:2" x14ac:dyDescent="0.45">
      <c r="A38" s="5">
        <v>51</v>
      </c>
      <c r="B38" s="6">
        <v>1</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1BE28C-2BB2-4789-901E-D04E9CB47F9C}">
  <dimension ref="A3:B76"/>
  <sheetViews>
    <sheetView workbookViewId="0">
      <selection activeCell="L33" sqref="L33"/>
    </sheetView>
  </sheetViews>
  <sheetFormatPr defaultRowHeight="18.5" x14ac:dyDescent="0.45"/>
  <cols>
    <col min="1" max="1" width="11.92578125" bestFit="1" customWidth="1"/>
    <col min="2" max="2" width="20.0703125" bestFit="1" customWidth="1"/>
    <col min="3" max="55" width="2.78515625" bestFit="1" customWidth="1"/>
    <col min="56" max="70" width="3.78515625" bestFit="1" customWidth="1"/>
    <col min="71" max="71" width="3.28515625" bestFit="1" customWidth="1"/>
    <col min="72" max="72" width="10.640625" bestFit="1" customWidth="1"/>
  </cols>
  <sheetData>
    <row r="3" spans="1:2" x14ac:dyDescent="0.45">
      <c r="A3" s="4" t="s">
        <v>2714</v>
      </c>
      <c r="B3" t="s">
        <v>2719</v>
      </c>
    </row>
    <row r="4" spans="1:2" x14ac:dyDescent="0.45">
      <c r="A4" s="5">
        <v>46</v>
      </c>
      <c r="B4" s="6">
        <v>10</v>
      </c>
    </row>
    <row r="5" spans="1:2" x14ac:dyDescent="0.45">
      <c r="A5" s="5">
        <v>47</v>
      </c>
      <c r="B5" s="6">
        <v>17</v>
      </c>
    </row>
    <row r="6" spans="1:2" x14ac:dyDescent="0.45">
      <c r="A6" s="5">
        <v>48</v>
      </c>
      <c r="B6" s="6">
        <v>14</v>
      </c>
    </row>
    <row r="7" spans="1:2" x14ac:dyDescent="0.45">
      <c r="A7" s="5">
        <v>49</v>
      </c>
      <c r="B7" s="6">
        <v>12</v>
      </c>
    </row>
    <row r="8" spans="1:2" x14ac:dyDescent="0.45">
      <c r="A8" s="5">
        <v>50</v>
      </c>
      <c r="B8" s="6">
        <v>11</v>
      </c>
    </row>
    <row r="9" spans="1:2" x14ac:dyDescent="0.45">
      <c r="A9" s="5">
        <v>51</v>
      </c>
      <c r="B9" s="6">
        <v>14</v>
      </c>
    </row>
    <row r="10" spans="1:2" x14ac:dyDescent="0.45">
      <c r="A10" s="5">
        <v>52</v>
      </c>
      <c r="B10" s="6">
        <v>28</v>
      </c>
    </row>
    <row r="11" spans="1:2" x14ac:dyDescent="0.45">
      <c r="A11" s="5">
        <v>53</v>
      </c>
      <c r="B11" s="6">
        <v>26</v>
      </c>
    </row>
    <row r="12" spans="1:2" x14ac:dyDescent="0.45">
      <c r="A12" s="5">
        <v>54</v>
      </c>
      <c r="B12" s="6">
        <v>43</v>
      </c>
    </row>
    <row r="13" spans="1:2" x14ac:dyDescent="0.45">
      <c r="A13" s="5">
        <v>55</v>
      </c>
      <c r="B13" s="6">
        <v>63</v>
      </c>
    </row>
    <row r="14" spans="1:2" x14ac:dyDescent="0.45">
      <c r="A14" s="5">
        <v>56</v>
      </c>
      <c r="B14" s="6">
        <v>42</v>
      </c>
    </row>
    <row r="15" spans="1:2" x14ac:dyDescent="0.45">
      <c r="A15" s="5">
        <v>57</v>
      </c>
      <c r="B15" s="6">
        <v>64</v>
      </c>
    </row>
    <row r="16" spans="1:2" x14ac:dyDescent="0.45">
      <c r="A16" s="5">
        <v>58</v>
      </c>
      <c r="B16" s="6">
        <v>69</v>
      </c>
    </row>
    <row r="17" spans="1:2" x14ac:dyDescent="0.45">
      <c r="A17" s="5">
        <v>59</v>
      </c>
      <c r="B17" s="6">
        <v>50</v>
      </c>
    </row>
    <row r="18" spans="1:2" x14ac:dyDescent="0.45">
      <c r="A18" s="5">
        <v>60</v>
      </c>
      <c r="B18" s="6">
        <v>107</v>
      </c>
    </row>
    <row r="19" spans="1:2" x14ac:dyDescent="0.45">
      <c r="A19" s="5">
        <v>61</v>
      </c>
      <c r="B19" s="6">
        <v>60</v>
      </c>
    </row>
    <row r="20" spans="1:2" x14ac:dyDescent="0.45">
      <c r="A20" s="5">
        <v>62</v>
      </c>
      <c r="B20" s="6">
        <v>67</v>
      </c>
    </row>
    <row r="21" spans="1:2" x14ac:dyDescent="0.45">
      <c r="A21" s="5">
        <v>63</v>
      </c>
      <c r="B21" s="6">
        <v>50</v>
      </c>
    </row>
    <row r="22" spans="1:2" x14ac:dyDescent="0.45">
      <c r="A22" s="5">
        <v>64</v>
      </c>
      <c r="B22" s="6">
        <v>45</v>
      </c>
    </row>
    <row r="23" spans="1:2" x14ac:dyDescent="0.45">
      <c r="A23" s="5">
        <v>65</v>
      </c>
      <c r="B23" s="6">
        <v>102</v>
      </c>
    </row>
    <row r="24" spans="1:2" x14ac:dyDescent="0.45">
      <c r="A24" s="5">
        <v>66</v>
      </c>
      <c r="B24" s="6">
        <v>48</v>
      </c>
    </row>
    <row r="25" spans="1:2" x14ac:dyDescent="0.45">
      <c r="A25" s="5">
        <v>67</v>
      </c>
      <c r="B25" s="6">
        <v>51</v>
      </c>
    </row>
    <row r="26" spans="1:2" x14ac:dyDescent="0.45">
      <c r="A26" s="5">
        <v>68</v>
      </c>
      <c r="B26" s="6">
        <v>65</v>
      </c>
    </row>
    <row r="27" spans="1:2" x14ac:dyDescent="0.45">
      <c r="A27" s="5">
        <v>69</v>
      </c>
      <c r="B27" s="6">
        <v>48</v>
      </c>
    </row>
    <row r="28" spans="1:2" x14ac:dyDescent="0.45">
      <c r="A28" s="5">
        <v>70</v>
      </c>
      <c r="B28" s="6">
        <v>102</v>
      </c>
    </row>
    <row r="29" spans="1:2" x14ac:dyDescent="0.45">
      <c r="A29" s="5">
        <v>71</v>
      </c>
      <c r="B29" s="6">
        <v>38</v>
      </c>
    </row>
    <row r="30" spans="1:2" x14ac:dyDescent="0.45">
      <c r="A30" s="5">
        <v>72</v>
      </c>
      <c r="B30" s="6">
        <v>70</v>
      </c>
    </row>
    <row r="31" spans="1:2" x14ac:dyDescent="0.45">
      <c r="A31" s="5">
        <v>73</v>
      </c>
      <c r="B31" s="6">
        <v>74</v>
      </c>
    </row>
    <row r="32" spans="1:2" x14ac:dyDescent="0.45">
      <c r="A32" s="5">
        <v>74</v>
      </c>
      <c r="B32" s="6">
        <v>43</v>
      </c>
    </row>
    <row r="33" spans="1:2" x14ac:dyDescent="0.45">
      <c r="A33" s="5">
        <v>75</v>
      </c>
      <c r="B33" s="6">
        <v>92</v>
      </c>
    </row>
    <row r="34" spans="1:2" x14ac:dyDescent="0.45">
      <c r="A34" s="5">
        <v>76</v>
      </c>
      <c r="B34" s="6">
        <v>36</v>
      </c>
    </row>
    <row r="35" spans="1:2" x14ac:dyDescent="0.45">
      <c r="A35" s="5">
        <v>77</v>
      </c>
      <c r="B35" s="6">
        <v>34</v>
      </c>
    </row>
    <row r="36" spans="1:2" x14ac:dyDescent="0.45">
      <c r="A36" s="5">
        <v>78</v>
      </c>
      <c r="B36" s="6">
        <v>68</v>
      </c>
    </row>
    <row r="37" spans="1:2" x14ac:dyDescent="0.45">
      <c r="A37" s="5">
        <v>79</v>
      </c>
      <c r="B37" s="6">
        <v>30</v>
      </c>
    </row>
    <row r="38" spans="1:2" x14ac:dyDescent="0.45">
      <c r="A38" s="5">
        <v>80</v>
      </c>
      <c r="B38" s="6">
        <v>80</v>
      </c>
    </row>
    <row r="39" spans="1:2" x14ac:dyDescent="0.45">
      <c r="A39" s="5">
        <v>81</v>
      </c>
      <c r="B39" s="6">
        <v>38</v>
      </c>
    </row>
    <row r="40" spans="1:2" x14ac:dyDescent="0.45">
      <c r="A40" s="5">
        <v>82</v>
      </c>
      <c r="B40" s="6">
        <v>51</v>
      </c>
    </row>
    <row r="41" spans="1:2" x14ac:dyDescent="0.45">
      <c r="A41" s="5">
        <v>83</v>
      </c>
      <c r="B41" s="6">
        <v>41</v>
      </c>
    </row>
    <row r="42" spans="1:2" x14ac:dyDescent="0.45">
      <c r="A42" s="5">
        <v>84</v>
      </c>
      <c r="B42" s="6">
        <v>42</v>
      </c>
    </row>
    <row r="43" spans="1:2" x14ac:dyDescent="0.45">
      <c r="A43" s="5">
        <v>85</v>
      </c>
      <c r="B43" s="6">
        <v>72</v>
      </c>
    </row>
    <row r="44" spans="1:2" x14ac:dyDescent="0.45">
      <c r="A44" s="5">
        <v>86</v>
      </c>
      <c r="B44" s="6">
        <v>34</v>
      </c>
    </row>
    <row r="45" spans="1:2" x14ac:dyDescent="0.45">
      <c r="A45" s="5">
        <v>87</v>
      </c>
      <c r="B45" s="6">
        <v>27</v>
      </c>
    </row>
    <row r="46" spans="1:2" x14ac:dyDescent="0.45">
      <c r="A46" s="5">
        <v>88</v>
      </c>
      <c r="B46" s="6">
        <v>45</v>
      </c>
    </row>
    <row r="47" spans="1:2" x14ac:dyDescent="0.45">
      <c r="A47" s="5">
        <v>89</v>
      </c>
      <c r="B47" s="6">
        <v>24</v>
      </c>
    </row>
    <row r="48" spans="1:2" x14ac:dyDescent="0.45">
      <c r="A48" s="5">
        <v>90</v>
      </c>
      <c r="B48" s="6">
        <v>69</v>
      </c>
    </row>
    <row r="49" spans="1:2" x14ac:dyDescent="0.45">
      <c r="A49" s="5">
        <v>91</v>
      </c>
      <c r="B49" s="6">
        <v>26</v>
      </c>
    </row>
    <row r="50" spans="1:2" x14ac:dyDescent="0.45">
      <c r="A50" s="5">
        <v>92</v>
      </c>
      <c r="B50" s="6">
        <v>26</v>
      </c>
    </row>
    <row r="51" spans="1:2" x14ac:dyDescent="0.45">
      <c r="A51" s="5">
        <v>93</v>
      </c>
      <c r="B51" s="6">
        <v>33</v>
      </c>
    </row>
    <row r="52" spans="1:2" x14ac:dyDescent="0.45">
      <c r="A52" s="5">
        <v>94</v>
      </c>
      <c r="B52" s="6">
        <v>22</v>
      </c>
    </row>
    <row r="53" spans="1:2" x14ac:dyDescent="0.45">
      <c r="A53" s="5">
        <v>95</v>
      </c>
      <c r="B53" s="6">
        <v>23</v>
      </c>
    </row>
    <row r="54" spans="1:2" x14ac:dyDescent="0.45">
      <c r="A54" s="5">
        <v>96</v>
      </c>
      <c r="B54" s="6">
        <v>19</v>
      </c>
    </row>
    <row r="55" spans="1:2" x14ac:dyDescent="0.45">
      <c r="A55" s="5">
        <v>97</v>
      </c>
      <c r="B55" s="6">
        <v>6</v>
      </c>
    </row>
    <row r="56" spans="1:2" x14ac:dyDescent="0.45">
      <c r="A56" s="5">
        <v>98</v>
      </c>
      <c r="B56" s="6">
        <v>32</v>
      </c>
    </row>
    <row r="57" spans="1:2" x14ac:dyDescent="0.45">
      <c r="A57" s="5">
        <v>99</v>
      </c>
      <c r="B57" s="6">
        <v>14</v>
      </c>
    </row>
    <row r="58" spans="1:2" x14ac:dyDescent="0.45">
      <c r="A58" s="5">
        <v>100</v>
      </c>
      <c r="B58" s="6">
        <v>40</v>
      </c>
    </row>
    <row r="59" spans="1:2" x14ac:dyDescent="0.45">
      <c r="A59" s="5">
        <v>101</v>
      </c>
      <c r="B59" s="6">
        <v>5</v>
      </c>
    </row>
    <row r="60" spans="1:2" x14ac:dyDescent="0.45">
      <c r="A60" s="5">
        <v>102</v>
      </c>
      <c r="B60" s="6">
        <v>27</v>
      </c>
    </row>
    <row r="61" spans="1:2" x14ac:dyDescent="0.45">
      <c r="A61" s="5">
        <v>103</v>
      </c>
      <c r="B61" s="6">
        <v>15</v>
      </c>
    </row>
    <row r="62" spans="1:2" x14ac:dyDescent="0.45">
      <c r="A62" s="5">
        <v>104</v>
      </c>
      <c r="B62" s="6">
        <v>4</v>
      </c>
    </row>
    <row r="63" spans="1:2" x14ac:dyDescent="0.45">
      <c r="A63" s="5">
        <v>105</v>
      </c>
      <c r="B63" s="6">
        <v>13</v>
      </c>
    </row>
    <row r="64" spans="1:2" x14ac:dyDescent="0.45">
      <c r="A64" s="5">
        <v>106</v>
      </c>
      <c r="B64" s="6">
        <v>2</v>
      </c>
    </row>
    <row r="65" spans="1:2" x14ac:dyDescent="0.45">
      <c r="A65" s="5">
        <v>107</v>
      </c>
      <c r="B65" s="6">
        <v>7</v>
      </c>
    </row>
    <row r="66" spans="1:2" x14ac:dyDescent="0.45">
      <c r="A66" s="5">
        <v>108</v>
      </c>
      <c r="B66" s="6">
        <v>1</v>
      </c>
    </row>
    <row r="67" spans="1:2" x14ac:dyDescent="0.45">
      <c r="A67" s="5">
        <v>109</v>
      </c>
      <c r="B67" s="6">
        <v>8</v>
      </c>
    </row>
    <row r="68" spans="1:2" x14ac:dyDescent="0.45">
      <c r="A68" s="5">
        <v>110</v>
      </c>
      <c r="B68" s="6">
        <v>8</v>
      </c>
    </row>
    <row r="69" spans="1:2" x14ac:dyDescent="0.45">
      <c r="A69" s="5">
        <v>112</v>
      </c>
      <c r="B69" s="6">
        <v>19</v>
      </c>
    </row>
    <row r="70" spans="1:2" x14ac:dyDescent="0.45">
      <c r="A70" s="5">
        <v>114</v>
      </c>
      <c r="B70" s="6">
        <v>1</v>
      </c>
    </row>
    <row r="71" spans="1:2" x14ac:dyDescent="0.45">
      <c r="A71" s="5">
        <v>115</v>
      </c>
      <c r="B71" s="6">
        <v>2</v>
      </c>
    </row>
    <row r="72" spans="1:2" x14ac:dyDescent="0.45">
      <c r="A72" s="5">
        <v>116</v>
      </c>
      <c r="B72" s="6">
        <v>1</v>
      </c>
    </row>
    <row r="73" spans="1:2" x14ac:dyDescent="0.45">
      <c r="A73" s="5">
        <v>111</v>
      </c>
      <c r="B73" s="6">
        <v>8</v>
      </c>
    </row>
    <row r="74" spans="1:2" x14ac:dyDescent="0.45">
      <c r="A74" s="5">
        <v>43</v>
      </c>
      <c r="B74" s="6">
        <v>17</v>
      </c>
    </row>
    <row r="75" spans="1:2" x14ac:dyDescent="0.45">
      <c r="A75" s="5">
        <v>41</v>
      </c>
      <c r="B75" s="6">
        <v>10</v>
      </c>
    </row>
    <row r="76" spans="1:2" x14ac:dyDescent="0.45">
      <c r="A76" s="5">
        <v>42</v>
      </c>
      <c r="B76" s="6">
        <v>1</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A7F0C6-EB58-4427-80A4-3B2470D07054}">
  <sheetPr>
    <tabColor rgb="FFFFFF00"/>
  </sheetPr>
  <dimension ref="A1"/>
  <sheetViews>
    <sheetView showGridLines="0" zoomScale="47" zoomScaleNormal="47" workbookViewId="0"/>
  </sheetViews>
  <sheetFormatPr defaultRowHeight="18.5" x14ac:dyDescent="0.45"/>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4BC4A9-B3BE-4875-B6DE-ECDFC2A079F4}">
  <dimension ref="A3:B6"/>
  <sheetViews>
    <sheetView workbookViewId="0">
      <selection activeCell="L33" sqref="L33"/>
    </sheetView>
  </sheetViews>
  <sheetFormatPr defaultRowHeight="18.5" x14ac:dyDescent="0.45"/>
  <cols>
    <col min="1" max="1" width="18.78515625" bestFit="1" customWidth="1"/>
    <col min="2" max="2" width="17.78515625" bestFit="1" customWidth="1"/>
  </cols>
  <sheetData>
    <row r="3" spans="1:2" x14ac:dyDescent="0.45">
      <c r="A3" s="4" t="s">
        <v>2714</v>
      </c>
      <c r="B3" t="s">
        <v>2718</v>
      </c>
    </row>
    <row r="4" spans="1:2" x14ac:dyDescent="0.45">
      <c r="A4" s="5" t="s">
        <v>2724</v>
      </c>
      <c r="B4" s="6">
        <v>2232</v>
      </c>
    </row>
    <row r="5" spans="1:2" x14ac:dyDescent="0.45">
      <c r="A5" s="5" t="s">
        <v>2725</v>
      </c>
      <c r="B5" s="6">
        <v>58</v>
      </c>
    </row>
    <row r="6" spans="1:2" x14ac:dyDescent="0.45">
      <c r="A6" s="5" t="s">
        <v>2726</v>
      </c>
      <c r="B6" s="6">
        <v>316</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8AA7BB-5AF7-49AD-BB70-D6943272AB2C}">
  <dimension ref="A2:H37"/>
  <sheetViews>
    <sheetView workbookViewId="0">
      <selection activeCell="L33" sqref="L33"/>
    </sheetView>
  </sheetViews>
  <sheetFormatPr defaultRowHeight="18.5" x14ac:dyDescent="0.45"/>
  <cols>
    <col min="1" max="1" width="11.92578125" bestFit="1" customWidth="1"/>
    <col min="2" max="2" width="17.78515625" bestFit="1" customWidth="1"/>
    <col min="4" max="4" width="11.92578125" bestFit="1" customWidth="1"/>
    <col min="5" max="5" width="17.78515625" bestFit="1" customWidth="1"/>
    <col min="7" max="7" width="11.92578125" bestFit="1" customWidth="1"/>
    <col min="8" max="8" width="17.78515625" bestFit="1" customWidth="1"/>
  </cols>
  <sheetData>
    <row r="2" spans="1:8" x14ac:dyDescent="0.45">
      <c r="A2" s="4" t="s">
        <v>2714</v>
      </c>
      <c r="B2" t="s">
        <v>2718</v>
      </c>
      <c r="D2" s="4" t="s">
        <v>2714</v>
      </c>
      <c r="E2" t="s">
        <v>2718</v>
      </c>
      <c r="G2" s="4" t="s">
        <v>2714</v>
      </c>
      <c r="H2" t="s">
        <v>2718</v>
      </c>
    </row>
    <row r="3" spans="1:8" x14ac:dyDescent="0.45">
      <c r="A3" s="5">
        <v>15</v>
      </c>
      <c r="B3" s="6">
        <v>5</v>
      </c>
      <c r="D3" s="5">
        <v>20</v>
      </c>
      <c r="E3" s="6">
        <v>137</v>
      </c>
      <c r="G3" s="5">
        <v>15</v>
      </c>
      <c r="H3" s="6">
        <v>5</v>
      </c>
    </row>
    <row r="4" spans="1:8" x14ac:dyDescent="0.45">
      <c r="A4" s="5">
        <v>16</v>
      </c>
      <c r="B4" s="6">
        <v>21</v>
      </c>
      <c r="D4" s="5">
        <v>21</v>
      </c>
      <c r="E4" s="6">
        <v>157</v>
      </c>
      <c r="G4" s="5">
        <v>41</v>
      </c>
      <c r="H4" s="6">
        <v>1</v>
      </c>
    </row>
    <row r="5" spans="1:8" x14ac:dyDescent="0.45">
      <c r="A5" s="5">
        <v>17</v>
      </c>
      <c r="B5" s="6">
        <v>40</v>
      </c>
      <c r="D5" s="5">
        <v>22</v>
      </c>
      <c r="E5" s="6">
        <v>176</v>
      </c>
      <c r="G5" s="5">
        <v>42</v>
      </c>
      <c r="H5" s="6">
        <v>4</v>
      </c>
    </row>
    <row r="6" spans="1:8" x14ac:dyDescent="0.45">
      <c r="A6" s="5">
        <v>18</v>
      </c>
      <c r="B6" s="6">
        <v>55</v>
      </c>
      <c r="D6" s="5">
        <v>23</v>
      </c>
      <c r="E6" s="6">
        <v>187</v>
      </c>
      <c r="G6" s="5">
        <v>43</v>
      </c>
      <c r="H6" s="6">
        <v>4</v>
      </c>
    </row>
    <row r="7" spans="1:8" x14ac:dyDescent="0.45">
      <c r="A7" s="5">
        <v>19</v>
      </c>
      <c r="B7" s="6">
        <v>95</v>
      </c>
      <c r="D7" s="5">
        <v>24</v>
      </c>
      <c r="E7" s="6">
        <v>238</v>
      </c>
      <c r="G7" s="5">
        <v>44</v>
      </c>
      <c r="H7" s="6">
        <v>3</v>
      </c>
    </row>
    <row r="8" spans="1:8" x14ac:dyDescent="0.45">
      <c r="A8" s="5">
        <v>20</v>
      </c>
      <c r="B8" s="6">
        <v>137</v>
      </c>
      <c r="D8" s="5">
        <v>25</v>
      </c>
      <c r="E8" s="6">
        <v>228</v>
      </c>
      <c r="G8" s="5">
        <v>45</v>
      </c>
      <c r="H8" s="6">
        <v>3</v>
      </c>
    </row>
    <row r="9" spans="1:8" x14ac:dyDescent="0.45">
      <c r="A9" s="5">
        <v>21</v>
      </c>
      <c r="B9" s="6">
        <v>157</v>
      </c>
      <c r="D9" s="5">
        <v>26</v>
      </c>
      <c r="E9" s="6">
        <v>169</v>
      </c>
      <c r="G9" s="5">
        <v>46</v>
      </c>
      <c r="H9" s="6">
        <v>1</v>
      </c>
    </row>
    <row r="10" spans="1:8" x14ac:dyDescent="0.45">
      <c r="A10" s="5">
        <v>22</v>
      </c>
      <c r="B10" s="6">
        <v>176</v>
      </c>
      <c r="D10" s="5">
        <v>27</v>
      </c>
      <c r="E10" s="6">
        <v>188</v>
      </c>
      <c r="G10" s="5">
        <v>47</v>
      </c>
      <c r="H10" s="6">
        <v>2</v>
      </c>
    </row>
    <row r="11" spans="1:8" x14ac:dyDescent="0.45">
      <c r="A11" s="5">
        <v>23</v>
      </c>
      <c r="B11" s="6">
        <v>187</v>
      </c>
      <c r="D11" s="5">
        <v>28</v>
      </c>
      <c r="E11" s="6">
        <v>143</v>
      </c>
      <c r="G11" s="5">
        <v>48</v>
      </c>
      <c r="H11" s="6">
        <v>1</v>
      </c>
    </row>
    <row r="12" spans="1:8" x14ac:dyDescent="0.45">
      <c r="A12" s="5">
        <v>24</v>
      </c>
      <c r="B12" s="6">
        <v>238</v>
      </c>
      <c r="D12" s="5">
        <v>29</v>
      </c>
      <c r="E12" s="6">
        <v>149</v>
      </c>
      <c r="G12" s="5">
        <v>51</v>
      </c>
      <c r="H12" s="6">
        <v>1</v>
      </c>
    </row>
    <row r="13" spans="1:8" x14ac:dyDescent="0.45">
      <c r="A13" s="5">
        <v>25</v>
      </c>
      <c r="B13" s="6">
        <v>228</v>
      </c>
    </row>
    <row r="14" spans="1:8" x14ac:dyDescent="0.45">
      <c r="A14" s="5">
        <v>26</v>
      </c>
      <c r="B14" s="6">
        <v>169</v>
      </c>
    </row>
    <row r="15" spans="1:8" x14ac:dyDescent="0.45">
      <c r="A15" s="5">
        <v>27</v>
      </c>
      <c r="B15" s="6">
        <v>188</v>
      </c>
    </row>
    <row r="16" spans="1:8" x14ac:dyDescent="0.45">
      <c r="A16" s="5">
        <v>28</v>
      </c>
      <c r="B16" s="6">
        <v>143</v>
      </c>
    </row>
    <row r="17" spans="1:2" x14ac:dyDescent="0.45">
      <c r="A17" s="5">
        <v>29</v>
      </c>
      <c r="B17" s="6">
        <v>149</v>
      </c>
    </row>
    <row r="18" spans="1:2" x14ac:dyDescent="0.45">
      <c r="A18" s="5">
        <v>30</v>
      </c>
      <c r="B18" s="6">
        <v>97</v>
      </c>
    </row>
    <row r="19" spans="1:2" x14ac:dyDescent="0.45">
      <c r="A19" s="5">
        <v>31</v>
      </c>
      <c r="B19" s="6">
        <v>102</v>
      </c>
    </row>
    <row r="20" spans="1:2" x14ac:dyDescent="0.45">
      <c r="A20" s="5">
        <v>32</v>
      </c>
      <c r="B20" s="6">
        <v>102</v>
      </c>
    </row>
    <row r="21" spans="1:2" x14ac:dyDescent="0.45">
      <c r="A21" s="5">
        <v>33</v>
      </c>
      <c r="B21" s="6">
        <v>78</v>
      </c>
    </row>
    <row r="22" spans="1:2" x14ac:dyDescent="0.45">
      <c r="A22" s="5">
        <v>34</v>
      </c>
      <c r="B22" s="6">
        <v>47</v>
      </c>
    </row>
    <row r="23" spans="1:2" x14ac:dyDescent="0.45">
      <c r="A23" s="5">
        <v>35</v>
      </c>
      <c r="B23" s="6">
        <v>52</v>
      </c>
    </row>
    <row r="24" spans="1:2" x14ac:dyDescent="0.45">
      <c r="A24" s="5">
        <v>36</v>
      </c>
      <c r="B24" s="6">
        <v>39</v>
      </c>
    </row>
    <row r="25" spans="1:2" x14ac:dyDescent="0.45">
      <c r="A25" s="5">
        <v>37</v>
      </c>
      <c r="B25" s="6">
        <v>30</v>
      </c>
    </row>
    <row r="26" spans="1:2" x14ac:dyDescent="0.45">
      <c r="A26" s="5">
        <v>38</v>
      </c>
      <c r="B26" s="6">
        <v>22</v>
      </c>
    </row>
    <row r="27" spans="1:2" x14ac:dyDescent="0.45">
      <c r="A27" s="5">
        <v>39</v>
      </c>
      <c r="B27" s="6">
        <v>16</v>
      </c>
    </row>
    <row r="28" spans="1:2" x14ac:dyDescent="0.45">
      <c r="A28" s="5">
        <v>40</v>
      </c>
      <c r="B28" s="6">
        <v>13</v>
      </c>
    </row>
    <row r="29" spans="1:2" x14ac:dyDescent="0.45">
      <c r="A29" s="5">
        <v>41</v>
      </c>
      <c r="B29" s="6">
        <v>1</v>
      </c>
    </row>
    <row r="30" spans="1:2" x14ac:dyDescent="0.45">
      <c r="A30" s="5">
        <v>42</v>
      </c>
      <c r="B30" s="6">
        <v>4</v>
      </c>
    </row>
    <row r="31" spans="1:2" x14ac:dyDescent="0.45">
      <c r="A31" s="5">
        <v>43</v>
      </c>
      <c r="B31" s="6">
        <v>4</v>
      </c>
    </row>
    <row r="32" spans="1:2" x14ac:dyDescent="0.45">
      <c r="A32" s="5">
        <v>44</v>
      </c>
      <c r="B32" s="6">
        <v>3</v>
      </c>
    </row>
    <row r="33" spans="1:2" x14ac:dyDescent="0.45">
      <c r="A33" s="5">
        <v>45</v>
      </c>
      <c r="B33" s="6">
        <v>3</v>
      </c>
    </row>
    <row r="34" spans="1:2" x14ac:dyDescent="0.45">
      <c r="A34" s="5">
        <v>46</v>
      </c>
      <c r="B34" s="6">
        <v>1</v>
      </c>
    </row>
    <row r="35" spans="1:2" x14ac:dyDescent="0.45">
      <c r="A35" s="5">
        <v>47</v>
      </c>
      <c r="B35" s="6">
        <v>2</v>
      </c>
    </row>
    <row r="36" spans="1:2" x14ac:dyDescent="0.45">
      <c r="A36" s="5">
        <v>48</v>
      </c>
      <c r="B36" s="6">
        <v>1</v>
      </c>
    </row>
    <row r="37" spans="1:2" x14ac:dyDescent="0.45">
      <c r="A37" s="5">
        <v>51</v>
      </c>
      <c r="B37" s="6">
        <v>1</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CF355E-4C05-48DC-9EFC-5CD8AE7C4DE0}">
  <sheetPr>
    <tabColor rgb="FFFFFF00"/>
  </sheetPr>
  <dimension ref="A1"/>
  <sheetViews>
    <sheetView showGridLines="0" tabSelected="1" zoomScale="47" zoomScaleNormal="47" workbookViewId="0"/>
  </sheetViews>
  <sheetFormatPr defaultRowHeight="18.5" x14ac:dyDescent="0.45"/>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FC8FCE-1EB5-4BB7-A581-A3EA5BC2CBFB}">
  <dimension ref="A3:C23"/>
  <sheetViews>
    <sheetView topLeftCell="B1" workbookViewId="0">
      <selection activeCell="A6" sqref="A6"/>
    </sheetView>
  </sheetViews>
  <sheetFormatPr defaultRowHeight="18.5" x14ac:dyDescent="0.45"/>
  <cols>
    <col min="1" max="1" width="11.92578125" bestFit="1" customWidth="1"/>
    <col min="2" max="2" width="19.42578125" bestFit="1" customWidth="1"/>
    <col min="3" max="3" width="19.5703125" bestFit="1" customWidth="1"/>
  </cols>
  <sheetData>
    <row r="3" spans="1:3" x14ac:dyDescent="0.45">
      <c r="A3" s="4" t="s">
        <v>2714</v>
      </c>
      <c r="B3" t="s">
        <v>2727</v>
      </c>
      <c r="C3" t="s">
        <v>2728</v>
      </c>
    </row>
    <row r="4" spans="1:3" x14ac:dyDescent="0.45">
      <c r="A4" s="5" t="s">
        <v>2730</v>
      </c>
      <c r="B4" s="6">
        <v>42.3</v>
      </c>
      <c r="C4" s="6">
        <v>197.7</v>
      </c>
    </row>
    <row r="5" spans="1:3" x14ac:dyDescent="0.45">
      <c r="A5" s="5" t="s">
        <v>2731</v>
      </c>
      <c r="B5" s="6">
        <v>43.5</v>
      </c>
      <c r="C5" s="6">
        <v>181.4375</v>
      </c>
    </row>
    <row r="6" spans="1:3" x14ac:dyDescent="0.45">
      <c r="A6" s="5" t="s">
        <v>2732</v>
      </c>
      <c r="B6" s="6">
        <v>51.941176470588232</v>
      </c>
      <c r="C6" s="6">
        <v>186.3235294117647</v>
      </c>
    </row>
    <row r="7" spans="1:3" x14ac:dyDescent="0.45">
      <c r="A7" s="5" t="s">
        <v>2733</v>
      </c>
      <c r="B7" s="6">
        <v>54.43333333333333</v>
      </c>
      <c r="C7" s="6">
        <v>177.96666666666667</v>
      </c>
    </row>
    <row r="8" spans="1:3" x14ac:dyDescent="0.45">
      <c r="A8" s="5" t="s">
        <v>2734</v>
      </c>
      <c r="B8" s="6">
        <v>56.70192307692308</v>
      </c>
      <c r="C8" s="6">
        <v>171.16346153846155</v>
      </c>
    </row>
    <row r="9" spans="1:3" x14ac:dyDescent="0.45">
      <c r="A9" s="5" t="s">
        <v>2735</v>
      </c>
      <c r="B9" s="6">
        <v>61.566727605118828</v>
      </c>
      <c r="C9" s="6">
        <v>170.6965265082267</v>
      </c>
    </row>
    <row r="10" spans="1:3" x14ac:dyDescent="0.45">
      <c r="A10" s="5" t="s">
        <v>2736</v>
      </c>
      <c r="B10" s="6">
        <v>70.253218884120173</v>
      </c>
      <c r="C10" s="6">
        <v>174.44492131616596</v>
      </c>
    </row>
    <row r="11" spans="1:3" x14ac:dyDescent="0.45">
      <c r="A11" s="5" t="s">
        <v>2737</v>
      </c>
      <c r="B11" s="6">
        <v>79.969199178644757</v>
      </c>
      <c r="C11" s="6">
        <v>178.47433264887064</v>
      </c>
    </row>
    <row r="12" spans="1:3" x14ac:dyDescent="0.45">
      <c r="A12" s="5" t="s">
        <v>2738</v>
      </c>
      <c r="B12" s="6">
        <v>88.941368078175898</v>
      </c>
      <c r="C12" s="6">
        <v>181.57328990228012</v>
      </c>
    </row>
    <row r="13" spans="1:3" x14ac:dyDescent="0.45">
      <c r="A13" s="5" t="s">
        <v>2739</v>
      </c>
      <c r="B13" s="6">
        <v>94.921259842519689</v>
      </c>
      <c r="C13" s="6">
        <v>180.95275590551182</v>
      </c>
    </row>
    <row r="14" spans="1:3" x14ac:dyDescent="0.45">
      <c r="A14" s="5" t="s">
        <v>2740</v>
      </c>
      <c r="B14" s="6">
        <v>99.189655172413794</v>
      </c>
      <c r="C14" s="6">
        <v>178.93103448275863</v>
      </c>
    </row>
    <row r="15" spans="1:3" x14ac:dyDescent="0.45">
      <c r="A15" s="5" t="s">
        <v>2741</v>
      </c>
      <c r="B15" s="6">
        <v>96.352941176470594</v>
      </c>
      <c r="C15" s="6">
        <v>169.88235294117646</v>
      </c>
    </row>
    <row r="16" spans="1:3" x14ac:dyDescent="0.45">
      <c r="A16" s="5" t="s">
        <v>2742</v>
      </c>
      <c r="B16" s="6">
        <v>90.681818181818187</v>
      </c>
      <c r="C16" s="6">
        <v>159.45454545454547</v>
      </c>
    </row>
    <row r="17" spans="1:3" x14ac:dyDescent="0.45">
      <c r="A17" s="5" t="s">
        <v>2743</v>
      </c>
      <c r="B17" s="6">
        <v>98.63636363636364</v>
      </c>
      <c r="C17" s="6">
        <v>163.81818181818181</v>
      </c>
    </row>
    <row r="18" spans="1:3" x14ac:dyDescent="0.45">
      <c r="A18" s="5" t="s">
        <v>2744</v>
      </c>
      <c r="B18" s="6">
        <v>98.444444444444443</v>
      </c>
      <c r="C18" s="6">
        <v>159</v>
      </c>
    </row>
    <row r="19" spans="1:3" x14ac:dyDescent="0.45">
      <c r="A19" s="5" t="s">
        <v>2745</v>
      </c>
      <c r="B19" s="6">
        <v>106.6</v>
      </c>
      <c r="C19" s="6">
        <v>161.66666666666666</v>
      </c>
    </row>
    <row r="20" spans="1:3" x14ac:dyDescent="0.45">
      <c r="A20" s="5" t="s">
        <v>2746</v>
      </c>
      <c r="B20" s="6">
        <v>102.25</v>
      </c>
      <c r="C20" s="6">
        <v>154</v>
      </c>
    </row>
    <row r="21" spans="1:3" x14ac:dyDescent="0.45">
      <c r="A21" s="5" t="s">
        <v>2747</v>
      </c>
      <c r="B21" s="6">
        <v>110</v>
      </c>
      <c r="C21" s="6">
        <v>155.66666666666666</v>
      </c>
    </row>
    <row r="22" spans="1:3" x14ac:dyDescent="0.45">
      <c r="A22" s="5" t="s">
        <v>2748</v>
      </c>
      <c r="B22" s="6">
        <v>112</v>
      </c>
      <c r="C22" s="6">
        <v>154</v>
      </c>
    </row>
    <row r="23" spans="1:3" x14ac:dyDescent="0.45">
      <c r="A23" s="5" t="s">
        <v>2729</v>
      </c>
      <c r="B23" s="6">
        <v>112</v>
      </c>
      <c r="C23" s="6">
        <v>152</v>
      </c>
    </row>
  </sheetData>
  <pageMargins left="0.7" right="0.7" top="0.75" bottom="0.75" header="0.3" footer="0.3"/>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1ED8D4-6A0A-4202-BD79-963AC055DC1E}">
  <dimension ref="A3:B20"/>
  <sheetViews>
    <sheetView workbookViewId="0">
      <selection activeCell="G8" sqref="G8"/>
    </sheetView>
  </sheetViews>
  <sheetFormatPr defaultRowHeight="18.5" x14ac:dyDescent="0.45"/>
  <cols>
    <col min="1" max="1" width="25.0703125" bestFit="1" customWidth="1"/>
    <col min="2" max="2" width="13.5703125" bestFit="1" customWidth="1"/>
  </cols>
  <sheetData>
    <row r="3" spans="1:2" x14ac:dyDescent="0.45">
      <c r="A3" s="4" t="s">
        <v>2714</v>
      </c>
      <c r="B3" t="s">
        <v>2750</v>
      </c>
    </row>
    <row r="4" spans="1:2" x14ac:dyDescent="0.45">
      <c r="A4" s="5" t="s">
        <v>85</v>
      </c>
      <c r="B4" s="6">
        <v>24.463985922587121</v>
      </c>
    </row>
    <row r="5" spans="1:2" x14ac:dyDescent="0.45">
      <c r="A5" s="5" t="s">
        <v>88</v>
      </c>
      <c r="B5" s="6">
        <v>21.841862313997762</v>
      </c>
    </row>
    <row r="6" spans="1:2" x14ac:dyDescent="0.45">
      <c r="A6" s="5" t="s">
        <v>90</v>
      </c>
      <c r="B6" s="6">
        <v>27.417779969086762</v>
      </c>
    </row>
    <row r="7" spans="1:2" x14ac:dyDescent="0.45">
      <c r="A7" s="5" t="s">
        <v>94</v>
      </c>
      <c r="B7" s="6">
        <v>22.220658766455603</v>
      </c>
    </row>
    <row r="8" spans="1:2" x14ac:dyDescent="0.45">
      <c r="A8" s="5" t="s">
        <v>99</v>
      </c>
      <c r="B8" s="6">
        <v>18.62284924386319</v>
      </c>
    </row>
    <row r="9" spans="1:2" x14ac:dyDescent="0.45">
      <c r="A9" s="5" t="s">
        <v>96</v>
      </c>
      <c r="B9" s="6">
        <v>23.82717218635041</v>
      </c>
    </row>
    <row r="10" spans="1:2" x14ac:dyDescent="0.45">
      <c r="A10" s="5" t="s">
        <v>86</v>
      </c>
      <c r="B10" s="6">
        <v>26.109369770560775</v>
      </c>
    </row>
    <row r="11" spans="1:2" x14ac:dyDescent="0.45">
      <c r="A11" s="5" t="s">
        <v>87</v>
      </c>
      <c r="B11" s="6">
        <v>23.536787960017787</v>
      </c>
    </row>
    <row r="12" spans="1:2" x14ac:dyDescent="0.45">
      <c r="A12" s="5" t="s">
        <v>91</v>
      </c>
      <c r="B12" s="6">
        <v>25.00315935562524</v>
      </c>
    </row>
    <row r="13" spans="1:2" x14ac:dyDescent="0.45">
      <c r="A13" s="5" t="s">
        <v>95</v>
      </c>
      <c r="B13" s="6">
        <v>25.046859148978275</v>
      </c>
    </row>
    <row r="14" spans="1:2" x14ac:dyDescent="0.45">
      <c r="A14" s="5" t="s">
        <v>97</v>
      </c>
      <c r="B14" s="6">
        <v>21.04268088857518</v>
      </c>
    </row>
    <row r="15" spans="1:2" x14ac:dyDescent="0.45">
      <c r="A15" s="5" t="s">
        <v>98</v>
      </c>
      <c r="B15" s="6">
        <v>21.779016077244712</v>
      </c>
    </row>
    <row r="16" spans="1:2" x14ac:dyDescent="0.45">
      <c r="A16" s="5" t="s">
        <v>100</v>
      </c>
      <c r="B16" s="6">
        <v>23.308064026421466</v>
      </c>
    </row>
    <row r="17" spans="1:2" x14ac:dyDescent="0.45">
      <c r="A17" s="5" t="s">
        <v>92</v>
      </c>
      <c r="B17" s="6">
        <v>20.04210938250791</v>
      </c>
    </row>
    <row r="18" spans="1:2" x14ac:dyDescent="0.45">
      <c r="A18" s="5" t="s">
        <v>93</v>
      </c>
      <c r="B18" s="6">
        <v>23.517811223645726</v>
      </c>
    </row>
    <row r="19" spans="1:2" x14ac:dyDescent="0.45">
      <c r="A19" s="5" t="s">
        <v>89</v>
      </c>
      <c r="B19" s="6">
        <v>22.884782077848328</v>
      </c>
    </row>
    <row r="20" spans="1:2" x14ac:dyDescent="0.45">
      <c r="A20" s="5" t="s">
        <v>102</v>
      </c>
      <c r="B20" s="6">
        <v>23.98687034465345</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6EC562-EE5B-4D6D-B2CB-0AC82B0E8F86}">
  <dimension ref="A3:E8"/>
  <sheetViews>
    <sheetView workbookViewId="0">
      <selection activeCell="D7" sqref="D7"/>
    </sheetView>
  </sheetViews>
  <sheetFormatPr defaultRowHeight="18.5" x14ac:dyDescent="0.45"/>
  <cols>
    <col min="1" max="1" width="11.92578125" bestFit="1" customWidth="1"/>
    <col min="2" max="2" width="11.7109375" bestFit="1" customWidth="1"/>
    <col min="4" max="4" width="11.92578125" bestFit="1" customWidth="1"/>
    <col min="5" max="5" width="11.7109375" bestFit="1" customWidth="1"/>
  </cols>
  <sheetData>
    <row r="3" spans="1:5" x14ac:dyDescent="0.45">
      <c r="A3" s="4" t="s">
        <v>2714</v>
      </c>
      <c r="B3" t="s">
        <v>2749</v>
      </c>
      <c r="D3" s="4" t="s">
        <v>2714</v>
      </c>
      <c r="E3" t="s">
        <v>2749</v>
      </c>
    </row>
    <row r="4" spans="1:5" x14ac:dyDescent="0.45">
      <c r="A4" s="5">
        <v>22</v>
      </c>
      <c r="B4" s="6">
        <v>176</v>
      </c>
      <c r="D4" s="5">
        <v>41</v>
      </c>
      <c r="E4" s="6">
        <v>1</v>
      </c>
    </row>
    <row r="5" spans="1:5" x14ac:dyDescent="0.45">
      <c r="A5" s="5">
        <v>23</v>
      </c>
      <c r="B5" s="6">
        <v>187</v>
      </c>
      <c r="D5" s="5">
        <v>46</v>
      </c>
      <c r="E5" s="6">
        <v>1</v>
      </c>
    </row>
    <row r="6" spans="1:5" x14ac:dyDescent="0.45">
      <c r="A6" s="5">
        <v>24</v>
      </c>
      <c r="B6" s="6">
        <v>238</v>
      </c>
      <c r="D6" s="5">
        <v>47</v>
      </c>
      <c r="E6" s="6">
        <v>2</v>
      </c>
    </row>
    <row r="7" spans="1:5" x14ac:dyDescent="0.45">
      <c r="A7" s="5">
        <v>25</v>
      </c>
      <c r="B7" s="6">
        <v>228</v>
      </c>
      <c r="D7" s="5">
        <v>48</v>
      </c>
      <c r="E7" s="6">
        <v>1</v>
      </c>
    </row>
    <row r="8" spans="1:5" x14ac:dyDescent="0.45">
      <c r="A8" s="5">
        <v>27</v>
      </c>
      <c r="B8" s="6">
        <v>188</v>
      </c>
      <c r="D8" s="5">
        <v>51</v>
      </c>
      <c r="E8" s="6">
        <v>1</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406D70-A49C-47AA-AA0E-E501AFF29EC8}">
  <sheetPr>
    <tabColor rgb="FFFFFF00"/>
  </sheetPr>
  <dimension ref="A1"/>
  <sheetViews>
    <sheetView showGridLines="0" zoomScale="47" zoomScaleNormal="47" workbookViewId="0"/>
  </sheetViews>
  <sheetFormatPr defaultRowHeight="18.5" x14ac:dyDescent="0.45"/>
  <sheetData/>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1">
    <tabColor rgb="FFFF0000"/>
  </sheetPr>
  <dimension ref="A1:K2607"/>
  <sheetViews>
    <sheetView zoomScale="61" zoomScaleNormal="100" workbookViewId="0">
      <selection activeCell="B1" sqref="B1"/>
    </sheetView>
  </sheetViews>
  <sheetFormatPr defaultRowHeight="18.5" x14ac:dyDescent="0.45"/>
  <cols>
    <col min="1" max="1" width="6.85546875" style="2" bestFit="1" customWidth="1"/>
    <col min="2" max="2" width="34.0703125" style="2" bestFit="1" customWidth="1"/>
    <col min="3" max="3" width="29.5" style="2" bestFit="1" customWidth="1"/>
    <col min="4" max="4" width="24.640625" style="2" bestFit="1" customWidth="1"/>
    <col min="5" max="5" width="4.42578125" style="2" bestFit="1" customWidth="1"/>
    <col min="6" max="7" width="10.85546875" style="2" bestFit="1" customWidth="1"/>
    <col min="8" max="8" width="12.640625" style="9" bestFit="1" customWidth="1"/>
    <col min="9" max="9" width="15.78515625" style="2" bestFit="1" customWidth="1"/>
    <col min="10" max="10" width="22" style="2" bestFit="1" customWidth="1"/>
    <col min="11" max="11" width="20.28515625" style="2" bestFit="1" customWidth="1"/>
    <col min="12" max="16384" width="9.140625" style="2"/>
  </cols>
  <sheetData>
    <row r="1" spans="1:11" x14ac:dyDescent="0.45">
      <c r="A1" s="1" t="s">
        <v>105</v>
      </c>
      <c r="B1" s="1" t="s">
        <v>2717</v>
      </c>
      <c r="C1" s="1" t="s">
        <v>82</v>
      </c>
      <c r="D1" s="1" t="s">
        <v>83</v>
      </c>
      <c r="E1" s="1" t="s">
        <v>84</v>
      </c>
      <c r="F1" s="1" t="s">
        <v>103</v>
      </c>
      <c r="G1" s="1" t="s">
        <v>104</v>
      </c>
      <c r="H1" s="8" t="s">
        <v>2712</v>
      </c>
      <c r="I1" s="3" t="s">
        <v>2710</v>
      </c>
      <c r="J1" s="3" t="s">
        <v>2711</v>
      </c>
      <c r="K1" s="3" t="s">
        <v>2713</v>
      </c>
    </row>
    <row r="2" spans="1:11" x14ac:dyDescent="0.45">
      <c r="A2" s="2">
        <v>1</v>
      </c>
      <c r="B2" s="2" t="s">
        <v>106</v>
      </c>
      <c r="C2" s="2" t="s">
        <v>85</v>
      </c>
      <c r="D2" s="2" t="s">
        <v>61</v>
      </c>
      <c r="E2" s="2">
        <v>23</v>
      </c>
      <c r="F2" s="2">
        <v>55</v>
      </c>
      <c r="G2" s="2">
        <v>168</v>
      </c>
      <c r="H2" s="9">
        <f t="shared" ref="H2:H65" si="0" xml:space="preserve"> F2 / (( G2/ 100) ^ 2)</f>
        <v>19.486961451247168</v>
      </c>
      <c r="I2" s="2" t="str" cm="1">
        <f t="array" ref="I2">_xlfn.IFS(F2&gt;=100,"Over weight",F2&lt;100,"Average weight")</f>
        <v>Average weight</v>
      </c>
      <c r="J2" s="2" t="str" cm="1">
        <f t="array" ref="J2">_xlfn.IFS(G2&lt;164,"Below Average height",G2&gt;=165,"Above Average height",G2=164,"Average height")</f>
        <v>Above Average height</v>
      </c>
      <c r="K2" s="2" t="str" cm="1">
        <f t="array" ref="K2">_xlfn.IFS(E2&lt;=16,"Children",E2&lt;=30,"Young Adults",E2&lt;=45,"Middle-aged Adults",E2&gt;45,"Old Adults")</f>
        <v>Young Adults</v>
      </c>
    </row>
    <row r="3" spans="1:11" x14ac:dyDescent="0.45">
      <c r="A3" s="2">
        <v>2</v>
      </c>
      <c r="B3" s="2" t="s">
        <v>107</v>
      </c>
      <c r="C3" s="2" t="s">
        <v>86</v>
      </c>
      <c r="D3" s="2" t="s">
        <v>80</v>
      </c>
      <c r="E3" s="2">
        <v>24</v>
      </c>
      <c r="F3" s="2">
        <v>85</v>
      </c>
      <c r="G3" s="2">
        <v>175</v>
      </c>
      <c r="H3" s="9">
        <f t="shared" si="0"/>
        <v>27.755102040816325</v>
      </c>
      <c r="I3" s="2" t="str" cm="1">
        <f t="array" ref="I3">_xlfn.IFS(F3&gt;=100,"Over weight",F3&lt;100,"Average weight")</f>
        <v>Average weight</v>
      </c>
      <c r="J3" s="2" t="str" cm="1">
        <f t="array" ref="J3">_xlfn.IFS(G3&lt;164,"Below Average height",G3&gt;=165,"Above Average height",G3=164,"Average height")</f>
        <v>Above Average height</v>
      </c>
      <c r="K3" s="2" t="str" cm="1">
        <f t="array" ref="K3">_xlfn.IFS(E3&lt;=16,"Children",E3&lt;=30,"Young Adults",E3&lt;=45,"Middle-aged Adults",E3&gt;45,"Old Adults")</f>
        <v>Young Adults</v>
      </c>
    </row>
    <row r="4" spans="1:11" x14ac:dyDescent="0.45">
      <c r="A4" s="2">
        <v>3</v>
      </c>
      <c r="B4" s="2" t="s">
        <v>108</v>
      </c>
      <c r="C4" s="2" t="s">
        <v>87</v>
      </c>
      <c r="D4" s="2" t="s">
        <v>79</v>
      </c>
      <c r="E4" s="2">
        <v>30</v>
      </c>
      <c r="F4" s="2">
        <v>68</v>
      </c>
      <c r="G4" s="2">
        <v>169</v>
      </c>
      <c r="H4" s="9">
        <f t="shared" si="0"/>
        <v>23.808690171912751</v>
      </c>
      <c r="I4" s="2" t="str" cm="1">
        <f t="array" ref="I4">_xlfn.IFS(F4&gt;=100,"Over weight",F4&lt;100,"Average weight")</f>
        <v>Average weight</v>
      </c>
      <c r="J4" s="2" t="str" cm="1">
        <f t="array" ref="J4">_xlfn.IFS(G4&lt;164,"Below Average height",G4&gt;=165,"Above Average height",G4=164,"Average height")</f>
        <v>Above Average height</v>
      </c>
      <c r="K4" s="2" t="str" cm="1">
        <f t="array" ref="K4">_xlfn.IFS(E4&lt;=16,"Children",E4&lt;=30,"Young Adults",E4&lt;=45,"Middle-aged Adults",E4&gt;45,"Old Adults")</f>
        <v>Young Adults</v>
      </c>
    </row>
    <row r="5" spans="1:11" x14ac:dyDescent="0.45">
      <c r="A5" s="2">
        <v>4</v>
      </c>
      <c r="B5" s="2" t="s">
        <v>109</v>
      </c>
      <c r="C5" s="2" t="s">
        <v>85</v>
      </c>
      <c r="D5" s="2" t="s">
        <v>27</v>
      </c>
      <c r="E5" s="2">
        <v>21</v>
      </c>
      <c r="F5" s="2">
        <v>82</v>
      </c>
      <c r="G5" s="2">
        <v>176</v>
      </c>
      <c r="H5" s="9">
        <f t="shared" si="0"/>
        <v>26.472107438016529</v>
      </c>
      <c r="I5" s="2" t="str" cm="1">
        <f t="array" ref="I5">_xlfn.IFS(F5&gt;=100,"Over weight",F5&lt;100,"Average weight")</f>
        <v>Average weight</v>
      </c>
      <c r="J5" s="2" t="str" cm="1">
        <f t="array" ref="J5">_xlfn.IFS(G5&lt;164,"Below Average height",G5&gt;=165,"Above Average height",G5=164,"Average height")</f>
        <v>Above Average height</v>
      </c>
      <c r="K5" s="2" t="str" cm="1">
        <f t="array" ref="K5">_xlfn.IFS(E5&lt;=16,"Children",E5&lt;=30,"Young Adults",E5&lt;=45,"Middle-aged Adults",E5&gt;45,"Old Adults")</f>
        <v>Young Adults</v>
      </c>
    </row>
    <row r="6" spans="1:11" x14ac:dyDescent="0.45">
      <c r="A6" s="2">
        <v>5</v>
      </c>
      <c r="B6" s="2" t="s">
        <v>110</v>
      </c>
      <c r="C6" s="2" t="s">
        <v>88</v>
      </c>
      <c r="D6" s="2" t="s">
        <v>8</v>
      </c>
      <c r="E6" s="2">
        <v>22</v>
      </c>
      <c r="F6" s="2">
        <v>81</v>
      </c>
      <c r="G6" s="2">
        <v>180</v>
      </c>
      <c r="H6" s="9">
        <f t="shared" si="0"/>
        <v>25</v>
      </c>
      <c r="I6" s="2" t="str" cm="1">
        <f t="array" ref="I6">_xlfn.IFS(F6&gt;=100,"Over weight",F6&lt;100,"Average weight")</f>
        <v>Average weight</v>
      </c>
      <c r="J6" s="2" t="str" cm="1">
        <f t="array" ref="J6">_xlfn.IFS(G6&lt;164,"Below Average height",G6&gt;=165,"Above Average height",G6=164,"Average height")</f>
        <v>Above Average height</v>
      </c>
      <c r="K6" s="2" t="str" cm="1">
        <f t="array" ref="K6">_xlfn.IFS(E6&lt;=16,"Children",E6&lt;=30,"Young Adults",E6&lt;=45,"Middle-aged Adults",E6&gt;45,"Old Adults")</f>
        <v>Young Adults</v>
      </c>
    </row>
    <row r="7" spans="1:11" x14ac:dyDescent="0.45">
      <c r="A7" s="2">
        <v>6</v>
      </c>
      <c r="B7" s="2" t="s">
        <v>111</v>
      </c>
      <c r="C7" s="2" t="s">
        <v>87</v>
      </c>
      <c r="D7" s="2" t="s">
        <v>79</v>
      </c>
      <c r="E7" s="2">
        <v>21</v>
      </c>
      <c r="F7" s="2">
        <v>74</v>
      </c>
      <c r="G7" s="2">
        <v>179</v>
      </c>
      <c r="H7" s="9">
        <f t="shared" si="0"/>
        <v>23.095409007209515</v>
      </c>
      <c r="I7" s="2" t="str" cm="1">
        <f t="array" ref="I7">_xlfn.IFS(F7&gt;=100,"Over weight",F7&lt;100,"Average weight")</f>
        <v>Average weight</v>
      </c>
      <c r="J7" s="2" t="str" cm="1">
        <f t="array" ref="J7">_xlfn.IFS(G7&lt;164,"Below Average height",G7&gt;=165,"Above Average height",G7=164,"Average height")</f>
        <v>Above Average height</v>
      </c>
      <c r="K7" s="2" t="str" cm="1">
        <f t="array" ref="K7">_xlfn.IFS(E7&lt;=16,"Children",E7&lt;=30,"Young Adults",E7&lt;=45,"Middle-aged Adults",E7&gt;45,"Old Adults")</f>
        <v>Young Adults</v>
      </c>
    </row>
    <row r="8" spans="1:11" x14ac:dyDescent="0.45">
      <c r="A8" s="2">
        <v>7</v>
      </c>
      <c r="B8" s="2" t="s">
        <v>112</v>
      </c>
      <c r="C8" s="2" t="s">
        <v>89</v>
      </c>
      <c r="D8" s="2" t="s">
        <v>66</v>
      </c>
      <c r="E8" s="2">
        <v>27</v>
      </c>
      <c r="F8" s="2">
        <v>65</v>
      </c>
      <c r="G8" s="2">
        <v>167</v>
      </c>
      <c r="H8" s="9">
        <f t="shared" si="0"/>
        <v>23.306680053067517</v>
      </c>
      <c r="I8" s="2" t="str" cm="1">
        <f t="array" ref="I8">_xlfn.IFS(F8&gt;=100,"Over weight",F8&lt;100,"Average weight")</f>
        <v>Average weight</v>
      </c>
      <c r="J8" s="2" t="str" cm="1">
        <f t="array" ref="J8">_xlfn.IFS(G8&lt;164,"Below Average height",G8&gt;=165,"Above Average height",G8=164,"Average height")</f>
        <v>Above Average height</v>
      </c>
      <c r="K8" s="2" t="str" cm="1">
        <f t="array" ref="K8">_xlfn.IFS(E8&lt;=16,"Children",E8&lt;=30,"Young Adults",E8&lt;=45,"Middle-aged Adults",E8&gt;45,"Old Adults")</f>
        <v>Young Adults</v>
      </c>
    </row>
    <row r="9" spans="1:11" x14ac:dyDescent="0.45">
      <c r="A9" s="2">
        <v>8</v>
      </c>
      <c r="B9" s="2" t="s">
        <v>113</v>
      </c>
      <c r="C9" s="2" t="s">
        <v>90</v>
      </c>
      <c r="D9" s="2" t="s">
        <v>66</v>
      </c>
      <c r="E9" s="2">
        <v>27</v>
      </c>
      <c r="F9" s="2">
        <v>96</v>
      </c>
      <c r="G9" s="2">
        <v>182</v>
      </c>
      <c r="H9" s="9">
        <f t="shared" si="0"/>
        <v>28.982007003985025</v>
      </c>
      <c r="I9" s="2" t="str" cm="1">
        <f t="array" ref="I9">_xlfn.IFS(F9&gt;=100,"Over weight",F9&lt;100,"Average weight")</f>
        <v>Average weight</v>
      </c>
      <c r="J9" s="2" t="str" cm="1">
        <f t="array" ref="J9">_xlfn.IFS(G9&lt;164,"Below Average height",G9&gt;=165,"Above Average height",G9=164,"Average height")</f>
        <v>Above Average height</v>
      </c>
      <c r="K9" s="2" t="str" cm="1">
        <f t="array" ref="K9">_xlfn.IFS(E9&lt;=16,"Children",E9&lt;=30,"Young Adults",E9&lt;=45,"Middle-aged Adults",E9&gt;45,"Old Adults")</f>
        <v>Young Adults</v>
      </c>
    </row>
    <row r="10" spans="1:11" x14ac:dyDescent="0.45">
      <c r="A10" s="2">
        <v>9</v>
      </c>
      <c r="B10" s="2" t="s">
        <v>114</v>
      </c>
      <c r="C10" s="2" t="s">
        <v>85</v>
      </c>
      <c r="D10" s="2" t="s">
        <v>47</v>
      </c>
      <c r="E10" s="2">
        <v>16</v>
      </c>
      <c r="F10" s="2">
        <v>60</v>
      </c>
      <c r="G10" s="2">
        <v>168</v>
      </c>
      <c r="H10" s="9">
        <f t="shared" si="0"/>
        <v>21.258503401360546</v>
      </c>
      <c r="I10" s="2" t="str" cm="1">
        <f t="array" ref="I10">_xlfn.IFS(F10&gt;=100,"Over weight",F10&lt;100,"Average weight")</f>
        <v>Average weight</v>
      </c>
      <c r="J10" s="2" t="str" cm="1">
        <f t="array" ref="J10">_xlfn.IFS(G10&lt;164,"Below Average height",G10&gt;=165,"Above Average height",G10=164,"Average height")</f>
        <v>Above Average height</v>
      </c>
      <c r="K10" s="2" t="str" cm="1">
        <f t="array" ref="K10">_xlfn.IFS(E10&lt;=16,"Children",E10&lt;=30,"Young Adults",E10&lt;=45,"Middle-aged Adults",E10&gt;45,"Old Adults")</f>
        <v>Children</v>
      </c>
    </row>
    <row r="11" spans="1:11" x14ac:dyDescent="0.45">
      <c r="A11" s="2">
        <v>10</v>
      </c>
      <c r="B11" s="2" t="s">
        <v>115</v>
      </c>
      <c r="C11" s="2" t="s">
        <v>85</v>
      </c>
      <c r="D11" s="2" t="s">
        <v>14</v>
      </c>
      <c r="E11" s="2">
        <v>24</v>
      </c>
      <c r="F11" s="2">
        <v>63</v>
      </c>
      <c r="G11" s="2">
        <v>167</v>
      </c>
      <c r="H11" s="9">
        <f t="shared" si="0"/>
        <v>22.589551436050055</v>
      </c>
      <c r="I11" s="2" t="str" cm="1">
        <f t="array" ref="I11">_xlfn.IFS(F11&gt;=100,"Over weight",F11&lt;100,"Average weight")</f>
        <v>Average weight</v>
      </c>
      <c r="J11" s="2" t="str" cm="1">
        <f t="array" ref="J11">_xlfn.IFS(G11&lt;164,"Below Average height",G11&gt;=165,"Above Average height",G11=164,"Average height")</f>
        <v>Above Average height</v>
      </c>
      <c r="K11" s="2" t="str" cm="1">
        <f t="array" ref="K11">_xlfn.IFS(E11&lt;=16,"Children",E11&lt;=30,"Young Adults",E11&lt;=45,"Middle-aged Adults",E11&gt;45,"Old Adults")</f>
        <v>Young Adults</v>
      </c>
    </row>
    <row r="12" spans="1:11" x14ac:dyDescent="0.45">
      <c r="A12" s="2">
        <v>11</v>
      </c>
      <c r="B12" s="2" t="s">
        <v>116</v>
      </c>
      <c r="C12" s="2" t="s">
        <v>90</v>
      </c>
      <c r="D12" s="2" t="s">
        <v>28</v>
      </c>
      <c r="E12" s="2">
        <v>27</v>
      </c>
      <c r="F12" s="2">
        <v>110</v>
      </c>
      <c r="G12" s="2">
        <v>190</v>
      </c>
      <c r="H12" s="9">
        <f t="shared" si="0"/>
        <v>30.470914127423825</v>
      </c>
      <c r="I12" s="2" t="str" cm="1">
        <f t="array" ref="I12">_xlfn.IFS(F12&gt;=100,"Over weight",F12&lt;100,"Average weight")</f>
        <v>Over weight</v>
      </c>
      <c r="J12" s="2" t="str" cm="1">
        <f t="array" ref="J12">_xlfn.IFS(G12&lt;164,"Below Average height",G12&gt;=165,"Above Average height",G12=164,"Average height")</f>
        <v>Above Average height</v>
      </c>
      <c r="K12" s="2" t="str" cm="1">
        <f t="array" ref="K12">_xlfn.IFS(E12&lt;=16,"Children",E12&lt;=30,"Young Adults",E12&lt;=45,"Middle-aged Adults",E12&gt;45,"Old Adults")</f>
        <v>Young Adults</v>
      </c>
    </row>
    <row r="13" spans="1:11" x14ac:dyDescent="0.45">
      <c r="A13" s="2">
        <v>12</v>
      </c>
      <c r="B13" s="2" t="s">
        <v>117</v>
      </c>
      <c r="C13" s="2" t="s">
        <v>90</v>
      </c>
      <c r="D13" s="2" t="s">
        <v>75</v>
      </c>
      <c r="E13" s="2">
        <v>31</v>
      </c>
      <c r="F13" s="2">
        <v>97</v>
      </c>
      <c r="G13" s="2">
        <v>180</v>
      </c>
      <c r="H13" s="9">
        <f t="shared" si="0"/>
        <v>29.938271604938269</v>
      </c>
      <c r="I13" s="2" t="str" cm="1">
        <f t="array" ref="I13">_xlfn.IFS(F13&gt;=100,"Over weight",F13&lt;100,"Average weight")</f>
        <v>Average weight</v>
      </c>
      <c r="J13" s="2" t="str" cm="1">
        <f t="array" ref="J13">_xlfn.IFS(G13&lt;164,"Below Average height",G13&gt;=165,"Above Average height",G13=164,"Average height")</f>
        <v>Above Average height</v>
      </c>
      <c r="K13" s="2" t="str" cm="1">
        <f t="array" ref="K13">_xlfn.IFS(E13&lt;=16,"Children",E13&lt;=30,"Young Adults",E13&lt;=45,"Middle-aged Adults",E13&gt;45,"Old Adults")</f>
        <v>Middle-aged Adults</v>
      </c>
    </row>
    <row r="14" spans="1:11" x14ac:dyDescent="0.45">
      <c r="A14" s="2">
        <v>13</v>
      </c>
      <c r="B14" s="2" t="s">
        <v>118</v>
      </c>
      <c r="C14" s="2" t="s">
        <v>91</v>
      </c>
      <c r="D14" s="2" t="s">
        <v>66</v>
      </c>
      <c r="E14" s="2">
        <v>30</v>
      </c>
      <c r="F14" s="2">
        <v>88</v>
      </c>
      <c r="G14" s="2">
        <v>183</v>
      </c>
      <c r="H14" s="9">
        <f t="shared" si="0"/>
        <v>26.277285078682549</v>
      </c>
      <c r="I14" s="2" t="str" cm="1">
        <f t="array" ref="I14">_xlfn.IFS(F14&gt;=100,"Over weight",F14&lt;100,"Average weight")</f>
        <v>Average weight</v>
      </c>
      <c r="J14" s="2" t="str" cm="1">
        <f t="array" ref="J14">_xlfn.IFS(G14&lt;164,"Below Average height",G14&gt;=165,"Above Average height",G14=164,"Average height")</f>
        <v>Above Average height</v>
      </c>
      <c r="K14" s="2" t="str" cm="1">
        <f t="array" ref="K14">_xlfn.IFS(E14&lt;=16,"Children",E14&lt;=30,"Young Adults",E14&lt;=45,"Middle-aged Adults",E14&gt;45,"Old Adults")</f>
        <v>Young Adults</v>
      </c>
    </row>
    <row r="15" spans="1:11" x14ac:dyDescent="0.45">
      <c r="A15" s="2">
        <v>14</v>
      </c>
      <c r="B15" s="2" t="s">
        <v>119</v>
      </c>
      <c r="C15" s="2" t="s">
        <v>91</v>
      </c>
      <c r="D15" s="2" t="s">
        <v>14</v>
      </c>
      <c r="E15" s="2">
        <v>23</v>
      </c>
      <c r="F15" s="2">
        <v>66</v>
      </c>
      <c r="G15" s="2">
        <v>168</v>
      </c>
      <c r="H15" s="9">
        <f t="shared" si="0"/>
        <v>23.384353741496604</v>
      </c>
      <c r="I15" s="2" t="str" cm="1">
        <f t="array" ref="I15">_xlfn.IFS(F15&gt;=100,"Over weight",F15&lt;100,"Average weight")</f>
        <v>Average weight</v>
      </c>
      <c r="J15" s="2" t="str" cm="1">
        <f t="array" ref="J15">_xlfn.IFS(G15&lt;164,"Below Average height",G15&gt;=165,"Above Average height",G15=164,"Average height")</f>
        <v>Above Average height</v>
      </c>
      <c r="K15" s="2" t="str" cm="1">
        <f t="array" ref="K15">_xlfn.IFS(E15&lt;=16,"Children",E15&lt;=30,"Young Adults",E15&lt;=45,"Middle-aged Adults",E15&gt;45,"Old Adults")</f>
        <v>Young Adults</v>
      </c>
    </row>
    <row r="16" spans="1:11" x14ac:dyDescent="0.45">
      <c r="A16" s="2">
        <v>15</v>
      </c>
      <c r="B16" s="2" t="s">
        <v>120</v>
      </c>
      <c r="C16" s="2" t="s">
        <v>86</v>
      </c>
      <c r="D16" s="2" t="s">
        <v>80</v>
      </c>
      <c r="E16" s="2">
        <v>28</v>
      </c>
      <c r="F16" s="2">
        <v>85</v>
      </c>
      <c r="G16" s="2">
        <v>178</v>
      </c>
      <c r="H16" s="9">
        <f t="shared" si="0"/>
        <v>26.82742078020452</v>
      </c>
      <c r="I16" s="2" t="str" cm="1">
        <f t="array" ref="I16">_xlfn.IFS(F16&gt;=100,"Over weight",F16&lt;100,"Average weight")</f>
        <v>Average weight</v>
      </c>
      <c r="J16" s="2" t="str" cm="1">
        <f t="array" ref="J16">_xlfn.IFS(G16&lt;164,"Below Average height",G16&gt;=165,"Above Average height",G16=164,"Average height")</f>
        <v>Above Average height</v>
      </c>
      <c r="K16" s="2" t="str" cm="1">
        <f t="array" ref="K16">_xlfn.IFS(E16&lt;=16,"Children",E16&lt;=30,"Young Adults",E16&lt;=45,"Middle-aged Adults",E16&gt;45,"Old Adults")</f>
        <v>Young Adults</v>
      </c>
    </row>
    <row r="17" spans="1:11" x14ac:dyDescent="0.45">
      <c r="A17" s="2">
        <v>17</v>
      </c>
      <c r="B17" s="2" t="s">
        <v>122</v>
      </c>
      <c r="C17" s="2" t="s">
        <v>92</v>
      </c>
      <c r="D17" s="2" t="s">
        <v>25</v>
      </c>
      <c r="E17" s="2">
        <v>32</v>
      </c>
      <c r="F17" s="2">
        <v>66</v>
      </c>
      <c r="G17" s="2">
        <v>184</v>
      </c>
      <c r="H17" s="9">
        <f t="shared" si="0"/>
        <v>19.494328922495274</v>
      </c>
      <c r="I17" s="2" t="str" cm="1">
        <f t="array" ref="I17">_xlfn.IFS(F17&gt;=100,"Over weight",F17&lt;100,"Average weight")</f>
        <v>Average weight</v>
      </c>
      <c r="J17" s="2" t="str" cm="1">
        <f t="array" ref="J17">_xlfn.IFS(G17&lt;164,"Below Average height",G17&gt;=165,"Above Average height",G17=164,"Average height")</f>
        <v>Above Average height</v>
      </c>
      <c r="K17" s="2" t="str" cm="1">
        <f t="array" ref="K17">_xlfn.IFS(E17&lt;=16,"Children",E17&lt;=30,"Young Adults",E17&lt;=45,"Middle-aged Adults",E17&gt;45,"Old Adults")</f>
        <v>Middle-aged Adults</v>
      </c>
    </row>
    <row r="18" spans="1:11" x14ac:dyDescent="0.45">
      <c r="A18" s="2">
        <v>18</v>
      </c>
      <c r="B18" s="2" t="s">
        <v>123</v>
      </c>
      <c r="C18" s="2" t="s">
        <v>87</v>
      </c>
      <c r="D18" s="2" t="s">
        <v>30</v>
      </c>
      <c r="E18" s="2">
        <v>24</v>
      </c>
      <c r="F18" s="2">
        <v>61</v>
      </c>
      <c r="G18" s="2">
        <v>170</v>
      </c>
      <c r="H18" s="9">
        <f t="shared" si="0"/>
        <v>21.107266435986162</v>
      </c>
      <c r="I18" s="2" t="str" cm="1">
        <f t="array" ref="I18">_xlfn.IFS(F18&gt;=100,"Over weight",F18&lt;100,"Average weight")</f>
        <v>Average weight</v>
      </c>
      <c r="J18" s="2" t="str" cm="1">
        <f t="array" ref="J18">_xlfn.IFS(G18&lt;164,"Below Average height",G18&gt;=165,"Above Average height",G18=164,"Average height")</f>
        <v>Above Average height</v>
      </c>
      <c r="K18" s="2" t="str" cm="1">
        <f t="array" ref="K18">_xlfn.IFS(E18&lt;=16,"Children",E18&lt;=30,"Young Adults",E18&lt;=45,"Middle-aged Adults",E18&gt;45,"Old Adults")</f>
        <v>Young Adults</v>
      </c>
    </row>
    <row r="19" spans="1:11" x14ac:dyDescent="0.45">
      <c r="A19" s="2">
        <v>19</v>
      </c>
      <c r="B19" s="2" t="s">
        <v>124</v>
      </c>
      <c r="C19" s="2" t="s">
        <v>85</v>
      </c>
      <c r="D19" s="2" t="s">
        <v>22</v>
      </c>
      <c r="E19" s="2">
        <v>32</v>
      </c>
      <c r="F19" s="2">
        <v>87</v>
      </c>
      <c r="G19" s="2">
        <v>171</v>
      </c>
      <c r="H19" s="9">
        <f t="shared" si="0"/>
        <v>29.75274443418488</v>
      </c>
      <c r="I19" s="2" t="str" cm="1">
        <f t="array" ref="I19">_xlfn.IFS(F19&gt;=100,"Over weight",F19&lt;100,"Average weight")</f>
        <v>Average weight</v>
      </c>
      <c r="J19" s="2" t="str" cm="1">
        <f t="array" ref="J19">_xlfn.IFS(G19&lt;164,"Below Average height",G19&gt;=165,"Above Average height",G19=164,"Average height")</f>
        <v>Above Average height</v>
      </c>
      <c r="K19" s="2" t="str" cm="1">
        <f t="array" ref="K19">_xlfn.IFS(E19&lt;=16,"Children",E19&lt;=30,"Young Adults",E19&lt;=45,"Middle-aged Adults",E19&gt;45,"Old Adults")</f>
        <v>Middle-aged Adults</v>
      </c>
    </row>
    <row r="20" spans="1:11" x14ac:dyDescent="0.45">
      <c r="A20" s="2">
        <v>20</v>
      </c>
      <c r="B20" s="2" t="s">
        <v>125</v>
      </c>
      <c r="C20" s="2" t="s">
        <v>85</v>
      </c>
      <c r="D20" s="2" t="s">
        <v>13</v>
      </c>
      <c r="E20" s="2">
        <v>36</v>
      </c>
      <c r="F20" s="2">
        <v>72</v>
      </c>
      <c r="G20" s="2">
        <v>181</v>
      </c>
      <c r="H20" s="9">
        <f t="shared" si="0"/>
        <v>21.977351118708221</v>
      </c>
      <c r="I20" s="2" t="str" cm="1">
        <f t="array" ref="I20">_xlfn.IFS(F20&gt;=100,"Over weight",F20&lt;100,"Average weight")</f>
        <v>Average weight</v>
      </c>
      <c r="J20" s="2" t="str" cm="1">
        <f t="array" ref="J20">_xlfn.IFS(G20&lt;164,"Below Average height",G20&gt;=165,"Above Average height",G20=164,"Average height")</f>
        <v>Above Average height</v>
      </c>
      <c r="K20" s="2" t="str" cm="1">
        <f t="array" ref="K20">_xlfn.IFS(E20&lt;=16,"Children",E20&lt;=30,"Young Adults",E20&lt;=45,"Middle-aged Adults",E20&gt;45,"Old Adults")</f>
        <v>Middle-aged Adults</v>
      </c>
    </row>
    <row r="21" spans="1:11" x14ac:dyDescent="0.45">
      <c r="A21" s="2">
        <v>21</v>
      </c>
      <c r="B21" s="2" t="s">
        <v>126</v>
      </c>
      <c r="C21" s="2" t="s">
        <v>85</v>
      </c>
      <c r="D21" s="2" t="s">
        <v>30</v>
      </c>
      <c r="E21" s="2">
        <v>27</v>
      </c>
      <c r="F21" s="2">
        <v>70</v>
      </c>
      <c r="G21" s="2">
        <v>170</v>
      </c>
      <c r="H21" s="9">
        <f t="shared" si="0"/>
        <v>24.221453287197235</v>
      </c>
      <c r="I21" s="2" t="str" cm="1">
        <f t="array" ref="I21">_xlfn.IFS(F21&gt;=100,"Over weight",F21&lt;100,"Average weight")</f>
        <v>Average weight</v>
      </c>
      <c r="J21" s="2" t="str" cm="1">
        <f t="array" ref="J21">_xlfn.IFS(G21&lt;164,"Below Average height",G21&gt;=165,"Above Average height",G21=164,"Average height")</f>
        <v>Above Average height</v>
      </c>
      <c r="K21" s="2" t="str" cm="1">
        <f t="array" ref="K21">_xlfn.IFS(E21&lt;=16,"Children",E21&lt;=30,"Young Adults",E21&lt;=45,"Middle-aged Adults",E21&gt;45,"Old Adults")</f>
        <v>Young Adults</v>
      </c>
    </row>
    <row r="22" spans="1:11" x14ac:dyDescent="0.45">
      <c r="A22" s="2">
        <v>22</v>
      </c>
      <c r="B22" s="2" t="s">
        <v>127</v>
      </c>
      <c r="C22" s="2" t="s">
        <v>92</v>
      </c>
      <c r="D22" s="2" t="s">
        <v>80</v>
      </c>
      <c r="E22" s="2">
        <v>21</v>
      </c>
      <c r="F22" s="2">
        <v>61</v>
      </c>
      <c r="G22" s="2">
        <v>180</v>
      </c>
      <c r="H22" s="9">
        <f t="shared" si="0"/>
        <v>18.827160493827158</v>
      </c>
      <c r="I22" s="2" t="str" cm="1">
        <f t="array" ref="I22">_xlfn.IFS(F22&gt;=100,"Over weight",F22&lt;100,"Average weight")</f>
        <v>Average weight</v>
      </c>
      <c r="J22" s="2" t="str" cm="1">
        <f t="array" ref="J22">_xlfn.IFS(G22&lt;164,"Below Average height",G22&gt;=165,"Above Average height",G22=164,"Average height")</f>
        <v>Above Average height</v>
      </c>
      <c r="K22" s="2" t="str" cm="1">
        <f t="array" ref="K22">_xlfn.IFS(E22&lt;=16,"Children",E22&lt;=30,"Young Adults",E22&lt;=45,"Middle-aged Adults",E22&gt;45,"Old Adults")</f>
        <v>Young Adults</v>
      </c>
    </row>
    <row r="23" spans="1:11" x14ac:dyDescent="0.45">
      <c r="A23" s="2">
        <v>23</v>
      </c>
      <c r="B23" s="2" t="s">
        <v>128</v>
      </c>
      <c r="C23" s="2" t="s">
        <v>91</v>
      </c>
      <c r="D23" s="2" t="s">
        <v>74</v>
      </c>
      <c r="E23" s="2">
        <v>37</v>
      </c>
      <c r="F23" s="2">
        <v>90</v>
      </c>
      <c r="G23" s="2">
        <v>182</v>
      </c>
      <c r="H23" s="9">
        <f t="shared" si="0"/>
        <v>27.170631566235961</v>
      </c>
      <c r="I23" s="2" t="str" cm="1">
        <f t="array" ref="I23">_xlfn.IFS(F23&gt;=100,"Over weight",F23&lt;100,"Average weight")</f>
        <v>Average weight</v>
      </c>
      <c r="J23" s="2" t="str" cm="1">
        <f t="array" ref="J23">_xlfn.IFS(G23&lt;164,"Below Average height",G23&gt;=165,"Above Average height",G23=164,"Average height")</f>
        <v>Above Average height</v>
      </c>
      <c r="K23" s="2" t="str" cm="1">
        <f t="array" ref="K23">_xlfn.IFS(E23&lt;=16,"Children",E23&lt;=30,"Young Adults",E23&lt;=45,"Middle-aged Adults",E23&gt;45,"Old Adults")</f>
        <v>Middle-aged Adults</v>
      </c>
    </row>
    <row r="24" spans="1:11" x14ac:dyDescent="0.45">
      <c r="A24" s="2">
        <v>24</v>
      </c>
      <c r="B24" s="2" t="s">
        <v>129</v>
      </c>
      <c r="C24" s="2" t="s">
        <v>88</v>
      </c>
      <c r="D24" s="2" t="s">
        <v>5</v>
      </c>
      <c r="E24" s="2">
        <v>19</v>
      </c>
      <c r="F24" s="2">
        <v>71</v>
      </c>
      <c r="G24" s="2">
        <v>183</v>
      </c>
      <c r="H24" s="9">
        <f t="shared" si="0"/>
        <v>21.200991370300692</v>
      </c>
      <c r="I24" s="2" t="str" cm="1">
        <f t="array" ref="I24">_xlfn.IFS(F24&gt;=100,"Over weight",F24&lt;100,"Average weight")</f>
        <v>Average weight</v>
      </c>
      <c r="J24" s="2" t="str" cm="1">
        <f t="array" ref="J24">_xlfn.IFS(G24&lt;164,"Below Average height",G24&gt;=165,"Above Average height",G24=164,"Average height")</f>
        <v>Above Average height</v>
      </c>
      <c r="K24" s="2" t="str" cm="1">
        <f t="array" ref="K24">_xlfn.IFS(E24&lt;=16,"Children",E24&lt;=30,"Young Adults",E24&lt;=45,"Middle-aged Adults",E24&gt;45,"Old Adults")</f>
        <v>Young Adults</v>
      </c>
    </row>
    <row r="25" spans="1:11" x14ac:dyDescent="0.45">
      <c r="A25" s="2">
        <v>25</v>
      </c>
      <c r="B25" s="2" t="s">
        <v>130</v>
      </c>
      <c r="C25" s="2" t="s">
        <v>91</v>
      </c>
      <c r="D25" s="2" t="s">
        <v>75</v>
      </c>
      <c r="E25" s="2">
        <v>26</v>
      </c>
      <c r="F25" s="2">
        <v>84</v>
      </c>
      <c r="G25" s="2">
        <v>176</v>
      </c>
      <c r="H25" s="9">
        <f t="shared" si="0"/>
        <v>27.117768595041323</v>
      </c>
      <c r="I25" s="2" t="str" cm="1">
        <f t="array" ref="I25">_xlfn.IFS(F25&gt;=100,"Over weight",F25&lt;100,"Average weight")</f>
        <v>Average weight</v>
      </c>
      <c r="J25" s="2" t="str" cm="1">
        <f t="array" ref="J25">_xlfn.IFS(G25&lt;164,"Below Average height",G25&gt;=165,"Above Average height",G25=164,"Average height")</f>
        <v>Above Average height</v>
      </c>
      <c r="K25" s="2" t="str" cm="1">
        <f t="array" ref="K25">_xlfn.IFS(E25&lt;=16,"Children",E25&lt;=30,"Young Adults",E25&lt;=45,"Middle-aged Adults",E25&gt;45,"Old Adults")</f>
        <v>Young Adults</v>
      </c>
    </row>
    <row r="26" spans="1:11" x14ac:dyDescent="0.45">
      <c r="A26" s="2">
        <v>26</v>
      </c>
      <c r="B26" s="2" t="s">
        <v>131</v>
      </c>
      <c r="C26" s="2" t="s">
        <v>92</v>
      </c>
      <c r="D26" s="2" t="s">
        <v>75</v>
      </c>
      <c r="E26" s="2">
        <v>28</v>
      </c>
      <c r="F26" s="2">
        <v>58</v>
      </c>
      <c r="G26" s="2">
        <v>173</v>
      </c>
      <c r="H26" s="9">
        <f t="shared" si="0"/>
        <v>19.379197433926961</v>
      </c>
      <c r="I26" s="2" t="str" cm="1">
        <f t="array" ref="I26">_xlfn.IFS(F26&gt;=100,"Over weight",F26&lt;100,"Average weight")</f>
        <v>Average weight</v>
      </c>
      <c r="J26" s="2" t="str" cm="1">
        <f t="array" ref="J26">_xlfn.IFS(G26&lt;164,"Below Average height",G26&gt;=165,"Above Average height",G26=164,"Average height")</f>
        <v>Above Average height</v>
      </c>
      <c r="K26" s="2" t="str" cm="1">
        <f t="array" ref="K26">_xlfn.IFS(E26&lt;=16,"Children",E26&lt;=30,"Young Adults",E26&lt;=45,"Middle-aged Adults",E26&gt;45,"Old Adults")</f>
        <v>Young Adults</v>
      </c>
    </row>
    <row r="27" spans="1:11" x14ac:dyDescent="0.45">
      <c r="A27" s="2">
        <v>27</v>
      </c>
      <c r="B27" s="2" t="s">
        <v>132</v>
      </c>
      <c r="C27" s="2" t="s">
        <v>86</v>
      </c>
      <c r="D27" s="2" t="s">
        <v>26</v>
      </c>
      <c r="E27" s="2">
        <v>19</v>
      </c>
      <c r="F27" s="2">
        <v>85</v>
      </c>
      <c r="G27" s="2">
        <v>165</v>
      </c>
      <c r="H27" s="9">
        <f t="shared" si="0"/>
        <v>31.221303948576679</v>
      </c>
      <c r="I27" s="2" t="str" cm="1">
        <f t="array" ref="I27">_xlfn.IFS(F27&gt;=100,"Over weight",F27&lt;100,"Average weight")</f>
        <v>Average weight</v>
      </c>
      <c r="J27" s="2" t="str" cm="1">
        <f t="array" ref="J27">_xlfn.IFS(G27&lt;164,"Below Average height",G27&gt;=165,"Above Average height",G27=164,"Average height")</f>
        <v>Above Average height</v>
      </c>
      <c r="K27" s="2" t="str" cm="1">
        <f t="array" ref="K27">_xlfn.IFS(E27&lt;=16,"Children",E27&lt;=30,"Young Adults",E27&lt;=45,"Middle-aged Adults",E27&gt;45,"Old Adults")</f>
        <v>Young Adults</v>
      </c>
    </row>
    <row r="28" spans="1:11" x14ac:dyDescent="0.45">
      <c r="A28" s="2">
        <v>28</v>
      </c>
      <c r="B28" s="2" t="s">
        <v>133</v>
      </c>
      <c r="C28" s="2" t="s">
        <v>91</v>
      </c>
      <c r="D28" s="2" t="s">
        <v>66</v>
      </c>
      <c r="E28" s="2">
        <v>18</v>
      </c>
      <c r="F28" s="2">
        <v>62</v>
      </c>
      <c r="G28" s="2">
        <v>172</v>
      </c>
      <c r="H28" s="9">
        <f t="shared" si="0"/>
        <v>20.957274202271499</v>
      </c>
      <c r="I28" s="2" t="str" cm="1">
        <f t="array" ref="I28">_xlfn.IFS(F28&gt;=100,"Over weight",F28&lt;100,"Average weight")</f>
        <v>Average weight</v>
      </c>
      <c r="J28" s="2" t="str" cm="1">
        <f t="array" ref="J28">_xlfn.IFS(G28&lt;164,"Below Average height",G28&gt;=165,"Above Average height",G28=164,"Average height")</f>
        <v>Above Average height</v>
      </c>
      <c r="K28" s="2" t="str" cm="1">
        <f t="array" ref="K28">_xlfn.IFS(E28&lt;=16,"Children",E28&lt;=30,"Young Adults",E28&lt;=45,"Middle-aged Adults",E28&gt;45,"Old Adults")</f>
        <v>Young Adults</v>
      </c>
    </row>
    <row r="29" spans="1:11" x14ac:dyDescent="0.45">
      <c r="A29" s="2">
        <v>29</v>
      </c>
      <c r="B29" s="2" t="s">
        <v>134</v>
      </c>
      <c r="C29" s="2" t="s">
        <v>91</v>
      </c>
      <c r="D29" s="2" t="s">
        <v>60</v>
      </c>
      <c r="E29" s="2">
        <v>28</v>
      </c>
      <c r="F29" s="2">
        <v>85</v>
      </c>
      <c r="G29" s="2">
        <v>184</v>
      </c>
      <c r="H29" s="9">
        <f t="shared" si="0"/>
        <v>25.10633270321361</v>
      </c>
      <c r="I29" s="2" t="str" cm="1">
        <f t="array" ref="I29">_xlfn.IFS(F29&gt;=100,"Over weight",F29&lt;100,"Average weight")</f>
        <v>Average weight</v>
      </c>
      <c r="J29" s="2" t="str" cm="1">
        <f t="array" ref="J29">_xlfn.IFS(G29&lt;164,"Below Average height",G29&gt;=165,"Above Average height",G29=164,"Average height")</f>
        <v>Above Average height</v>
      </c>
      <c r="K29" s="2" t="str" cm="1">
        <f t="array" ref="K29">_xlfn.IFS(E29&lt;=16,"Children",E29&lt;=30,"Young Adults",E29&lt;=45,"Middle-aged Adults",E29&gt;45,"Old Adults")</f>
        <v>Young Adults</v>
      </c>
    </row>
    <row r="30" spans="1:11" x14ac:dyDescent="0.45">
      <c r="A30" s="2">
        <v>30</v>
      </c>
      <c r="B30" s="2" t="s">
        <v>135</v>
      </c>
      <c r="C30" s="2" t="s">
        <v>93</v>
      </c>
      <c r="D30" s="2" t="s">
        <v>14</v>
      </c>
      <c r="E30" s="2">
        <v>34</v>
      </c>
      <c r="F30" s="2">
        <v>80</v>
      </c>
      <c r="G30" s="2">
        <v>178</v>
      </c>
      <c r="H30" s="9">
        <f t="shared" si="0"/>
        <v>25.249337204898371</v>
      </c>
      <c r="I30" s="2" t="str" cm="1">
        <f t="array" ref="I30">_xlfn.IFS(F30&gt;=100,"Over weight",F30&lt;100,"Average weight")</f>
        <v>Average weight</v>
      </c>
      <c r="J30" s="2" t="str" cm="1">
        <f t="array" ref="J30">_xlfn.IFS(G30&lt;164,"Below Average height",G30&gt;=165,"Above Average height",G30=164,"Average height")</f>
        <v>Above Average height</v>
      </c>
      <c r="K30" s="2" t="str" cm="1">
        <f t="array" ref="K30">_xlfn.IFS(E30&lt;=16,"Children",E30&lt;=30,"Young Adults",E30&lt;=45,"Middle-aged Adults",E30&gt;45,"Old Adults")</f>
        <v>Middle-aged Adults</v>
      </c>
    </row>
    <row r="31" spans="1:11" x14ac:dyDescent="0.45">
      <c r="A31" s="2">
        <v>31</v>
      </c>
      <c r="B31" s="2" t="s">
        <v>136</v>
      </c>
      <c r="C31" s="2" t="s">
        <v>91</v>
      </c>
      <c r="D31" s="2" t="s">
        <v>74</v>
      </c>
      <c r="E31" s="2">
        <v>21</v>
      </c>
      <c r="F31" s="2">
        <v>73</v>
      </c>
      <c r="G31" s="2">
        <v>175</v>
      </c>
      <c r="H31" s="9">
        <f t="shared" si="0"/>
        <v>23.836734693877553</v>
      </c>
      <c r="I31" s="2" t="str" cm="1">
        <f t="array" ref="I31">_xlfn.IFS(F31&gt;=100,"Over weight",F31&lt;100,"Average weight")</f>
        <v>Average weight</v>
      </c>
      <c r="J31" s="2" t="str" cm="1">
        <f t="array" ref="J31">_xlfn.IFS(G31&lt;164,"Below Average height",G31&gt;=165,"Above Average height",G31=164,"Average height")</f>
        <v>Above Average height</v>
      </c>
      <c r="K31" s="2" t="str" cm="1">
        <f t="array" ref="K31">_xlfn.IFS(E31&lt;=16,"Children",E31&lt;=30,"Young Adults",E31&lt;=45,"Middle-aged Adults",E31&gt;45,"Old Adults")</f>
        <v>Young Adults</v>
      </c>
    </row>
    <row r="32" spans="1:11" x14ac:dyDescent="0.45">
      <c r="A32" s="2">
        <v>32</v>
      </c>
      <c r="B32" s="2" t="s">
        <v>137</v>
      </c>
      <c r="C32" s="2" t="s">
        <v>91</v>
      </c>
      <c r="D32" s="2" t="s">
        <v>74</v>
      </c>
      <c r="E32" s="2">
        <v>34</v>
      </c>
      <c r="F32" s="2">
        <v>69</v>
      </c>
      <c r="G32" s="2">
        <v>169</v>
      </c>
      <c r="H32" s="9">
        <f t="shared" si="0"/>
        <v>24.158817968558527</v>
      </c>
      <c r="I32" s="2" t="str" cm="1">
        <f t="array" ref="I32">_xlfn.IFS(F32&gt;=100,"Over weight",F32&lt;100,"Average weight")</f>
        <v>Average weight</v>
      </c>
      <c r="J32" s="2" t="str" cm="1">
        <f t="array" ref="J32">_xlfn.IFS(G32&lt;164,"Below Average height",G32&gt;=165,"Above Average height",G32=164,"Average height")</f>
        <v>Above Average height</v>
      </c>
      <c r="K32" s="2" t="str" cm="1">
        <f t="array" ref="K32">_xlfn.IFS(E32&lt;=16,"Children",E32&lt;=30,"Young Adults",E32&lt;=45,"Middle-aged Adults",E32&gt;45,"Old Adults")</f>
        <v>Middle-aged Adults</v>
      </c>
    </row>
    <row r="33" spans="1:11" x14ac:dyDescent="0.45">
      <c r="A33" s="2">
        <v>33</v>
      </c>
      <c r="B33" s="2" t="s">
        <v>138</v>
      </c>
      <c r="C33" s="2" t="s">
        <v>94</v>
      </c>
      <c r="D33" s="2" t="s">
        <v>74</v>
      </c>
      <c r="E33" s="2">
        <v>28</v>
      </c>
      <c r="F33" s="2">
        <v>67</v>
      </c>
      <c r="G33" s="2">
        <v>180</v>
      </c>
      <c r="H33" s="9">
        <f t="shared" si="0"/>
        <v>20.679012345679013</v>
      </c>
      <c r="I33" s="2" t="str" cm="1">
        <f t="array" ref="I33">_xlfn.IFS(F33&gt;=100,"Over weight",F33&lt;100,"Average weight")</f>
        <v>Average weight</v>
      </c>
      <c r="J33" s="2" t="str" cm="1">
        <f t="array" ref="J33">_xlfn.IFS(G33&lt;164,"Below Average height",G33&gt;=165,"Above Average height",G33=164,"Average height")</f>
        <v>Above Average height</v>
      </c>
      <c r="K33" s="2" t="str" cm="1">
        <f t="array" ref="K33">_xlfn.IFS(E33&lt;=16,"Children",E33&lt;=30,"Young Adults",E33&lt;=45,"Middle-aged Adults",E33&gt;45,"Old Adults")</f>
        <v>Young Adults</v>
      </c>
    </row>
    <row r="34" spans="1:11" x14ac:dyDescent="0.45">
      <c r="A34" s="2">
        <v>35</v>
      </c>
      <c r="B34" s="2" t="s">
        <v>140</v>
      </c>
      <c r="C34" s="2" t="s">
        <v>90</v>
      </c>
      <c r="D34" s="2" t="s">
        <v>65</v>
      </c>
      <c r="E34" s="2">
        <v>24</v>
      </c>
      <c r="F34" s="2">
        <v>107</v>
      </c>
      <c r="G34" s="2">
        <v>193</v>
      </c>
      <c r="H34" s="9">
        <f t="shared" si="0"/>
        <v>28.725603371902601</v>
      </c>
      <c r="I34" s="2" t="str" cm="1">
        <f t="array" ref="I34">_xlfn.IFS(F34&gt;=100,"Over weight",F34&lt;100,"Average weight")</f>
        <v>Over weight</v>
      </c>
      <c r="J34" s="2" t="str" cm="1">
        <f t="array" ref="J34">_xlfn.IFS(G34&lt;164,"Below Average height",G34&gt;=165,"Above Average height",G34=164,"Average height")</f>
        <v>Above Average height</v>
      </c>
      <c r="K34" s="2" t="str" cm="1">
        <f t="array" ref="K34">_xlfn.IFS(E34&lt;=16,"Children",E34&lt;=30,"Young Adults",E34&lt;=45,"Middle-aged Adults",E34&gt;45,"Old Adults")</f>
        <v>Young Adults</v>
      </c>
    </row>
    <row r="35" spans="1:11" x14ac:dyDescent="0.45">
      <c r="A35" s="2">
        <v>36</v>
      </c>
      <c r="B35" s="2" t="s">
        <v>141</v>
      </c>
      <c r="C35" s="2" t="s">
        <v>89</v>
      </c>
      <c r="D35" s="2" t="s">
        <v>39</v>
      </c>
      <c r="E35" s="2">
        <v>25</v>
      </c>
      <c r="F35" s="2">
        <v>79</v>
      </c>
      <c r="G35" s="2">
        <v>184</v>
      </c>
      <c r="H35" s="9">
        <f t="shared" si="0"/>
        <v>23.334120982986768</v>
      </c>
      <c r="I35" s="2" t="str" cm="1">
        <f t="array" ref="I35">_xlfn.IFS(F35&gt;=100,"Over weight",F35&lt;100,"Average weight")</f>
        <v>Average weight</v>
      </c>
      <c r="J35" s="2" t="str" cm="1">
        <f t="array" ref="J35">_xlfn.IFS(G35&lt;164,"Below Average height",G35&gt;=165,"Above Average height",G35=164,"Average height")</f>
        <v>Above Average height</v>
      </c>
      <c r="K35" s="2" t="str" cm="1">
        <f t="array" ref="K35">_xlfn.IFS(E35&lt;=16,"Children",E35&lt;=30,"Young Adults",E35&lt;=45,"Middle-aged Adults",E35&gt;45,"Old Adults")</f>
        <v>Young Adults</v>
      </c>
    </row>
    <row r="36" spans="1:11" x14ac:dyDescent="0.45">
      <c r="A36" s="2">
        <v>37</v>
      </c>
      <c r="B36" s="2" t="s">
        <v>142</v>
      </c>
      <c r="C36" s="2" t="s">
        <v>88</v>
      </c>
      <c r="D36" s="2" t="s">
        <v>13</v>
      </c>
      <c r="E36" s="2">
        <v>22</v>
      </c>
      <c r="F36" s="2">
        <v>73</v>
      </c>
      <c r="G36" s="2">
        <v>173</v>
      </c>
      <c r="H36" s="9">
        <f t="shared" si="0"/>
        <v>24.391058839252899</v>
      </c>
      <c r="I36" s="2" t="str" cm="1">
        <f t="array" ref="I36">_xlfn.IFS(F36&gt;=100,"Over weight",F36&lt;100,"Average weight")</f>
        <v>Average weight</v>
      </c>
      <c r="J36" s="2" t="str" cm="1">
        <f t="array" ref="J36">_xlfn.IFS(G36&lt;164,"Below Average height",G36&gt;=165,"Above Average height",G36=164,"Average height")</f>
        <v>Above Average height</v>
      </c>
      <c r="K36" s="2" t="str" cm="1">
        <f t="array" ref="K36">_xlfn.IFS(E36&lt;=16,"Children",E36&lt;=30,"Young Adults",E36&lt;=45,"Middle-aged Adults",E36&gt;45,"Old Adults")</f>
        <v>Young Adults</v>
      </c>
    </row>
    <row r="37" spans="1:11" x14ac:dyDescent="0.45">
      <c r="A37" s="2">
        <v>38</v>
      </c>
      <c r="B37" s="2" t="s">
        <v>143</v>
      </c>
      <c r="C37" s="2" t="s">
        <v>90</v>
      </c>
      <c r="D37" s="2" t="s">
        <v>28</v>
      </c>
      <c r="E37" s="2">
        <v>30</v>
      </c>
      <c r="F37" s="2">
        <v>99</v>
      </c>
      <c r="G37" s="2">
        <v>186</v>
      </c>
      <c r="H37" s="9">
        <f t="shared" si="0"/>
        <v>28.616024973985429</v>
      </c>
      <c r="I37" s="2" t="str" cm="1">
        <f t="array" ref="I37">_xlfn.IFS(F37&gt;=100,"Over weight",F37&lt;100,"Average weight")</f>
        <v>Average weight</v>
      </c>
      <c r="J37" s="2" t="str" cm="1">
        <f t="array" ref="J37">_xlfn.IFS(G37&lt;164,"Below Average height",G37&gt;=165,"Above Average height",G37=164,"Average height")</f>
        <v>Above Average height</v>
      </c>
      <c r="K37" s="2" t="str" cm="1">
        <f t="array" ref="K37">_xlfn.IFS(E37&lt;=16,"Children",E37&lt;=30,"Young Adults",E37&lt;=45,"Middle-aged Adults",E37&gt;45,"Old Adults")</f>
        <v>Young Adults</v>
      </c>
    </row>
    <row r="38" spans="1:11" x14ac:dyDescent="0.45">
      <c r="A38" s="2">
        <v>39</v>
      </c>
      <c r="B38" s="2" t="s">
        <v>144</v>
      </c>
      <c r="C38" s="2" t="s">
        <v>94</v>
      </c>
      <c r="D38" s="2" t="s">
        <v>28</v>
      </c>
      <c r="E38" s="2">
        <v>32</v>
      </c>
      <c r="F38" s="2">
        <v>72</v>
      </c>
      <c r="G38" s="2">
        <v>179</v>
      </c>
      <c r="H38" s="9">
        <f t="shared" si="0"/>
        <v>22.471208763771418</v>
      </c>
      <c r="I38" s="2" t="str" cm="1">
        <f t="array" ref="I38">_xlfn.IFS(F38&gt;=100,"Over weight",F38&lt;100,"Average weight")</f>
        <v>Average weight</v>
      </c>
      <c r="J38" s="2" t="str" cm="1">
        <f t="array" ref="J38">_xlfn.IFS(G38&lt;164,"Below Average height",G38&gt;=165,"Above Average height",G38=164,"Average height")</f>
        <v>Above Average height</v>
      </c>
      <c r="K38" s="2" t="str" cm="1">
        <f t="array" ref="K38">_xlfn.IFS(E38&lt;=16,"Children",E38&lt;=30,"Young Adults",E38&lt;=45,"Middle-aged Adults",E38&gt;45,"Old Adults")</f>
        <v>Middle-aged Adults</v>
      </c>
    </row>
    <row r="39" spans="1:11" x14ac:dyDescent="0.45">
      <c r="A39" s="2">
        <v>40</v>
      </c>
      <c r="B39" s="2" t="s">
        <v>145</v>
      </c>
      <c r="C39" s="2" t="s">
        <v>89</v>
      </c>
      <c r="D39" s="2" t="s">
        <v>28</v>
      </c>
      <c r="E39" s="2">
        <v>26</v>
      </c>
      <c r="F39" s="2">
        <v>71</v>
      </c>
      <c r="G39" s="2">
        <v>175</v>
      </c>
      <c r="H39" s="9">
        <f t="shared" si="0"/>
        <v>23.183673469387756</v>
      </c>
      <c r="I39" s="2" t="str" cm="1">
        <f t="array" ref="I39">_xlfn.IFS(F39&gt;=100,"Over weight",F39&lt;100,"Average weight")</f>
        <v>Average weight</v>
      </c>
      <c r="J39" s="2" t="str" cm="1">
        <f t="array" ref="J39">_xlfn.IFS(G39&lt;164,"Below Average height",G39&gt;=165,"Above Average height",G39=164,"Average height")</f>
        <v>Above Average height</v>
      </c>
      <c r="K39" s="2" t="str" cm="1">
        <f t="array" ref="K39">_xlfn.IFS(E39&lt;=16,"Children",E39&lt;=30,"Young Adults",E39&lt;=45,"Middle-aged Adults",E39&gt;45,"Old Adults")</f>
        <v>Young Adults</v>
      </c>
    </row>
    <row r="40" spans="1:11" x14ac:dyDescent="0.45">
      <c r="A40" s="2">
        <v>41</v>
      </c>
      <c r="B40" s="2" t="s">
        <v>146</v>
      </c>
      <c r="C40" s="2" t="s">
        <v>95</v>
      </c>
      <c r="D40" s="2" t="s">
        <v>65</v>
      </c>
      <c r="E40" s="2">
        <v>20</v>
      </c>
      <c r="F40" s="2">
        <v>74</v>
      </c>
      <c r="G40" s="2">
        <v>170</v>
      </c>
      <c r="H40" s="9">
        <f t="shared" si="0"/>
        <v>25.605536332179934</v>
      </c>
      <c r="I40" s="2" t="str" cm="1">
        <f t="array" ref="I40">_xlfn.IFS(F40&gt;=100,"Over weight",F40&lt;100,"Average weight")</f>
        <v>Average weight</v>
      </c>
      <c r="J40" s="2" t="str" cm="1">
        <f t="array" ref="J40">_xlfn.IFS(G40&lt;164,"Below Average height",G40&gt;=165,"Above Average height",G40=164,"Average height")</f>
        <v>Above Average height</v>
      </c>
      <c r="K40" s="2" t="str" cm="1">
        <f t="array" ref="K40">_xlfn.IFS(E40&lt;=16,"Children",E40&lt;=30,"Young Adults",E40&lt;=45,"Middle-aged Adults",E40&gt;45,"Old Adults")</f>
        <v>Young Adults</v>
      </c>
    </row>
    <row r="41" spans="1:11" x14ac:dyDescent="0.45">
      <c r="A41" s="2">
        <v>42</v>
      </c>
      <c r="B41" s="2" t="s">
        <v>147</v>
      </c>
      <c r="C41" s="2" t="s">
        <v>96</v>
      </c>
      <c r="D41" s="2" t="s">
        <v>26</v>
      </c>
      <c r="E41" s="2">
        <v>26</v>
      </c>
      <c r="F41" s="2">
        <v>85</v>
      </c>
      <c r="G41" s="2">
        <v>177</v>
      </c>
      <c r="H41" s="9">
        <f t="shared" si="0"/>
        <v>27.13141179099237</v>
      </c>
      <c r="I41" s="2" t="str" cm="1">
        <f t="array" ref="I41">_xlfn.IFS(F41&gt;=100,"Over weight",F41&lt;100,"Average weight")</f>
        <v>Average weight</v>
      </c>
      <c r="J41" s="2" t="str" cm="1">
        <f t="array" ref="J41">_xlfn.IFS(G41&lt;164,"Below Average height",G41&gt;=165,"Above Average height",G41=164,"Average height")</f>
        <v>Above Average height</v>
      </c>
      <c r="K41" s="2" t="str" cm="1">
        <f t="array" ref="K41">_xlfn.IFS(E41&lt;=16,"Children",E41&lt;=30,"Young Adults",E41&lt;=45,"Middle-aged Adults",E41&gt;45,"Old Adults")</f>
        <v>Young Adults</v>
      </c>
    </row>
    <row r="42" spans="1:11" x14ac:dyDescent="0.45">
      <c r="A42" s="2">
        <v>43</v>
      </c>
      <c r="B42" s="2" t="s">
        <v>148</v>
      </c>
      <c r="C42" s="2" t="s">
        <v>91</v>
      </c>
      <c r="D42" s="2" t="s">
        <v>46</v>
      </c>
      <c r="E42" s="2">
        <v>34</v>
      </c>
      <c r="F42" s="2">
        <v>88</v>
      </c>
      <c r="G42" s="2">
        <v>186</v>
      </c>
      <c r="H42" s="9">
        <f t="shared" si="0"/>
        <v>25.436466643542602</v>
      </c>
      <c r="I42" s="2" t="str" cm="1">
        <f t="array" ref="I42">_xlfn.IFS(F42&gt;=100,"Over weight",F42&lt;100,"Average weight")</f>
        <v>Average weight</v>
      </c>
      <c r="J42" s="2" t="str" cm="1">
        <f t="array" ref="J42">_xlfn.IFS(G42&lt;164,"Below Average height",G42&gt;=165,"Above Average height",G42=164,"Average height")</f>
        <v>Above Average height</v>
      </c>
      <c r="K42" s="2" t="str" cm="1">
        <f t="array" ref="K42">_xlfn.IFS(E42&lt;=16,"Children",E42&lt;=30,"Young Adults",E42&lt;=45,"Middle-aged Adults",E42&gt;45,"Old Adults")</f>
        <v>Middle-aged Adults</v>
      </c>
    </row>
    <row r="43" spans="1:11" x14ac:dyDescent="0.45">
      <c r="A43" s="2">
        <v>44</v>
      </c>
      <c r="B43" s="2" t="s">
        <v>149</v>
      </c>
      <c r="C43" s="2" t="s">
        <v>89</v>
      </c>
      <c r="D43" s="2" t="s">
        <v>28</v>
      </c>
      <c r="E43" s="2">
        <v>35</v>
      </c>
      <c r="F43" s="2">
        <v>62</v>
      </c>
      <c r="G43" s="2">
        <v>165</v>
      </c>
      <c r="H43" s="9">
        <f t="shared" si="0"/>
        <v>22.77318640955005</v>
      </c>
      <c r="I43" s="2" t="str" cm="1">
        <f t="array" ref="I43">_xlfn.IFS(F43&gt;=100,"Over weight",F43&lt;100,"Average weight")</f>
        <v>Average weight</v>
      </c>
      <c r="J43" s="2" t="str" cm="1">
        <f t="array" ref="J43">_xlfn.IFS(G43&lt;164,"Below Average height",G43&gt;=165,"Above Average height",G43=164,"Average height")</f>
        <v>Above Average height</v>
      </c>
      <c r="K43" s="2" t="str" cm="1">
        <f t="array" ref="K43">_xlfn.IFS(E43&lt;=16,"Children",E43&lt;=30,"Young Adults",E43&lt;=45,"Middle-aged Adults",E43&gt;45,"Old Adults")</f>
        <v>Middle-aged Adults</v>
      </c>
    </row>
    <row r="44" spans="1:11" x14ac:dyDescent="0.45">
      <c r="A44" s="2">
        <v>45</v>
      </c>
      <c r="B44" s="2" t="s">
        <v>150</v>
      </c>
      <c r="C44" s="2" t="s">
        <v>91</v>
      </c>
      <c r="D44" s="2" t="s">
        <v>75</v>
      </c>
      <c r="E44" s="2">
        <v>18</v>
      </c>
      <c r="F44" s="2">
        <v>74</v>
      </c>
      <c r="G44" s="2">
        <v>172</v>
      </c>
      <c r="H44" s="9">
        <f t="shared" si="0"/>
        <v>25.013520822065985</v>
      </c>
      <c r="I44" s="2" t="str" cm="1">
        <f t="array" ref="I44">_xlfn.IFS(F44&gt;=100,"Over weight",F44&lt;100,"Average weight")</f>
        <v>Average weight</v>
      </c>
      <c r="J44" s="2" t="str" cm="1">
        <f t="array" ref="J44">_xlfn.IFS(G44&lt;164,"Below Average height",G44&gt;=165,"Above Average height",G44=164,"Average height")</f>
        <v>Above Average height</v>
      </c>
      <c r="K44" s="2" t="str" cm="1">
        <f t="array" ref="K44">_xlfn.IFS(E44&lt;=16,"Children",E44&lt;=30,"Young Adults",E44&lt;=45,"Middle-aged Adults",E44&gt;45,"Old Adults")</f>
        <v>Young Adults</v>
      </c>
    </row>
    <row r="45" spans="1:11" x14ac:dyDescent="0.45">
      <c r="A45" s="2">
        <v>46</v>
      </c>
      <c r="B45" s="2" t="s">
        <v>151</v>
      </c>
      <c r="C45" s="2" t="s">
        <v>93</v>
      </c>
      <c r="D45" s="2" t="s">
        <v>26</v>
      </c>
      <c r="E45" s="2">
        <v>31</v>
      </c>
      <c r="F45" s="2">
        <v>52</v>
      </c>
      <c r="G45" s="2">
        <v>165</v>
      </c>
      <c r="H45" s="9">
        <f t="shared" si="0"/>
        <v>19.100091827364558</v>
      </c>
      <c r="I45" s="2" t="str" cm="1">
        <f t="array" ref="I45">_xlfn.IFS(F45&gt;=100,"Over weight",F45&lt;100,"Average weight")</f>
        <v>Average weight</v>
      </c>
      <c r="J45" s="2" t="str" cm="1">
        <f t="array" ref="J45">_xlfn.IFS(G45&lt;164,"Below Average height",G45&gt;=165,"Above Average height",G45=164,"Average height")</f>
        <v>Above Average height</v>
      </c>
      <c r="K45" s="2" t="str" cm="1">
        <f t="array" ref="K45">_xlfn.IFS(E45&lt;=16,"Children",E45&lt;=30,"Young Adults",E45&lt;=45,"Middle-aged Adults",E45&gt;45,"Old Adults")</f>
        <v>Middle-aged Adults</v>
      </c>
    </row>
    <row r="46" spans="1:11" x14ac:dyDescent="0.45">
      <c r="A46" s="2">
        <v>47</v>
      </c>
      <c r="B46" s="2" t="s">
        <v>152</v>
      </c>
      <c r="C46" s="2" t="s">
        <v>88</v>
      </c>
      <c r="D46" s="2" t="s">
        <v>25</v>
      </c>
      <c r="E46" s="2">
        <v>29</v>
      </c>
      <c r="F46" s="2">
        <v>71</v>
      </c>
      <c r="G46" s="2">
        <v>176</v>
      </c>
      <c r="H46" s="9">
        <f t="shared" si="0"/>
        <v>22.920971074380166</v>
      </c>
      <c r="I46" s="2" t="str" cm="1">
        <f t="array" ref="I46">_xlfn.IFS(F46&gt;=100,"Over weight",F46&lt;100,"Average weight")</f>
        <v>Average weight</v>
      </c>
      <c r="J46" s="2" t="str" cm="1">
        <f t="array" ref="J46">_xlfn.IFS(G46&lt;164,"Below Average height",G46&gt;=165,"Above Average height",G46=164,"Average height")</f>
        <v>Above Average height</v>
      </c>
      <c r="K46" s="2" t="str" cm="1">
        <f t="array" ref="K46">_xlfn.IFS(E46&lt;=16,"Children",E46&lt;=30,"Young Adults",E46&lt;=45,"Middle-aged Adults",E46&gt;45,"Old Adults")</f>
        <v>Young Adults</v>
      </c>
    </row>
    <row r="47" spans="1:11" x14ac:dyDescent="0.45">
      <c r="A47" s="2">
        <v>48</v>
      </c>
      <c r="B47" s="2" t="s">
        <v>153</v>
      </c>
      <c r="C47" s="2" t="s">
        <v>91</v>
      </c>
      <c r="D47" s="2" t="s">
        <v>8</v>
      </c>
      <c r="E47" s="2">
        <v>38</v>
      </c>
      <c r="F47" s="2">
        <v>92</v>
      </c>
      <c r="G47" s="2">
        <v>187</v>
      </c>
      <c r="H47" s="9">
        <f t="shared" si="0"/>
        <v>26.309016557522373</v>
      </c>
      <c r="I47" s="2" t="str" cm="1">
        <f t="array" ref="I47">_xlfn.IFS(F47&gt;=100,"Over weight",F47&lt;100,"Average weight")</f>
        <v>Average weight</v>
      </c>
      <c r="J47" s="2" t="str" cm="1">
        <f t="array" ref="J47">_xlfn.IFS(G47&lt;164,"Below Average height",G47&gt;=165,"Above Average height",G47=164,"Average height")</f>
        <v>Above Average height</v>
      </c>
      <c r="K47" s="2" t="str" cm="1">
        <f t="array" ref="K47">_xlfn.IFS(E47&lt;=16,"Children",E47&lt;=30,"Young Adults",E47&lt;=45,"Middle-aged Adults",E47&gt;45,"Old Adults")</f>
        <v>Middle-aged Adults</v>
      </c>
    </row>
    <row r="48" spans="1:11" x14ac:dyDescent="0.45">
      <c r="A48" s="2">
        <v>49</v>
      </c>
      <c r="B48" s="2" t="s">
        <v>154</v>
      </c>
      <c r="C48" s="2" t="s">
        <v>94</v>
      </c>
      <c r="D48" s="2" t="s">
        <v>42</v>
      </c>
      <c r="E48" s="2">
        <v>38</v>
      </c>
      <c r="F48" s="2">
        <v>62</v>
      </c>
      <c r="G48" s="2">
        <v>176</v>
      </c>
      <c r="H48" s="9">
        <f t="shared" si="0"/>
        <v>20.015495867768596</v>
      </c>
      <c r="I48" s="2" t="str" cm="1">
        <f t="array" ref="I48">_xlfn.IFS(F48&gt;=100,"Over weight",F48&lt;100,"Average weight")</f>
        <v>Average weight</v>
      </c>
      <c r="J48" s="2" t="str" cm="1">
        <f t="array" ref="J48">_xlfn.IFS(G48&lt;164,"Below Average height",G48&gt;=165,"Above Average height",G48=164,"Average height")</f>
        <v>Above Average height</v>
      </c>
      <c r="K48" s="2" t="str" cm="1">
        <f t="array" ref="K48">_xlfn.IFS(E48&lt;=16,"Children",E48&lt;=30,"Young Adults",E48&lt;=45,"Middle-aged Adults",E48&gt;45,"Old Adults")</f>
        <v>Middle-aged Adults</v>
      </c>
    </row>
    <row r="49" spans="1:11" x14ac:dyDescent="0.45">
      <c r="A49" s="2">
        <v>51</v>
      </c>
      <c r="B49" s="2" t="s">
        <v>156</v>
      </c>
      <c r="C49" s="2" t="s">
        <v>93</v>
      </c>
      <c r="D49" s="2" t="s">
        <v>41</v>
      </c>
      <c r="E49" s="2">
        <v>19</v>
      </c>
      <c r="F49" s="2">
        <v>60</v>
      </c>
      <c r="G49" s="2">
        <v>166</v>
      </c>
      <c r="H49" s="9">
        <f t="shared" si="0"/>
        <v>21.773842357381334</v>
      </c>
      <c r="I49" s="2" t="str" cm="1">
        <f t="array" ref="I49">_xlfn.IFS(F49&gt;=100,"Over weight",F49&lt;100,"Average weight")</f>
        <v>Average weight</v>
      </c>
      <c r="J49" s="2" t="str" cm="1">
        <f t="array" ref="J49">_xlfn.IFS(G49&lt;164,"Below Average height",G49&gt;=165,"Above Average height",G49=164,"Average height")</f>
        <v>Above Average height</v>
      </c>
      <c r="K49" s="2" t="str" cm="1">
        <f t="array" ref="K49">_xlfn.IFS(E49&lt;=16,"Children",E49&lt;=30,"Young Adults",E49&lt;=45,"Middle-aged Adults",E49&gt;45,"Old Adults")</f>
        <v>Young Adults</v>
      </c>
    </row>
    <row r="50" spans="1:11" x14ac:dyDescent="0.45">
      <c r="A50" s="2">
        <v>52</v>
      </c>
      <c r="B50" s="2" t="s">
        <v>157</v>
      </c>
      <c r="C50" s="2" t="s">
        <v>91</v>
      </c>
      <c r="D50" s="2" t="s">
        <v>14</v>
      </c>
      <c r="E50" s="2">
        <v>26</v>
      </c>
      <c r="F50" s="2">
        <v>80</v>
      </c>
      <c r="G50" s="2">
        <v>183</v>
      </c>
      <c r="H50" s="9">
        <f t="shared" si="0"/>
        <v>23.888440980620498</v>
      </c>
      <c r="I50" s="2" t="str" cm="1">
        <f t="array" ref="I50">_xlfn.IFS(F50&gt;=100,"Over weight",F50&lt;100,"Average weight")</f>
        <v>Average weight</v>
      </c>
      <c r="J50" s="2" t="str" cm="1">
        <f t="array" ref="J50">_xlfn.IFS(G50&lt;164,"Below Average height",G50&gt;=165,"Above Average height",G50=164,"Average height")</f>
        <v>Above Average height</v>
      </c>
      <c r="K50" s="2" t="str" cm="1">
        <f t="array" ref="K50">_xlfn.IFS(E50&lt;=16,"Children",E50&lt;=30,"Young Adults",E50&lt;=45,"Middle-aged Adults",E50&gt;45,"Old Adults")</f>
        <v>Young Adults</v>
      </c>
    </row>
    <row r="51" spans="1:11" x14ac:dyDescent="0.45">
      <c r="A51" s="2">
        <v>53</v>
      </c>
      <c r="B51" s="2" t="s">
        <v>158</v>
      </c>
      <c r="C51" s="2" t="s">
        <v>87</v>
      </c>
      <c r="D51" s="2" t="s">
        <v>42</v>
      </c>
      <c r="E51" s="2">
        <v>18</v>
      </c>
      <c r="F51" s="2">
        <v>85</v>
      </c>
      <c r="G51" s="2">
        <v>203</v>
      </c>
      <c r="H51" s="9">
        <f t="shared" si="0"/>
        <v>20.626562158751735</v>
      </c>
      <c r="I51" s="2" t="str" cm="1">
        <f t="array" ref="I51">_xlfn.IFS(F51&gt;=100,"Over weight",F51&lt;100,"Average weight")</f>
        <v>Average weight</v>
      </c>
      <c r="J51" s="2" t="str" cm="1">
        <f t="array" ref="J51">_xlfn.IFS(G51&lt;164,"Below Average height",G51&gt;=165,"Above Average height",G51=164,"Average height")</f>
        <v>Above Average height</v>
      </c>
      <c r="K51" s="2" t="str" cm="1">
        <f t="array" ref="K51">_xlfn.IFS(E51&lt;=16,"Children",E51&lt;=30,"Young Adults",E51&lt;=45,"Middle-aged Adults",E51&gt;45,"Old Adults")</f>
        <v>Young Adults</v>
      </c>
    </row>
    <row r="52" spans="1:11" x14ac:dyDescent="0.45">
      <c r="A52" s="2">
        <v>54</v>
      </c>
      <c r="B52" s="2" t="s">
        <v>159</v>
      </c>
      <c r="C52" s="2" t="s">
        <v>90</v>
      </c>
      <c r="D52" s="2" t="s">
        <v>46</v>
      </c>
      <c r="E52" s="2">
        <v>25</v>
      </c>
      <c r="F52" s="2">
        <v>95</v>
      </c>
      <c r="G52" s="2">
        <v>183</v>
      </c>
      <c r="H52" s="9">
        <f t="shared" si="0"/>
        <v>28.367523664486843</v>
      </c>
      <c r="I52" s="2" t="str" cm="1">
        <f t="array" ref="I52">_xlfn.IFS(F52&gt;=100,"Over weight",F52&lt;100,"Average weight")</f>
        <v>Average weight</v>
      </c>
      <c r="J52" s="2" t="str" cm="1">
        <f t="array" ref="J52">_xlfn.IFS(G52&lt;164,"Below Average height",G52&gt;=165,"Above Average height",G52=164,"Average height")</f>
        <v>Above Average height</v>
      </c>
      <c r="K52" s="2" t="str" cm="1">
        <f t="array" ref="K52">_xlfn.IFS(E52&lt;=16,"Children",E52&lt;=30,"Young Adults",E52&lt;=45,"Middle-aged Adults",E52&gt;45,"Old Adults")</f>
        <v>Young Adults</v>
      </c>
    </row>
    <row r="53" spans="1:11" x14ac:dyDescent="0.45">
      <c r="A53" s="2">
        <v>57</v>
      </c>
      <c r="B53" s="2" t="s">
        <v>162</v>
      </c>
      <c r="C53" s="2" t="s">
        <v>90</v>
      </c>
      <c r="D53" s="2" t="s">
        <v>41</v>
      </c>
      <c r="E53" s="2">
        <v>23</v>
      </c>
      <c r="F53" s="2">
        <v>71</v>
      </c>
      <c r="G53" s="2">
        <v>175</v>
      </c>
      <c r="H53" s="9">
        <f t="shared" si="0"/>
        <v>23.183673469387756</v>
      </c>
      <c r="I53" s="2" t="str" cm="1">
        <f t="array" ref="I53">_xlfn.IFS(F53&gt;=100,"Over weight",F53&lt;100,"Average weight")</f>
        <v>Average weight</v>
      </c>
      <c r="J53" s="2" t="str" cm="1">
        <f t="array" ref="J53">_xlfn.IFS(G53&lt;164,"Below Average height",G53&gt;=165,"Above Average height",G53=164,"Average height")</f>
        <v>Above Average height</v>
      </c>
      <c r="K53" s="2" t="str" cm="1">
        <f t="array" ref="K53">_xlfn.IFS(E53&lt;=16,"Children",E53&lt;=30,"Young Adults",E53&lt;=45,"Middle-aged Adults",E53&gt;45,"Old Adults")</f>
        <v>Young Adults</v>
      </c>
    </row>
    <row r="54" spans="1:11" x14ac:dyDescent="0.45">
      <c r="A54" s="2">
        <v>58</v>
      </c>
      <c r="B54" s="2" t="s">
        <v>163</v>
      </c>
      <c r="C54" s="2" t="s">
        <v>97</v>
      </c>
      <c r="D54" s="2" t="s">
        <v>25</v>
      </c>
      <c r="E54" s="2">
        <v>20</v>
      </c>
      <c r="F54" s="2">
        <v>62</v>
      </c>
      <c r="G54" s="2">
        <v>173</v>
      </c>
      <c r="H54" s="9">
        <f t="shared" si="0"/>
        <v>20.715693808680545</v>
      </c>
      <c r="I54" s="2" t="str" cm="1">
        <f t="array" ref="I54">_xlfn.IFS(F54&gt;=100,"Over weight",F54&lt;100,"Average weight")</f>
        <v>Average weight</v>
      </c>
      <c r="J54" s="2" t="str" cm="1">
        <f t="array" ref="J54">_xlfn.IFS(G54&lt;164,"Below Average height",G54&gt;=165,"Above Average height",G54=164,"Average height")</f>
        <v>Above Average height</v>
      </c>
      <c r="K54" s="2" t="str" cm="1">
        <f t="array" ref="K54">_xlfn.IFS(E54&lt;=16,"Children",E54&lt;=30,"Young Adults",E54&lt;=45,"Middle-aged Adults",E54&gt;45,"Old Adults")</f>
        <v>Young Adults</v>
      </c>
    </row>
    <row r="55" spans="1:11" x14ac:dyDescent="0.45">
      <c r="A55" s="2">
        <v>59</v>
      </c>
      <c r="B55" s="2" t="s">
        <v>164</v>
      </c>
      <c r="C55" s="2" t="s">
        <v>91</v>
      </c>
      <c r="D55" s="2" t="s">
        <v>74</v>
      </c>
      <c r="E55" s="2">
        <v>21</v>
      </c>
      <c r="F55" s="2">
        <v>73</v>
      </c>
      <c r="G55" s="2">
        <v>172</v>
      </c>
      <c r="H55" s="9">
        <f t="shared" si="0"/>
        <v>24.675500270416443</v>
      </c>
      <c r="I55" s="2" t="str" cm="1">
        <f t="array" ref="I55">_xlfn.IFS(F55&gt;=100,"Over weight",F55&lt;100,"Average weight")</f>
        <v>Average weight</v>
      </c>
      <c r="J55" s="2" t="str" cm="1">
        <f t="array" ref="J55">_xlfn.IFS(G55&lt;164,"Below Average height",G55&gt;=165,"Above Average height",G55=164,"Average height")</f>
        <v>Above Average height</v>
      </c>
      <c r="K55" s="2" t="str" cm="1">
        <f t="array" ref="K55">_xlfn.IFS(E55&lt;=16,"Children",E55&lt;=30,"Young Adults",E55&lt;=45,"Middle-aged Adults",E55&gt;45,"Old Adults")</f>
        <v>Young Adults</v>
      </c>
    </row>
    <row r="56" spans="1:11" x14ac:dyDescent="0.45">
      <c r="A56" s="2">
        <v>60</v>
      </c>
      <c r="B56" s="2" t="s">
        <v>165</v>
      </c>
      <c r="C56" s="2" t="s">
        <v>85</v>
      </c>
      <c r="D56" s="2" t="s">
        <v>26</v>
      </c>
      <c r="E56" s="2">
        <v>27</v>
      </c>
      <c r="F56" s="2">
        <v>66</v>
      </c>
      <c r="G56" s="2">
        <v>181</v>
      </c>
      <c r="H56" s="9">
        <f t="shared" si="0"/>
        <v>20.145905192149201</v>
      </c>
      <c r="I56" s="2" t="str" cm="1">
        <f t="array" ref="I56">_xlfn.IFS(F56&gt;=100,"Over weight",F56&lt;100,"Average weight")</f>
        <v>Average weight</v>
      </c>
      <c r="J56" s="2" t="str" cm="1">
        <f t="array" ref="J56">_xlfn.IFS(G56&lt;164,"Below Average height",G56&gt;=165,"Above Average height",G56=164,"Average height")</f>
        <v>Above Average height</v>
      </c>
      <c r="K56" s="2" t="str" cm="1">
        <f t="array" ref="K56">_xlfn.IFS(E56&lt;=16,"Children",E56&lt;=30,"Young Adults",E56&lt;=45,"Middle-aged Adults",E56&gt;45,"Old Adults")</f>
        <v>Young Adults</v>
      </c>
    </row>
    <row r="57" spans="1:11" x14ac:dyDescent="0.45">
      <c r="A57" s="2">
        <v>61</v>
      </c>
      <c r="B57" s="2" t="s">
        <v>166</v>
      </c>
      <c r="C57" s="2" t="s">
        <v>93</v>
      </c>
      <c r="D57" s="2" t="s">
        <v>60</v>
      </c>
      <c r="E57" s="2">
        <v>21</v>
      </c>
      <c r="F57" s="2">
        <v>85</v>
      </c>
      <c r="G57" s="2">
        <v>203</v>
      </c>
      <c r="H57" s="9">
        <f t="shared" si="0"/>
        <v>20.626562158751735</v>
      </c>
      <c r="I57" s="2" t="str" cm="1">
        <f t="array" ref="I57">_xlfn.IFS(F57&gt;=100,"Over weight",F57&lt;100,"Average weight")</f>
        <v>Average weight</v>
      </c>
      <c r="J57" s="2" t="str" cm="1">
        <f t="array" ref="J57">_xlfn.IFS(G57&lt;164,"Below Average height",G57&gt;=165,"Above Average height",G57=164,"Average height")</f>
        <v>Above Average height</v>
      </c>
      <c r="K57" s="2" t="str" cm="1">
        <f t="array" ref="K57">_xlfn.IFS(E57&lt;=16,"Children",E57&lt;=30,"Young Adults",E57&lt;=45,"Middle-aged Adults",E57&gt;45,"Old Adults")</f>
        <v>Young Adults</v>
      </c>
    </row>
    <row r="58" spans="1:11" x14ac:dyDescent="0.45">
      <c r="A58" s="2">
        <v>63</v>
      </c>
      <c r="B58" s="2" t="s">
        <v>168</v>
      </c>
      <c r="C58" s="2" t="s">
        <v>90</v>
      </c>
      <c r="D58" s="2" t="s">
        <v>80</v>
      </c>
      <c r="E58" s="2">
        <v>26</v>
      </c>
      <c r="F58" s="2">
        <v>79</v>
      </c>
      <c r="G58" s="2">
        <v>173</v>
      </c>
      <c r="H58" s="9">
        <f t="shared" si="0"/>
        <v>26.395803401383272</v>
      </c>
      <c r="I58" s="2" t="str" cm="1">
        <f t="array" ref="I58">_xlfn.IFS(F58&gt;=100,"Over weight",F58&lt;100,"Average weight")</f>
        <v>Average weight</v>
      </c>
      <c r="J58" s="2" t="str" cm="1">
        <f t="array" ref="J58">_xlfn.IFS(G58&lt;164,"Below Average height",G58&gt;=165,"Above Average height",G58=164,"Average height")</f>
        <v>Above Average height</v>
      </c>
      <c r="K58" s="2" t="str" cm="1">
        <f t="array" ref="K58">_xlfn.IFS(E58&lt;=16,"Children",E58&lt;=30,"Young Adults",E58&lt;=45,"Middle-aged Adults",E58&gt;45,"Old Adults")</f>
        <v>Young Adults</v>
      </c>
    </row>
    <row r="59" spans="1:11" x14ac:dyDescent="0.45">
      <c r="A59" s="2">
        <v>64</v>
      </c>
      <c r="B59" s="2" t="s">
        <v>169</v>
      </c>
      <c r="C59" s="2" t="s">
        <v>85</v>
      </c>
      <c r="D59" s="2" t="s">
        <v>56</v>
      </c>
      <c r="E59" s="2">
        <v>32</v>
      </c>
      <c r="F59" s="2">
        <v>110</v>
      </c>
      <c r="G59" s="2">
        <v>203</v>
      </c>
      <c r="H59" s="9">
        <f t="shared" si="0"/>
        <v>26.693198087796361</v>
      </c>
      <c r="I59" s="2" t="str" cm="1">
        <f t="array" ref="I59">_xlfn.IFS(F59&gt;=100,"Over weight",F59&lt;100,"Average weight")</f>
        <v>Over weight</v>
      </c>
      <c r="J59" s="2" t="str" cm="1">
        <f t="array" ref="J59">_xlfn.IFS(G59&lt;164,"Below Average height",G59&gt;=165,"Above Average height",G59=164,"Average height")</f>
        <v>Above Average height</v>
      </c>
      <c r="K59" s="2" t="str" cm="1">
        <f t="array" ref="K59">_xlfn.IFS(E59&lt;=16,"Children",E59&lt;=30,"Young Adults",E59&lt;=45,"Middle-aged Adults",E59&gt;45,"Old Adults")</f>
        <v>Middle-aged Adults</v>
      </c>
    </row>
    <row r="60" spans="1:11" x14ac:dyDescent="0.45">
      <c r="A60" s="2">
        <v>65</v>
      </c>
      <c r="B60" s="2" t="s">
        <v>170</v>
      </c>
      <c r="C60" s="2" t="s">
        <v>89</v>
      </c>
      <c r="D60" s="2" t="s">
        <v>42</v>
      </c>
      <c r="E60" s="2">
        <v>24</v>
      </c>
      <c r="F60" s="2">
        <v>70</v>
      </c>
      <c r="G60" s="2">
        <v>184</v>
      </c>
      <c r="H60" s="9">
        <f t="shared" si="0"/>
        <v>20.675803402646501</v>
      </c>
      <c r="I60" s="2" t="str" cm="1">
        <f t="array" ref="I60">_xlfn.IFS(F60&gt;=100,"Over weight",F60&lt;100,"Average weight")</f>
        <v>Average weight</v>
      </c>
      <c r="J60" s="2" t="str" cm="1">
        <f t="array" ref="J60">_xlfn.IFS(G60&lt;164,"Below Average height",G60&gt;=165,"Above Average height",G60=164,"Average height")</f>
        <v>Above Average height</v>
      </c>
      <c r="K60" s="2" t="str" cm="1">
        <f t="array" ref="K60">_xlfn.IFS(E60&lt;=16,"Children",E60&lt;=30,"Young Adults",E60&lt;=45,"Middle-aged Adults",E60&gt;45,"Old Adults")</f>
        <v>Young Adults</v>
      </c>
    </row>
    <row r="61" spans="1:11" x14ac:dyDescent="0.45">
      <c r="A61" s="2">
        <v>66</v>
      </c>
      <c r="B61" s="2" t="s">
        <v>171</v>
      </c>
      <c r="C61" s="2" t="s">
        <v>91</v>
      </c>
      <c r="D61" s="2" t="s">
        <v>70</v>
      </c>
      <c r="E61" s="2">
        <v>32</v>
      </c>
      <c r="F61" s="2">
        <v>63</v>
      </c>
      <c r="G61" s="2">
        <v>171</v>
      </c>
      <c r="H61" s="9">
        <f t="shared" si="0"/>
        <v>21.545090797168363</v>
      </c>
      <c r="I61" s="2" t="str" cm="1">
        <f t="array" ref="I61">_xlfn.IFS(F61&gt;=100,"Over weight",F61&lt;100,"Average weight")</f>
        <v>Average weight</v>
      </c>
      <c r="J61" s="2" t="str" cm="1">
        <f t="array" ref="J61">_xlfn.IFS(G61&lt;164,"Below Average height",G61&gt;=165,"Above Average height",G61=164,"Average height")</f>
        <v>Above Average height</v>
      </c>
      <c r="K61" s="2" t="str" cm="1">
        <f t="array" ref="K61">_xlfn.IFS(E61&lt;=16,"Children",E61&lt;=30,"Young Adults",E61&lt;=45,"Middle-aged Adults",E61&gt;45,"Old Adults")</f>
        <v>Middle-aged Adults</v>
      </c>
    </row>
    <row r="62" spans="1:11" x14ac:dyDescent="0.45">
      <c r="A62" s="2">
        <v>67</v>
      </c>
      <c r="B62" s="2" t="s">
        <v>172</v>
      </c>
      <c r="C62" s="2" t="s">
        <v>94</v>
      </c>
      <c r="D62" s="2" t="s">
        <v>14</v>
      </c>
      <c r="E62" s="2">
        <v>29</v>
      </c>
      <c r="F62" s="2">
        <v>69</v>
      </c>
      <c r="G62" s="2">
        <v>172</v>
      </c>
      <c r="H62" s="9">
        <f t="shared" si="0"/>
        <v>23.323418063818284</v>
      </c>
      <c r="I62" s="2" t="str" cm="1">
        <f t="array" ref="I62">_xlfn.IFS(F62&gt;=100,"Over weight",F62&lt;100,"Average weight")</f>
        <v>Average weight</v>
      </c>
      <c r="J62" s="2" t="str" cm="1">
        <f t="array" ref="J62">_xlfn.IFS(G62&lt;164,"Below Average height",G62&gt;=165,"Above Average height",G62=164,"Average height")</f>
        <v>Above Average height</v>
      </c>
      <c r="K62" s="2" t="str" cm="1">
        <f t="array" ref="K62">_xlfn.IFS(E62&lt;=16,"Children",E62&lt;=30,"Young Adults",E62&lt;=45,"Middle-aged Adults",E62&gt;45,"Old Adults")</f>
        <v>Young Adults</v>
      </c>
    </row>
    <row r="63" spans="1:11" x14ac:dyDescent="0.45">
      <c r="A63" s="2">
        <v>69</v>
      </c>
      <c r="B63" s="2" t="s">
        <v>174</v>
      </c>
      <c r="C63" s="2" t="s">
        <v>85</v>
      </c>
      <c r="D63" s="2" t="s">
        <v>70</v>
      </c>
      <c r="E63" s="2">
        <v>25</v>
      </c>
      <c r="F63" s="2">
        <v>84</v>
      </c>
      <c r="G63" s="2">
        <v>178</v>
      </c>
      <c r="H63" s="9">
        <f t="shared" si="0"/>
        <v>26.511804065143288</v>
      </c>
      <c r="I63" s="2" t="str" cm="1">
        <f t="array" ref="I63">_xlfn.IFS(F63&gt;=100,"Over weight",F63&lt;100,"Average weight")</f>
        <v>Average weight</v>
      </c>
      <c r="J63" s="2" t="str" cm="1">
        <f t="array" ref="J63">_xlfn.IFS(G63&lt;164,"Below Average height",G63&gt;=165,"Above Average height",G63=164,"Average height")</f>
        <v>Above Average height</v>
      </c>
      <c r="K63" s="2" t="str" cm="1">
        <f t="array" ref="K63">_xlfn.IFS(E63&lt;=16,"Children",E63&lt;=30,"Young Adults",E63&lt;=45,"Middle-aged Adults",E63&gt;45,"Old Adults")</f>
        <v>Young Adults</v>
      </c>
    </row>
    <row r="64" spans="1:11" x14ac:dyDescent="0.45">
      <c r="A64" s="2">
        <v>70</v>
      </c>
      <c r="B64" s="2" t="s">
        <v>175</v>
      </c>
      <c r="C64" s="2" t="s">
        <v>86</v>
      </c>
      <c r="D64" s="2" t="s">
        <v>39</v>
      </c>
      <c r="E64" s="2">
        <v>24</v>
      </c>
      <c r="F64" s="2">
        <v>110</v>
      </c>
      <c r="G64" s="2">
        <v>169</v>
      </c>
      <c r="H64" s="9">
        <f t="shared" si="0"/>
        <v>38.514057631035335</v>
      </c>
      <c r="I64" s="2" t="str" cm="1">
        <f t="array" ref="I64">_xlfn.IFS(F64&gt;=100,"Over weight",F64&lt;100,"Average weight")</f>
        <v>Over weight</v>
      </c>
      <c r="J64" s="2" t="str" cm="1">
        <f t="array" ref="J64">_xlfn.IFS(G64&lt;164,"Below Average height",G64&gt;=165,"Above Average height",G64=164,"Average height")</f>
        <v>Above Average height</v>
      </c>
      <c r="K64" s="2" t="str" cm="1">
        <f t="array" ref="K64">_xlfn.IFS(E64&lt;=16,"Children",E64&lt;=30,"Young Adults",E64&lt;=45,"Middle-aged Adults",E64&gt;45,"Old Adults")</f>
        <v>Young Adults</v>
      </c>
    </row>
    <row r="65" spans="1:11" x14ac:dyDescent="0.45">
      <c r="A65" s="2">
        <v>71</v>
      </c>
      <c r="B65" s="2" t="s">
        <v>176</v>
      </c>
      <c r="C65" s="2" t="s">
        <v>89</v>
      </c>
      <c r="D65" s="2" t="s">
        <v>63</v>
      </c>
      <c r="E65" s="2">
        <v>30</v>
      </c>
      <c r="F65" s="2">
        <v>64</v>
      </c>
      <c r="G65" s="2">
        <v>170</v>
      </c>
      <c r="H65" s="9">
        <f t="shared" si="0"/>
        <v>22.145328719723185</v>
      </c>
      <c r="I65" s="2" t="str" cm="1">
        <f t="array" ref="I65">_xlfn.IFS(F65&gt;=100,"Over weight",F65&lt;100,"Average weight")</f>
        <v>Average weight</v>
      </c>
      <c r="J65" s="2" t="str" cm="1">
        <f t="array" ref="J65">_xlfn.IFS(G65&lt;164,"Below Average height",G65&gt;=165,"Above Average height",G65=164,"Average height")</f>
        <v>Above Average height</v>
      </c>
      <c r="K65" s="2" t="str" cm="1">
        <f t="array" ref="K65">_xlfn.IFS(E65&lt;=16,"Children",E65&lt;=30,"Young Adults",E65&lt;=45,"Middle-aged Adults",E65&gt;45,"Old Adults")</f>
        <v>Young Adults</v>
      </c>
    </row>
    <row r="66" spans="1:11" x14ac:dyDescent="0.45">
      <c r="A66" s="2">
        <v>72</v>
      </c>
      <c r="B66" s="2" t="s">
        <v>177</v>
      </c>
      <c r="C66" s="2" t="s">
        <v>88</v>
      </c>
      <c r="D66" s="2" t="s">
        <v>28</v>
      </c>
      <c r="E66" s="2">
        <v>23</v>
      </c>
      <c r="F66" s="2">
        <v>65</v>
      </c>
      <c r="G66" s="2">
        <v>183</v>
      </c>
      <c r="H66" s="9">
        <f t="shared" ref="H66:H129" si="1" xml:space="preserve"> F66 / (( G66/ 100) ^ 2)</f>
        <v>19.409358296754156</v>
      </c>
      <c r="I66" s="2" t="str" cm="1">
        <f t="array" ref="I66">_xlfn.IFS(F66&gt;=100,"Over weight",F66&lt;100,"Average weight")</f>
        <v>Average weight</v>
      </c>
      <c r="J66" s="2" t="str" cm="1">
        <f t="array" ref="J66">_xlfn.IFS(G66&lt;164,"Below Average height",G66&gt;=165,"Above Average height",G66=164,"Average height")</f>
        <v>Above Average height</v>
      </c>
      <c r="K66" s="2" t="str" cm="1">
        <f t="array" ref="K66">_xlfn.IFS(E66&lt;=16,"Children",E66&lt;=30,"Young Adults",E66&lt;=45,"Middle-aged Adults",E66&gt;45,"Old Adults")</f>
        <v>Young Adults</v>
      </c>
    </row>
    <row r="67" spans="1:11" x14ac:dyDescent="0.45">
      <c r="A67" s="2">
        <v>73</v>
      </c>
      <c r="B67" s="2" t="s">
        <v>178</v>
      </c>
      <c r="C67" s="2" t="s">
        <v>91</v>
      </c>
      <c r="D67" s="2" t="s">
        <v>80</v>
      </c>
      <c r="E67" s="2">
        <v>25</v>
      </c>
      <c r="F67" s="2">
        <v>102</v>
      </c>
      <c r="G67" s="2">
        <v>191</v>
      </c>
      <c r="H67" s="9">
        <f t="shared" si="1"/>
        <v>27.959759875003428</v>
      </c>
      <c r="I67" s="2" t="str" cm="1">
        <f t="array" ref="I67">_xlfn.IFS(F67&gt;=100,"Over weight",F67&lt;100,"Average weight")</f>
        <v>Over weight</v>
      </c>
      <c r="J67" s="2" t="str" cm="1">
        <f t="array" ref="J67">_xlfn.IFS(G67&lt;164,"Below Average height",G67&gt;=165,"Above Average height",G67=164,"Average height")</f>
        <v>Above Average height</v>
      </c>
      <c r="K67" s="2" t="str" cm="1">
        <f t="array" ref="K67">_xlfn.IFS(E67&lt;=16,"Children",E67&lt;=30,"Young Adults",E67&lt;=45,"Middle-aged Adults",E67&gt;45,"Old Adults")</f>
        <v>Young Adults</v>
      </c>
    </row>
    <row r="68" spans="1:11" x14ac:dyDescent="0.45">
      <c r="A68" s="2">
        <v>74</v>
      </c>
      <c r="B68" s="2" t="s">
        <v>179</v>
      </c>
      <c r="C68" s="2" t="s">
        <v>91</v>
      </c>
      <c r="D68" s="2" t="s">
        <v>74</v>
      </c>
      <c r="E68" s="2">
        <v>22</v>
      </c>
      <c r="F68" s="2">
        <v>85</v>
      </c>
      <c r="G68" s="2">
        <v>184</v>
      </c>
      <c r="H68" s="9">
        <f t="shared" si="1"/>
        <v>25.10633270321361</v>
      </c>
      <c r="I68" s="2" t="str" cm="1">
        <f t="array" ref="I68">_xlfn.IFS(F68&gt;=100,"Over weight",F68&lt;100,"Average weight")</f>
        <v>Average weight</v>
      </c>
      <c r="J68" s="2" t="str" cm="1">
        <f t="array" ref="J68">_xlfn.IFS(G68&lt;164,"Below Average height",G68&gt;=165,"Above Average height",G68=164,"Average height")</f>
        <v>Above Average height</v>
      </c>
      <c r="K68" s="2" t="str" cm="1">
        <f t="array" ref="K68">_xlfn.IFS(E68&lt;=16,"Children",E68&lt;=30,"Young Adults",E68&lt;=45,"Middle-aged Adults",E68&gt;45,"Old Adults")</f>
        <v>Young Adults</v>
      </c>
    </row>
    <row r="69" spans="1:11" x14ac:dyDescent="0.45">
      <c r="A69" s="2">
        <v>75</v>
      </c>
      <c r="B69" s="2" t="s">
        <v>180</v>
      </c>
      <c r="C69" s="2" t="s">
        <v>91</v>
      </c>
      <c r="D69" s="2" t="s">
        <v>25</v>
      </c>
      <c r="E69" s="2">
        <v>32</v>
      </c>
      <c r="F69" s="2">
        <v>88</v>
      </c>
      <c r="G69" s="2">
        <v>184</v>
      </c>
      <c r="H69" s="9">
        <f t="shared" si="1"/>
        <v>25.992438563327031</v>
      </c>
      <c r="I69" s="2" t="str" cm="1">
        <f t="array" ref="I69">_xlfn.IFS(F69&gt;=100,"Over weight",F69&lt;100,"Average weight")</f>
        <v>Average weight</v>
      </c>
      <c r="J69" s="2" t="str" cm="1">
        <f t="array" ref="J69">_xlfn.IFS(G69&lt;164,"Below Average height",G69&gt;=165,"Above Average height",G69=164,"Average height")</f>
        <v>Above Average height</v>
      </c>
      <c r="K69" s="2" t="str" cm="1">
        <f t="array" ref="K69">_xlfn.IFS(E69&lt;=16,"Children",E69&lt;=30,"Young Adults",E69&lt;=45,"Middle-aged Adults",E69&gt;45,"Old Adults")</f>
        <v>Middle-aged Adults</v>
      </c>
    </row>
    <row r="70" spans="1:11" x14ac:dyDescent="0.45">
      <c r="A70" s="2">
        <v>76</v>
      </c>
      <c r="B70" s="2" t="s">
        <v>181</v>
      </c>
      <c r="C70" s="2" t="s">
        <v>85</v>
      </c>
      <c r="D70" s="2" t="s">
        <v>74</v>
      </c>
      <c r="E70" s="2">
        <v>22</v>
      </c>
      <c r="F70" s="2">
        <v>82</v>
      </c>
      <c r="G70" s="2">
        <v>180</v>
      </c>
      <c r="H70" s="9">
        <f t="shared" si="1"/>
        <v>25.308641975308639</v>
      </c>
      <c r="I70" s="2" t="str" cm="1">
        <f t="array" ref="I70">_xlfn.IFS(F70&gt;=100,"Over weight",F70&lt;100,"Average weight")</f>
        <v>Average weight</v>
      </c>
      <c r="J70" s="2" t="str" cm="1">
        <f t="array" ref="J70">_xlfn.IFS(G70&lt;164,"Below Average height",G70&gt;=165,"Above Average height",G70=164,"Average height")</f>
        <v>Above Average height</v>
      </c>
      <c r="K70" s="2" t="str" cm="1">
        <f t="array" ref="K70">_xlfn.IFS(E70&lt;=16,"Children",E70&lt;=30,"Young Adults",E70&lt;=45,"Middle-aged Adults",E70&gt;45,"Old Adults")</f>
        <v>Young Adults</v>
      </c>
    </row>
    <row r="71" spans="1:11" x14ac:dyDescent="0.45">
      <c r="A71" s="2">
        <v>78</v>
      </c>
      <c r="B71" s="2" t="s">
        <v>183</v>
      </c>
      <c r="C71" s="2" t="s">
        <v>88</v>
      </c>
      <c r="D71" s="2" t="s">
        <v>80</v>
      </c>
      <c r="E71" s="2">
        <v>28</v>
      </c>
      <c r="F71" s="2">
        <v>77</v>
      </c>
      <c r="G71" s="2">
        <v>183</v>
      </c>
      <c r="H71" s="9">
        <f t="shared" si="1"/>
        <v>22.99262444384723</v>
      </c>
      <c r="I71" s="2" t="str" cm="1">
        <f t="array" ref="I71">_xlfn.IFS(F71&gt;=100,"Over weight",F71&lt;100,"Average weight")</f>
        <v>Average weight</v>
      </c>
      <c r="J71" s="2" t="str" cm="1">
        <f t="array" ref="J71">_xlfn.IFS(G71&lt;164,"Below Average height",G71&gt;=165,"Above Average height",G71=164,"Average height")</f>
        <v>Above Average height</v>
      </c>
      <c r="K71" s="2" t="str" cm="1">
        <f t="array" ref="K71">_xlfn.IFS(E71&lt;=16,"Children",E71&lt;=30,"Young Adults",E71&lt;=45,"Middle-aged Adults",E71&gt;45,"Old Adults")</f>
        <v>Young Adults</v>
      </c>
    </row>
    <row r="72" spans="1:11" x14ac:dyDescent="0.45">
      <c r="A72" s="2">
        <v>79</v>
      </c>
      <c r="B72" s="2" t="s">
        <v>184</v>
      </c>
      <c r="C72" s="2" t="s">
        <v>88</v>
      </c>
      <c r="D72" s="2" t="s">
        <v>26</v>
      </c>
      <c r="E72" s="2">
        <v>30</v>
      </c>
      <c r="F72" s="2">
        <v>58</v>
      </c>
      <c r="G72" s="2">
        <v>173</v>
      </c>
      <c r="H72" s="9">
        <f t="shared" si="1"/>
        <v>19.379197433926961</v>
      </c>
      <c r="I72" s="2" t="str" cm="1">
        <f t="array" ref="I72">_xlfn.IFS(F72&gt;=100,"Over weight",F72&lt;100,"Average weight")</f>
        <v>Average weight</v>
      </c>
      <c r="J72" s="2" t="str" cm="1">
        <f t="array" ref="J72">_xlfn.IFS(G72&lt;164,"Below Average height",G72&gt;=165,"Above Average height",G72=164,"Average height")</f>
        <v>Above Average height</v>
      </c>
      <c r="K72" s="2" t="str" cm="1">
        <f t="array" ref="K72">_xlfn.IFS(E72&lt;=16,"Children",E72&lt;=30,"Young Adults",E72&lt;=45,"Middle-aged Adults",E72&gt;45,"Old Adults")</f>
        <v>Young Adults</v>
      </c>
    </row>
    <row r="73" spans="1:11" x14ac:dyDescent="0.45">
      <c r="A73" s="2">
        <v>80</v>
      </c>
      <c r="B73" s="2" t="s">
        <v>185</v>
      </c>
      <c r="C73" s="2" t="s">
        <v>94</v>
      </c>
      <c r="D73" s="2" t="s">
        <v>70</v>
      </c>
      <c r="E73" s="2">
        <v>33</v>
      </c>
      <c r="F73" s="2">
        <v>70</v>
      </c>
      <c r="G73" s="2">
        <v>169</v>
      </c>
      <c r="H73" s="9">
        <f t="shared" si="1"/>
        <v>24.508945765204302</v>
      </c>
      <c r="I73" s="2" t="str" cm="1">
        <f t="array" ref="I73">_xlfn.IFS(F73&gt;=100,"Over weight",F73&lt;100,"Average weight")</f>
        <v>Average weight</v>
      </c>
      <c r="J73" s="2" t="str" cm="1">
        <f t="array" ref="J73">_xlfn.IFS(G73&lt;164,"Below Average height",G73&gt;=165,"Above Average height",G73=164,"Average height")</f>
        <v>Above Average height</v>
      </c>
      <c r="K73" s="2" t="str" cm="1">
        <f t="array" ref="K73">_xlfn.IFS(E73&lt;=16,"Children",E73&lt;=30,"Young Adults",E73&lt;=45,"Middle-aged Adults",E73&gt;45,"Old Adults")</f>
        <v>Middle-aged Adults</v>
      </c>
    </row>
    <row r="74" spans="1:11" x14ac:dyDescent="0.45">
      <c r="A74" s="2">
        <v>81</v>
      </c>
      <c r="B74" s="2" t="s">
        <v>186</v>
      </c>
      <c r="C74" s="2" t="s">
        <v>93</v>
      </c>
      <c r="D74" s="2" t="s">
        <v>21</v>
      </c>
      <c r="E74" s="2">
        <v>27</v>
      </c>
      <c r="F74" s="2">
        <v>87</v>
      </c>
      <c r="G74" s="2">
        <v>191</v>
      </c>
      <c r="H74" s="9">
        <f t="shared" si="1"/>
        <v>23.848030481620569</v>
      </c>
      <c r="I74" s="2" t="str" cm="1">
        <f t="array" ref="I74">_xlfn.IFS(F74&gt;=100,"Over weight",F74&lt;100,"Average weight")</f>
        <v>Average weight</v>
      </c>
      <c r="J74" s="2" t="str" cm="1">
        <f t="array" ref="J74">_xlfn.IFS(G74&lt;164,"Below Average height",G74&gt;=165,"Above Average height",G74=164,"Average height")</f>
        <v>Above Average height</v>
      </c>
      <c r="K74" s="2" t="str" cm="1">
        <f t="array" ref="K74">_xlfn.IFS(E74&lt;=16,"Children",E74&lt;=30,"Young Adults",E74&lt;=45,"Middle-aged Adults",E74&gt;45,"Old Adults")</f>
        <v>Young Adults</v>
      </c>
    </row>
    <row r="75" spans="1:11" x14ac:dyDescent="0.45">
      <c r="A75" s="2">
        <v>82</v>
      </c>
      <c r="B75" s="2" t="s">
        <v>187</v>
      </c>
      <c r="C75" s="2" t="s">
        <v>91</v>
      </c>
      <c r="D75" s="2" t="s">
        <v>28</v>
      </c>
      <c r="E75" s="2">
        <v>30</v>
      </c>
      <c r="F75" s="2">
        <v>96</v>
      </c>
      <c r="G75" s="2">
        <v>190</v>
      </c>
      <c r="H75" s="9">
        <f t="shared" si="1"/>
        <v>26.59279778393352</v>
      </c>
      <c r="I75" s="2" t="str" cm="1">
        <f t="array" ref="I75">_xlfn.IFS(F75&gt;=100,"Over weight",F75&lt;100,"Average weight")</f>
        <v>Average weight</v>
      </c>
      <c r="J75" s="2" t="str" cm="1">
        <f t="array" ref="J75">_xlfn.IFS(G75&lt;164,"Below Average height",G75&gt;=165,"Above Average height",G75=164,"Average height")</f>
        <v>Above Average height</v>
      </c>
      <c r="K75" s="2" t="str" cm="1">
        <f t="array" ref="K75">_xlfn.IFS(E75&lt;=16,"Children",E75&lt;=30,"Young Adults",E75&lt;=45,"Middle-aged Adults",E75&gt;45,"Old Adults")</f>
        <v>Young Adults</v>
      </c>
    </row>
    <row r="76" spans="1:11" x14ac:dyDescent="0.45">
      <c r="A76" s="2">
        <v>83</v>
      </c>
      <c r="B76" s="2" t="s">
        <v>188</v>
      </c>
      <c r="C76" s="2" t="s">
        <v>94</v>
      </c>
      <c r="D76" s="2" t="s">
        <v>52</v>
      </c>
      <c r="E76" s="2">
        <v>22</v>
      </c>
      <c r="F76" s="2">
        <v>72</v>
      </c>
      <c r="G76" s="2">
        <v>180</v>
      </c>
      <c r="H76" s="9">
        <f t="shared" si="1"/>
        <v>22.222222222222221</v>
      </c>
      <c r="I76" s="2" t="str" cm="1">
        <f t="array" ref="I76">_xlfn.IFS(F76&gt;=100,"Over weight",F76&lt;100,"Average weight")</f>
        <v>Average weight</v>
      </c>
      <c r="J76" s="2" t="str" cm="1">
        <f t="array" ref="J76">_xlfn.IFS(G76&lt;164,"Below Average height",G76&gt;=165,"Above Average height",G76=164,"Average height")</f>
        <v>Above Average height</v>
      </c>
      <c r="K76" s="2" t="str" cm="1">
        <f t="array" ref="K76">_xlfn.IFS(E76&lt;=16,"Children",E76&lt;=30,"Young Adults",E76&lt;=45,"Middle-aged Adults",E76&gt;45,"Old Adults")</f>
        <v>Young Adults</v>
      </c>
    </row>
    <row r="77" spans="1:11" x14ac:dyDescent="0.45">
      <c r="A77" s="2">
        <v>84</v>
      </c>
      <c r="B77" s="2" t="s">
        <v>189</v>
      </c>
      <c r="C77" s="2" t="s">
        <v>85</v>
      </c>
      <c r="D77" s="2" t="s">
        <v>21</v>
      </c>
      <c r="E77" s="2">
        <v>29</v>
      </c>
      <c r="F77" s="2">
        <v>86</v>
      </c>
      <c r="G77" s="2">
        <v>176</v>
      </c>
      <c r="H77" s="9">
        <f t="shared" si="1"/>
        <v>27.763429752066116</v>
      </c>
      <c r="I77" s="2" t="str" cm="1">
        <f t="array" ref="I77">_xlfn.IFS(F77&gt;=100,"Over weight",F77&lt;100,"Average weight")</f>
        <v>Average weight</v>
      </c>
      <c r="J77" s="2" t="str" cm="1">
        <f t="array" ref="J77">_xlfn.IFS(G77&lt;164,"Below Average height",G77&gt;=165,"Above Average height",G77=164,"Average height")</f>
        <v>Above Average height</v>
      </c>
      <c r="K77" s="2" t="str" cm="1">
        <f t="array" ref="K77">_xlfn.IFS(E77&lt;=16,"Children",E77&lt;=30,"Young Adults",E77&lt;=45,"Middle-aged Adults",E77&gt;45,"Old Adults")</f>
        <v>Young Adults</v>
      </c>
    </row>
    <row r="78" spans="1:11" x14ac:dyDescent="0.45">
      <c r="A78" s="2">
        <v>85</v>
      </c>
      <c r="B78" s="2" t="s">
        <v>190</v>
      </c>
      <c r="C78" s="2" t="s">
        <v>85</v>
      </c>
      <c r="D78" s="2" t="s">
        <v>16</v>
      </c>
      <c r="E78" s="2">
        <v>19</v>
      </c>
      <c r="F78" s="2">
        <v>75</v>
      </c>
      <c r="G78" s="2">
        <v>173</v>
      </c>
      <c r="H78" s="9">
        <f t="shared" si="1"/>
        <v>25.059307026629689</v>
      </c>
      <c r="I78" s="2" t="str" cm="1">
        <f t="array" ref="I78">_xlfn.IFS(F78&gt;=100,"Over weight",F78&lt;100,"Average weight")</f>
        <v>Average weight</v>
      </c>
      <c r="J78" s="2" t="str" cm="1">
        <f t="array" ref="J78">_xlfn.IFS(G78&lt;164,"Below Average height",G78&gt;=165,"Above Average height",G78=164,"Average height")</f>
        <v>Above Average height</v>
      </c>
      <c r="K78" s="2" t="str" cm="1">
        <f t="array" ref="K78">_xlfn.IFS(E78&lt;=16,"Children",E78&lt;=30,"Young Adults",E78&lt;=45,"Middle-aged Adults",E78&gt;45,"Old Adults")</f>
        <v>Young Adults</v>
      </c>
    </row>
    <row r="79" spans="1:11" x14ac:dyDescent="0.45">
      <c r="A79" s="2">
        <v>86</v>
      </c>
      <c r="B79" s="2" t="s">
        <v>191</v>
      </c>
      <c r="C79" s="2" t="s">
        <v>91</v>
      </c>
      <c r="D79" s="2" t="s">
        <v>70</v>
      </c>
      <c r="E79" s="2">
        <v>24</v>
      </c>
      <c r="F79" s="2">
        <v>91</v>
      </c>
      <c r="G79" s="2">
        <v>188</v>
      </c>
      <c r="H79" s="9">
        <f t="shared" si="1"/>
        <v>25.746944318696244</v>
      </c>
      <c r="I79" s="2" t="str" cm="1">
        <f t="array" ref="I79">_xlfn.IFS(F79&gt;=100,"Over weight",F79&lt;100,"Average weight")</f>
        <v>Average weight</v>
      </c>
      <c r="J79" s="2" t="str" cm="1">
        <f t="array" ref="J79">_xlfn.IFS(G79&lt;164,"Below Average height",G79&gt;=165,"Above Average height",G79=164,"Average height")</f>
        <v>Above Average height</v>
      </c>
      <c r="K79" s="2" t="str" cm="1">
        <f t="array" ref="K79">_xlfn.IFS(E79&lt;=16,"Children",E79&lt;=30,"Young Adults",E79&lt;=45,"Middle-aged Adults",E79&gt;45,"Old Adults")</f>
        <v>Young Adults</v>
      </c>
    </row>
    <row r="80" spans="1:11" x14ac:dyDescent="0.45">
      <c r="A80" s="2">
        <v>87</v>
      </c>
      <c r="B80" s="2" t="s">
        <v>192</v>
      </c>
      <c r="C80" s="2" t="s">
        <v>92</v>
      </c>
      <c r="D80" s="2" t="s">
        <v>60</v>
      </c>
      <c r="E80" s="2">
        <v>27</v>
      </c>
      <c r="F80" s="2">
        <v>110</v>
      </c>
      <c r="G80" s="2">
        <v>186</v>
      </c>
      <c r="H80" s="9">
        <f t="shared" si="1"/>
        <v>31.795583304428252</v>
      </c>
      <c r="I80" s="2" t="str" cm="1">
        <f t="array" ref="I80">_xlfn.IFS(F80&gt;=100,"Over weight",F80&lt;100,"Average weight")</f>
        <v>Over weight</v>
      </c>
      <c r="J80" s="2" t="str" cm="1">
        <f t="array" ref="J80">_xlfn.IFS(G80&lt;164,"Below Average height",G80&gt;=165,"Above Average height",G80=164,"Average height")</f>
        <v>Above Average height</v>
      </c>
      <c r="K80" s="2" t="str" cm="1">
        <f t="array" ref="K80">_xlfn.IFS(E80&lt;=16,"Children",E80&lt;=30,"Young Adults",E80&lt;=45,"Middle-aged Adults",E80&gt;45,"Old Adults")</f>
        <v>Young Adults</v>
      </c>
    </row>
    <row r="81" spans="1:11" x14ac:dyDescent="0.45">
      <c r="A81" s="2">
        <v>89</v>
      </c>
      <c r="B81" s="2" t="s">
        <v>194</v>
      </c>
      <c r="C81" s="2" t="s">
        <v>87</v>
      </c>
      <c r="D81" s="2" t="s">
        <v>42</v>
      </c>
      <c r="E81" s="2">
        <v>24</v>
      </c>
      <c r="F81" s="2">
        <v>68</v>
      </c>
      <c r="G81" s="2">
        <v>171</v>
      </c>
      <c r="H81" s="9">
        <f t="shared" si="1"/>
        <v>23.255018638213471</v>
      </c>
      <c r="I81" s="2" t="str" cm="1">
        <f t="array" ref="I81">_xlfn.IFS(F81&gt;=100,"Over weight",F81&lt;100,"Average weight")</f>
        <v>Average weight</v>
      </c>
      <c r="J81" s="2" t="str" cm="1">
        <f t="array" ref="J81">_xlfn.IFS(G81&lt;164,"Below Average height",G81&gt;=165,"Above Average height",G81=164,"Average height")</f>
        <v>Above Average height</v>
      </c>
      <c r="K81" s="2" t="str" cm="1">
        <f t="array" ref="K81">_xlfn.IFS(E81&lt;=16,"Children",E81&lt;=30,"Young Adults",E81&lt;=45,"Middle-aged Adults",E81&gt;45,"Old Adults")</f>
        <v>Young Adults</v>
      </c>
    </row>
    <row r="82" spans="1:11" x14ac:dyDescent="0.45">
      <c r="A82" s="2">
        <v>91</v>
      </c>
      <c r="B82" s="2" t="s">
        <v>196</v>
      </c>
      <c r="C82" s="2" t="s">
        <v>86</v>
      </c>
      <c r="D82" s="2" t="s">
        <v>80</v>
      </c>
      <c r="E82" s="2">
        <v>25</v>
      </c>
      <c r="F82" s="2">
        <v>110</v>
      </c>
      <c r="G82" s="2">
        <v>175</v>
      </c>
      <c r="H82" s="9">
        <f t="shared" si="1"/>
        <v>35.918367346938773</v>
      </c>
      <c r="I82" s="2" t="str" cm="1">
        <f t="array" ref="I82">_xlfn.IFS(F82&gt;=100,"Over weight",F82&lt;100,"Average weight")</f>
        <v>Over weight</v>
      </c>
      <c r="J82" s="2" t="str" cm="1">
        <f t="array" ref="J82">_xlfn.IFS(G82&lt;164,"Below Average height",G82&gt;=165,"Above Average height",G82=164,"Average height")</f>
        <v>Above Average height</v>
      </c>
      <c r="K82" s="2" t="str" cm="1">
        <f t="array" ref="K82">_xlfn.IFS(E82&lt;=16,"Children",E82&lt;=30,"Young Adults",E82&lt;=45,"Middle-aged Adults",E82&gt;45,"Old Adults")</f>
        <v>Young Adults</v>
      </c>
    </row>
    <row r="83" spans="1:11" x14ac:dyDescent="0.45">
      <c r="A83" s="2">
        <v>92</v>
      </c>
      <c r="B83" s="2" t="s">
        <v>197</v>
      </c>
      <c r="C83" s="2" t="s">
        <v>94</v>
      </c>
      <c r="D83" s="2" t="s">
        <v>37</v>
      </c>
      <c r="E83" s="2">
        <v>20</v>
      </c>
      <c r="F83" s="2">
        <v>70</v>
      </c>
      <c r="G83" s="2">
        <v>174</v>
      </c>
      <c r="H83" s="9">
        <f t="shared" si="1"/>
        <v>23.120623596247853</v>
      </c>
      <c r="I83" s="2" t="str" cm="1">
        <f t="array" ref="I83">_xlfn.IFS(F83&gt;=100,"Over weight",F83&lt;100,"Average weight")</f>
        <v>Average weight</v>
      </c>
      <c r="J83" s="2" t="str" cm="1">
        <f t="array" ref="J83">_xlfn.IFS(G83&lt;164,"Below Average height",G83&gt;=165,"Above Average height",G83=164,"Average height")</f>
        <v>Above Average height</v>
      </c>
      <c r="K83" s="2" t="str" cm="1">
        <f t="array" ref="K83">_xlfn.IFS(E83&lt;=16,"Children",E83&lt;=30,"Young Adults",E83&lt;=45,"Middle-aged Adults",E83&gt;45,"Old Adults")</f>
        <v>Young Adults</v>
      </c>
    </row>
    <row r="84" spans="1:11" x14ac:dyDescent="0.45">
      <c r="A84" s="2">
        <v>93</v>
      </c>
      <c r="B84" s="2" t="s">
        <v>198</v>
      </c>
      <c r="C84" s="2" t="s">
        <v>91</v>
      </c>
      <c r="D84" s="2" t="s">
        <v>70</v>
      </c>
      <c r="E84" s="2">
        <v>33</v>
      </c>
      <c r="F84" s="2">
        <v>86</v>
      </c>
      <c r="G84" s="2">
        <v>183</v>
      </c>
      <c r="H84" s="9">
        <f t="shared" si="1"/>
        <v>25.680074054167036</v>
      </c>
      <c r="I84" s="2" t="str" cm="1">
        <f t="array" ref="I84">_xlfn.IFS(F84&gt;=100,"Over weight",F84&lt;100,"Average weight")</f>
        <v>Average weight</v>
      </c>
      <c r="J84" s="2" t="str" cm="1">
        <f t="array" ref="J84">_xlfn.IFS(G84&lt;164,"Below Average height",G84&gt;=165,"Above Average height",G84=164,"Average height")</f>
        <v>Above Average height</v>
      </c>
      <c r="K84" s="2" t="str" cm="1">
        <f t="array" ref="K84">_xlfn.IFS(E84&lt;=16,"Children",E84&lt;=30,"Young Adults",E84&lt;=45,"Middle-aged Adults",E84&gt;45,"Old Adults")</f>
        <v>Middle-aged Adults</v>
      </c>
    </row>
    <row r="85" spans="1:11" x14ac:dyDescent="0.45">
      <c r="A85" s="2">
        <v>94</v>
      </c>
      <c r="B85" s="2" t="s">
        <v>199</v>
      </c>
      <c r="C85" s="2" t="s">
        <v>96</v>
      </c>
      <c r="D85" s="2" t="s">
        <v>14</v>
      </c>
      <c r="E85" s="2">
        <v>38</v>
      </c>
      <c r="F85" s="2">
        <v>110</v>
      </c>
      <c r="G85" s="2">
        <v>165</v>
      </c>
      <c r="H85" s="9">
        <f t="shared" si="1"/>
        <v>40.404040404040408</v>
      </c>
      <c r="I85" s="2" t="str" cm="1">
        <f t="array" ref="I85">_xlfn.IFS(F85&gt;=100,"Over weight",F85&lt;100,"Average weight")</f>
        <v>Over weight</v>
      </c>
      <c r="J85" s="2" t="str" cm="1">
        <f t="array" ref="J85">_xlfn.IFS(G85&lt;164,"Below Average height",G85&gt;=165,"Above Average height",G85=164,"Average height")</f>
        <v>Above Average height</v>
      </c>
      <c r="K85" s="2" t="str" cm="1">
        <f t="array" ref="K85">_xlfn.IFS(E85&lt;=16,"Children",E85&lt;=30,"Young Adults",E85&lt;=45,"Middle-aged Adults",E85&gt;45,"Old Adults")</f>
        <v>Middle-aged Adults</v>
      </c>
    </row>
    <row r="86" spans="1:11" x14ac:dyDescent="0.45">
      <c r="A86" s="2">
        <v>95</v>
      </c>
      <c r="B86" s="2" t="s">
        <v>200</v>
      </c>
      <c r="C86" s="2" t="s">
        <v>94</v>
      </c>
      <c r="D86" s="2" t="s">
        <v>26</v>
      </c>
      <c r="E86" s="2">
        <v>21</v>
      </c>
      <c r="F86" s="2">
        <v>60</v>
      </c>
      <c r="G86" s="2">
        <v>167</v>
      </c>
      <c r="H86" s="9">
        <f t="shared" si="1"/>
        <v>21.513858510523864</v>
      </c>
      <c r="I86" s="2" t="str" cm="1">
        <f t="array" ref="I86">_xlfn.IFS(F86&gt;=100,"Over weight",F86&lt;100,"Average weight")</f>
        <v>Average weight</v>
      </c>
      <c r="J86" s="2" t="str" cm="1">
        <f t="array" ref="J86">_xlfn.IFS(G86&lt;164,"Below Average height",G86&gt;=165,"Above Average height",G86=164,"Average height")</f>
        <v>Above Average height</v>
      </c>
      <c r="K86" s="2" t="str" cm="1">
        <f t="array" ref="K86">_xlfn.IFS(E86&lt;=16,"Children",E86&lt;=30,"Young Adults",E86&lt;=45,"Middle-aged Adults",E86&gt;45,"Old Adults")</f>
        <v>Young Adults</v>
      </c>
    </row>
    <row r="87" spans="1:11" x14ac:dyDescent="0.45">
      <c r="A87" s="2">
        <v>96</v>
      </c>
      <c r="B87" s="2" t="s">
        <v>201</v>
      </c>
      <c r="C87" s="2" t="s">
        <v>85</v>
      </c>
      <c r="D87" s="2" t="s">
        <v>26</v>
      </c>
      <c r="E87" s="2">
        <v>21</v>
      </c>
      <c r="F87" s="2">
        <v>70</v>
      </c>
      <c r="G87" s="2">
        <v>170</v>
      </c>
      <c r="H87" s="9">
        <f t="shared" si="1"/>
        <v>24.221453287197235</v>
      </c>
      <c r="I87" s="2" t="str" cm="1">
        <f t="array" ref="I87">_xlfn.IFS(F87&gt;=100,"Over weight",F87&lt;100,"Average weight")</f>
        <v>Average weight</v>
      </c>
      <c r="J87" s="2" t="str" cm="1">
        <f t="array" ref="J87">_xlfn.IFS(G87&lt;164,"Below Average height",G87&gt;=165,"Above Average height",G87=164,"Average height")</f>
        <v>Above Average height</v>
      </c>
      <c r="K87" s="2" t="str" cm="1">
        <f t="array" ref="K87">_xlfn.IFS(E87&lt;=16,"Children",E87&lt;=30,"Young Adults",E87&lt;=45,"Middle-aged Adults",E87&gt;45,"Old Adults")</f>
        <v>Young Adults</v>
      </c>
    </row>
    <row r="88" spans="1:11" x14ac:dyDescent="0.45">
      <c r="A88" s="2">
        <v>97</v>
      </c>
      <c r="B88" s="2" t="s">
        <v>202</v>
      </c>
      <c r="C88" s="2" t="s">
        <v>91</v>
      </c>
      <c r="D88" s="2" t="s">
        <v>46</v>
      </c>
      <c r="E88" s="2">
        <v>23</v>
      </c>
      <c r="F88" s="2">
        <v>87</v>
      </c>
      <c r="G88" s="2">
        <v>186</v>
      </c>
      <c r="H88" s="9">
        <f t="shared" si="1"/>
        <v>25.14741588622962</v>
      </c>
      <c r="I88" s="2" t="str" cm="1">
        <f t="array" ref="I88">_xlfn.IFS(F88&gt;=100,"Over weight",F88&lt;100,"Average weight")</f>
        <v>Average weight</v>
      </c>
      <c r="J88" s="2" t="str" cm="1">
        <f t="array" ref="J88">_xlfn.IFS(G88&lt;164,"Below Average height",G88&gt;=165,"Above Average height",G88=164,"Average height")</f>
        <v>Above Average height</v>
      </c>
      <c r="K88" s="2" t="str" cm="1">
        <f t="array" ref="K88">_xlfn.IFS(E88&lt;=16,"Children",E88&lt;=30,"Young Adults",E88&lt;=45,"Middle-aged Adults",E88&gt;45,"Old Adults")</f>
        <v>Young Adults</v>
      </c>
    </row>
    <row r="89" spans="1:11" x14ac:dyDescent="0.45">
      <c r="A89" s="2">
        <v>98</v>
      </c>
      <c r="B89" s="2" t="s">
        <v>203</v>
      </c>
      <c r="C89" s="2" t="s">
        <v>90</v>
      </c>
      <c r="D89" s="2" t="s">
        <v>28</v>
      </c>
      <c r="E89" s="2">
        <v>30</v>
      </c>
      <c r="F89" s="2">
        <v>94</v>
      </c>
      <c r="G89" s="2">
        <v>181</v>
      </c>
      <c r="H89" s="9">
        <f t="shared" si="1"/>
        <v>28.692652849424622</v>
      </c>
      <c r="I89" s="2" t="str" cm="1">
        <f t="array" ref="I89">_xlfn.IFS(F89&gt;=100,"Over weight",F89&lt;100,"Average weight")</f>
        <v>Average weight</v>
      </c>
      <c r="J89" s="2" t="str" cm="1">
        <f t="array" ref="J89">_xlfn.IFS(G89&lt;164,"Below Average height",G89&gt;=165,"Above Average height",G89=164,"Average height")</f>
        <v>Above Average height</v>
      </c>
      <c r="K89" s="2" t="str" cm="1">
        <f t="array" ref="K89">_xlfn.IFS(E89&lt;=16,"Children",E89&lt;=30,"Young Adults",E89&lt;=45,"Middle-aged Adults",E89&gt;45,"Old Adults")</f>
        <v>Young Adults</v>
      </c>
    </row>
    <row r="90" spans="1:11" x14ac:dyDescent="0.45">
      <c r="A90" s="2">
        <v>99</v>
      </c>
      <c r="B90" s="2" t="s">
        <v>204</v>
      </c>
      <c r="C90" s="2" t="s">
        <v>85</v>
      </c>
      <c r="D90" s="2" t="s">
        <v>7</v>
      </c>
      <c r="E90" s="2">
        <v>31</v>
      </c>
      <c r="F90" s="2">
        <v>60</v>
      </c>
      <c r="G90" s="2">
        <v>167</v>
      </c>
      <c r="H90" s="9">
        <f t="shared" si="1"/>
        <v>21.513858510523864</v>
      </c>
      <c r="I90" s="2" t="str" cm="1">
        <f t="array" ref="I90">_xlfn.IFS(F90&gt;=100,"Over weight",F90&lt;100,"Average weight")</f>
        <v>Average weight</v>
      </c>
      <c r="J90" s="2" t="str" cm="1">
        <f t="array" ref="J90">_xlfn.IFS(G90&lt;164,"Below Average height",G90&gt;=165,"Above Average height",G90=164,"Average height")</f>
        <v>Above Average height</v>
      </c>
      <c r="K90" s="2" t="str" cm="1">
        <f t="array" ref="K90">_xlfn.IFS(E90&lt;=16,"Children",E90&lt;=30,"Young Adults",E90&lt;=45,"Middle-aged Adults",E90&gt;45,"Old Adults")</f>
        <v>Middle-aged Adults</v>
      </c>
    </row>
    <row r="91" spans="1:11" x14ac:dyDescent="0.45">
      <c r="A91" s="2">
        <v>100</v>
      </c>
      <c r="B91" s="2" t="s">
        <v>205</v>
      </c>
      <c r="C91" s="2" t="s">
        <v>91</v>
      </c>
      <c r="D91" s="2" t="s">
        <v>60</v>
      </c>
      <c r="E91" s="2">
        <v>29</v>
      </c>
      <c r="F91" s="2">
        <v>94</v>
      </c>
      <c r="G91" s="2">
        <v>190</v>
      </c>
      <c r="H91" s="9">
        <f t="shared" si="1"/>
        <v>26.038781163434905</v>
      </c>
      <c r="I91" s="2" t="str" cm="1">
        <f t="array" ref="I91">_xlfn.IFS(F91&gt;=100,"Over weight",F91&lt;100,"Average weight")</f>
        <v>Average weight</v>
      </c>
      <c r="J91" s="2" t="str" cm="1">
        <f t="array" ref="J91">_xlfn.IFS(G91&lt;164,"Below Average height",G91&gt;=165,"Above Average height",G91=164,"Average height")</f>
        <v>Above Average height</v>
      </c>
      <c r="K91" s="2" t="str" cm="1">
        <f t="array" ref="K91">_xlfn.IFS(E91&lt;=16,"Children",E91&lt;=30,"Young Adults",E91&lt;=45,"Middle-aged Adults",E91&gt;45,"Old Adults")</f>
        <v>Young Adults</v>
      </c>
    </row>
    <row r="92" spans="1:11" x14ac:dyDescent="0.45">
      <c r="A92" s="2">
        <v>101</v>
      </c>
      <c r="B92" s="2" t="s">
        <v>206</v>
      </c>
      <c r="C92" s="2" t="s">
        <v>98</v>
      </c>
      <c r="D92" s="2" t="s">
        <v>14</v>
      </c>
      <c r="E92" s="2">
        <v>24</v>
      </c>
      <c r="F92" s="2">
        <v>70</v>
      </c>
      <c r="G92" s="2">
        <v>176</v>
      </c>
      <c r="H92" s="9">
        <f t="shared" si="1"/>
        <v>22.598140495867771</v>
      </c>
      <c r="I92" s="2" t="str" cm="1">
        <f t="array" ref="I92">_xlfn.IFS(F92&gt;=100,"Over weight",F92&lt;100,"Average weight")</f>
        <v>Average weight</v>
      </c>
      <c r="J92" s="2" t="str" cm="1">
        <f t="array" ref="J92">_xlfn.IFS(G92&lt;164,"Below Average height",G92&gt;=165,"Above Average height",G92=164,"Average height")</f>
        <v>Above Average height</v>
      </c>
      <c r="K92" s="2" t="str" cm="1">
        <f t="array" ref="K92">_xlfn.IFS(E92&lt;=16,"Children",E92&lt;=30,"Young Adults",E92&lt;=45,"Middle-aged Adults",E92&gt;45,"Old Adults")</f>
        <v>Young Adults</v>
      </c>
    </row>
    <row r="93" spans="1:11" x14ac:dyDescent="0.45">
      <c r="A93" s="2">
        <v>102</v>
      </c>
      <c r="B93" s="2" t="s">
        <v>207</v>
      </c>
      <c r="C93" s="2" t="s">
        <v>93</v>
      </c>
      <c r="D93" s="2" t="s">
        <v>14</v>
      </c>
      <c r="E93" s="2">
        <v>21</v>
      </c>
      <c r="F93" s="2">
        <v>75</v>
      </c>
      <c r="G93" s="2">
        <v>170</v>
      </c>
      <c r="H93" s="9">
        <f t="shared" si="1"/>
        <v>25.95155709342561</v>
      </c>
      <c r="I93" s="2" t="str" cm="1">
        <f t="array" ref="I93">_xlfn.IFS(F93&gt;=100,"Over weight",F93&lt;100,"Average weight")</f>
        <v>Average weight</v>
      </c>
      <c r="J93" s="2" t="str" cm="1">
        <f t="array" ref="J93">_xlfn.IFS(G93&lt;164,"Below Average height",G93&gt;=165,"Above Average height",G93=164,"Average height")</f>
        <v>Above Average height</v>
      </c>
      <c r="K93" s="2" t="str" cm="1">
        <f t="array" ref="K93">_xlfn.IFS(E93&lt;=16,"Children",E93&lt;=30,"Young Adults",E93&lt;=45,"Middle-aged Adults",E93&gt;45,"Old Adults")</f>
        <v>Young Adults</v>
      </c>
    </row>
    <row r="94" spans="1:11" x14ac:dyDescent="0.45">
      <c r="A94" s="2">
        <v>103</v>
      </c>
      <c r="B94" s="2" t="s">
        <v>208</v>
      </c>
      <c r="C94" s="2" t="s">
        <v>86</v>
      </c>
      <c r="D94" s="2" t="s">
        <v>80</v>
      </c>
      <c r="E94" s="2">
        <v>20</v>
      </c>
      <c r="F94" s="2">
        <v>110</v>
      </c>
      <c r="G94" s="2">
        <v>188</v>
      </c>
      <c r="H94" s="9">
        <f t="shared" si="1"/>
        <v>31.122679945676779</v>
      </c>
      <c r="I94" s="2" t="str" cm="1">
        <f t="array" ref="I94">_xlfn.IFS(F94&gt;=100,"Over weight",F94&lt;100,"Average weight")</f>
        <v>Over weight</v>
      </c>
      <c r="J94" s="2" t="str" cm="1">
        <f t="array" ref="J94">_xlfn.IFS(G94&lt;164,"Below Average height",G94&gt;=165,"Above Average height",G94=164,"Average height")</f>
        <v>Above Average height</v>
      </c>
      <c r="K94" s="2" t="str" cm="1">
        <f t="array" ref="K94">_xlfn.IFS(E94&lt;=16,"Children",E94&lt;=30,"Young Adults",E94&lt;=45,"Middle-aged Adults",E94&gt;45,"Old Adults")</f>
        <v>Young Adults</v>
      </c>
    </row>
    <row r="95" spans="1:11" x14ac:dyDescent="0.45">
      <c r="A95" s="2">
        <v>104</v>
      </c>
      <c r="B95" s="2" t="s">
        <v>209</v>
      </c>
      <c r="C95" s="2" t="s">
        <v>94</v>
      </c>
      <c r="D95" s="2" t="s">
        <v>70</v>
      </c>
      <c r="E95" s="2">
        <v>34</v>
      </c>
      <c r="F95" s="2">
        <v>82</v>
      </c>
      <c r="G95" s="2">
        <v>188</v>
      </c>
      <c r="H95" s="9">
        <f t="shared" si="1"/>
        <v>23.20054323223178</v>
      </c>
      <c r="I95" s="2" t="str" cm="1">
        <f t="array" ref="I95">_xlfn.IFS(F95&gt;=100,"Over weight",F95&lt;100,"Average weight")</f>
        <v>Average weight</v>
      </c>
      <c r="J95" s="2" t="str" cm="1">
        <f t="array" ref="J95">_xlfn.IFS(G95&lt;164,"Below Average height",G95&gt;=165,"Above Average height",G95=164,"Average height")</f>
        <v>Above Average height</v>
      </c>
      <c r="K95" s="2" t="str" cm="1">
        <f t="array" ref="K95">_xlfn.IFS(E95&lt;=16,"Children",E95&lt;=30,"Young Adults",E95&lt;=45,"Middle-aged Adults",E95&gt;45,"Old Adults")</f>
        <v>Middle-aged Adults</v>
      </c>
    </row>
    <row r="96" spans="1:11" x14ac:dyDescent="0.45">
      <c r="A96" s="2">
        <v>105</v>
      </c>
      <c r="B96" s="2" t="s">
        <v>210</v>
      </c>
      <c r="C96" s="2" t="s">
        <v>97</v>
      </c>
      <c r="D96" s="2" t="s">
        <v>39</v>
      </c>
      <c r="E96" s="2">
        <v>19</v>
      </c>
      <c r="F96" s="2">
        <v>66</v>
      </c>
      <c r="G96" s="2">
        <v>174</v>
      </c>
      <c r="H96" s="9">
        <f t="shared" si="1"/>
        <v>21.799445105033691</v>
      </c>
      <c r="I96" s="2" t="str" cm="1">
        <f t="array" ref="I96">_xlfn.IFS(F96&gt;=100,"Over weight",F96&lt;100,"Average weight")</f>
        <v>Average weight</v>
      </c>
      <c r="J96" s="2" t="str" cm="1">
        <f t="array" ref="J96">_xlfn.IFS(G96&lt;164,"Below Average height",G96&gt;=165,"Above Average height",G96=164,"Average height")</f>
        <v>Above Average height</v>
      </c>
      <c r="K96" s="2" t="str" cm="1">
        <f t="array" ref="K96">_xlfn.IFS(E96&lt;=16,"Children",E96&lt;=30,"Young Adults",E96&lt;=45,"Middle-aged Adults",E96&gt;45,"Old Adults")</f>
        <v>Young Adults</v>
      </c>
    </row>
    <row r="97" spans="1:11" x14ac:dyDescent="0.45">
      <c r="A97" s="2">
        <v>106</v>
      </c>
      <c r="B97" s="2" t="s">
        <v>211</v>
      </c>
      <c r="C97" s="2" t="s">
        <v>88</v>
      </c>
      <c r="D97" s="2" t="s">
        <v>71</v>
      </c>
      <c r="E97" s="2">
        <v>24</v>
      </c>
      <c r="F97" s="2">
        <v>77</v>
      </c>
      <c r="G97" s="2">
        <v>183</v>
      </c>
      <c r="H97" s="9">
        <f t="shared" si="1"/>
        <v>22.99262444384723</v>
      </c>
      <c r="I97" s="2" t="str" cm="1">
        <f t="array" ref="I97">_xlfn.IFS(F97&gt;=100,"Over weight",F97&lt;100,"Average weight")</f>
        <v>Average weight</v>
      </c>
      <c r="J97" s="2" t="str" cm="1">
        <f t="array" ref="J97">_xlfn.IFS(G97&lt;164,"Below Average height",G97&gt;=165,"Above Average height",G97=164,"Average height")</f>
        <v>Above Average height</v>
      </c>
      <c r="K97" s="2" t="str" cm="1">
        <f t="array" ref="K97">_xlfn.IFS(E97&lt;=16,"Children",E97&lt;=30,"Young Adults",E97&lt;=45,"Middle-aged Adults",E97&gt;45,"Old Adults")</f>
        <v>Young Adults</v>
      </c>
    </row>
    <row r="98" spans="1:11" x14ac:dyDescent="0.45">
      <c r="A98" s="2">
        <v>107</v>
      </c>
      <c r="B98" s="2" t="s">
        <v>212</v>
      </c>
      <c r="C98" s="2" t="s">
        <v>94</v>
      </c>
      <c r="D98" s="2" t="s">
        <v>21</v>
      </c>
      <c r="E98" s="2">
        <v>32</v>
      </c>
      <c r="F98" s="2">
        <v>73</v>
      </c>
      <c r="G98" s="2">
        <v>181</v>
      </c>
      <c r="H98" s="9">
        <f t="shared" si="1"/>
        <v>22.282592106468055</v>
      </c>
      <c r="I98" s="2" t="str" cm="1">
        <f t="array" ref="I98">_xlfn.IFS(F98&gt;=100,"Over weight",F98&lt;100,"Average weight")</f>
        <v>Average weight</v>
      </c>
      <c r="J98" s="2" t="str" cm="1">
        <f t="array" ref="J98">_xlfn.IFS(G98&lt;164,"Below Average height",G98&gt;=165,"Above Average height",G98=164,"Average height")</f>
        <v>Above Average height</v>
      </c>
      <c r="K98" s="2" t="str" cm="1">
        <f t="array" ref="K98">_xlfn.IFS(E98&lt;=16,"Children",E98&lt;=30,"Young Adults",E98&lt;=45,"Middle-aged Adults",E98&gt;45,"Old Adults")</f>
        <v>Middle-aged Adults</v>
      </c>
    </row>
    <row r="99" spans="1:11" x14ac:dyDescent="0.45">
      <c r="A99" s="2">
        <v>108</v>
      </c>
      <c r="B99" s="2" t="s">
        <v>213</v>
      </c>
      <c r="C99" s="2" t="s">
        <v>87</v>
      </c>
      <c r="D99" s="2" t="s">
        <v>14</v>
      </c>
      <c r="E99" s="2">
        <v>30</v>
      </c>
      <c r="F99" s="2">
        <v>62</v>
      </c>
      <c r="G99" s="2">
        <v>165</v>
      </c>
      <c r="H99" s="9">
        <f t="shared" si="1"/>
        <v>22.77318640955005</v>
      </c>
      <c r="I99" s="2" t="str" cm="1">
        <f t="array" ref="I99">_xlfn.IFS(F99&gt;=100,"Over weight",F99&lt;100,"Average weight")</f>
        <v>Average weight</v>
      </c>
      <c r="J99" s="2" t="str" cm="1">
        <f t="array" ref="J99">_xlfn.IFS(G99&lt;164,"Below Average height",G99&gt;=165,"Above Average height",G99=164,"Average height")</f>
        <v>Above Average height</v>
      </c>
      <c r="K99" s="2" t="str" cm="1">
        <f t="array" ref="K99">_xlfn.IFS(E99&lt;=16,"Children",E99&lt;=30,"Young Adults",E99&lt;=45,"Middle-aged Adults",E99&gt;45,"Old Adults")</f>
        <v>Young Adults</v>
      </c>
    </row>
    <row r="100" spans="1:11" x14ac:dyDescent="0.45">
      <c r="A100" s="2">
        <v>109</v>
      </c>
      <c r="B100" s="2" t="s">
        <v>214</v>
      </c>
      <c r="C100" s="2" t="s">
        <v>90</v>
      </c>
      <c r="D100" s="2" t="s">
        <v>75</v>
      </c>
      <c r="E100" s="2">
        <v>24</v>
      </c>
      <c r="F100" s="2">
        <v>100</v>
      </c>
      <c r="G100" s="2">
        <v>180</v>
      </c>
      <c r="H100" s="9">
        <f t="shared" si="1"/>
        <v>30.864197530864196</v>
      </c>
      <c r="I100" s="2" t="str" cm="1">
        <f t="array" ref="I100">_xlfn.IFS(F100&gt;=100,"Over weight",F100&lt;100,"Average weight")</f>
        <v>Over weight</v>
      </c>
      <c r="J100" s="2" t="str" cm="1">
        <f t="array" ref="J100">_xlfn.IFS(G100&lt;164,"Below Average height",G100&gt;=165,"Above Average height",G100=164,"Average height")</f>
        <v>Above Average height</v>
      </c>
      <c r="K100" s="2" t="str" cm="1">
        <f t="array" ref="K100">_xlfn.IFS(E100&lt;=16,"Children",E100&lt;=30,"Young Adults",E100&lt;=45,"Middle-aged Adults",E100&gt;45,"Old Adults")</f>
        <v>Young Adults</v>
      </c>
    </row>
    <row r="101" spans="1:11" x14ac:dyDescent="0.45">
      <c r="A101" s="2">
        <v>110</v>
      </c>
      <c r="B101" s="2" t="s">
        <v>215</v>
      </c>
      <c r="C101" s="2" t="s">
        <v>85</v>
      </c>
      <c r="D101" s="2" t="s">
        <v>6</v>
      </c>
      <c r="E101" s="2">
        <v>24</v>
      </c>
      <c r="F101" s="2">
        <v>91</v>
      </c>
      <c r="G101" s="2">
        <v>184</v>
      </c>
      <c r="H101" s="9">
        <f t="shared" si="1"/>
        <v>26.878544423440452</v>
      </c>
      <c r="I101" s="2" t="str" cm="1">
        <f t="array" ref="I101">_xlfn.IFS(F101&gt;=100,"Over weight",F101&lt;100,"Average weight")</f>
        <v>Average weight</v>
      </c>
      <c r="J101" s="2" t="str" cm="1">
        <f t="array" ref="J101">_xlfn.IFS(G101&lt;164,"Below Average height",G101&gt;=165,"Above Average height",G101=164,"Average height")</f>
        <v>Above Average height</v>
      </c>
      <c r="K101" s="2" t="str" cm="1">
        <f t="array" ref="K101">_xlfn.IFS(E101&lt;=16,"Children",E101&lt;=30,"Young Adults",E101&lt;=45,"Middle-aged Adults",E101&gt;45,"Old Adults")</f>
        <v>Young Adults</v>
      </c>
    </row>
    <row r="102" spans="1:11" x14ac:dyDescent="0.45">
      <c r="A102" s="2">
        <v>111</v>
      </c>
      <c r="B102" s="2" t="s">
        <v>216</v>
      </c>
      <c r="C102" s="2" t="s">
        <v>93</v>
      </c>
      <c r="D102" s="2" t="s">
        <v>80</v>
      </c>
      <c r="E102" s="2">
        <v>28</v>
      </c>
      <c r="F102" s="2">
        <v>93</v>
      </c>
      <c r="G102" s="2">
        <v>183</v>
      </c>
      <c r="H102" s="9">
        <f t="shared" si="1"/>
        <v>27.77031263997133</v>
      </c>
      <c r="I102" s="2" t="str" cm="1">
        <f t="array" ref="I102">_xlfn.IFS(F102&gt;=100,"Over weight",F102&lt;100,"Average weight")</f>
        <v>Average weight</v>
      </c>
      <c r="J102" s="2" t="str" cm="1">
        <f t="array" ref="J102">_xlfn.IFS(G102&lt;164,"Below Average height",G102&gt;=165,"Above Average height",G102=164,"Average height")</f>
        <v>Above Average height</v>
      </c>
      <c r="K102" s="2" t="str" cm="1">
        <f t="array" ref="K102">_xlfn.IFS(E102&lt;=16,"Children",E102&lt;=30,"Young Adults",E102&lt;=45,"Middle-aged Adults",E102&gt;45,"Old Adults")</f>
        <v>Young Adults</v>
      </c>
    </row>
    <row r="103" spans="1:11" x14ac:dyDescent="0.45">
      <c r="A103" s="2">
        <v>114</v>
      </c>
      <c r="B103" s="2" t="s">
        <v>219</v>
      </c>
      <c r="C103" s="2" t="s">
        <v>98</v>
      </c>
      <c r="D103" s="2" t="s">
        <v>39</v>
      </c>
      <c r="E103" s="2">
        <v>22</v>
      </c>
      <c r="F103" s="2">
        <v>63</v>
      </c>
      <c r="G103" s="2">
        <v>170</v>
      </c>
      <c r="H103" s="9">
        <f t="shared" si="1"/>
        <v>21.79930795847751</v>
      </c>
      <c r="I103" s="2" t="str" cm="1">
        <f t="array" ref="I103">_xlfn.IFS(F103&gt;=100,"Over weight",F103&lt;100,"Average weight")</f>
        <v>Average weight</v>
      </c>
      <c r="J103" s="2" t="str" cm="1">
        <f t="array" ref="J103">_xlfn.IFS(G103&lt;164,"Below Average height",G103&gt;=165,"Above Average height",G103=164,"Average height")</f>
        <v>Above Average height</v>
      </c>
      <c r="K103" s="2" t="str" cm="1">
        <f t="array" ref="K103">_xlfn.IFS(E103&lt;=16,"Children",E103&lt;=30,"Young Adults",E103&lt;=45,"Middle-aged Adults",E103&gt;45,"Old Adults")</f>
        <v>Young Adults</v>
      </c>
    </row>
    <row r="104" spans="1:11" x14ac:dyDescent="0.45">
      <c r="A104" s="2">
        <v>115</v>
      </c>
      <c r="B104" s="2" t="s">
        <v>220</v>
      </c>
      <c r="C104" s="2" t="s">
        <v>88</v>
      </c>
      <c r="D104" s="2" t="s">
        <v>26</v>
      </c>
      <c r="E104" s="2">
        <v>21</v>
      </c>
      <c r="F104" s="2">
        <v>65</v>
      </c>
      <c r="G104" s="2">
        <v>173</v>
      </c>
      <c r="H104" s="9">
        <f t="shared" si="1"/>
        <v>21.718066089745729</v>
      </c>
      <c r="I104" s="2" t="str" cm="1">
        <f t="array" ref="I104">_xlfn.IFS(F104&gt;=100,"Over weight",F104&lt;100,"Average weight")</f>
        <v>Average weight</v>
      </c>
      <c r="J104" s="2" t="str" cm="1">
        <f t="array" ref="J104">_xlfn.IFS(G104&lt;164,"Below Average height",G104&gt;=165,"Above Average height",G104=164,"Average height")</f>
        <v>Above Average height</v>
      </c>
      <c r="K104" s="2" t="str" cm="1">
        <f t="array" ref="K104">_xlfn.IFS(E104&lt;=16,"Children",E104&lt;=30,"Young Adults",E104&lt;=45,"Middle-aged Adults",E104&gt;45,"Old Adults")</f>
        <v>Young Adults</v>
      </c>
    </row>
    <row r="105" spans="1:11" x14ac:dyDescent="0.45">
      <c r="A105" s="2">
        <v>116</v>
      </c>
      <c r="B105" s="2" t="s">
        <v>221</v>
      </c>
      <c r="C105" s="2" t="s">
        <v>88</v>
      </c>
      <c r="D105" s="2" t="s">
        <v>26</v>
      </c>
      <c r="E105" s="2">
        <v>34</v>
      </c>
      <c r="F105" s="2">
        <v>54</v>
      </c>
      <c r="G105" s="2">
        <v>166</v>
      </c>
      <c r="H105" s="9">
        <f t="shared" si="1"/>
        <v>19.596458121643199</v>
      </c>
      <c r="I105" s="2" t="str" cm="1">
        <f t="array" ref="I105">_xlfn.IFS(F105&gt;=100,"Over weight",F105&lt;100,"Average weight")</f>
        <v>Average weight</v>
      </c>
      <c r="J105" s="2" t="str" cm="1">
        <f t="array" ref="J105">_xlfn.IFS(G105&lt;164,"Below Average height",G105&gt;=165,"Above Average height",G105=164,"Average height")</f>
        <v>Above Average height</v>
      </c>
      <c r="K105" s="2" t="str" cm="1">
        <f t="array" ref="K105">_xlfn.IFS(E105&lt;=16,"Children",E105&lt;=30,"Young Adults",E105&lt;=45,"Middle-aged Adults",E105&gt;45,"Old Adults")</f>
        <v>Middle-aged Adults</v>
      </c>
    </row>
    <row r="106" spans="1:11" x14ac:dyDescent="0.45">
      <c r="A106" s="2">
        <v>118</v>
      </c>
      <c r="B106" s="2" t="s">
        <v>223</v>
      </c>
      <c r="C106" s="2" t="s">
        <v>90</v>
      </c>
      <c r="D106" s="2" t="s">
        <v>58</v>
      </c>
      <c r="E106" s="2">
        <v>33</v>
      </c>
      <c r="F106" s="2">
        <v>87</v>
      </c>
      <c r="G106" s="2">
        <v>177</v>
      </c>
      <c r="H106" s="9">
        <f t="shared" si="1"/>
        <v>27.769797950780426</v>
      </c>
      <c r="I106" s="2" t="str" cm="1">
        <f t="array" ref="I106">_xlfn.IFS(F106&gt;=100,"Over weight",F106&lt;100,"Average weight")</f>
        <v>Average weight</v>
      </c>
      <c r="J106" s="2" t="str" cm="1">
        <f t="array" ref="J106">_xlfn.IFS(G106&lt;164,"Below Average height",G106&gt;=165,"Above Average height",G106=164,"Average height")</f>
        <v>Above Average height</v>
      </c>
      <c r="K106" s="2" t="str" cm="1">
        <f t="array" ref="K106">_xlfn.IFS(E106&lt;=16,"Children",E106&lt;=30,"Young Adults",E106&lt;=45,"Middle-aged Adults",E106&gt;45,"Old Adults")</f>
        <v>Middle-aged Adults</v>
      </c>
    </row>
    <row r="107" spans="1:11" x14ac:dyDescent="0.45">
      <c r="A107" s="2">
        <v>119</v>
      </c>
      <c r="B107" s="2" t="s">
        <v>224</v>
      </c>
      <c r="C107" s="2" t="s">
        <v>98</v>
      </c>
      <c r="D107" s="2" t="s">
        <v>28</v>
      </c>
      <c r="E107" s="2">
        <v>22</v>
      </c>
      <c r="F107" s="2">
        <v>75</v>
      </c>
      <c r="G107" s="2">
        <v>184</v>
      </c>
      <c r="H107" s="9">
        <f t="shared" si="1"/>
        <v>22.152646502835537</v>
      </c>
      <c r="I107" s="2" t="str" cm="1">
        <f t="array" ref="I107">_xlfn.IFS(F107&gt;=100,"Over weight",F107&lt;100,"Average weight")</f>
        <v>Average weight</v>
      </c>
      <c r="J107" s="2" t="str" cm="1">
        <f t="array" ref="J107">_xlfn.IFS(G107&lt;164,"Below Average height",G107&gt;=165,"Above Average height",G107=164,"Average height")</f>
        <v>Above Average height</v>
      </c>
      <c r="K107" s="2" t="str" cm="1">
        <f t="array" ref="K107">_xlfn.IFS(E107&lt;=16,"Children",E107&lt;=30,"Young Adults",E107&lt;=45,"Middle-aged Adults",E107&gt;45,"Old Adults")</f>
        <v>Young Adults</v>
      </c>
    </row>
    <row r="108" spans="1:11" x14ac:dyDescent="0.45">
      <c r="A108" s="2">
        <v>120</v>
      </c>
      <c r="B108" s="2" t="s">
        <v>225</v>
      </c>
      <c r="C108" s="2" t="s">
        <v>89</v>
      </c>
      <c r="D108" s="2" t="s">
        <v>28</v>
      </c>
      <c r="E108" s="2">
        <v>19</v>
      </c>
      <c r="F108" s="2">
        <v>74</v>
      </c>
      <c r="G108" s="2">
        <v>180</v>
      </c>
      <c r="H108" s="9">
        <f t="shared" si="1"/>
        <v>22.839506172839506</v>
      </c>
      <c r="I108" s="2" t="str" cm="1">
        <f t="array" ref="I108">_xlfn.IFS(F108&gt;=100,"Over weight",F108&lt;100,"Average weight")</f>
        <v>Average weight</v>
      </c>
      <c r="J108" s="2" t="str" cm="1">
        <f t="array" ref="J108">_xlfn.IFS(G108&lt;164,"Below Average height",G108&gt;=165,"Above Average height",G108=164,"Average height")</f>
        <v>Above Average height</v>
      </c>
      <c r="K108" s="2" t="str" cm="1">
        <f t="array" ref="K108">_xlfn.IFS(E108&lt;=16,"Children",E108&lt;=30,"Young Adults",E108&lt;=45,"Middle-aged Adults",E108&gt;45,"Old Adults")</f>
        <v>Young Adults</v>
      </c>
    </row>
    <row r="109" spans="1:11" x14ac:dyDescent="0.45">
      <c r="A109" s="2">
        <v>121</v>
      </c>
      <c r="B109" s="2" t="s">
        <v>226</v>
      </c>
      <c r="C109" s="2" t="s">
        <v>89</v>
      </c>
      <c r="D109" s="2" t="s">
        <v>28</v>
      </c>
      <c r="E109" s="2">
        <v>21</v>
      </c>
      <c r="F109" s="2">
        <v>69</v>
      </c>
      <c r="G109" s="2">
        <v>172</v>
      </c>
      <c r="H109" s="9">
        <f t="shared" si="1"/>
        <v>23.323418063818284</v>
      </c>
      <c r="I109" s="2" t="str" cm="1">
        <f t="array" ref="I109">_xlfn.IFS(F109&gt;=100,"Over weight",F109&lt;100,"Average weight")</f>
        <v>Average weight</v>
      </c>
      <c r="J109" s="2" t="str" cm="1">
        <f t="array" ref="J109">_xlfn.IFS(G109&lt;164,"Below Average height",G109&gt;=165,"Above Average height",G109=164,"Average height")</f>
        <v>Above Average height</v>
      </c>
      <c r="K109" s="2" t="str" cm="1">
        <f t="array" ref="K109">_xlfn.IFS(E109&lt;=16,"Children",E109&lt;=30,"Young Adults",E109&lt;=45,"Middle-aged Adults",E109&gt;45,"Old Adults")</f>
        <v>Young Adults</v>
      </c>
    </row>
    <row r="110" spans="1:11" x14ac:dyDescent="0.45">
      <c r="A110" s="2">
        <v>122</v>
      </c>
      <c r="B110" s="2" t="s">
        <v>227</v>
      </c>
      <c r="C110" s="2" t="s">
        <v>89</v>
      </c>
      <c r="D110" s="2" t="s">
        <v>80</v>
      </c>
      <c r="E110" s="2">
        <v>23</v>
      </c>
      <c r="F110" s="2">
        <v>82</v>
      </c>
      <c r="G110" s="2">
        <v>185</v>
      </c>
      <c r="H110" s="9">
        <f t="shared" si="1"/>
        <v>23.959094229364496</v>
      </c>
      <c r="I110" s="2" t="str" cm="1">
        <f t="array" ref="I110">_xlfn.IFS(F110&gt;=100,"Over weight",F110&lt;100,"Average weight")</f>
        <v>Average weight</v>
      </c>
      <c r="J110" s="2" t="str" cm="1">
        <f t="array" ref="J110">_xlfn.IFS(G110&lt;164,"Below Average height",G110&gt;=165,"Above Average height",G110=164,"Average height")</f>
        <v>Above Average height</v>
      </c>
      <c r="K110" s="2" t="str" cm="1">
        <f t="array" ref="K110">_xlfn.IFS(E110&lt;=16,"Children",E110&lt;=30,"Young Adults",E110&lt;=45,"Middle-aged Adults",E110&gt;45,"Old Adults")</f>
        <v>Young Adults</v>
      </c>
    </row>
    <row r="111" spans="1:11" x14ac:dyDescent="0.45">
      <c r="A111" s="2">
        <v>124</v>
      </c>
      <c r="B111" s="2" t="s">
        <v>229</v>
      </c>
      <c r="C111" s="2" t="s">
        <v>87</v>
      </c>
      <c r="D111" s="2" t="s">
        <v>5</v>
      </c>
      <c r="E111" s="2">
        <v>25</v>
      </c>
      <c r="F111" s="2">
        <v>75</v>
      </c>
      <c r="G111" s="2">
        <v>186</v>
      </c>
      <c r="H111" s="9">
        <f t="shared" si="1"/>
        <v>21.678806798473808</v>
      </c>
      <c r="I111" s="2" t="str" cm="1">
        <f t="array" ref="I111">_xlfn.IFS(F111&gt;=100,"Over weight",F111&lt;100,"Average weight")</f>
        <v>Average weight</v>
      </c>
      <c r="J111" s="2" t="str" cm="1">
        <f t="array" ref="J111">_xlfn.IFS(G111&lt;164,"Below Average height",G111&gt;=165,"Above Average height",G111=164,"Average height")</f>
        <v>Above Average height</v>
      </c>
      <c r="K111" s="2" t="str" cm="1">
        <f t="array" ref="K111">_xlfn.IFS(E111&lt;=16,"Children",E111&lt;=30,"Young Adults",E111&lt;=45,"Middle-aged Adults",E111&gt;45,"Old Adults")</f>
        <v>Young Adults</v>
      </c>
    </row>
    <row r="112" spans="1:11" x14ac:dyDescent="0.45">
      <c r="A112" s="2">
        <v>125</v>
      </c>
      <c r="B112" s="2" t="s">
        <v>230</v>
      </c>
      <c r="C112" s="2" t="s">
        <v>86</v>
      </c>
      <c r="D112" s="2" t="s">
        <v>28</v>
      </c>
      <c r="E112" s="2">
        <v>25</v>
      </c>
      <c r="F112" s="2">
        <v>65</v>
      </c>
      <c r="G112" s="2">
        <v>170</v>
      </c>
      <c r="H112" s="9">
        <f t="shared" si="1"/>
        <v>22.491349480968861</v>
      </c>
      <c r="I112" s="2" t="str" cm="1">
        <f t="array" ref="I112">_xlfn.IFS(F112&gt;=100,"Over weight",F112&lt;100,"Average weight")</f>
        <v>Average weight</v>
      </c>
      <c r="J112" s="2" t="str" cm="1">
        <f t="array" ref="J112">_xlfn.IFS(G112&lt;164,"Below Average height",G112&gt;=165,"Above Average height",G112=164,"Average height")</f>
        <v>Above Average height</v>
      </c>
      <c r="K112" s="2" t="str" cm="1">
        <f t="array" ref="K112">_xlfn.IFS(E112&lt;=16,"Children",E112&lt;=30,"Young Adults",E112&lt;=45,"Middle-aged Adults",E112&gt;45,"Old Adults")</f>
        <v>Young Adults</v>
      </c>
    </row>
    <row r="113" spans="1:11" x14ac:dyDescent="0.45">
      <c r="A113" s="2">
        <v>126</v>
      </c>
      <c r="B113" s="2" t="s">
        <v>231</v>
      </c>
      <c r="C113" s="2" t="s">
        <v>86</v>
      </c>
      <c r="D113" s="2" t="s">
        <v>28</v>
      </c>
      <c r="E113" s="2">
        <v>27</v>
      </c>
      <c r="F113" s="2">
        <v>65</v>
      </c>
      <c r="G113" s="2">
        <v>172</v>
      </c>
      <c r="H113" s="9">
        <f t="shared" si="1"/>
        <v>21.971335857220122</v>
      </c>
      <c r="I113" s="2" t="str" cm="1">
        <f t="array" ref="I113">_xlfn.IFS(F113&gt;=100,"Over weight",F113&lt;100,"Average weight")</f>
        <v>Average weight</v>
      </c>
      <c r="J113" s="2" t="str" cm="1">
        <f t="array" ref="J113">_xlfn.IFS(G113&lt;164,"Below Average height",G113&gt;=165,"Above Average height",G113=164,"Average height")</f>
        <v>Above Average height</v>
      </c>
      <c r="K113" s="2" t="str" cm="1">
        <f t="array" ref="K113">_xlfn.IFS(E113&lt;=16,"Children",E113&lt;=30,"Young Adults",E113&lt;=45,"Middle-aged Adults",E113&gt;45,"Old Adults")</f>
        <v>Young Adults</v>
      </c>
    </row>
    <row r="114" spans="1:11" x14ac:dyDescent="0.45">
      <c r="A114" s="2">
        <v>127</v>
      </c>
      <c r="B114" s="2" t="s">
        <v>232</v>
      </c>
      <c r="C114" s="2" t="s">
        <v>98</v>
      </c>
      <c r="D114" s="2" t="s">
        <v>42</v>
      </c>
      <c r="E114" s="2">
        <v>16</v>
      </c>
      <c r="F114" s="2">
        <v>70</v>
      </c>
      <c r="G114" s="2">
        <v>174</v>
      </c>
      <c r="H114" s="9">
        <f t="shared" si="1"/>
        <v>23.120623596247853</v>
      </c>
      <c r="I114" s="2" t="str" cm="1">
        <f t="array" ref="I114">_xlfn.IFS(F114&gt;=100,"Over weight",F114&lt;100,"Average weight")</f>
        <v>Average weight</v>
      </c>
      <c r="J114" s="2" t="str" cm="1">
        <f t="array" ref="J114">_xlfn.IFS(G114&lt;164,"Below Average height",G114&gt;=165,"Above Average height",G114=164,"Average height")</f>
        <v>Above Average height</v>
      </c>
      <c r="K114" s="2" t="str" cm="1">
        <f t="array" ref="K114">_xlfn.IFS(E114&lt;=16,"Children",E114&lt;=30,"Young Adults",E114&lt;=45,"Middle-aged Adults",E114&gt;45,"Old Adults")</f>
        <v>Children</v>
      </c>
    </row>
    <row r="115" spans="1:11" x14ac:dyDescent="0.45">
      <c r="A115" s="2">
        <v>128</v>
      </c>
      <c r="B115" s="2" t="s">
        <v>233</v>
      </c>
      <c r="C115" s="2" t="s">
        <v>86</v>
      </c>
      <c r="D115" s="2" t="s">
        <v>80</v>
      </c>
      <c r="E115" s="2">
        <v>25</v>
      </c>
      <c r="F115" s="2">
        <v>65</v>
      </c>
      <c r="G115" s="2">
        <v>168</v>
      </c>
      <c r="H115" s="9">
        <f t="shared" si="1"/>
        <v>23.030045351473927</v>
      </c>
      <c r="I115" s="2" t="str" cm="1">
        <f t="array" ref="I115">_xlfn.IFS(F115&gt;=100,"Over weight",F115&lt;100,"Average weight")</f>
        <v>Average weight</v>
      </c>
      <c r="J115" s="2" t="str" cm="1">
        <f t="array" ref="J115">_xlfn.IFS(G115&lt;164,"Below Average height",G115&gt;=165,"Above Average height",G115=164,"Average height")</f>
        <v>Above Average height</v>
      </c>
      <c r="K115" s="2" t="str" cm="1">
        <f t="array" ref="K115">_xlfn.IFS(E115&lt;=16,"Children",E115&lt;=30,"Young Adults",E115&lt;=45,"Middle-aged Adults",E115&gt;45,"Old Adults")</f>
        <v>Young Adults</v>
      </c>
    </row>
    <row r="116" spans="1:11" x14ac:dyDescent="0.45">
      <c r="A116" s="2">
        <v>129</v>
      </c>
      <c r="B116" s="2" t="s">
        <v>234</v>
      </c>
      <c r="C116" s="2" t="s">
        <v>91</v>
      </c>
      <c r="D116" s="2" t="s">
        <v>80</v>
      </c>
      <c r="E116" s="2">
        <v>22</v>
      </c>
      <c r="F116" s="2">
        <v>66</v>
      </c>
      <c r="G116" s="2">
        <v>174</v>
      </c>
      <c r="H116" s="9">
        <f t="shared" si="1"/>
        <v>21.799445105033691</v>
      </c>
      <c r="I116" s="2" t="str" cm="1">
        <f t="array" ref="I116">_xlfn.IFS(F116&gt;=100,"Over weight",F116&lt;100,"Average weight")</f>
        <v>Average weight</v>
      </c>
      <c r="J116" s="2" t="str" cm="1">
        <f t="array" ref="J116">_xlfn.IFS(G116&lt;164,"Below Average height",G116&gt;=165,"Above Average height",G116=164,"Average height")</f>
        <v>Above Average height</v>
      </c>
      <c r="K116" s="2" t="str" cm="1">
        <f t="array" ref="K116">_xlfn.IFS(E116&lt;=16,"Children",E116&lt;=30,"Young Adults",E116&lt;=45,"Middle-aged Adults",E116&gt;45,"Old Adults")</f>
        <v>Young Adults</v>
      </c>
    </row>
    <row r="117" spans="1:11" x14ac:dyDescent="0.45">
      <c r="A117" s="2">
        <v>130</v>
      </c>
      <c r="B117" s="2" t="s">
        <v>235</v>
      </c>
      <c r="C117" s="2" t="s">
        <v>98</v>
      </c>
      <c r="D117" s="2" t="s">
        <v>66</v>
      </c>
      <c r="E117" s="2">
        <v>21</v>
      </c>
      <c r="F117" s="2">
        <v>59</v>
      </c>
      <c r="G117" s="2">
        <v>176</v>
      </c>
      <c r="H117" s="9">
        <f t="shared" si="1"/>
        <v>19.047004132231404</v>
      </c>
      <c r="I117" s="2" t="str" cm="1">
        <f t="array" ref="I117">_xlfn.IFS(F117&gt;=100,"Over weight",F117&lt;100,"Average weight")</f>
        <v>Average weight</v>
      </c>
      <c r="J117" s="2" t="str" cm="1">
        <f t="array" ref="J117">_xlfn.IFS(G117&lt;164,"Below Average height",G117&gt;=165,"Above Average height",G117=164,"Average height")</f>
        <v>Above Average height</v>
      </c>
      <c r="K117" s="2" t="str" cm="1">
        <f t="array" ref="K117">_xlfn.IFS(E117&lt;=16,"Children",E117&lt;=30,"Young Adults",E117&lt;=45,"Middle-aged Adults",E117&gt;45,"Old Adults")</f>
        <v>Young Adults</v>
      </c>
    </row>
    <row r="118" spans="1:11" x14ac:dyDescent="0.45">
      <c r="A118" s="2">
        <v>131</v>
      </c>
      <c r="B118" s="2" t="s">
        <v>236</v>
      </c>
      <c r="C118" s="2" t="s">
        <v>85</v>
      </c>
      <c r="D118" s="2" t="s">
        <v>33</v>
      </c>
      <c r="E118" s="2">
        <v>23</v>
      </c>
      <c r="F118" s="2">
        <v>87</v>
      </c>
      <c r="G118" s="2">
        <v>184</v>
      </c>
      <c r="H118" s="9">
        <f t="shared" si="1"/>
        <v>25.697069943289225</v>
      </c>
      <c r="I118" s="2" t="str" cm="1">
        <f t="array" ref="I118">_xlfn.IFS(F118&gt;=100,"Over weight",F118&lt;100,"Average weight")</f>
        <v>Average weight</v>
      </c>
      <c r="J118" s="2" t="str" cm="1">
        <f t="array" ref="J118">_xlfn.IFS(G118&lt;164,"Below Average height",G118&gt;=165,"Above Average height",G118=164,"Average height")</f>
        <v>Above Average height</v>
      </c>
      <c r="K118" s="2" t="str" cm="1">
        <f t="array" ref="K118">_xlfn.IFS(E118&lt;=16,"Children",E118&lt;=30,"Young Adults",E118&lt;=45,"Middle-aged Adults",E118&gt;45,"Old Adults")</f>
        <v>Young Adults</v>
      </c>
    </row>
    <row r="119" spans="1:11" x14ac:dyDescent="0.45">
      <c r="A119" s="2">
        <v>132</v>
      </c>
      <c r="B119" s="2" t="s">
        <v>237</v>
      </c>
      <c r="C119" s="2" t="s">
        <v>87</v>
      </c>
      <c r="D119" s="2" t="s">
        <v>26</v>
      </c>
      <c r="E119" s="2">
        <v>22</v>
      </c>
      <c r="F119" s="2">
        <v>72</v>
      </c>
      <c r="G119" s="2">
        <v>172</v>
      </c>
      <c r="H119" s="9">
        <f t="shared" si="1"/>
        <v>24.337479718766904</v>
      </c>
      <c r="I119" s="2" t="str" cm="1">
        <f t="array" ref="I119">_xlfn.IFS(F119&gt;=100,"Over weight",F119&lt;100,"Average weight")</f>
        <v>Average weight</v>
      </c>
      <c r="J119" s="2" t="str" cm="1">
        <f t="array" ref="J119">_xlfn.IFS(G119&lt;164,"Below Average height",G119&gt;=165,"Above Average height",G119=164,"Average height")</f>
        <v>Above Average height</v>
      </c>
      <c r="K119" s="2" t="str" cm="1">
        <f t="array" ref="K119">_xlfn.IFS(E119&lt;=16,"Children",E119&lt;=30,"Young Adults",E119&lt;=45,"Middle-aged Adults",E119&gt;45,"Old Adults")</f>
        <v>Young Adults</v>
      </c>
    </row>
    <row r="120" spans="1:11" x14ac:dyDescent="0.45">
      <c r="A120" s="2">
        <v>133</v>
      </c>
      <c r="B120" s="2" t="s">
        <v>238</v>
      </c>
      <c r="C120" s="2" t="s">
        <v>95</v>
      </c>
      <c r="D120" s="2" t="s">
        <v>80</v>
      </c>
      <c r="E120" s="2">
        <v>34</v>
      </c>
      <c r="F120" s="2">
        <v>91</v>
      </c>
      <c r="G120" s="2">
        <v>185</v>
      </c>
      <c r="H120" s="9">
        <f t="shared" si="1"/>
        <v>26.588750913075234</v>
      </c>
      <c r="I120" s="2" t="str" cm="1">
        <f t="array" ref="I120">_xlfn.IFS(F120&gt;=100,"Over weight",F120&lt;100,"Average weight")</f>
        <v>Average weight</v>
      </c>
      <c r="J120" s="2" t="str" cm="1">
        <f t="array" ref="J120">_xlfn.IFS(G120&lt;164,"Below Average height",G120&gt;=165,"Above Average height",G120=164,"Average height")</f>
        <v>Above Average height</v>
      </c>
      <c r="K120" s="2" t="str" cm="1">
        <f t="array" ref="K120">_xlfn.IFS(E120&lt;=16,"Children",E120&lt;=30,"Young Adults",E120&lt;=45,"Middle-aged Adults",E120&gt;45,"Old Adults")</f>
        <v>Middle-aged Adults</v>
      </c>
    </row>
    <row r="121" spans="1:11" x14ac:dyDescent="0.45">
      <c r="A121" s="2">
        <v>134</v>
      </c>
      <c r="B121" s="2" t="s">
        <v>239</v>
      </c>
      <c r="C121" s="2" t="s">
        <v>96</v>
      </c>
      <c r="D121" s="2" t="s">
        <v>80</v>
      </c>
      <c r="E121" s="2">
        <v>40</v>
      </c>
      <c r="F121" s="2">
        <v>65</v>
      </c>
      <c r="G121" s="2">
        <v>185</v>
      </c>
      <c r="H121" s="9">
        <f t="shared" si="1"/>
        <v>18.991964937910883</v>
      </c>
      <c r="I121" s="2" t="str" cm="1">
        <f t="array" ref="I121">_xlfn.IFS(F121&gt;=100,"Over weight",F121&lt;100,"Average weight")</f>
        <v>Average weight</v>
      </c>
      <c r="J121" s="2" t="str" cm="1">
        <f t="array" ref="J121">_xlfn.IFS(G121&lt;164,"Below Average height",G121&gt;=165,"Above Average height",G121=164,"Average height")</f>
        <v>Above Average height</v>
      </c>
      <c r="K121" s="2" t="str" cm="1">
        <f t="array" ref="K121">_xlfn.IFS(E121&lt;=16,"Children",E121&lt;=30,"Young Adults",E121&lt;=45,"Middle-aged Adults",E121&gt;45,"Old Adults")</f>
        <v>Middle-aged Adults</v>
      </c>
    </row>
    <row r="122" spans="1:11" x14ac:dyDescent="0.45">
      <c r="A122" s="2">
        <v>135</v>
      </c>
      <c r="B122" s="2" t="s">
        <v>240</v>
      </c>
      <c r="C122" s="2" t="s">
        <v>91</v>
      </c>
      <c r="D122" s="2" t="s">
        <v>75</v>
      </c>
      <c r="E122" s="2">
        <v>17</v>
      </c>
      <c r="F122" s="2">
        <v>57</v>
      </c>
      <c r="G122" s="2">
        <v>170</v>
      </c>
      <c r="H122" s="9">
        <f t="shared" si="1"/>
        <v>19.723183391003463</v>
      </c>
      <c r="I122" s="2" t="str" cm="1">
        <f t="array" ref="I122">_xlfn.IFS(F122&gt;=100,"Over weight",F122&lt;100,"Average weight")</f>
        <v>Average weight</v>
      </c>
      <c r="J122" s="2" t="str" cm="1">
        <f t="array" ref="J122">_xlfn.IFS(G122&lt;164,"Below Average height",G122&gt;=165,"Above Average height",G122=164,"Average height")</f>
        <v>Above Average height</v>
      </c>
      <c r="K122" s="2" t="str" cm="1">
        <f t="array" ref="K122">_xlfn.IFS(E122&lt;=16,"Children",E122&lt;=30,"Young Adults",E122&lt;=45,"Middle-aged Adults",E122&gt;45,"Old Adults")</f>
        <v>Young Adults</v>
      </c>
    </row>
    <row r="123" spans="1:11" x14ac:dyDescent="0.45">
      <c r="A123" s="2">
        <v>137</v>
      </c>
      <c r="B123" s="2" t="s">
        <v>242</v>
      </c>
      <c r="C123" s="2" t="s">
        <v>85</v>
      </c>
      <c r="D123" s="2" t="s">
        <v>33</v>
      </c>
      <c r="E123" s="2">
        <v>21</v>
      </c>
      <c r="F123" s="2">
        <v>74</v>
      </c>
      <c r="G123" s="2">
        <v>173</v>
      </c>
      <c r="H123" s="9">
        <f t="shared" si="1"/>
        <v>24.725182932941294</v>
      </c>
      <c r="I123" s="2" t="str" cm="1">
        <f t="array" ref="I123">_xlfn.IFS(F123&gt;=100,"Over weight",F123&lt;100,"Average weight")</f>
        <v>Average weight</v>
      </c>
      <c r="J123" s="2" t="str" cm="1">
        <f t="array" ref="J123">_xlfn.IFS(G123&lt;164,"Below Average height",G123&gt;=165,"Above Average height",G123=164,"Average height")</f>
        <v>Above Average height</v>
      </c>
      <c r="K123" s="2" t="str" cm="1">
        <f t="array" ref="K123">_xlfn.IFS(E123&lt;=16,"Children",E123&lt;=30,"Young Adults",E123&lt;=45,"Middle-aged Adults",E123&gt;45,"Old Adults")</f>
        <v>Young Adults</v>
      </c>
    </row>
    <row r="124" spans="1:11" x14ac:dyDescent="0.45">
      <c r="A124" s="2">
        <v>138</v>
      </c>
      <c r="B124" s="2" t="s">
        <v>243</v>
      </c>
      <c r="C124" s="2" t="s">
        <v>99</v>
      </c>
      <c r="D124" s="2" t="s">
        <v>60</v>
      </c>
      <c r="E124" s="2">
        <v>30</v>
      </c>
      <c r="F124" s="2">
        <v>65</v>
      </c>
      <c r="G124" s="2">
        <v>203</v>
      </c>
      <c r="H124" s="9">
        <f t="shared" si="1"/>
        <v>15.773253415516033</v>
      </c>
      <c r="I124" s="2" t="str" cm="1">
        <f t="array" ref="I124">_xlfn.IFS(F124&gt;=100,"Over weight",F124&lt;100,"Average weight")</f>
        <v>Average weight</v>
      </c>
      <c r="J124" s="2" t="str" cm="1">
        <f t="array" ref="J124">_xlfn.IFS(G124&lt;164,"Below Average height",G124&gt;=165,"Above Average height",G124=164,"Average height")</f>
        <v>Above Average height</v>
      </c>
      <c r="K124" s="2" t="str" cm="1">
        <f t="array" ref="K124">_xlfn.IFS(E124&lt;=16,"Children",E124&lt;=30,"Young Adults",E124&lt;=45,"Middle-aged Adults",E124&gt;45,"Old Adults")</f>
        <v>Young Adults</v>
      </c>
    </row>
    <row r="125" spans="1:11" x14ac:dyDescent="0.45">
      <c r="A125" s="2">
        <v>139</v>
      </c>
      <c r="B125" s="2" t="s">
        <v>244</v>
      </c>
      <c r="C125" s="2" t="s">
        <v>93</v>
      </c>
      <c r="D125" s="2" t="s">
        <v>75</v>
      </c>
      <c r="E125" s="2">
        <v>27</v>
      </c>
      <c r="F125" s="2">
        <v>72</v>
      </c>
      <c r="G125" s="2">
        <v>176</v>
      </c>
      <c r="H125" s="9">
        <f t="shared" si="1"/>
        <v>23.243801652892564</v>
      </c>
      <c r="I125" s="2" t="str" cm="1">
        <f t="array" ref="I125">_xlfn.IFS(F125&gt;=100,"Over weight",F125&lt;100,"Average weight")</f>
        <v>Average weight</v>
      </c>
      <c r="J125" s="2" t="str" cm="1">
        <f t="array" ref="J125">_xlfn.IFS(G125&lt;164,"Below Average height",G125&gt;=165,"Above Average height",G125=164,"Average height")</f>
        <v>Above Average height</v>
      </c>
      <c r="K125" s="2" t="str" cm="1">
        <f t="array" ref="K125">_xlfn.IFS(E125&lt;=16,"Children",E125&lt;=30,"Young Adults",E125&lt;=45,"Middle-aged Adults",E125&gt;45,"Old Adults")</f>
        <v>Young Adults</v>
      </c>
    </row>
    <row r="126" spans="1:11" x14ac:dyDescent="0.45">
      <c r="A126" s="2">
        <v>140</v>
      </c>
      <c r="B126" s="2" t="s">
        <v>245</v>
      </c>
      <c r="C126" s="2" t="s">
        <v>88</v>
      </c>
      <c r="D126" s="2" t="s">
        <v>60</v>
      </c>
      <c r="E126" s="2">
        <v>28</v>
      </c>
      <c r="F126" s="2">
        <v>58</v>
      </c>
      <c r="G126" s="2">
        <v>203</v>
      </c>
      <c r="H126" s="9">
        <f t="shared" si="1"/>
        <v>14.074595355383536</v>
      </c>
      <c r="I126" s="2" t="str" cm="1">
        <f t="array" ref="I126">_xlfn.IFS(F126&gt;=100,"Over weight",F126&lt;100,"Average weight")</f>
        <v>Average weight</v>
      </c>
      <c r="J126" s="2" t="str" cm="1">
        <f t="array" ref="J126">_xlfn.IFS(G126&lt;164,"Below Average height",G126&gt;=165,"Above Average height",G126=164,"Average height")</f>
        <v>Above Average height</v>
      </c>
      <c r="K126" s="2" t="str" cm="1">
        <f t="array" ref="K126">_xlfn.IFS(E126&lt;=16,"Children",E126&lt;=30,"Young Adults",E126&lt;=45,"Middle-aged Adults",E126&gt;45,"Old Adults")</f>
        <v>Young Adults</v>
      </c>
    </row>
    <row r="127" spans="1:11" x14ac:dyDescent="0.45">
      <c r="A127" s="2">
        <v>141</v>
      </c>
      <c r="B127" s="2" t="s">
        <v>246</v>
      </c>
      <c r="C127" s="2" t="s">
        <v>91</v>
      </c>
      <c r="D127" s="2" t="s">
        <v>14</v>
      </c>
      <c r="E127" s="2">
        <v>24</v>
      </c>
      <c r="F127" s="2">
        <v>88</v>
      </c>
      <c r="G127" s="2">
        <v>188</v>
      </c>
      <c r="H127" s="9">
        <f t="shared" si="1"/>
        <v>24.898143956541425</v>
      </c>
      <c r="I127" s="2" t="str" cm="1">
        <f t="array" ref="I127">_xlfn.IFS(F127&gt;=100,"Over weight",F127&lt;100,"Average weight")</f>
        <v>Average weight</v>
      </c>
      <c r="J127" s="2" t="str" cm="1">
        <f t="array" ref="J127">_xlfn.IFS(G127&lt;164,"Below Average height",G127&gt;=165,"Above Average height",G127=164,"Average height")</f>
        <v>Above Average height</v>
      </c>
      <c r="K127" s="2" t="str" cm="1">
        <f t="array" ref="K127">_xlfn.IFS(E127&lt;=16,"Children",E127&lt;=30,"Young Adults",E127&lt;=45,"Middle-aged Adults",E127&gt;45,"Old Adults")</f>
        <v>Young Adults</v>
      </c>
    </row>
    <row r="128" spans="1:11" x14ac:dyDescent="0.45">
      <c r="A128" s="2">
        <v>142</v>
      </c>
      <c r="B128" s="2" t="s">
        <v>247</v>
      </c>
      <c r="C128" s="2" t="s">
        <v>90</v>
      </c>
      <c r="D128" s="2" t="s">
        <v>37</v>
      </c>
      <c r="E128" s="2">
        <v>25</v>
      </c>
      <c r="F128" s="2">
        <v>68</v>
      </c>
      <c r="G128" s="2">
        <v>168</v>
      </c>
      <c r="H128" s="9">
        <f t="shared" si="1"/>
        <v>24.092970521541954</v>
      </c>
      <c r="I128" s="2" t="str" cm="1">
        <f t="array" ref="I128">_xlfn.IFS(F128&gt;=100,"Over weight",F128&lt;100,"Average weight")</f>
        <v>Average weight</v>
      </c>
      <c r="J128" s="2" t="str" cm="1">
        <f t="array" ref="J128">_xlfn.IFS(G128&lt;164,"Below Average height",G128&gt;=165,"Above Average height",G128=164,"Average height")</f>
        <v>Above Average height</v>
      </c>
      <c r="K128" s="2" t="str" cm="1">
        <f t="array" ref="K128">_xlfn.IFS(E128&lt;=16,"Children",E128&lt;=30,"Young Adults",E128&lt;=45,"Middle-aged Adults",E128&gt;45,"Old Adults")</f>
        <v>Young Adults</v>
      </c>
    </row>
    <row r="129" spans="1:11" x14ac:dyDescent="0.45">
      <c r="A129" s="2">
        <v>143</v>
      </c>
      <c r="B129" s="2" t="s">
        <v>248</v>
      </c>
      <c r="C129" s="2" t="s">
        <v>90</v>
      </c>
      <c r="D129" s="2" t="s">
        <v>48</v>
      </c>
      <c r="E129" s="2">
        <v>20</v>
      </c>
      <c r="F129" s="2">
        <v>90</v>
      </c>
      <c r="G129" s="2">
        <v>187</v>
      </c>
      <c r="H129" s="9">
        <f t="shared" si="1"/>
        <v>25.737081414967538</v>
      </c>
      <c r="I129" s="2" t="str" cm="1">
        <f t="array" ref="I129">_xlfn.IFS(F129&gt;=100,"Over weight",F129&lt;100,"Average weight")</f>
        <v>Average weight</v>
      </c>
      <c r="J129" s="2" t="str" cm="1">
        <f t="array" ref="J129">_xlfn.IFS(G129&lt;164,"Below Average height",G129&gt;=165,"Above Average height",G129=164,"Average height")</f>
        <v>Above Average height</v>
      </c>
      <c r="K129" s="2" t="str" cm="1">
        <f t="array" ref="K129">_xlfn.IFS(E129&lt;=16,"Children",E129&lt;=30,"Young Adults",E129&lt;=45,"Middle-aged Adults",E129&gt;45,"Old Adults")</f>
        <v>Young Adults</v>
      </c>
    </row>
    <row r="130" spans="1:11" x14ac:dyDescent="0.45">
      <c r="A130" s="2">
        <v>144</v>
      </c>
      <c r="B130" s="2" t="s">
        <v>249</v>
      </c>
      <c r="C130" s="2" t="s">
        <v>88</v>
      </c>
      <c r="D130" s="2" t="s">
        <v>74</v>
      </c>
      <c r="E130" s="2">
        <v>31</v>
      </c>
      <c r="F130" s="2">
        <v>70</v>
      </c>
      <c r="G130" s="2">
        <v>174</v>
      </c>
      <c r="H130" s="9">
        <f t="shared" ref="H130:H193" si="2" xml:space="preserve"> F130 / (( G130/ 100) ^ 2)</f>
        <v>23.120623596247853</v>
      </c>
      <c r="I130" s="2" t="str" cm="1">
        <f t="array" ref="I130">_xlfn.IFS(F130&gt;=100,"Over weight",F130&lt;100,"Average weight")</f>
        <v>Average weight</v>
      </c>
      <c r="J130" s="2" t="str" cm="1">
        <f t="array" ref="J130">_xlfn.IFS(G130&lt;164,"Below Average height",G130&gt;=165,"Above Average height",G130=164,"Average height")</f>
        <v>Above Average height</v>
      </c>
      <c r="K130" s="2" t="str" cm="1">
        <f t="array" ref="K130">_xlfn.IFS(E130&lt;=16,"Children",E130&lt;=30,"Young Adults",E130&lt;=45,"Middle-aged Adults",E130&gt;45,"Old Adults")</f>
        <v>Middle-aged Adults</v>
      </c>
    </row>
    <row r="131" spans="1:11" x14ac:dyDescent="0.45">
      <c r="A131" s="2">
        <v>145</v>
      </c>
      <c r="B131" s="2" t="s">
        <v>250</v>
      </c>
      <c r="C131" s="2" t="s">
        <v>96</v>
      </c>
      <c r="D131" s="2" t="s">
        <v>74</v>
      </c>
      <c r="E131" s="2">
        <v>29</v>
      </c>
      <c r="F131" s="2">
        <v>58</v>
      </c>
      <c r="G131" s="2">
        <v>171</v>
      </c>
      <c r="H131" s="9">
        <f t="shared" si="2"/>
        <v>19.835162956123252</v>
      </c>
      <c r="I131" s="2" t="str" cm="1">
        <f t="array" ref="I131">_xlfn.IFS(F131&gt;=100,"Over weight",F131&lt;100,"Average weight")</f>
        <v>Average weight</v>
      </c>
      <c r="J131" s="2" t="str" cm="1">
        <f t="array" ref="J131">_xlfn.IFS(G131&lt;164,"Below Average height",G131&gt;=165,"Above Average height",G131=164,"Average height")</f>
        <v>Above Average height</v>
      </c>
      <c r="K131" s="2" t="str" cm="1">
        <f t="array" ref="K131">_xlfn.IFS(E131&lt;=16,"Children",E131&lt;=30,"Young Adults",E131&lt;=45,"Middle-aged Adults",E131&gt;45,"Old Adults")</f>
        <v>Young Adults</v>
      </c>
    </row>
    <row r="132" spans="1:11" x14ac:dyDescent="0.45">
      <c r="A132" s="2">
        <v>146</v>
      </c>
      <c r="B132" s="2" t="s">
        <v>251</v>
      </c>
      <c r="C132" s="2" t="s">
        <v>90</v>
      </c>
      <c r="D132" s="2" t="s">
        <v>80</v>
      </c>
      <c r="E132" s="2">
        <v>33</v>
      </c>
      <c r="F132" s="2">
        <v>104</v>
      </c>
      <c r="G132" s="2">
        <v>196</v>
      </c>
      <c r="H132" s="9">
        <f t="shared" si="2"/>
        <v>27.072053311120367</v>
      </c>
      <c r="I132" s="2" t="str" cm="1">
        <f t="array" ref="I132">_xlfn.IFS(F132&gt;=100,"Over weight",F132&lt;100,"Average weight")</f>
        <v>Over weight</v>
      </c>
      <c r="J132" s="2" t="str" cm="1">
        <f t="array" ref="J132">_xlfn.IFS(G132&lt;164,"Below Average height",G132&gt;=165,"Above Average height",G132=164,"Average height")</f>
        <v>Above Average height</v>
      </c>
      <c r="K132" s="2" t="str" cm="1">
        <f t="array" ref="K132">_xlfn.IFS(E132&lt;=16,"Children",E132&lt;=30,"Young Adults",E132&lt;=45,"Middle-aged Adults",E132&gt;45,"Old Adults")</f>
        <v>Middle-aged Adults</v>
      </c>
    </row>
    <row r="133" spans="1:11" x14ac:dyDescent="0.45">
      <c r="A133" s="2">
        <v>147</v>
      </c>
      <c r="B133" s="2" t="s">
        <v>252</v>
      </c>
      <c r="C133" s="2" t="s">
        <v>97</v>
      </c>
      <c r="D133" s="2" t="s">
        <v>71</v>
      </c>
      <c r="E133" s="2">
        <v>19</v>
      </c>
      <c r="F133" s="2">
        <v>70</v>
      </c>
      <c r="G133" s="2">
        <v>184</v>
      </c>
      <c r="H133" s="9">
        <f t="shared" si="2"/>
        <v>20.675803402646501</v>
      </c>
      <c r="I133" s="2" t="str" cm="1">
        <f t="array" ref="I133">_xlfn.IFS(F133&gt;=100,"Over weight",F133&lt;100,"Average weight")</f>
        <v>Average weight</v>
      </c>
      <c r="J133" s="2" t="str" cm="1">
        <f t="array" ref="J133">_xlfn.IFS(G133&lt;164,"Below Average height",G133&gt;=165,"Above Average height",G133=164,"Average height")</f>
        <v>Above Average height</v>
      </c>
      <c r="K133" s="2" t="str" cm="1">
        <f t="array" ref="K133">_xlfn.IFS(E133&lt;=16,"Children",E133&lt;=30,"Young Adults",E133&lt;=45,"Middle-aged Adults",E133&gt;45,"Old Adults")</f>
        <v>Young Adults</v>
      </c>
    </row>
    <row r="134" spans="1:11" x14ac:dyDescent="0.45">
      <c r="A134" s="2">
        <v>148</v>
      </c>
      <c r="B134" s="2" t="s">
        <v>253</v>
      </c>
      <c r="C134" s="2" t="s">
        <v>90</v>
      </c>
      <c r="D134" s="2" t="s">
        <v>28</v>
      </c>
      <c r="E134" s="2">
        <v>28</v>
      </c>
      <c r="F134" s="2">
        <v>98</v>
      </c>
      <c r="G134" s="2">
        <v>183</v>
      </c>
      <c r="H134" s="9">
        <f t="shared" si="2"/>
        <v>29.26334020126011</v>
      </c>
      <c r="I134" s="2" t="str" cm="1">
        <f t="array" ref="I134">_xlfn.IFS(F134&gt;=100,"Over weight",F134&lt;100,"Average weight")</f>
        <v>Average weight</v>
      </c>
      <c r="J134" s="2" t="str" cm="1">
        <f t="array" ref="J134">_xlfn.IFS(G134&lt;164,"Below Average height",G134&gt;=165,"Above Average height",G134=164,"Average height")</f>
        <v>Above Average height</v>
      </c>
      <c r="K134" s="2" t="str" cm="1">
        <f t="array" ref="K134">_xlfn.IFS(E134&lt;=16,"Children",E134&lt;=30,"Young Adults",E134&lt;=45,"Middle-aged Adults",E134&gt;45,"Old Adults")</f>
        <v>Young Adults</v>
      </c>
    </row>
    <row r="135" spans="1:11" x14ac:dyDescent="0.45">
      <c r="A135" s="2">
        <v>150</v>
      </c>
      <c r="B135" s="2" t="s">
        <v>255</v>
      </c>
      <c r="C135" s="2" t="s">
        <v>100</v>
      </c>
      <c r="D135" s="2" t="s">
        <v>80</v>
      </c>
      <c r="E135" s="2">
        <v>38</v>
      </c>
      <c r="F135" s="2">
        <v>58</v>
      </c>
      <c r="G135" s="2">
        <v>203</v>
      </c>
      <c r="H135" s="9">
        <f t="shared" si="2"/>
        <v>14.074595355383536</v>
      </c>
      <c r="I135" s="2" t="str" cm="1">
        <f t="array" ref="I135">_xlfn.IFS(F135&gt;=100,"Over weight",F135&lt;100,"Average weight")</f>
        <v>Average weight</v>
      </c>
      <c r="J135" s="2" t="str" cm="1">
        <f t="array" ref="J135">_xlfn.IFS(G135&lt;164,"Below Average height",G135&gt;=165,"Above Average height",G135=164,"Average height")</f>
        <v>Above Average height</v>
      </c>
      <c r="K135" s="2" t="str" cm="1">
        <f t="array" ref="K135">_xlfn.IFS(E135&lt;=16,"Children",E135&lt;=30,"Young Adults",E135&lt;=45,"Middle-aged Adults",E135&gt;45,"Old Adults")</f>
        <v>Middle-aged Adults</v>
      </c>
    </row>
    <row r="136" spans="1:11" x14ac:dyDescent="0.45">
      <c r="A136" s="2">
        <v>151</v>
      </c>
      <c r="B136" s="2" t="s">
        <v>256</v>
      </c>
      <c r="C136" s="2" t="s">
        <v>87</v>
      </c>
      <c r="D136" s="2" t="s">
        <v>60</v>
      </c>
      <c r="E136" s="2">
        <v>33</v>
      </c>
      <c r="F136" s="2">
        <v>58</v>
      </c>
      <c r="G136" s="2">
        <v>203</v>
      </c>
      <c r="H136" s="9">
        <f t="shared" si="2"/>
        <v>14.074595355383536</v>
      </c>
      <c r="I136" s="2" t="str" cm="1">
        <f t="array" ref="I136">_xlfn.IFS(F136&gt;=100,"Over weight",F136&lt;100,"Average weight")</f>
        <v>Average weight</v>
      </c>
      <c r="J136" s="2" t="str" cm="1">
        <f t="array" ref="J136">_xlfn.IFS(G136&lt;164,"Below Average height",G136&gt;=165,"Above Average height",G136=164,"Average height")</f>
        <v>Above Average height</v>
      </c>
      <c r="K136" s="2" t="str" cm="1">
        <f t="array" ref="K136">_xlfn.IFS(E136&lt;=16,"Children",E136&lt;=30,"Young Adults",E136&lt;=45,"Middle-aged Adults",E136&gt;45,"Old Adults")</f>
        <v>Middle-aged Adults</v>
      </c>
    </row>
    <row r="137" spans="1:11" x14ac:dyDescent="0.45">
      <c r="A137" s="2">
        <v>152</v>
      </c>
      <c r="B137" s="2" t="s">
        <v>257</v>
      </c>
      <c r="C137" s="2" t="s">
        <v>90</v>
      </c>
      <c r="D137" s="2" t="s">
        <v>39</v>
      </c>
      <c r="E137" s="2">
        <v>27</v>
      </c>
      <c r="F137" s="2">
        <v>102</v>
      </c>
      <c r="G137" s="2">
        <v>184</v>
      </c>
      <c r="H137" s="9">
        <f t="shared" si="2"/>
        <v>30.127599243856331</v>
      </c>
      <c r="I137" s="2" t="str" cm="1">
        <f t="array" ref="I137">_xlfn.IFS(F137&gt;=100,"Over weight",F137&lt;100,"Average weight")</f>
        <v>Over weight</v>
      </c>
      <c r="J137" s="2" t="str" cm="1">
        <f t="array" ref="J137">_xlfn.IFS(G137&lt;164,"Below Average height",G137&gt;=165,"Above Average height",G137=164,"Average height")</f>
        <v>Above Average height</v>
      </c>
      <c r="K137" s="2" t="str" cm="1">
        <f t="array" ref="K137">_xlfn.IFS(E137&lt;=16,"Children",E137&lt;=30,"Young Adults",E137&lt;=45,"Middle-aged Adults",E137&gt;45,"Old Adults")</f>
        <v>Young Adults</v>
      </c>
    </row>
    <row r="138" spans="1:11" x14ac:dyDescent="0.45">
      <c r="A138" s="2">
        <v>153</v>
      </c>
      <c r="B138" s="2" t="s">
        <v>258</v>
      </c>
      <c r="C138" s="2" t="s">
        <v>85</v>
      </c>
      <c r="D138" s="2" t="s">
        <v>75</v>
      </c>
      <c r="E138" s="2">
        <v>26</v>
      </c>
      <c r="F138" s="2">
        <v>85</v>
      </c>
      <c r="G138" s="2">
        <v>180</v>
      </c>
      <c r="H138" s="9">
        <f t="shared" si="2"/>
        <v>26.234567901234566</v>
      </c>
      <c r="I138" s="2" t="str" cm="1">
        <f t="array" ref="I138">_xlfn.IFS(F138&gt;=100,"Over weight",F138&lt;100,"Average weight")</f>
        <v>Average weight</v>
      </c>
      <c r="J138" s="2" t="str" cm="1">
        <f t="array" ref="J138">_xlfn.IFS(G138&lt;164,"Below Average height",G138&gt;=165,"Above Average height",G138=164,"Average height")</f>
        <v>Above Average height</v>
      </c>
      <c r="K138" s="2" t="str" cm="1">
        <f t="array" ref="K138">_xlfn.IFS(E138&lt;=16,"Children",E138&lt;=30,"Young Adults",E138&lt;=45,"Middle-aged Adults",E138&gt;45,"Old Adults")</f>
        <v>Young Adults</v>
      </c>
    </row>
    <row r="139" spans="1:11" x14ac:dyDescent="0.45">
      <c r="A139" s="2">
        <v>155</v>
      </c>
      <c r="B139" s="2" t="s">
        <v>260</v>
      </c>
      <c r="C139" s="2" t="s">
        <v>91</v>
      </c>
      <c r="D139" s="2" t="s">
        <v>46</v>
      </c>
      <c r="E139" s="2">
        <v>26</v>
      </c>
      <c r="F139" s="2">
        <v>90</v>
      </c>
      <c r="G139" s="2">
        <v>192</v>
      </c>
      <c r="H139" s="9">
        <f t="shared" si="2"/>
        <v>24.4140625</v>
      </c>
      <c r="I139" s="2" t="str" cm="1">
        <f t="array" ref="I139">_xlfn.IFS(F139&gt;=100,"Over weight",F139&lt;100,"Average weight")</f>
        <v>Average weight</v>
      </c>
      <c r="J139" s="2" t="str" cm="1">
        <f t="array" ref="J139">_xlfn.IFS(G139&lt;164,"Below Average height",G139&gt;=165,"Above Average height",G139=164,"Average height")</f>
        <v>Above Average height</v>
      </c>
      <c r="K139" s="2" t="str" cm="1">
        <f t="array" ref="K139">_xlfn.IFS(E139&lt;=16,"Children",E139&lt;=30,"Young Adults",E139&lt;=45,"Middle-aged Adults",E139&gt;45,"Old Adults")</f>
        <v>Young Adults</v>
      </c>
    </row>
    <row r="140" spans="1:11" x14ac:dyDescent="0.45">
      <c r="A140" s="2">
        <v>156</v>
      </c>
      <c r="B140" s="2" t="s">
        <v>261</v>
      </c>
      <c r="C140" s="2" t="s">
        <v>91</v>
      </c>
      <c r="D140" s="2" t="s">
        <v>75</v>
      </c>
      <c r="E140" s="2">
        <v>29</v>
      </c>
      <c r="F140" s="2">
        <v>99</v>
      </c>
      <c r="G140" s="2">
        <v>189</v>
      </c>
      <c r="H140" s="9">
        <f t="shared" si="2"/>
        <v>27.714789619551524</v>
      </c>
      <c r="I140" s="2" t="str" cm="1">
        <f t="array" ref="I140">_xlfn.IFS(F140&gt;=100,"Over weight",F140&lt;100,"Average weight")</f>
        <v>Average weight</v>
      </c>
      <c r="J140" s="2" t="str" cm="1">
        <f t="array" ref="J140">_xlfn.IFS(G140&lt;164,"Below Average height",G140&gt;=165,"Above Average height",G140=164,"Average height")</f>
        <v>Above Average height</v>
      </c>
      <c r="K140" s="2" t="str" cm="1">
        <f t="array" ref="K140">_xlfn.IFS(E140&lt;=16,"Children",E140&lt;=30,"Young Adults",E140&lt;=45,"Middle-aged Adults",E140&gt;45,"Old Adults")</f>
        <v>Young Adults</v>
      </c>
    </row>
    <row r="141" spans="1:11" x14ac:dyDescent="0.45">
      <c r="A141" s="2">
        <v>157</v>
      </c>
      <c r="B141" s="2" t="s">
        <v>262</v>
      </c>
      <c r="C141" s="2" t="s">
        <v>89</v>
      </c>
      <c r="D141" s="2" t="s">
        <v>63</v>
      </c>
      <c r="E141" s="2">
        <v>21</v>
      </c>
      <c r="F141" s="2">
        <v>70</v>
      </c>
      <c r="G141" s="2">
        <v>178</v>
      </c>
      <c r="H141" s="9">
        <f t="shared" si="2"/>
        <v>22.093170054286073</v>
      </c>
      <c r="I141" s="2" t="str" cm="1">
        <f t="array" ref="I141">_xlfn.IFS(F141&gt;=100,"Over weight",F141&lt;100,"Average weight")</f>
        <v>Average weight</v>
      </c>
      <c r="J141" s="2" t="str" cm="1">
        <f t="array" ref="J141">_xlfn.IFS(G141&lt;164,"Below Average height",G141&gt;=165,"Above Average height",G141=164,"Average height")</f>
        <v>Above Average height</v>
      </c>
      <c r="K141" s="2" t="str" cm="1">
        <f t="array" ref="K141">_xlfn.IFS(E141&lt;=16,"Children",E141&lt;=30,"Young Adults",E141&lt;=45,"Middle-aged Adults",E141&gt;45,"Old Adults")</f>
        <v>Young Adults</v>
      </c>
    </row>
    <row r="142" spans="1:11" x14ac:dyDescent="0.45">
      <c r="A142" s="2">
        <v>158</v>
      </c>
      <c r="B142" s="2" t="s">
        <v>263</v>
      </c>
      <c r="C142" s="2" t="s">
        <v>97</v>
      </c>
      <c r="D142" s="2" t="s">
        <v>6</v>
      </c>
      <c r="E142" s="2">
        <v>32</v>
      </c>
      <c r="F142" s="2">
        <v>70</v>
      </c>
      <c r="G142" s="2">
        <v>182</v>
      </c>
      <c r="H142" s="9">
        <f t="shared" si="2"/>
        <v>21.132713440405748</v>
      </c>
      <c r="I142" s="2" t="str" cm="1">
        <f t="array" ref="I142">_xlfn.IFS(F142&gt;=100,"Over weight",F142&lt;100,"Average weight")</f>
        <v>Average weight</v>
      </c>
      <c r="J142" s="2" t="str" cm="1">
        <f t="array" ref="J142">_xlfn.IFS(G142&lt;164,"Below Average height",G142&gt;=165,"Above Average height",G142=164,"Average height")</f>
        <v>Above Average height</v>
      </c>
      <c r="K142" s="2" t="str" cm="1">
        <f t="array" ref="K142">_xlfn.IFS(E142&lt;=16,"Children",E142&lt;=30,"Young Adults",E142&lt;=45,"Middle-aged Adults",E142&gt;45,"Old Adults")</f>
        <v>Middle-aged Adults</v>
      </c>
    </row>
    <row r="143" spans="1:11" x14ac:dyDescent="0.45">
      <c r="A143" s="2">
        <v>159</v>
      </c>
      <c r="B143" s="2" t="s">
        <v>264</v>
      </c>
      <c r="C143" s="2" t="s">
        <v>85</v>
      </c>
      <c r="D143" s="2" t="s">
        <v>14</v>
      </c>
      <c r="E143" s="2">
        <v>27</v>
      </c>
      <c r="F143" s="2">
        <v>82</v>
      </c>
      <c r="G143" s="2">
        <v>188</v>
      </c>
      <c r="H143" s="9">
        <f t="shared" si="2"/>
        <v>23.20054323223178</v>
      </c>
      <c r="I143" s="2" t="str" cm="1">
        <f t="array" ref="I143">_xlfn.IFS(F143&gt;=100,"Over weight",F143&lt;100,"Average weight")</f>
        <v>Average weight</v>
      </c>
      <c r="J143" s="2" t="str" cm="1">
        <f t="array" ref="J143">_xlfn.IFS(G143&lt;164,"Below Average height",G143&gt;=165,"Above Average height",G143=164,"Average height")</f>
        <v>Above Average height</v>
      </c>
      <c r="K143" s="2" t="str" cm="1">
        <f t="array" ref="K143">_xlfn.IFS(E143&lt;=16,"Children",E143&lt;=30,"Young Adults",E143&lt;=45,"Middle-aged Adults",E143&gt;45,"Old Adults")</f>
        <v>Young Adults</v>
      </c>
    </row>
    <row r="144" spans="1:11" x14ac:dyDescent="0.45">
      <c r="A144" s="2">
        <v>160</v>
      </c>
      <c r="B144" s="2" t="s">
        <v>265</v>
      </c>
      <c r="C144" s="2" t="s">
        <v>88</v>
      </c>
      <c r="D144" s="2" t="s">
        <v>79</v>
      </c>
      <c r="E144" s="2">
        <v>32</v>
      </c>
      <c r="F144" s="2">
        <v>76</v>
      </c>
      <c r="G144" s="2">
        <v>183</v>
      </c>
      <c r="H144" s="9">
        <f t="shared" si="2"/>
        <v>22.694018931589476</v>
      </c>
      <c r="I144" s="2" t="str" cm="1">
        <f t="array" ref="I144">_xlfn.IFS(F144&gt;=100,"Over weight",F144&lt;100,"Average weight")</f>
        <v>Average weight</v>
      </c>
      <c r="J144" s="2" t="str" cm="1">
        <f t="array" ref="J144">_xlfn.IFS(G144&lt;164,"Below Average height",G144&gt;=165,"Above Average height",G144=164,"Average height")</f>
        <v>Above Average height</v>
      </c>
      <c r="K144" s="2" t="str" cm="1">
        <f t="array" ref="K144">_xlfn.IFS(E144&lt;=16,"Children",E144&lt;=30,"Young Adults",E144&lt;=45,"Middle-aged Adults",E144&gt;45,"Old Adults")</f>
        <v>Middle-aged Adults</v>
      </c>
    </row>
    <row r="145" spans="1:11" x14ac:dyDescent="0.45">
      <c r="A145" s="2">
        <v>161</v>
      </c>
      <c r="B145" s="2" t="s">
        <v>266</v>
      </c>
      <c r="C145" s="2" t="s">
        <v>87</v>
      </c>
      <c r="D145" s="2" t="s">
        <v>14</v>
      </c>
      <c r="E145" s="2">
        <v>22</v>
      </c>
      <c r="F145" s="2">
        <v>76</v>
      </c>
      <c r="G145" s="2">
        <v>173</v>
      </c>
      <c r="H145" s="9">
        <f t="shared" si="2"/>
        <v>25.393431120318084</v>
      </c>
      <c r="I145" s="2" t="str" cm="1">
        <f t="array" ref="I145">_xlfn.IFS(F145&gt;=100,"Over weight",F145&lt;100,"Average weight")</f>
        <v>Average weight</v>
      </c>
      <c r="J145" s="2" t="str" cm="1">
        <f t="array" ref="J145">_xlfn.IFS(G145&lt;164,"Below Average height",G145&gt;=165,"Above Average height",G145=164,"Average height")</f>
        <v>Above Average height</v>
      </c>
      <c r="K145" s="2" t="str" cm="1">
        <f t="array" ref="K145">_xlfn.IFS(E145&lt;=16,"Children",E145&lt;=30,"Young Adults",E145&lt;=45,"Middle-aged Adults",E145&gt;45,"Old Adults")</f>
        <v>Young Adults</v>
      </c>
    </row>
    <row r="146" spans="1:11" x14ac:dyDescent="0.45">
      <c r="A146" s="2">
        <v>162</v>
      </c>
      <c r="B146" s="2" t="s">
        <v>267</v>
      </c>
      <c r="C146" s="2" t="s">
        <v>88</v>
      </c>
      <c r="D146" s="2" t="s">
        <v>28</v>
      </c>
      <c r="E146" s="2">
        <v>28</v>
      </c>
      <c r="F146" s="2">
        <v>74</v>
      </c>
      <c r="G146" s="2">
        <v>179</v>
      </c>
      <c r="H146" s="9">
        <f t="shared" si="2"/>
        <v>23.095409007209515</v>
      </c>
      <c r="I146" s="2" t="str" cm="1">
        <f t="array" ref="I146">_xlfn.IFS(F146&gt;=100,"Over weight",F146&lt;100,"Average weight")</f>
        <v>Average weight</v>
      </c>
      <c r="J146" s="2" t="str" cm="1">
        <f t="array" ref="J146">_xlfn.IFS(G146&lt;164,"Below Average height",G146&gt;=165,"Above Average height",G146=164,"Average height")</f>
        <v>Above Average height</v>
      </c>
      <c r="K146" s="2" t="str" cm="1">
        <f t="array" ref="K146">_xlfn.IFS(E146&lt;=16,"Children",E146&lt;=30,"Young Adults",E146&lt;=45,"Middle-aged Adults",E146&gt;45,"Old Adults")</f>
        <v>Young Adults</v>
      </c>
    </row>
    <row r="147" spans="1:11" x14ac:dyDescent="0.45">
      <c r="A147" s="2">
        <v>163</v>
      </c>
      <c r="B147" s="2" t="s">
        <v>268</v>
      </c>
      <c r="C147" s="2" t="s">
        <v>90</v>
      </c>
      <c r="D147" s="2" t="s">
        <v>14</v>
      </c>
      <c r="E147" s="2">
        <v>30</v>
      </c>
      <c r="F147" s="2">
        <v>102</v>
      </c>
      <c r="G147" s="2">
        <v>179</v>
      </c>
      <c r="H147" s="9">
        <f t="shared" si="2"/>
        <v>31.834212415342844</v>
      </c>
      <c r="I147" s="2" t="str" cm="1">
        <f t="array" ref="I147">_xlfn.IFS(F147&gt;=100,"Over weight",F147&lt;100,"Average weight")</f>
        <v>Over weight</v>
      </c>
      <c r="J147" s="2" t="str" cm="1">
        <f t="array" ref="J147">_xlfn.IFS(G147&lt;164,"Below Average height",G147&gt;=165,"Above Average height",G147=164,"Average height")</f>
        <v>Above Average height</v>
      </c>
      <c r="K147" s="2" t="str" cm="1">
        <f t="array" ref="K147">_xlfn.IFS(E147&lt;=16,"Children",E147&lt;=30,"Young Adults",E147&lt;=45,"Middle-aged Adults",E147&gt;45,"Old Adults")</f>
        <v>Young Adults</v>
      </c>
    </row>
    <row r="148" spans="1:11" x14ac:dyDescent="0.45">
      <c r="A148" s="2">
        <v>164</v>
      </c>
      <c r="B148" s="2" t="s">
        <v>269</v>
      </c>
      <c r="C148" s="2" t="s">
        <v>93</v>
      </c>
      <c r="D148" s="2" t="s">
        <v>74</v>
      </c>
      <c r="E148" s="2">
        <v>33</v>
      </c>
      <c r="F148" s="2">
        <v>78</v>
      </c>
      <c r="G148" s="2">
        <v>175</v>
      </c>
      <c r="H148" s="9">
        <f t="shared" si="2"/>
        <v>25.469387755102041</v>
      </c>
      <c r="I148" s="2" t="str" cm="1">
        <f t="array" ref="I148">_xlfn.IFS(F148&gt;=100,"Over weight",F148&lt;100,"Average weight")</f>
        <v>Average weight</v>
      </c>
      <c r="J148" s="2" t="str" cm="1">
        <f t="array" ref="J148">_xlfn.IFS(G148&lt;164,"Below Average height",G148&gt;=165,"Above Average height",G148=164,"Average height")</f>
        <v>Above Average height</v>
      </c>
      <c r="K148" s="2" t="str" cm="1">
        <f t="array" ref="K148">_xlfn.IFS(E148&lt;=16,"Children",E148&lt;=30,"Young Adults",E148&lt;=45,"Middle-aged Adults",E148&gt;45,"Old Adults")</f>
        <v>Middle-aged Adults</v>
      </c>
    </row>
    <row r="149" spans="1:11" x14ac:dyDescent="0.45">
      <c r="A149" s="2">
        <v>165</v>
      </c>
      <c r="B149" s="2" t="s">
        <v>270</v>
      </c>
      <c r="C149" s="2" t="s">
        <v>100</v>
      </c>
      <c r="D149" s="2" t="s">
        <v>60</v>
      </c>
      <c r="E149" s="2">
        <v>38</v>
      </c>
      <c r="F149" s="2">
        <v>58</v>
      </c>
      <c r="G149" s="2">
        <v>203</v>
      </c>
      <c r="H149" s="9">
        <f t="shared" si="2"/>
        <v>14.074595355383536</v>
      </c>
      <c r="I149" s="2" t="str" cm="1">
        <f t="array" ref="I149">_xlfn.IFS(F149&gt;=100,"Over weight",F149&lt;100,"Average weight")</f>
        <v>Average weight</v>
      </c>
      <c r="J149" s="2" t="str" cm="1">
        <f t="array" ref="J149">_xlfn.IFS(G149&lt;164,"Below Average height",G149&gt;=165,"Above Average height",G149=164,"Average height")</f>
        <v>Above Average height</v>
      </c>
      <c r="K149" s="2" t="str" cm="1">
        <f t="array" ref="K149">_xlfn.IFS(E149&lt;=16,"Children",E149&lt;=30,"Young Adults",E149&lt;=45,"Middle-aged Adults",E149&gt;45,"Old Adults")</f>
        <v>Middle-aged Adults</v>
      </c>
    </row>
    <row r="150" spans="1:11" x14ac:dyDescent="0.45">
      <c r="A150" s="2">
        <v>166</v>
      </c>
      <c r="B150" s="2" t="s">
        <v>271</v>
      </c>
      <c r="C150" s="2" t="s">
        <v>94</v>
      </c>
      <c r="D150" s="2" t="s">
        <v>60</v>
      </c>
      <c r="E150" s="2">
        <v>29</v>
      </c>
      <c r="F150" s="2">
        <v>58</v>
      </c>
      <c r="G150" s="2">
        <v>203</v>
      </c>
      <c r="H150" s="9">
        <f t="shared" si="2"/>
        <v>14.074595355383536</v>
      </c>
      <c r="I150" s="2" t="str" cm="1">
        <f t="array" ref="I150">_xlfn.IFS(F150&gt;=100,"Over weight",F150&lt;100,"Average weight")</f>
        <v>Average weight</v>
      </c>
      <c r="J150" s="2" t="str" cm="1">
        <f t="array" ref="J150">_xlfn.IFS(G150&lt;164,"Below Average height",G150&gt;=165,"Above Average height",G150=164,"Average height")</f>
        <v>Above Average height</v>
      </c>
      <c r="K150" s="2" t="str" cm="1">
        <f t="array" ref="K150">_xlfn.IFS(E150&lt;=16,"Children",E150&lt;=30,"Young Adults",E150&lt;=45,"Middle-aged Adults",E150&gt;45,"Old Adults")</f>
        <v>Young Adults</v>
      </c>
    </row>
    <row r="151" spans="1:11" x14ac:dyDescent="0.45">
      <c r="A151" s="2">
        <v>167</v>
      </c>
      <c r="B151" s="2" t="s">
        <v>272</v>
      </c>
      <c r="C151" s="2" t="s">
        <v>85</v>
      </c>
      <c r="D151" s="2" t="s">
        <v>34</v>
      </c>
      <c r="E151" s="2">
        <v>30</v>
      </c>
      <c r="F151" s="2">
        <v>86</v>
      </c>
      <c r="G151" s="2">
        <v>180</v>
      </c>
      <c r="H151" s="9">
        <f t="shared" si="2"/>
        <v>26.543209876543209</v>
      </c>
      <c r="I151" s="2" t="str" cm="1">
        <f t="array" ref="I151">_xlfn.IFS(F151&gt;=100,"Over weight",F151&lt;100,"Average weight")</f>
        <v>Average weight</v>
      </c>
      <c r="J151" s="2" t="str" cm="1">
        <f t="array" ref="J151">_xlfn.IFS(G151&lt;164,"Below Average height",G151&gt;=165,"Above Average height",G151=164,"Average height")</f>
        <v>Above Average height</v>
      </c>
      <c r="K151" s="2" t="str" cm="1">
        <f t="array" ref="K151">_xlfn.IFS(E151&lt;=16,"Children",E151&lt;=30,"Young Adults",E151&lt;=45,"Middle-aged Adults",E151&gt;45,"Old Adults")</f>
        <v>Young Adults</v>
      </c>
    </row>
    <row r="152" spans="1:11" x14ac:dyDescent="0.45">
      <c r="A152" s="2">
        <v>168</v>
      </c>
      <c r="B152" s="2" t="s">
        <v>273</v>
      </c>
      <c r="C152" s="2" t="s">
        <v>88</v>
      </c>
      <c r="D152" s="2" t="s">
        <v>60</v>
      </c>
      <c r="E152" s="2">
        <v>36</v>
      </c>
      <c r="F152" s="2">
        <v>60</v>
      </c>
      <c r="G152" s="2">
        <v>203</v>
      </c>
      <c r="H152" s="9">
        <f t="shared" si="2"/>
        <v>14.559926229707107</v>
      </c>
      <c r="I152" s="2" t="str" cm="1">
        <f t="array" ref="I152">_xlfn.IFS(F152&gt;=100,"Over weight",F152&lt;100,"Average weight")</f>
        <v>Average weight</v>
      </c>
      <c r="J152" s="2" t="str" cm="1">
        <f t="array" ref="J152">_xlfn.IFS(G152&lt;164,"Below Average height",G152&gt;=165,"Above Average height",G152=164,"Average height")</f>
        <v>Above Average height</v>
      </c>
      <c r="K152" s="2" t="str" cm="1">
        <f t="array" ref="K152">_xlfn.IFS(E152&lt;=16,"Children",E152&lt;=30,"Young Adults",E152&lt;=45,"Middle-aged Adults",E152&gt;45,"Old Adults")</f>
        <v>Middle-aged Adults</v>
      </c>
    </row>
    <row r="153" spans="1:11" x14ac:dyDescent="0.45">
      <c r="A153" s="2">
        <v>169</v>
      </c>
      <c r="B153" s="2" t="s">
        <v>274</v>
      </c>
      <c r="C153" s="2" t="s">
        <v>87</v>
      </c>
      <c r="D153" s="2" t="s">
        <v>74</v>
      </c>
      <c r="E153" s="2">
        <v>24</v>
      </c>
      <c r="F153" s="2">
        <v>80</v>
      </c>
      <c r="G153" s="2">
        <v>197</v>
      </c>
      <c r="H153" s="9">
        <f t="shared" si="2"/>
        <v>20.613775155247495</v>
      </c>
      <c r="I153" s="2" t="str" cm="1">
        <f t="array" ref="I153">_xlfn.IFS(F153&gt;=100,"Over weight",F153&lt;100,"Average weight")</f>
        <v>Average weight</v>
      </c>
      <c r="J153" s="2" t="str" cm="1">
        <f t="array" ref="J153">_xlfn.IFS(G153&lt;164,"Below Average height",G153&gt;=165,"Above Average height",G153=164,"Average height")</f>
        <v>Above Average height</v>
      </c>
      <c r="K153" s="2" t="str" cm="1">
        <f t="array" ref="K153">_xlfn.IFS(E153&lt;=16,"Children",E153&lt;=30,"Young Adults",E153&lt;=45,"Middle-aged Adults",E153&gt;45,"Old Adults")</f>
        <v>Young Adults</v>
      </c>
    </row>
    <row r="154" spans="1:11" x14ac:dyDescent="0.45">
      <c r="A154" s="2">
        <v>170</v>
      </c>
      <c r="B154" s="2" t="s">
        <v>275</v>
      </c>
      <c r="C154" s="2" t="s">
        <v>85</v>
      </c>
      <c r="D154" s="2" t="s">
        <v>39</v>
      </c>
      <c r="E154" s="2">
        <v>30</v>
      </c>
      <c r="F154" s="2">
        <v>80</v>
      </c>
      <c r="G154" s="2">
        <v>172</v>
      </c>
      <c r="H154" s="9">
        <f t="shared" si="2"/>
        <v>27.041644131963228</v>
      </c>
      <c r="I154" s="2" t="str" cm="1">
        <f t="array" ref="I154">_xlfn.IFS(F154&gt;=100,"Over weight",F154&lt;100,"Average weight")</f>
        <v>Average weight</v>
      </c>
      <c r="J154" s="2" t="str" cm="1">
        <f t="array" ref="J154">_xlfn.IFS(G154&lt;164,"Below Average height",G154&gt;=165,"Above Average height",G154=164,"Average height")</f>
        <v>Above Average height</v>
      </c>
      <c r="K154" s="2" t="str" cm="1">
        <f t="array" ref="K154">_xlfn.IFS(E154&lt;=16,"Children",E154&lt;=30,"Young Adults",E154&lt;=45,"Middle-aged Adults",E154&gt;45,"Old Adults")</f>
        <v>Young Adults</v>
      </c>
    </row>
    <row r="155" spans="1:11" x14ac:dyDescent="0.45">
      <c r="A155" s="2">
        <v>171</v>
      </c>
      <c r="B155" s="2" t="s">
        <v>276</v>
      </c>
      <c r="C155" s="2" t="s">
        <v>91</v>
      </c>
      <c r="D155" s="2" t="s">
        <v>21</v>
      </c>
      <c r="E155" s="2">
        <v>27</v>
      </c>
      <c r="F155" s="2">
        <v>83</v>
      </c>
      <c r="G155" s="2">
        <v>184</v>
      </c>
      <c r="H155" s="9">
        <f t="shared" si="2"/>
        <v>24.515595463137995</v>
      </c>
      <c r="I155" s="2" t="str" cm="1">
        <f t="array" ref="I155">_xlfn.IFS(F155&gt;=100,"Over weight",F155&lt;100,"Average weight")</f>
        <v>Average weight</v>
      </c>
      <c r="J155" s="2" t="str" cm="1">
        <f t="array" ref="J155">_xlfn.IFS(G155&lt;164,"Below Average height",G155&gt;=165,"Above Average height",G155=164,"Average height")</f>
        <v>Above Average height</v>
      </c>
      <c r="K155" s="2" t="str" cm="1">
        <f t="array" ref="K155">_xlfn.IFS(E155&lt;=16,"Children",E155&lt;=30,"Young Adults",E155&lt;=45,"Middle-aged Adults",E155&gt;45,"Old Adults")</f>
        <v>Young Adults</v>
      </c>
    </row>
    <row r="156" spans="1:11" x14ac:dyDescent="0.45">
      <c r="A156" s="2">
        <v>172</v>
      </c>
      <c r="B156" s="2" t="s">
        <v>277</v>
      </c>
      <c r="C156" s="2" t="s">
        <v>93</v>
      </c>
      <c r="D156" s="2" t="s">
        <v>80</v>
      </c>
      <c r="E156" s="2">
        <v>28</v>
      </c>
      <c r="F156" s="2">
        <v>57</v>
      </c>
      <c r="G156" s="2">
        <v>165</v>
      </c>
      <c r="H156" s="9">
        <f t="shared" si="2"/>
        <v>20.936639118457304</v>
      </c>
      <c r="I156" s="2" t="str" cm="1">
        <f t="array" ref="I156">_xlfn.IFS(F156&gt;=100,"Over weight",F156&lt;100,"Average weight")</f>
        <v>Average weight</v>
      </c>
      <c r="J156" s="2" t="str" cm="1">
        <f t="array" ref="J156">_xlfn.IFS(G156&lt;164,"Below Average height",G156&gt;=165,"Above Average height",G156=164,"Average height")</f>
        <v>Above Average height</v>
      </c>
      <c r="K156" s="2" t="str" cm="1">
        <f t="array" ref="K156">_xlfn.IFS(E156&lt;=16,"Children",E156&lt;=30,"Young Adults",E156&lt;=45,"Middle-aged Adults",E156&gt;45,"Old Adults")</f>
        <v>Young Adults</v>
      </c>
    </row>
    <row r="157" spans="1:11" x14ac:dyDescent="0.45">
      <c r="A157" s="2">
        <v>173</v>
      </c>
      <c r="B157" s="2" t="s">
        <v>278</v>
      </c>
      <c r="C157" s="2" t="s">
        <v>91</v>
      </c>
      <c r="D157" s="2" t="s">
        <v>75</v>
      </c>
      <c r="E157" s="2">
        <v>26</v>
      </c>
      <c r="F157" s="2">
        <v>88</v>
      </c>
      <c r="G157" s="2">
        <v>180</v>
      </c>
      <c r="H157" s="9">
        <f t="shared" si="2"/>
        <v>27.160493827160494</v>
      </c>
      <c r="I157" s="2" t="str" cm="1">
        <f t="array" ref="I157">_xlfn.IFS(F157&gt;=100,"Over weight",F157&lt;100,"Average weight")</f>
        <v>Average weight</v>
      </c>
      <c r="J157" s="2" t="str" cm="1">
        <f t="array" ref="J157">_xlfn.IFS(G157&lt;164,"Below Average height",G157&gt;=165,"Above Average height",G157=164,"Average height")</f>
        <v>Above Average height</v>
      </c>
      <c r="K157" s="2" t="str" cm="1">
        <f t="array" ref="K157">_xlfn.IFS(E157&lt;=16,"Children",E157&lt;=30,"Young Adults",E157&lt;=45,"Middle-aged Adults",E157&gt;45,"Old Adults")</f>
        <v>Young Adults</v>
      </c>
    </row>
    <row r="158" spans="1:11" x14ac:dyDescent="0.45">
      <c r="A158" s="2">
        <v>174</v>
      </c>
      <c r="B158" s="2" t="s">
        <v>279</v>
      </c>
      <c r="C158" s="2" t="s">
        <v>89</v>
      </c>
      <c r="D158" s="2" t="s">
        <v>58</v>
      </c>
      <c r="E158" s="2">
        <v>20</v>
      </c>
      <c r="F158" s="2">
        <v>81</v>
      </c>
      <c r="G158" s="2">
        <v>184</v>
      </c>
      <c r="H158" s="9">
        <f t="shared" si="2"/>
        <v>23.92485822306238</v>
      </c>
      <c r="I158" s="2" t="str" cm="1">
        <f t="array" ref="I158">_xlfn.IFS(F158&gt;=100,"Over weight",F158&lt;100,"Average weight")</f>
        <v>Average weight</v>
      </c>
      <c r="J158" s="2" t="str" cm="1">
        <f t="array" ref="J158">_xlfn.IFS(G158&lt;164,"Below Average height",G158&gt;=165,"Above Average height",G158=164,"Average height")</f>
        <v>Above Average height</v>
      </c>
      <c r="K158" s="2" t="str" cm="1">
        <f t="array" ref="K158">_xlfn.IFS(E158&lt;=16,"Children",E158&lt;=30,"Young Adults",E158&lt;=45,"Middle-aged Adults",E158&gt;45,"Old Adults")</f>
        <v>Young Adults</v>
      </c>
    </row>
    <row r="159" spans="1:11" x14ac:dyDescent="0.45">
      <c r="A159" s="2">
        <v>175</v>
      </c>
      <c r="B159" s="2" t="s">
        <v>280</v>
      </c>
      <c r="C159" s="2" t="s">
        <v>88</v>
      </c>
      <c r="D159" s="2" t="s">
        <v>63</v>
      </c>
      <c r="E159" s="2">
        <v>25</v>
      </c>
      <c r="F159" s="2">
        <v>57</v>
      </c>
      <c r="G159" s="2">
        <v>166</v>
      </c>
      <c r="H159" s="9">
        <f t="shared" si="2"/>
        <v>20.685150239512268</v>
      </c>
      <c r="I159" s="2" t="str" cm="1">
        <f t="array" ref="I159">_xlfn.IFS(F159&gt;=100,"Over weight",F159&lt;100,"Average weight")</f>
        <v>Average weight</v>
      </c>
      <c r="J159" s="2" t="str" cm="1">
        <f t="array" ref="J159">_xlfn.IFS(G159&lt;164,"Below Average height",G159&gt;=165,"Above Average height",G159=164,"Average height")</f>
        <v>Above Average height</v>
      </c>
      <c r="K159" s="2" t="str" cm="1">
        <f t="array" ref="K159">_xlfn.IFS(E159&lt;=16,"Children",E159&lt;=30,"Young Adults",E159&lt;=45,"Middle-aged Adults",E159&gt;45,"Old Adults")</f>
        <v>Young Adults</v>
      </c>
    </row>
    <row r="160" spans="1:11" x14ac:dyDescent="0.45">
      <c r="A160" s="2">
        <v>176</v>
      </c>
      <c r="B160" s="2" t="s">
        <v>281</v>
      </c>
      <c r="C160" s="2" t="s">
        <v>86</v>
      </c>
      <c r="D160" s="2" t="s">
        <v>66</v>
      </c>
      <c r="E160" s="2">
        <v>19</v>
      </c>
      <c r="F160" s="2">
        <v>60</v>
      </c>
      <c r="G160" s="2">
        <v>165</v>
      </c>
      <c r="H160" s="9">
        <f t="shared" si="2"/>
        <v>22.03856749311295</v>
      </c>
      <c r="I160" s="2" t="str" cm="1">
        <f t="array" ref="I160">_xlfn.IFS(F160&gt;=100,"Over weight",F160&lt;100,"Average weight")</f>
        <v>Average weight</v>
      </c>
      <c r="J160" s="2" t="str" cm="1">
        <f t="array" ref="J160">_xlfn.IFS(G160&lt;164,"Below Average height",G160&gt;=165,"Above Average height",G160=164,"Average height")</f>
        <v>Above Average height</v>
      </c>
      <c r="K160" s="2" t="str" cm="1">
        <f t="array" ref="K160">_xlfn.IFS(E160&lt;=16,"Children",E160&lt;=30,"Young Adults",E160&lt;=45,"Middle-aged Adults",E160&gt;45,"Old Adults")</f>
        <v>Young Adults</v>
      </c>
    </row>
    <row r="161" spans="1:11" x14ac:dyDescent="0.45">
      <c r="A161" s="2">
        <v>177</v>
      </c>
      <c r="B161" s="2" t="s">
        <v>282</v>
      </c>
      <c r="C161" s="2" t="s">
        <v>93</v>
      </c>
      <c r="D161" s="2" t="s">
        <v>39</v>
      </c>
      <c r="E161" s="2">
        <v>24</v>
      </c>
      <c r="F161" s="2">
        <v>83</v>
      </c>
      <c r="G161" s="2">
        <v>173</v>
      </c>
      <c r="H161" s="9">
        <f t="shared" si="2"/>
        <v>27.732299776136855</v>
      </c>
      <c r="I161" s="2" t="str" cm="1">
        <f t="array" ref="I161">_xlfn.IFS(F161&gt;=100,"Over weight",F161&lt;100,"Average weight")</f>
        <v>Average weight</v>
      </c>
      <c r="J161" s="2" t="str" cm="1">
        <f t="array" ref="J161">_xlfn.IFS(G161&lt;164,"Below Average height",G161&gt;=165,"Above Average height",G161=164,"Average height")</f>
        <v>Above Average height</v>
      </c>
      <c r="K161" s="2" t="str" cm="1">
        <f t="array" ref="K161">_xlfn.IFS(E161&lt;=16,"Children",E161&lt;=30,"Young Adults",E161&lt;=45,"Middle-aged Adults",E161&gt;45,"Old Adults")</f>
        <v>Young Adults</v>
      </c>
    </row>
    <row r="162" spans="1:11" x14ac:dyDescent="0.45">
      <c r="A162" s="2">
        <v>178</v>
      </c>
      <c r="B162" s="2" t="s">
        <v>283</v>
      </c>
      <c r="C162" s="2" t="s">
        <v>88</v>
      </c>
      <c r="D162" s="2" t="s">
        <v>75</v>
      </c>
      <c r="E162" s="2">
        <v>25</v>
      </c>
      <c r="F162" s="2">
        <v>76</v>
      </c>
      <c r="G162" s="2">
        <v>179</v>
      </c>
      <c r="H162" s="9">
        <f t="shared" si="2"/>
        <v>23.719609250647608</v>
      </c>
      <c r="I162" s="2" t="str" cm="1">
        <f t="array" ref="I162">_xlfn.IFS(F162&gt;=100,"Over weight",F162&lt;100,"Average weight")</f>
        <v>Average weight</v>
      </c>
      <c r="J162" s="2" t="str" cm="1">
        <f t="array" ref="J162">_xlfn.IFS(G162&lt;164,"Below Average height",G162&gt;=165,"Above Average height",G162=164,"Average height")</f>
        <v>Above Average height</v>
      </c>
      <c r="K162" s="2" t="str" cm="1">
        <f t="array" ref="K162">_xlfn.IFS(E162&lt;=16,"Children",E162&lt;=30,"Young Adults",E162&lt;=45,"Middle-aged Adults",E162&gt;45,"Old Adults")</f>
        <v>Young Adults</v>
      </c>
    </row>
    <row r="163" spans="1:11" x14ac:dyDescent="0.45">
      <c r="A163" s="2">
        <v>179</v>
      </c>
      <c r="B163" s="2" t="s">
        <v>284</v>
      </c>
      <c r="C163" s="2" t="s">
        <v>92</v>
      </c>
      <c r="D163" s="2" t="s">
        <v>28</v>
      </c>
      <c r="E163" s="2">
        <v>19</v>
      </c>
      <c r="F163" s="2">
        <v>58</v>
      </c>
      <c r="G163" s="2">
        <v>176</v>
      </c>
      <c r="H163" s="9">
        <f t="shared" si="2"/>
        <v>18.724173553719009</v>
      </c>
      <c r="I163" s="2" t="str" cm="1">
        <f t="array" ref="I163">_xlfn.IFS(F163&gt;=100,"Over weight",F163&lt;100,"Average weight")</f>
        <v>Average weight</v>
      </c>
      <c r="J163" s="2" t="str" cm="1">
        <f t="array" ref="J163">_xlfn.IFS(G163&lt;164,"Below Average height",G163&gt;=165,"Above Average height",G163=164,"Average height")</f>
        <v>Above Average height</v>
      </c>
      <c r="K163" s="2" t="str" cm="1">
        <f t="array" ref="K163">_xlfn.IFS(E163&lt;=16,"Children",E163&lt;=30,"Young Adults",E163&lt;=45,"Middle-aged Adults",E163&gt;45,"Old Adults")</f>
        <v>Young Adults</v>
      </c>
    </row>
    <row r="164" spans="1:11" x14ac:dyDescent="0.45">
      <c r="A164" s="2">
        <v>180</v>
      </c>
      <c r="B164" s="2" t="s">
        <v>285</v>
      </c>
      <c r="C164" s="2" t="s">
        <v>88</v>
      </c>
      <c r="D164" s="2" t="s">
        <v>60</v>
      </c>
      <c r="E164" s="2">
        <v>21</v>
      </c>
      <c r="F164" s="2">
        <v>60</v>
      </c>
      <c r="G164" s="2">
        <v>203</v>
      </c>
      <c r="H164" s="9">
        <f t="shared" si="2"/>
        <v>14.559926229707107</v>
      </c>
      <c r="I164" s="2" t="str" cm="1">
        <f t="array" ref="I164">_xlfn.IFS(F164&gt;=100,"Over weight",F164&lt;100,"Average weight")</f>
        <v>Average weight</v>
      </c>
      <c r="J164" s="2" t="str" cm="1">
        <f t="array" ref="J164">_xlfn.IFS(G164&lt;164,"Below Average height",G164&gt;=165,"Above Average height",G164=164,"Average height")</f>
        <v>Above Average height</v>
      </c>
      <c r="K164" s="2" t="str" cm="1">
        <f t="array" ref="K164">_xlfn.IFS(E164&lt;=16,"Children",E164&lt;=30,"Young Adults",E164&lt;=45,"Middle-aged Adults",E164&gt;45,"Old Adults")</f>
        <v>Young Adults</v>
      </c>
    </row>
    <row r="165" spans="1:11" x14ac:dyDescent="0.45">
      <c r="A165" s="2">
        <v>181</v>
      </c>
      <c r="B165" s="2" t="s">
        <v>286</v>
      </c>
      <c r="C165" s="2" t="s">
        <v>94</v>
      </c>
      <c r="D165" s="2" t="s">
        <v>28</v>
      </c>
      <c r="E165" s="2">
        <v>28</v>
      </c>
      <c r="F165" s="2">
        <v>54</v>
      </c>
      <c r="G165" s="2">
        <v>170</v>
      </c>
      <c r="H165" s="9">
        <f t="shared" si="2"/>
        <v>18.68512110726644</v>
      </c>
      <c r="I165" s="2" t="str" cm="1">
        <f t="array" ref="I165">_xlfn.IFS(F165&gt;=100,"Over weight",F165&lt;100,"Average weight")</f>
        <v>Average weight</v>
      </c>
      <c r="J165" s="2" t="str" cm="1">
        <f t="array" ref="J165">_xlfn.IFS(G165&lt;164,"Below Average height",G165&gt;=165,"Above Average height",G165=164,"Average height")</f>
        <v>Above Average height</v>
      </c>
      <c r="K165" s="2" t="str" cm="1">
        <f t="array" ref="K165">_xlfn.IFS(E165&lt;=16,"Children",E165&lt;=30,"Young Adults",E165&lt;=45,"Middle-aged Adults",E165&gt;45,"Old Adults")</f>
        <v>Young Adults</v>
      </c>
    </row>
    <row r="166" spans="1:11" x14ac:dyDescent="0.45">
      <c r="A166" s="2">
        <v>182</v>
      </c>
      <c r="B166" s="2" t="s">
        <v>287</v>
      </c>
      <c r="C166" s="2" t="s">
        <v>89</v>
      </c>
      <c r="D166" s="2" t="s">
        <v>58</v>
      </c>
      <c r="E166" s="2">
        <v>24</v>
      </c>
      <c r="F166" s="2">
        <v>72</v>
      </c>
      <c r="G166" s="2">
        <v>182</v>
      </c>
      <c r="H166" s="9">
        <f t="shared" si="2"/>
        <v>21.736505252988767</v>
      </c>
      <c r="I166" s="2" t="str" cm="1">
        <f t="array" ref="I166">_xlfn.IFS(F166&gt;=100,"Over weight",F166&lt;100,"Average weight")</f>
        <v>Average weight</v>
      </c>
      <c r="J166" s="2" t="str" cm="1">
        <f t="array" ref="J166">_xlfn.IFS(G166&lt;164,"Below Average height",G166&gt;=165,"Above Average height",G166=164,"Average height")</f>
        <v>Above Average height</v>
      </c>
      <c r="K166" s="2" t="str" cm="1">
        <f t="array" ref="K166">_xlfn.IFS(E166&lt;=16,"Children",E166&lt;=30,"Young Adults",E166&lt;=45,"Middle-aged Adults",E166&gt;45,"Old Adults")</f>
        <v>Young Adults</v>
      </c>
    </row>
    <row r="167" spans="1:11" x14ac:dyDescent="0.45">
      <c r="A167" s="2">
        <v>183</v>
      </c>
      <c r="B167" s="2" t="s">
        <v>288</v>
      </c>
      <c r="C167" s="2" t="s">
        <v>88</v>
      </c>
      <c r="D167" s="2" t="s">
        <v>26</v>
      </c>
      <c r="E167" s="2">
        <v>23</v>
      </c>
      <c r="F167" s="2">
        <v>65</v>
      </c>
      <c r="G167" s="2">
        <v>172</v>
      </c>
      <c r="H167" s="9">
        <f t="shared" si="2"/>
        <v>21.971335857220122</v>
      </c>
      <c r="I167" s="2" t="str" cm="1">
        <f t="array" ref="I167">_xlfn.IFS(F167&gt;=100,"Over weight",F167&lt;100,"Average weight")</f>
        <v>Average weight</v>
      </c>
      <c r="J167" s="2" t="str" cm="1">
        <f t="array" ref="J167">_xlfn.IFS(G167&lt;164,"Below Average height",G167&gt;=165,"Above Average height",G167=164,"Average height")</f>
        <v>Above Average height</v>
      </c>
      <c r="K167" s="2" t="str" cm="1">
        <f t="array" ref="K167">_xlfn.IFS(E167&lt;=16,"Children",E167&lt;=30,"Young Adults",E167&lt;=45,"Middle-aged Adults",E167&gt;45,"Old Adults")</f>
        <v>Young Adults</v>
      </c>
    </row>
    <row r="168" spans="1:11" x14ac:dyDescent="0.45">
      <c r="A168" s="2">
        <v>184</v>
      </c>
      <c r="B168" s="2" t="s">
        <v>289</v>
      </c>
      <c r="C168" s="2" t="s">
        <v>88</v>
      </c>
      <c r="D168" s="2" t="s">
        <v>66</v>
      </c>
      <c r="E168" s="2">
        <v>30</v>
      </c>
      <c r="F168" s="2">
        <v>63</v>
      </c>
      <c r="G168" s="2">
        <v>167</v>
      </c>
      <c r="H168" s="9">
        <f t="shared" si="2"/>
        <v>22.589551436050055</v>
      </c>
      <c r="I168" s="2" t="str" cm="1">
        <f t="array" ref="I168">_xlfn.IFS(F168&gt;=100,"Over weight",F168&lt;100,"Average weight")</f>
        <v>Average weight</v>
      </c>
      <c r="J168" s="2" t="str" cm="1">
        <f t="array" ref="J168">_xlfn.IFS(G168&lt;164,"Below Average height",G168&gt;=165,"Above Average height",G168=164,"Average height")</f>
        <v>Above Average height</v>
      </c>
      <c r="K168" s="2" t="str" cm="1">
        <f t="array" ref="K168">_xlfn.IFS(E168&lt;=16,"Children",E168&lt;=30,"Young Adults",E168&lt;=45,"Middle-aged Adults",E168&gt;45,"Old Adults")</f>
        <v>Young Adults</v>
      </c>
    </row>
    <row r="169" spans="1:11" x14ac:dyDescent="0.45">
      <c r="A169" s="2">
        <v>185</v>
      </c>
      <c r="B169" s="2" t="s">
        <v>290</v>
      </c>
      <c r="C169" s="2" t="s">
        <v>88</v>
      </c>
      <c r="D169" s="2" t="s">
        <v>13</v>
      </c>
      <c r="E169" s="2">
        <v>24</v>
      </c>
      <c r="F169" s="2">
        <v>57</v>
      </c>
      <c r="G169" s="2">
        <v>166</v>
      </c>
      <c r="H169" s="9">
        <f t="shared" si="2"/>
        <v>20.685150239512268</v>
      </c>
      <c r="I169" s="2" t="str" cm="1">
        <f t="array" ref="I169">_xlfn.IFS(F169&gt;=100,"Over weight",F169&lt;100,"Average weight")</f>
        <v>Average weight</v>
      </c>
      <c r="J169" s="2" t="str" cm="1">
        <f t="array" ref="J169">_xlfn.IFS(G169&lt;164,"Below Average height",G169&gt;=165,"Above Average height",G169=164,"Average height")</f>
        <v>Above Average height</v>
      </c>
      <c r="K169" s="2" t="str" cm="1">
        <f t="array" ref="K169">_xlfn.IFS(E169&lt;=16,"Children",E169&lt;=30,"Young Adults",E169&lt;=45,"Middle-aged Adults",E169&gt;45,"Old Adults")</f>
        <v>Young Adults</v>
      </c>
    </row>
    <row r="170" spans="1:11" x14ac:dyDescent="0.45">
      <c r="A170" s="2">
        <v>186</v>
      </c>
      <c r="B170" s="2" t="s">
        <v>291</v>
      </c>
      <c r="C170" s="2" t="s">
        <v>90</v>
      </c>
      <c r="D170" s="2" t="s">
        <v>21</v>
      </c>
      <c r="E170" s="2">
        <v>29</v>
      </c>
      <c r="F170" s="2">
        <v>93</v>
      </c>
      <c r="G170" s="2">
        <v>180</v>
      </c>
      <c r="H170" s="9">
        <f t="shared" si="2"/>
        <v>28.703703703703702</v>
      </c>
      <c r="I170" s="2" t="str" cm="1">
        <f t="array" ref="I170">_xlfn.IFS(F170&gt;=100,"Over weight",F170&lt;100,"Average weight")</f>
        <v>Average weight</v>
      </c>
      <c r="J170" s="2" t="str" cm="1">
        <f t="array" ref="J170">_xlfn.IFS(G170&lt;164,"Below Average height",G170&gt;=165,"Above Average height",G170=164,"Average height")</f>
        <v>Above Average height</v>
      </c>
      <c r="K170" s="2" t="str" cm="1">
        <f t="array" ref="K170">_xlfn.IFS(E170&lt;=16,"Children",E170&lt;=30,"Young Adults",E170&lt;=45,"Middle-aged Adults",E170&gt;45,"Old Adults")</f>
        <v>Young Adults</v>
      </c>
    </row>
    <row r="171" spans="1:11" x14ac:dyDescent="0.45">
      <c r="A171" s="2">
        <v>187</v>
      </c>
      <c r="B171" s="2" t="s">
        <v>292</v>
      </c>
      <c r="C171" s="2" t="s">
        <v>94</v>
      </c>
      <c r="D171" s="2" t="s">
        <v>101</v>
      </c>
      <c r="E171" s="2">
        <v>38</v>
      </c>
      <c r="F171" s="2">
        <v>75</v>
      </c>
      <c r="G171" s="2">
        <v>175</v>
      </c>
      <c r="H171" s="9">
        <f t="shared" si="2"/>
        <v>24.489795918367346</v>
      </c>
      <c r="I171" s="2" t="str" cm="1">
        <f t="array" ref="I171">_xlfn.IFS(F171&gt;=100,"Over weight",F171&lt;100,"Average weight")</f>
        <v>Average weight</v>
      </c>
      <c r="J171" s="2" t="str" cm="1">
        <f t="array" ref="J171">_xlfn.IFS(G171&lt;164,"Below Average height",G171&gt;=165,"Above Average height",G171=164,"Average height")</f>
        <v>Above Average height</v>
      </c>
      <c r="K171" s="2" t="str" cm="1">
        <f t="array" ref="K171">_xlfn.IFS(E171&lt;=16,"Children",E171&lt;=30,"Young Adults",E171&lt;=45,"Middle-aged Adults",E171&gt;45,"Old Adults")</f>
        <v>Middle-aged Adults</v>
      </c>
    </row>
    <row r="172" spans="1:11" x14ac:dyDescent="0.45">
      <c r="A172" s="2">
        <v>188</v>
      </c>
      <c r="B172" s="2" t="s">
        <v>293</v>
      </c>
      <c r="C172" s="2" t="s">
        <v>93</v>
      </c>
      <c r="D172" s="2" t="s">
        <v>14</v>
      </c>
      <c r="E172" s="2">
        <v>27</v>
      </c>
      <c r="F172" s="2">
        <v>70</v>
      </c>
      <c r="G172" s="2">
        <v>170</v>
      </c>
      <c r="H172" s="9">
        <f t="shared" si="2"/>
        <v>24.221453287197235</v>
      </c>
      <c r="I172" s="2" t="str" cm="1">
        <f t="array" ref="I172">_xlfn.IFS(F172&gt;=100,"Over weight",F172&lt;100,"Average weight")</f>
        <v>Average weight</v>
      </c>
      <c r="J172" s="2" t="str" cm="1">
        <f t="array" ref="J172">_xlfn.IFS(G172&lt;164,"Below Average height",G172&gt;=165,"Above Average height",G172=164,"Average height")</f>
        <v>Above Average height</v>
      </c>
      <c r="K172" s="2" t="str" cm="1">
        <f t="array" ref="K172">_xlfn.IFS(E172&lt;=16,"Children",E172&lt;=30,"Young Adults",E172&lt;=45,"Middle-aged Adults",E172&gt;45,"Old Adults")</f>
        <v>Young Adults</v>
      </c>
    </row>
    <row r="173" spans="1:11" x14ac:dyDescent="0.45">
      <c r="A173" s="2">
        <v>189</v>
      </c>
      <c r="B173" s="2" t="s">
        <v>294</v>
      </c>
      <c r="C173" s="2" t="s">
        <v>89</v>
      </c>
      <c r="D173" s="2" t="s">
        <v>60</v>
      </c>
      <c r="E173" s="2">
        <v>23</v>
      </c>
      <c r="F173" s="2">
        <v>60</v>
      </c>
      <c r="G173" s="2">
        <v>203</v>
      </c>
      <c r="H173" s="9">
        <f t="shared" si="2"/>
        <v>14.559926229707107</v>
      </c>
      <c r="I173" s="2" t="str" cm="1">
        <f t="array" ref="I173">_xlfn.IFS(F173&gt;=100,"Over weight",F173&lt;100,"Average weight")</f>
        <v>Average weight</v>
      </c>
      <c r="J173" s="2" t="str" cm="1">
        <f t="array" ref="J173">_xlfn.IFS(G173&lt;164,"Below Average height",G173&gt;=165,"Above Average height",G173=164,"Average height")</f>
        <v>Above Average height</v>
      </c>
      <c r="K173" s="2" t="str" cm="1">
        <f t="array" ref="K173">_xlfn.IFS(E173&lt;=16,"Children",E173&lt;=30,"Young Adults",E173&lt;=45,"Middle-aged Adults",E173&gt;45,"Old Adults")</f>
        <v>Young Adults</v>
      </c>
    </row>
    <row r="174" spans="1:11" x14ac:dyDescent="0.45">
      <c r="A174" s="2">
        <v>190</v>
      </c>
      <c r="B174" s="2" t="s">
        <v>295</v>
      </c>
      <c r="C174" s="2" t="s">
        <v>89</v>
      </c>
      <c r="D174" s="2" t="s">
        <v>60</v>
      </c>
      <c r="E174" s="2">
        <v>18</v>
      </c>
      <c r="F174" s="2">
        <v>60</v>
      </c>
      <c r="G174" s="2">
        <v>203</v>
      </c>
      <c r="H174" s="9">
        <f t="shared" si="2"/>
        <v>14.559926229707107</v>
      </c>
      <c r="I174" s="2" t="str" cm="1">
        <f t="array" ref="I174">_xlfn.IFS(F174&gt;=100,"Over weight",F174&lt;100,"Average weight")</f>
        <v>Average weight</v>
      </c>
      <c r="J174" s="2" t="str" cm="1">
        <f t="array" ref="J174">_xlfn.IFS(G174&lt;164,"Below Average height",G174&gt;=165,"Above Average height",G174=164,"Average height")</f>
        <v>Above Average height</v>
      </c>
      <c r="K174" s="2" t="str" cm="1">
        <f t="array" ref="K174">_xlfn.IFS(E174&lt;=16,"Children",E174&lt;=30,"Young Adults",E174&lt;=45,"Middle-aged Adults",E174&gt;45,"Old Adults")</f>
        <v>Young Adults</v>
      </c>
    </row>
    <row r="175" spans="1:11" x14ac:dyDescent="0.45">
      <c r="A175" s="2">
        <v>191</v>
      </c>
      <c r="B175" s="2" t="s">
        <v>296</v>
      </c>
      <c r="C175" s="2" t="s">
        <v>93</v>
      </c>
      <c r="D175" s="2" t="s">
        <v>66</v>
      </c>
      <c r="E175" s="2">
        <v>26</v>
      </c>
      <c r="F175" s="2">
        <v>85</v>
      </c>
      <c r="G175" s="2">
        <v>180</v>
      </c>
      <c r="H175" s="9">
        <f t="shared" si="2"/>
        <v>26.234567901234566</v>
      </c>
      <c r="I175" s="2" t="str" cm="1">
        <f t="array" ref="I175">_xlfn.IFS(F175&gt;=100,"Over weight",F175&lt;100,"Average weight")</f>
        <v>Average weight</v>
      </c>
      <c r="J175" s="2" t="str" cm="1">
        <f t="array" ref="J175">_xlfn.IFS(G175&lt;164,"Below Average height",G175&gt;=165,"Above Average height",G175=164,"Average height")</f>
        <v>Above Average height</v>
      </c>
      <c r="K175" s="2" t="str" cm="1">
        <f t="array" ref="K175">_xlfn.IFS(E175&lt;=16,"Children",E175&lt;=30,"Young Adults",E175&lt;=45,"Middle-aged Adults",E175&gt;45,"Old Adults")</f>
        <v>Young Adults</v>
      </c>
    </row>
    <row r="176" spans="1:11" x14ac:dyDescent="0.45">
      <c r="A176" s="2">
        <v>192</v>
      </c>
      <c r="B176" s="2" t="s">
        <v>297</v>
      </c>
      <c r="C176" s="2" t="s">
        <v>93</v>
      </c>
      <c r="D176" s="2" t="s">
        <v>66</v>
      </c>
      <c r="E176" s="2">
        <v>27</v>
      </c>
      <c r="F176" s="2">
        <v>64</v>
      </c>
      <c r="G176" s="2">
        <v>165</v>
      </c>
      <c r="H176" s="9">
        <f t="shared" si="2"/>
        <v>23.507805325987146</v>
      </c>
      <c r="I176" s="2" t="str" cm="1">
        <f t="array" ref="I176">_xlfn.IFS(F176&gt;=100,"Over weight",F176&lt;100,"Average weight")</f>
        <v>Average weight</v>
      </c>
      <c r="J176" s="2" t="str" cm="1">
        <f t="array" ref="J176">_xlfn.IFS(G176&lt;164,"Below Average height",G176&gt;=165,"Above Average height",G176=164,"Average height")</f>
        <v>Above Average height</v>
      </c>
      <c r="K176" s="2" t="str" cm="1">
        <f t="array" ref="K176">_xlfn.IFS(E176&lt;=16,"Children",E176&lt;=30,"Young Adults",E176&lt;=45,"Middle-aged Adults",E176&gt;45,"Old Adults")</f>
        <v>Young Adults</v>
      </c>
    </row>
    <row r="177" spans="1:11" x14ac:dyDescent="0.45">
      <c r="A177" s="2">
        <v>193</v>
      </c>
      <c r="B177" s="2" t="s">
        <v>298</v>
      </c>
      <c r="C177" s="2" t="s">
        <v>86</v>
      </c>
      <c r="D177" s="2" t="s">
        <v>26</v>
      </c>
      <c r="E177" s="2">
        <v>27</v>
      </c>
      <c r="F177" s="2">
        <v>60</v>
      </c>
      <c r="G177" s="2">
        <v>183</v>
      </c>
      <c r="H177" s="9">
        <f t="shared" si="2"/>
        <v>17.916330735465376</v>
      </c>
      <c r="I177" s="2" t="str" cm="1">
        <f t="array" ref="I177">_xlfn.IFS(F177&gt;=100,"Over weight",F177&lt;100,"Average weight")</f>
        <v>Average weight</v>
      </c>
      <c r="J177" s="2" t="str" cm="1">
        <f t="array" ref="J177">_xlfn.IFS(G177&lt;164,"Below Average height",G177&gt;=165,"Above Average height",G177=164,"Average height")</f>
        <v>Above Average height</v>
      </c>
      <c r="K177" s="2" t="str" cm="1">
        <f t="array" ref="K177">_xlfn.IFS(E177&lt;=16,"Children",E177&lt;=30,"Young Adults",E177&lt;=45,"Middle-aged Adults",E177&gt;45,"Old Adults")</f>
        <v>Young Adults</v>
      </c>
    </row>
    <row r="178" spans="1:11" x14ac:dyDescent="0.45">
      <c r="A178" s="2">
        <v>194</v>
      </c>
      <c r="B178" s="2" t="s">
        <v>299</v>
      </c>
      <c r="C178" s="2" t="s">
        <v>91</v>
      </c>
      <c r="D178" s="2" t="s">
        <v>14</v>
      </c>
      <c r="E178" s="2">
        <v>24</v>
      </c>
      <c r="F178" s="2">
        <v>63</v>
      </c>
      <c r="G178" s="2">
        <v>170</v>
      </c>
      <c r="H178" s="9">
        <f t="shared" si="2"/>
        <v>21.79930795847751</v>
      </c>
      <c r="I178" s="2" t="str" cm="1">
        <f t="array" ref="I178">_xlfn.IFS(F178&gt;=100,"Over weight",F178&lt;100,"Average weight")</f>
        <v>Average weight</v>
      </c>
      <c r="J178" s="2" t="str" cm="1">
        <f t="array" ref="J178">_xlfn.IFS(G178&lt;164,"Below Average height",G178&gt;=165,"Above Average height",G178=164,"Average height")</f>
        <v>Above Average height</v>
      </c>
      <c r="K178" s="2" t="str" cm="1">
        <f t="array" ref="K178">_xlfn.IFS(E178&lt;=16,"Children",E178&lt;=30,"Young Adults",E178&lt;=45,"Middle-aged Adults",E178&gt;45,"Old Adults")</f>
        <v>Young Adults</v>
      </c>
    </row>
    <row r="179" spans="1:11" x14ac:dyDescent="0.45">
      <c r="A179" s="2">
        <v>195</v>
      </c>
      <c r="B179" s="2" t="s">
        <v>300</v>
      </c>
      <c r="C179" s="2" t="s">
        <v>91</v>
      </c>
      <c r="D179" s="2" t="s">
        <v>60</v>
      </c>
      <c r="E179" s="2">
        <v>23</v>
      </c>
      <c r="F179" s="2">
        <v>83</v>
      </c>
      <c r="G179" s="2">
        <v>180</v>
      </c>
      <c r="H179" s="9">
        <f t="shared" si="2"/>
        <v>25.617283950617281</v>
      </c>
      <c r="I179" s="2" t="str" cm="1">
        <f t="array" ref="I179">_xlfn.IFS(F179&gt;=100,"Over weight",F179&lt;100,"Average weight")</f>
        <v>Average weight</v>
      </c>
      <c r="J179" s="2" t="str" cm="1">
        <f t="array" ref="J179">_xlfn.IFS(G179&lt;164,"Below Average height",G179&gt;=165,"Above Average height",G179=164,"Average height")</f>
        <v>Above Average height</v>
      </c>
      <c r="K179" s="2" t="str" cm="1">
        <f t="array" ref="K179">_xlfn.IFS(E179&lt;=16,"Children",E179&lt;=30,"Young Adults",E179&lt;=45,"Middle-aged Adults",E179&gt;45,"Old Adults")</f>
        <v>Young Adults</v>
      </c>
    </row>
    <row r="180" spans="1:11" x14ac:dyDescent="0.45">
      <c r="A180" s="2">
        <v>196</v>
      </c>
      <c r="B180" s="2" t="s">
        <v>301</v>
      </c>
      <c r="C180" s="2" t="s">
        <v>86</v>
      </c>
      <c r="D180" s="2" t="s">
        <v>66</v>
      </c>
      <c r="E180" s="2">
        <v>20</v>
      </c>
      <c r="F180" s="2">
        <v>100</v>
      </c>
      <c r="G180" s="2">
        <v>177</v>
      </c>
      <c r="H180" s="9">
        <f t="shared" si="2"/>
        <v>31.919307989402789</v>
      </c>
      <c r="I180" s="2" t="str" cm="1">
        <f t="array" ref="I180">_xlfn.IFS(F180&gt;=100,"Over weight",F180&lt;100,"Average weight")</f>
        <v>Over weight</v>
      </c>
      <c r="J180" s="2" t="str" cm="1">
        <f t="array" ref="J180">_xlfn.IFS(G180&lt;164,"Below Average height",G180&gt;=165,"Above Average height",G180=164,"Average height")</f>
        <v>Above Average height</v>
      </c>
      <c r="K180" s="2" t="str" cm="1">
        <f t="array" ref="K180">_xlfn.IFS(E180&lt;=16,"Children",E180&lt;=30,"Young Adults",E180&lt;=45,"Middle-aged Adults",E180&gt;45,"Old Adults")</f>
        <v>Young Adults</v>
      </c>
    </row>
    <row r="181" spans="1:11" x14ac:dyDescent="0.45">
      <c r="A181" s="2">
        <v>198</v>
      </c>
      <c r="B181" s="2" t="s">
        <v>303</v>
      </c>
      <c r="C181" s="2" t="s">
        <v>85</v>
      </c>
      <c r="D181" s="2" t="s">
        <v>74</v>
      </c>
      <c r="E181" s="2">
        <v>25</v>
      </c>
      <c r="F181" s="2">
        <v>65</v>
      </c>
      <c r="G181" s="2">
        <v>174</v>
      </c>
      <c r="H181" s="9">
        <f t="shared" si="2"/>
        <v>21.469150482230148</v>
      </c>
      <c r="I181" s="2" t="str" cm="1">
        <f t="array" ref="I181">_xlfn.IFS(F181&gt;=100,"Over weight",F181&lt;100,"Average weight")</f>
        <v>Average weight</v>
      </c>
      <c r="J181" s="2" t="str" cm="1">
        <f t="array" ref="J181">_xlfn.IFS(G181&lt;164,"Below Average height",G181&gt;=165,"Above Average height",G181=164,"Average height")</f>
        <v>Above Average height</v>
      </c>
      <c r="K181" s="2" t="str" cm="1">
        <f t="array" ref="K181">_xlfn.IFS(E181&lt;=16,"Children",E181&lt;=30,"Young Adults",E181&lt;=45,"Middle-aged Adults",E181&gt;45,"Old Adults")</f>
        <v>Young Adults</v>
      </c>
    </row>
    <row r="182" spans="1:11" x14ac:dyDescent="0.45">
      <c r="A182" s="2">
        <v>199</v>
      </c>
      <c r="B182" s="2" t="s">
        <v>304</v>
      </c>
      <c r="C182" s="2" t="s">
        <v>89</v>
      </c>
      <c r="D182" s="2" t="s">
        <v>58</v>
      </c>
      <c r="E182" s="2">
        <v>34</v>
      </c>
      <c r="F182" s="2">
        <v>85</v>
      </c>
      <c r="G182" s="2">
        <v>190</v>
      </c>
      <c r="H182" s="9">
        <f t="shared" si="2"/>
        <v>23.545706371191137</v>
      </c>
      <c r="I182" s="2" t="str" cm="1">
        <f t="array" ref="I182">_xlfn.IFS(F182&gt;=100,"Over weight",F182&lt;100,"Average weight")</f>
        <v>Average weight</v>
      </c>
      <c r="J182" s="2" t="str" cm="1">
        <f t="array" ref="J182">_xlfn.IFS(G182&lt;164,"Below Average height",G182&gt;=165,"Above Average height",G182=164,"Average height")</f>
        <v>Above Average height</v>
      </c>
      <c r="K182" s="2" t="str" cm="1">
        <f t="array" ref="K182">_xlfn.IFS(E182&lt;=16,"Children",E182&lt;=30,"Young Adults",E182&lt;=45,"Middle-aged Adults",E182&gt;45,"Old Adults")</f>
        <v>Middle-aged Adults</v>
      </c>
    </row>
    <row r="183" spans="1:11" x14ac:dyDescent="0.45">
      <c r="A183" s="2">
        <v>200</v>
      </c>
      <c r="B183" s="2" t="s">
        <v>305</v>
      </c>
      <c r="C183" s="2" t="s">
        <v>92</v>
      </c>
      <c r="D183" s="2" t="s">
        <v>79</v>
      </c>
      <c r="E183" s="2">
        <v>27</v>
      </c>
      <c r="F183" s="2">
        <v>56</v>
      </c>
      <c r="G183" s="2">
        <v>170</v>
      </c>
      <c r="H183" s="9">
        <f t="shared" si="2"/>
        <v>19.377162629757787</v>
      </c>
      <c r="I183" s="2" t="str" cm="1">
        <f t="array" ref="I183">_xlfn.IFS(F183&gt;=100,"Over weight",F183&lt;100,"Average weight")</f>
        <v>Average weight</v>
      </c>
      <c r="J183" s="2" t="str" cm="1">
        <f t="array" ref="J183">_xlfn.IFS(G183&lt;164,"Below Average height",G183&gt;=165,"Above Average height",G183=164,"Average height")</f>
        <v>Above Average height</v>
      </c>
      <c r="K183" s="2" t="str" cm="1">
        <f t="array" ref="K183">_xlfn.IFS(E183&lt;=16,"Children",E183&lt;=30,"Young Adults",E183&lt;=45,"Middle-aged Adults",E183&gt;45,"Old Adults")</f>
        <v>Young Adults</v>
      </c>
    </row>
    <row r="184" spans="1:11" x14ac:dyDescent="0.45">
      <c r="A184" s="2">
        <v>201</v>
      </c>
      <c r="B184" s="2" t="s">
        <v>306</v>
      </c>
      <c r="C184" s="2" t="s">
        <v>91</v>
      </c>
      <c r="D184" s="2" t="s">
        <v>14</v>
      </c>
      <c r="E184" s="2">
        <v>30</v>
      </c>
      <c r="F184" s="2">
        <v>71</v>
      </c>
      <c r="G184" s="2">
        <v>175</v>
      </c>
      <c r="H184" s="9">
        <f t="shared" si="2"/>
        <v>23.183673469387756</v>
      </c>
      <c r="I184" s="2" t="str" cm="1">
        <f t="array" ref="I184">_xlfn.IFS(F184&gt;=100,"Over weight",F184&lt;100,"Average weight")</f>
        <v>Average weight</v>
      </c>
      <c r="J184" s="2" t="str" cm="1">
        <f t="array" ref="J184">_xlfn.IFS(G184&lt;164,"Below Average height",G184&gt;=165,"Above Average height",G184=164,"Average height")</f>
        <v>Above Average height</v>
      </c>
      <c r="K184" s="2" t="str" cm="1">
        <f t="array" ref="K184">_xlfn.IFS(E184&lt;=16,"Children",E184&lt;=30,"Young Adults",E184&lt;=45,"Middle-aged Adults",E184&gt;45,"Old Adults")</f>
        <v>Young Adults</v>
      </c>
    </row>
    <row r="185" spans="1:11" x14ac:dyDescent="0.45">
      <c r="A185" s="2">
        <v>202</v>
      </c>
      <c r="B185" s="2" t="s">
        <v>307</v>
      </c>
      <c r="C185" s="2" t="s">
        <v>94</v>
      </c>
      <c r="D185" s="2" t="s">
        <v>5</v>
      </c>
      <c r="E185" s="2">
        <v>27</v>
      </c>
      <c r="F185" s="2">
        <v>58</v>
      </c>
      <c r="G185" s="2">
        <v>167</v>
      </c>
      <c r="H185" s="9">
        <f t="shared" si="2"/>
        <v>20.796729893506402</v>
      </c>
      <c r="I185" s="2" t="str" cm="1">
        <f t="array" ref="I185">_xlfn.IFS(F185&gt;=100,"Over weight",F185&lt;100,"Average weight")</f>
        <v>Average weight</v>
      </c>
      <c r="J185" s="2" t="str" cm="1">
        <f t="array" ref="J185">_xlfn.IFS(G185&lt;164,"Below Average height",G185&gt;=165,"Above Average height",G185=164,"Average height")</f>
        <v>Above Average height</v>
      </c>
      <c r="K185" s="2" t="str" cm="1">
        <f t="array" ref="K185">_xlfn.IFS(E185&lt;=16,"Children",E185&lt;=30,"Young Adults",E185&lt;=45,"Middle-aged Adults",E185&gt;45,"Old Adults")</f>
        <v>Young Adults</v>
      </c>
    </row>
    <row r="186" spans="1:11" x14ac:dyDescent="0.45">
      <c r="A186" s="2">
        <v>203</v>
      </c>
      <c r="B186" s="2" t="s">
        <v>308</v>
      </c>
      <c r="C186" s="2" t="s">
        <v>88</v>
      </c>
      <c r="D186" s="2" t="s">
        <v>66</v>
      </c>
      <c r="E186" s="2">
        <v>26</v>
      </c>
      <c r="F186" s="2">
        <v>61</v>
      </c>
      <c r="G186" s="2">
        <v>166</v>
      </c>
      <c r="H186" s="9">
        <f t="shared" si="2"/>
        <v>22.136739730004358</v>
      </c>
      <c r="I186" s="2" t="str" cm="1">
        <f t="array" ref="I186">_xlfn.IFS(F186&gt;=100,"Over weight",F186&lt;100,"Average weight")</f>
        <v>Average weight</v>
      </c>
      <c r="J186" s="2" t="str" cm="1">
        <f t="array" ref="J186">_xlfn.IFS(G186&lt;164,"Below Average height",G186&gt;=165,"Above Average height",G186=164,"Average height")</f>
        <v>Above Average height</v>
      </c>
      <c r="K186" s="2" t="str" cm="1">
        <f t="array" ref="K186">_xlfn.IFS(E186&lt;=16,"Children",E186&lt;=30,"Young Adults",E186&lt;=45,"Middle-aged Adults",E186&gt;45,"Old Adults")</f>
        <v>Young Adults</v>
      </c>
    </row>
    <row r="187" spans="1:11" x14ac:dyDescent="0.45">
      <c r="A187" s="2">
        <v>204</v>
      </c>
      <c r="B187" s="2" t="s">
        <v>309</v>
      </c>
      <c r="C187" s="2" t="s">
        <v>94</v>
      </c>
      <c r="D187" s="2" t="s">
        <v>26</v>
      </c>
      <c r="E187" s="2">
        <v>26</v>
      </c>
      <c r="F187" s="2">
        <v>56</v>
      </c>
      <c r="G187" s="2">
        <v>169</v>
      </c>
      <c r="H187" s="9">
        <f t="shared" si="2"/>
        <v>19.607156612163443</v>
      </c>
      <c r="I187" s="2" t="str" cm="1">
        <f t="array" ref="I187">_xlfn.IFS(F187&gt;=100,"Over weight",F187&lt;100,"Average weight")</f>
        <v>Average weight</v>
      </c>
      <c r="J187" s="2" t="str" cm="1">
        <f t="array" ref="J187">_xlfn.IFS(G187&lt;164,"Below Average height",G187&gt;=165,"Above Average height",G187=164,"Average height")</f>
        <v>Above Average height</v>
      </c>
      <c r="K187" s="2" t="str" cm="1">
        <f t="array" ref="K187">_xlfn.IFS(E187&lt;=16,"Children",E187&lt;=30,"Young Adults",E187&lt;=45,"Middle-aged Adults",E187&gt;45,"Old Adults")</f>
        <v>Young Adults</v>
      </c>
    </row>
    <row r="188" spans="1:11" x14ac:dyDescent="0.45">
      <c r="A188" s="2">
        <v>205</v>
      </c>
      <c r="B188" s="2" t="s">
        <v>310</v>
      </c>
      <c r="C188" s="2" t="s">
        <v>86</v>
      </c>
      <c r="D188" s="2" t="s">
        <v>26</v>
      </c>
      <c r="E188" s="2">
        <v>29</v>
      </c>
      <c r="F188" s="2">
        <v>100</v>
      </c>
      <c r="G188" s="2">
        <v>183</v>
      </c>
      <c r="H188" s="9">
        <f t="shared" si="2"/>
        <v>29.860551225775623</v>
      </c>
      <c r="I188" s="2" t="str" cm="1">
        <f t="array" ref="I188">_xlfn.IFS(F188&gt;=100,"Over weight",F188&lt;100,"Average weight")</f>
        <v>Over weight</v>
      </c>
      <c r="J188" s="2" t="str" cm="1">
        <f t="array" ref="J188">_xlfn.IFS(G188&lt;164,"Below Average height",G188&gt;=165,"Above Average height",G188=164,"Average height")</f>
        <v>Above Average height</v>
      </c>
      <c r="K188" s="2" t="str" cm="1">
        <f t="array" ref="K188">_xlfn.IFS(E188&lt;=16,"Children",E188&lt;=30,"Young Adults",E188&lt;=45,"Middle-aged Adults",E188&gt;45,"Old Adults")</f>
        <v>Young Adults</v>
      </c>
    </row>
    <row r="189" spans="1:11" x14ac:dyDescent="0.45">
      <c r="A189" s="2">
        <v>207</v>
      </c>
      <c r="B189" s="2" t="s">
        <v>312</v>
      </c>
      <c r="C189" s="2" t="s">
        <v>92</v>
      </c>
      <c r="D189" s="2" t="s">
        <v>14</v>
      </c>
      <c r="E189" s="2">
        <v>18</v>
      </c>
      <c r="F189" s="2">
        <v>64</v>
      </c>
      <c r="G189" s="2">
        <v>184</v>
      </c>
      <c r="H189" s="9">
        <f t="shared" si="2"/>
        <v>18.903591682419659</v>
      </c>
      <c r="I189" s="2" t="str" cm="1">
        <f t="array" ref="I189">_xlfn.IFS(F189&gt;=100,"Over weight",F189&lt;100,"Average weight")</f>
        <v>Average weight</v>
      </c>
      <c r="J189" s="2" t="str" cm="1">
        <f t="array" ref="J189">_xlfn.IFS(G189&lt;164,"Below Average height",G189&gt;=165,"Above Average height",G189=164,"Average height")</f>
        <v>Above Average height</v>
      </c>
      <c r="K189" s="2" t="str" cm="1">
        <f t="array" ref="K189">_xlfn.IFS(E189&lt;=16,"Children",E189&lt;=30,"Young Adults",E189&lt;=45,"Middle-aged Adults",E189&gt;45,"Old Adults")</f>
        <v>Young Adults</v>
      </c>
    </row>
    <row r="190" spans="1:11" x14ac:dyDescent="0.45">
      <c r="A190" s="2">
        <v>208</v>
      </c>
      <c r="B190" s="2" t="s">
        <v>313</v>
      </c>
      <c r="C190" s="2" t="s">
        <v>91</v>
      </c>
      <c r="D190" s="2" t="s">
        <v>14</v>
      </c>
      <c r="E190" s="2">
        <v>33</v>
      </c>
      <c r="F190" s="2">
        <v>87</v>
      </c>
      <c r="G190" s="2">
        <v>181</v>
      </c>
      <c r="H190" s="9">
        <f t="shared" si="2"/>
        <v>26.555965935105768</v>
      </c>
      <c r="I190" s="2" t="str" cm="1">
        <f t="array" ref="I190">_xlfn.IFS(F190&gt;=100,"Over weight",F190&lt;100,"Average weight")</f>
        <v>Average weight</v>
      </c>
      <c r="J190" s="2" t="str" cm="1">
        <f t="array" ref="J190">_xlfn.IFS(G190&lt;164,"Below Average height",G190&gt;=165,"Above Average height",G190=164,"Average height")</f>
        <v>Above Average height</v>
      </c>
      <c r="K190" s="2" t="str" cm="1">
        <f t="array" ref="K190">_xlfn.IFS(E190&lt;=16,"Children",E190&lt;=30,"Young Adults",E190&lt;=45,"Middle-aged Adults",E190&gt;45,"Old Adults")</f>
        <v>Middle-aged Adults</v>
      </c>
    </row>
    <row r="191" spans="1:11" x14ac:dyDescent="0.45">
      <c r="A191" s="2">
        <v>209</v>
      </c>
      <c r="B191" s="2" t="s">
        <v>314</v>
      </c>
      <c r="C191" s="2" t="s">
        <v>93</v>
      </c>
      <c r="D191" s="2" t="s">
        <v>26</v>
      </c>
      <c r="E191" s="2">
        <v>36</v>
      </c>
      <c r="F191" s="2">
        <v>90</v>
      </c>
      <c r="G191" s="2">
        <v>185</v>
      </c>
      <c r="H191" s="9">
        <f t="shared" si="2"/>
        <v>26.296566837107374</v>
      </c>
      <c r="I191" s="2" t="str" cm="1">
        <f t="array" ref="I191">_xlfn.IFS(F191&gt;=100,"Over weight",F191&lt;100,"Average weight")</f>
        <v>Average weight</v>
      </c>
      <c r="J191" s="2" t="str" cm="1">
        <f t="array" ref="J191">_xlfn.IFS(G191&lt;164,"Below Average height",G191&gt;=165,"Above Average height",G191=164,"Average height")</f>
        <v>Above Average height</v>
      </c>
      <c r="K191" s="2" t="str" cm="1">
        <f t="array" ref="K191">_xlfn.IFS(E191&lt;=16,"Children",E191&lt;=30,"Young Adults",E191&lt;=45,"Middle-aged Adults",E191&gt;45,"Old Adults")</f>
        <v>Middle-aged Adults</v>
      </c>
    </row>
    <row r="192" spans="1:11" x14ac:dyDescent="0.45">
      <c r="A192" s="2">
        <v>210</v>
      </c>
      <c r="B192" s="2" t="s">
        <v>315</v>
      </c>
      <c r="C192" s="2" t="s">
        <v>89</v>
      </c>
      <c r="D192" s="2" t="s">
        <v>80</v>
      </c>
      <c r="E192" s="2">
        <v>26</v>
      </c>
      <c r="F192" s="2">
        <v>70</v>
      </c>
      <c r="G192" s="2">
        <v>180</v>
      </c>
      <c r="H192" s="9">
        <f t="shared" si="2"/>
        <v>21.604938271604937</v>
      </c>
      <c r="I192" s="2" t="str" cm="1">
        <f t="array" ref="I192">_xlfn.IFS(F192&gt;=100,"Over weight",F192&lt;100,"Average weight")</f>
        <v>Average weight</v>
      </c>
      <c r="J192" s="2" t="str" cm="1">
        <f t="array" ref="J192">_xlfn.IFS(G192&lt;164,"Below Average height",G192&gt;=165,"Above Average height",G192=164,"Average height")</f>
        <v>Above Average height</v>
      </c>
      <c r="K192" s="2" t="str" cm="1">
        <f t="array" ref="K192">_xlfn.IFS(E192&lt;=16,"Children",E192&lt;=30,"Young Adults",E192&lt;=45,"Middle-aged Adults",E192&gt;45,"Old Adults")</f>
        <v>Young Adults</v>
      </c>
    </row>
    <row r="193" spans="1:11" x14ac:dyDescent="0.45">
      <c r="A193" s="2">
        <v>211</v>
      </c>
      <c r="B193" s="2" t="s">
        <v>316</v>
      </c>
      <c r="C193" s="2" t="s">
        <v>88</v>
      </c>
      <c r="D193" s="2" t="s">
        <v>42</v>
      </c>
      <c r="E193" s="2">
        <v>23</v>
      </c>
      <c r="F193" s="2">
        <v>72</v>
      </c>
      <c r="G193" s="2">
        <v>180</v>
      </c>
      <c r="H193" s="9">
        <f t="shared" si="2"/>
        <v>22.222222222222221</v>
      </c>
      <c r="I193" s="2" t="str" cm="1">
        <f t="array" ref="I193">_xlfn.IFS(F193&gt;=100,"Over weight",F193&lt;100,"Average weight")</f>
        <v>Average weight</v>
      </c>
      <c r="J193" s="2" t="str" cm="1">
        <f t="array" ref="J193">_xlfn.IFS(G193&lt;164,"Below Average height",G193&gt;=165,"Above Average height",G193=164,"Average height")</f>
        <v>Above Average height</v>
      </c>
      <c r="K193" s="2" t="str" cm="1">
        <f t="array" ref="K193">_xlfn.IFS(E193&lt;=16,"Children",E193&lt;=30,"Young Adults",E193&lt;=45,"Middle-aged Adults",E193&gt;45,"Old Adults")</f>
        <v>Young Adults</v>
      </c>
    </row>
    <row r="194" spans="1:11" x14ac:dyDescent="0.45">
      <c r="A194" s="2">
        <v>212</v>
      </c>
      <c r="B194" s="2" t="s">
        <v>317</v>
      </c>
      <c r="C194" s="2" t="s">
        <v>85</v>
      </c>
      <c r="D194" s="2" t="s">
        <v>5</v>
      </c>
      <c r="E194" s="2">
        <v>33</v>
      </c>
      <c r="F194" s="2">
        <v>83</v>
      </c>
      <c r="G194" s="2">
        <v>175</v>
      </c>
      <c r="H194" s="9">
        <f t="shared" ref="H194:H257" si="3" xml:space="preserve"> F194 / (( G194/ 100) ^ 2)</f>
        <v>27.102040816326532</v>
      </c>
      <c r="I194" s="2" t="str" cm="1">
        <f t="array" ref="I194">_xlfn.IFS(F194&gt;=100,"Over weight",F194&lt;100,"Average weight")</f>
        <v>Average weight</v>
      </c>
      <c r="J194" s="2" t="str" cm="1">
        <f t="array" ref="J194">_xlfn.IFS(G194&lt;164,"Below Average height",G194&gt;=165,"Above Average height",G194=164,"Average height")</f>
        <v>Above Average height</v>
      </c>
      <c r="K194" s="2" t="str" cm="1">
        <f t="array" ref="K194">_xlfn.IFS(E194&lt;=16,"Children",E194&lt;=30,"Young Adults",E194&lt;=45,"Middle-aged Adults",E194&gt;45,"Old Adults")</f>
        <v>Middle-aged Adults</v>
      </c>
    </row>
    <row r="195" spans="1:11" x14ac:dyDescent="0.45">
      <c r="A195" s="2">
        <v>213</v>
      </c>
      <c r="B195" s="2" t="s">
        <v>318</v>
      </c>
      <c r="C195" s="2" t="s">
        <v>85</v>
      </c>
      <c r="D195" s="2" t="s">
        <v>80</v>
      </c>
      <c r="E195" s="2">
        <v>23</v>
      </c>
      <c r="F195" s="2">
        <v>89</v>
      </c>
      <c r="G195" s="2">
        <v>185</v>
      </c>
      <c r="H195" s="9">
        <f t="shared" si="3"/>
        <v>26.004382761139514</v>
      </c>
      <c r="I195" s="2" t="str" cm="1">
        <f t="array" ref="I195">_xlfn.IFS(F195&gt;=100,"Over weight",F195&lt;100,"Average weight")</f>
        <v>Average weight</v>
      </c>
      <c r="J195" s="2" t="str" cm="1">
        <f t="array" ref="J195">_xlfn.IFS(G195&lt;164,"Below Average height",G195&gt;=165,"Above Average height",G195=164,"Average height")</f>
        <v>Above Average height</v>
      </c>
      <c r="K195" s="2" t="str" cm="1">
        <f t="array" ref="K195">_xlfn.IFS(E195&lt;=16,"Children",E195&lt;=30,"Young Adults",E195&lt;=45,"Middle-aged Adults",E195&gt;45,"Old Adults")</f>
        <v>Young Adults</v>
      </c>
    </row>
    <row r="196" spans="1:11" x14ac:dyDescent="0.45">
      <c r="A196" s="2">
        <v>215</v>
      </c>
      <c r="B196" s="2" t="s">
        <v>320</v>
      </c>
      <c r="C196" s="2" t="s">
        <v>97</v>
      </c>
      <c r="D196" s="2" t="s">
        <v>26</v>
      </c>
      <c r="E196" s="2">
        <v>23</v>
      </c>
      <c r="F196" s="2">
        <v>64</v>
      </c>
      <c r="G196" s="2">
        <v>177</v>
      </c>
      <c r="H196" s="9">
        <f t="shared" si="3"/>
        <v>20.428357113217785</v>
      </c>
      <c r="I196" s="2" t="str" cm="1">
        <f t="array" ref="I196">_xlfn.IFS(F196&gt;=100,"Over weight",F196&lt;100,"Average weight")</f>
        <v>Average weight</v>
      </c>
      <c r="J196" s="2" t="str" cm="1">
        <f t="array" ref="J196">_xlfn.IFS(G196&lt;164,"Below Average height",G196&gt;=165,"Above Average height",G196=164,"Average height")</f>
        <v>Above Average height</v>
      </c>
      <c r="K196" s="2" t="str" cm="1">
        <f t="array" ref="K196">_xlfn.IFS(E196&lt;=16,"Children",E196&lt;=30,"Young Adults",E196&lt;=45,"Middle-aged Adults",E196&gt;45,"Old Adults")</f>
        <v>Young Adults</v>
      </c>
    </row>
    <row r="197" spans="1:11" x14ac:dyDescent="0.45">
      <c r="A197" s="2">
        <v>216</v>
      </c>
      <c r="B197" s="2" t="s">
        <v>321</v>
      </c>
      <c r="C197" s="2" t="s">
        <v>85</v>
      </c>
      <c r="D197" s="2" t="s">
        <v>5</v>
      </c>
      <c r="E197" s="2">
        <v>28</v>
      </c>
      <c r="F197" s="2">
        <v>86</v>
      </c>
      <c r="G197" s="2">
        <v>177</v>
      </c>
      <c r="H197" s="9">
        <f t="shared" si="3"/>
        <v>27.450604870886398</v>
      </c>
      <c r="I197" s="2" t="str" cm="1">
        <f t="array" ref="I197">_xlfn.IFS(F197&gt;=100,"Over weight",F197&lt;100,"Average weight")</f>
        <v>Average weight</v>
      </c>
      <c r="J197" s="2" t="str" cm="1">
        <f t="array" ref="J197">_xlfn.IFS(G197&lt;164,"Below Average height",G197&gt;=165,"Above Average height",G197=164,"Average height")</f>
        <v>Above Average height</v>
      </c>
      <c r="K197" s="2" t="str" cm="1">
        <f t="array" ref="K197">_xlfn.IFS(E197&lt;=16,"Children",E197&lt;=30,"Young Adults",E197&lt;=45,"Middle-aged Adults",E197&gt;45,"Old Adults")</f>
        <v>Young Adults</v>
      </c>
    </row>
    <row r="198" spans="1:11" x14ac:dyDescent="0.45">
      <c r="A198" s="2">
        <v>217</v>
      </c>
      <c r="B198" s="2" t="s">
        <v>322</v>
      </c>
      <c r="C198" s="2" t="s">
        <v>93</v>
      </c>
      <c r="D198" s="2" t="s">
        <v>59</v>
      </c>
      <c r="E198" s="2">
        <v>34</v>
      </c>
      <c r="F198" s="2">
        <v>70</v>
      </c>
      <c r="G198" s="2">
        <v>167</v>
      </c>
      <c r="H198" s="9">
        <f t="shared" si="3"/>
        <v>25.099501595611173</v>
      </c>
      <c r="I198" s="2" t="str" cm="1">
        <f t="array" ref="I198">_xlfn.IFS(F198&gt;=100,"Over weight",F198&lt;100,"Average weight")</f>
        <v>Average weight</v>
      </c>
      <c r="J198" s="2" t="str" cm="1">
        <f t="array" ref="J198">_xlfn.IFS(G198&lt;164,"Below Average height",G198&gt;=165,"Above Average height",G198=164,"Average height")</f>
        <v>Above Average height</v>
      </c>
      <c r="K198" s="2" t="str" cm="1">
        <f t="array" ref="K198">_xlfn.IFS(E198&lt;=16,"Children",E198&lt;=30,"Young Adults",E198&lt;=45,"Middle-aged Adults",E198&gt;45,"Old Adults")</f>
        <v>Middle-aged Adults</v>
      </c>
    </row>
    <row r="199" spans="1:11" x14ac:dyDescent="0.45">
      <c r="A199" s="2">
        <v>219</v>
      </c>
      <c r="B199" s="2" t="s">
        <v>324</v>
      </c>
      <c r="C199" s="2" t="s">
        <v>91</v>
      </c>
      <c r="D199" s="2" t="s">
        <v>70</v>
      </c>
      <c r="E199" s="2">
        <v>18</v>
      </c>
      <c r="F199" s="2">
        <v>60</v>
      </c>
      <c r="G199" s="2">
        <v>168</v>
      </c>
      <c r="H199" s="9">
        <f t="shared" si="3"/>
        <v>21.258503401360546</v>
      </c>
      <c r="I199" s="2" t="str" cm="1">
        <f t="array" ref="I199">_xlfn.IFS(F199&gt;=100,"Over weight",F199&lt;100,"Average weight")</f>
        <v>Average weight</v>
      </c>
      <c r="J199" s="2" t="str" cm="1">
        <f t="array" ref="J199">_xlfn.IFS(G199&lt;164,"Below Average height",G199&gt;=165,"Above Average height",G199=164,"Average height")</f>
        <v>Above Average height</v>
      </c>
      <c r="K199" s="2" t="str" cm="1">
        <f t="array" ref="K199">_xlfn.IFS(E199&lt;=16,"Children",E199&lt;=30,"Young Adults",E199&lt;=45,"Middle-aged Adults",E199&gt;45,"Old Adults")</f>
        <v>Young Adults</v>
      </c>
    </row>
    <row r="200" spans="1:11" x14ac:dyDescent="0.45">
      <c r="A200" s="2">
        <v>221</v>
      </c>
      <c r="B200" s="2" t="s">
        <v>326</v>
      </c>
      <c r="C200" s="2" t="s">
        <v>93</v>
      </c>
      <c r="D200" s="2" t="s">
        <v>80</v>
      </c>
      <c r="E200" s="2">
        <v>19</v>
      </c>
      <c r="F200" s="2">
        <v>82</v>
      </c>
      <c r="G200" s="2">
        <v>183</v>
      </c>
      <c r="H200" s="9">
        <f t="shared" si="3"/>
        <v>24.485652005136011</v>
      </c>
      <c r="I200" s="2" t="str" cm="1">
        <f t="array" ref="I200">_xlfn.IFS(F200&gt;=100,"Over weight",F200&lt;100,"Average weight")</f>
        <v>Average weight</v>
      </c>
      <c r="J200" s="2" t="str" cm="1">
        <f t="array" ref="J200">_xlfn.IFS(G200&lt;164,"Below Average height",G200&gt;=165,"Above Average height",G200=164,"Average height")</f>
        <v>Above Average height</v>
      </c>
      <c r="K200" s="2" t="str" cm="1">
        <f t="array" ref="K200">_xlfn.IFS(E200&lt;=16,"Children",E200&lt;=30,"Young Adults",E200&lt;=45,"Middle-aged Adults",E200&gt;45,"Old Adults")</f>
        <v>Young Adults</v>
      </c>
    </row>
    <row r="201" spans="1:11" x14ac:dyDescent="0.45">
      <c r="A201" s="2">
        <v>222</v>
      </c>
      <c r="B201" s="2" t="s">
        <v>327</v>
      </c>
      <c r="C201" s="2" t="s">
        <v>86</v>
      </c>
      <c r="D201" s="2" t="s">
        <v>21</v>
      </c>
      <c r="E201" s="2">
        <v>19</v>
      </c>
      <c r="F201" s="2">
        <v>100</v>
      </c>
      <c r="G201" s="2">
        <v>172</v>
      </c>
      <c r="H201" s="9">
        <f t="shared" si="3"/>
        <v>33.802055164954034</v>
      </c>
      <c r="I201" s="2" t="str" cm="1">
        <f t="array" ref="I201">_xlfn.IFS(F201&gt;=100,"Over weight",F201&lt;100,"Average weight")</f>
        <v>Over weight</v>
      </c>
      <c r="J201" s="2" t="str" cm="1">
        <f t="array" ref="J201">_xlfn.IFS(G201&lt;164,"Below Average height",G201&gt;=165,"Above Average height",G201=164,"Average height")</f>
        <v>Above Average height</v>
      </c>
      <c r="K201" s="2" t="str" cm="1">
        <f t="array" ref="K201">_xlfn.IFS(E201&lt;=16,"Children",E201&lt;=30,"Young Adults",E201&lt;=45,"Middle-aged Adults",E201&gt;45,"Old Adults")</f>
        <v>Young Adults</v>
      </c>
    </row>
    <row r="202" spans="1:11" x14ac:dyDescent="0.45">
      <c r="A202" s="2">
        <v>223</v>
      </c>
      <c r="B202" s="2" t="s">
        <v>328</v>
      </c>
      <c r="C202" s="2" t="s">
        <v>89</v>
      </c>
      <c r="D202" s="2" t="s">
        <v>26</v>
      </c>
      <c r="E202" s="2">
        <v>33</v>
      </c>
      <c r="F202" s="2">
        <v>75</v>
      </c>
      <c r="G202" s="2">
        <v>183</v>
      </c>
      <c r="H202" s="9">
        <f t="shared" si="3"/>
        <v>22.395413419331717</v>
      </c>
      <c r="I202" s="2" t="str" cm="1">
        <f t="array" ref="I202">_xlfn.IFS(F202&gt;=100,"Over weight",F202&lt;100,"Average weight")</f>
        <v>Average weight</v>
      </c>
      <c r="J202" s="2" t="str" cm="1">
        <f t="array" ref="J202">_xlfn.IFS(G202&lt;164,"Below Average height",G202&gt;=165,"Above Average height",G202=164,"Average height")</f>
        <v>Above Average height</v>
      </c>
      <c r="K202" s="2" t="str" cm="1">
        <f t="array" ref="K202">_xlfn.IFS(E202&lt;=16,"Children",E202&lt;=30,"Young Adults",E202&lt;=45,"Middle-aged Adults",E202&gt;45,"Old Adults")</f>
        <v>Middle-aged Adults</v>
      </c>
    </row>
    <row r="203" spans="1:11" x14ac:dyDescent="0.45">
      <c r="A203" s="2">
        <v>225</v>
      </c>
      <c r="B203" s="2" t="s">
        <v>330</v>
      </c>
      <c r="C203" s="2" t="s">
        <v>88</v>
      </c>
      <c r="D203" s="2" t="s">
        <v>46</v>
      </c>
      <c r="E203" s="2">
        <v>39</v>
      </c>
      <c r="F203" s="2">
        <v>73</v>
      </c>
      <c r="G203" s="2">
        <v>181</v>
      </c>
      <c r="H203" s="9">
        <f t="shared" si="3"/>
        <v>22.282592106468055</v>
      </c>
      <c r="I203" s="2" t="str" cm="1">
        <f t="array" ref="I203">_xlfn.IFS(F203&gt;=100,"Over weight",F203&lt;100,"Average weight")</f>
        <v>Average weight</v>
      </c>
      <c r="J203" s="2" t="str" cm="1">
        <f t="array" ref="J203">_xlfn.IFS(G203&lt;164,"Below Average height",G203&gt;=165,"Above Average height",G203=164,"Average height")</f>
        <v>Above Average height</v>
      </c>
      <c r="K203" s="2" t="str" cm="1">
        <f t="array" ref="K203">_xlfn.IFS(E203&lt;=16,"Children",E203&lt;=30,"Young Adults",E203&lt;=45,"Middle-aged Adults",E203&gt;45,"Old Adults")</f>
        <v>Middle-aged Adults</v>
      </c>
    </row>
    <row r="204" spans="1:11" x14ac:dyDescent="0.45">
      <c r="A204" s="2">
        <v>227</v>
      </c>
      <c r="B204" s="2" t="s">
        <v>332</v>
      </c>
      <c r="C204" s="2" t="s">
        <v>85</v>
      </c>
      <c r="D204" s="2" t="s">
        <v>39</v>
      </c>
      <c r="E204" s="2">
        <v>19</v>
      </c>
      <c r="F204" s="2">
        <v>57</v>
      </c>
      <c r="G204" s="2">
        <v>168</v>
      </c>
      <c r="H204" s="9">
        <f t="shared" si="3"/>
        <v>20.195578231292519</v>
      </c>
      <c r="I204" s="2" t="str" cm="1">
        <f t="array" ref="I204">_xlfn.IFS(F204&gt;=100,"Over weight",F204&lt;100,"Average weight")</f>
        <v>Average weight</v>
      </c>
      <c r="J204" s="2" t="str" cm="1">
        <f t="array" ref="J204">_xlfn.IFS(G204&lt;164,"Below Average height",G204&gt;=165,"Above Average height",G204=164,"Average height")</f>
        <v>Above Average height</v>
      </c>
      <c r="K204" s="2" t="str" cm="1">
        <f t="array" ref="K204">_xlfn.IFS(E204&lt;=16,"Children",E204&lt;=30,"Young Adults",E204&lt;=45,"Middle-aged Adults",E204&gt;45,"Old Adults")</f>
        <v>Young Adults</v>
      </c>
    </row>
    <row r="205" spans="1:11" x14ac:dyDescent="0.45">
      <c r="A205" s="2">
        <v>229</v>
      </c>
      <c r="B205" s="2" t="s">
        <v>334</v>
      </c>
      <c r="C205" s="2" t="s">
        <v>91</v>
      </c>
      <c r="D205" s="2" t="s">
        <v>14</v>
      </c>
      <c r="E205" s="2">
        <v>37</v>
      </c>
      <c r="F205" s="2">
        <v>98</v>
      </c>
      <c r="G205" s="2">
        <v>188</v>
      </c>
      <c r="H205" s="9">
        <f t="shared" si="3"/>
        <v>27.727478497057493</v>
      </c>
      <c r="I205" s="2" t="str" cm="1">
        <f t="array" ref="I205">_xlfn.IFS(F205&gt;=100,"Over weight",F205&lt;100,"Average weight")</f>
        <v>Average weight</v>
      </c>
      <c r="J205" s="2" t="str" cm="1">
        <f t="array" ref="J205">_xlfn.IFS(G205&lt;164,"Below Average height",G205&gt;=165,"Above Average height",G205=164,"Average height")</f>
        <v>Above Average height</v>
      </c>
      <c r="K205" s="2" t="str" cm="1">
        <f t="array" ref="K205">_xlfn.IFS(E205&lt;=16,"Children",E205&lt;=30,"Young Adults",E205&lt;=45,"Middle-aged Adults",E205&gt;45,"Old Adults")</f>
        <v>Middle-aged Adults</v>
      </c>
    </row>
    <row r="206" spans="1:11" x14ac:dyDescent="0.45">
      <c r="A206" s="2">
        <v>230</v>
      </c>
      <c r="B206" s="2" t="s">
        <v>335</v>
      </c>
      <c r="C206" s="2" t="s">
        <v>89</v>
      </c>
      <c r="D206" s="2" t="s">
        <v>63</v>
      </c>
      <c r="E206" s="2">
        <v>25</v>
      </c>
      <c r="F206" s="2">
        <v>84</v>
      </c>
      <c r="G206" s="2">
        <v>183</v>
      </c>
      <c r="H206" s="9">
        <f t="shared" si="3"/>
        <v>25.082863029651524</v>
      </c>
      <c r="I206" s="2" t="str" cm="1">
        <f t="array" ref="I206">_xlfn.IFS(F206&gt;=100,"Over weight",F206&lt;100,"Average weight")</f>
        <v>Average weight</v>
      </c>
      <c r="J206" s="2" t="str" cm="1">
        <f t="array" ref="J206">_xlfn.IFS(G206&lt;164,"Below Average height",G206&gt;=165,"Above Average height",G206=164,"Average height")</f>
        <v>Above Average height</v>
      </c>
      <c r="K206" s="2" t="str" cm="1">
        <f t="array" ref="K206">_xlfn.IFS(E206&lt;=16,"Children",E206&lt;=30,"Young Adults",E206&lt;=45,"Middle-aged Adults",E206&gt;45,"Old Adults")</f>
        <v>Young Adults</v>
      </c>
    </row>
    <row r="207" spans="1:11" x14ac:dyDescent="0.45">
      <c r="A207" s="2">
        <v>231</v>
      </c>
      <c r="B207" s="2" t="s">
        <v>336</v>
      </c>
      <c r="C207" s="2" t="s">
        <v>90</v>
      </c>
      <c r="D207" s="2" t="s">
        <v>46</v>
      </c>
      <c r="E207" s="2">
        <v>25</v>
      </c>
      <c r="F207" s="2">
        <v>98</v>
      </c>
      <c r="G207" s="2">
        <v>192</v>
      </c>
      <c r="H207" s="9">
        <f t="shared" si="3"/>
        <v>26.584201388888889</v>
      </c>
      <c r="I207" s="2" t="str" cm="1">
        <f t="array" ref="I207">_xlfn.IFS(F207&gt;=100,"Over weight",F207&lt;100,"Average weight")</f>
        <v>Average weight</v>
      </c>
      <c r="J207" s="2" t="str" cm="1">
        <f t="array" ref="J207">_xlfn.IFS(G207&lt;164,"Below Average height",G207&gt;=165,"Above Average height",G207=164,"Average height")</f>
        <v>Above Average height</v>
      </c>
      <c r="K207" s="2" t="str" cm="1">
        <f t="array" ref="K207">_xlfn.IFS(E207&lt;=16,"Children",E207&lt;=30,"Young Adults",E207&lt;=45,"Middle-aged Adults",E207&gt;45,"Old Adults")</f>
        <v>Young Adults</v>
      </c>
    </row>
    <row r="208" spans="1:11" x14ac:dyDescent="0.45">
      <c r="A208" s="2">
        <v>232</v>
      </c>
      <c r="B208" s="2" t="s">
        <v>337</v>
      </c>
      <c r="C208" s="2" t="s">
        <v>100</v>
      </c>
      <c r="D208" s="2" t="s">
        <v>30</v>
      </c>
      <c r="E208" s="2">
        <v>37</v>
      </c>
      <c r="F208" s="2">
        <v>77</v>
      </c>
      <c r="G208" s="2">
        <v>178</v>
      </c>
      <c r="H208" s="9">
        <f t="shared" si="3"/>
        <v>24.302487059714682</v>
      </c>
      <c r="I208" s="2" t="str" cm="1">
        <f t="array" ref="I208">_xlfn.IFS(F208&gt;=100,"Over weight",F208&lt;100,"Average weight")</f>
        <v>Average weight</v>
      </c>
      <c r="J208" s="2" t="str" cm="1">
        <f t="array" ref="J208">_xlfn.IFS(G208&lt;164,"Below Average height",G208&gt;=165,"Above Average height",G208=164,"Average height")</f>
        <v>Above Average height</v>
      </c>
      <c r="K208" s="2" t="str" cm="1">
        <f t="array" ref="K208">_xlfn.IFS(E208&lt;=16,"Children",E208&lt;=30,"Young Adults",E208&lt;=45,"Middle-aged Adults",E208&gt;45,"Old Adults")</f>
        <v>Middle-aged Adults</v>
      </c>
    </row>
    <row r="209" spans="1:11" x14ac:dyDescent="0.45">
      <c r="A209" s="2">
        <v>233</v>
      </c>
      <c r="B209" s="2" t="s">
        <v>338</v>
      </c>
      <c r="C209" s="2" t="s">
        <v>94</v>
      </c>
      <c r="D209" s="2" t="s">
        <v>80</v>
      </c>
      <c r="E209" s="2">
        <v>27</v>
      </c>
      <c r="F209" s="2">
        <v>62</v>
      </c>
      <c r="G209" s="2">
        <v>168</v>
      </c>
      <c r="H209" s="9">
        <f t="shared" si="3"/>
        <v>21.9671201814059</v>
      </c>
      <c r="I209" s="2" t="str" cm="1">
        <f t="array" ref="I209">_xlfn.IFS(F209&gt;=100,"Over weight",F209&lt;100,"Average weight")</f>
        <v>Average weight</v>
      </c>
      <c r="J209" s="2" t="str" cm="1">
        <f t="array" ref="J209">_xlfn.IFS(G209&lt;164,"Below Average height",G209&gt;=165,"Above Average height",G209=164,"Average height")</f>
        <v>Above Average height</v>
      </c>
      <c r="K209" s="2" t="str" cm="1">
        <f t="array" ref="K209">_xlfn.IFS(E209&lt;=16,"Children",E209&lt;=30,"Young Adults",E209&lt;=45,"Middle-aged Adults",E209&gt;45,"Old Adults")</f>
        <v>Young Adults</v>
      </c>
    </row>
    <row r="210" spans="1:11" x14ac:dyDescent="0.45">
      <c r="A210" s="2">
        <v>234</v>
      </c>
      <c r="B210" s="2" t="s">
        <v>339</v>
      </c>
      <c r="C210" s="2" t="s">
        <v>91</v>
      </c>
      <c r="D210" s="2" t="s">
        <v>80</v>
      </c>
      <c r="E210" s="2">
        <v>25</v>
      </c>
      <c r="F210" s="2">
        <v>94</v>
      </c>
      <c r="G210" s="2">
        <v>183</v>
      </c>
      <c r="H210" s="9">
        <f t="shared" si="3"/>
        <v>28.068918152229088</v>
      </c>
      <c r="I210" s="2" t="str" cm="1">
        <f t="array" ref="I210">_xlfn.IFS(F210&gt;=100,"Over weight",F210&lt;100,"Average weight")</f>
        <v>Average weight</v>
      </c>
      <c r="J210" s="2" t="str" cm="1">
        <f t="array" ref="J210">_xlfn.IFS(G210&lt;164,"Below Average height",G210&gt;=165,"Above Average height",G210=164,"Average height")</f>
        <v>Above Average height</v>
      </c>
      <c r="K210" s="2" t="str" cm="1">
        <f t="array" ref="K210">_xlfn.IFS(E210&lt;=16,"Children",E210&lt;=30,"Young Adults",E210&lt;=45,"Middle-aged Adults",E210&gt;45,"Old Adults")</f>
        <v>Young Adults</v>
      </c>
    </row>
    <row r="211" spans="1:11" x14ac:dyDescent="0.45">
      <c r="A211" s="2">
        <v>236</v>
      </c>
      <c r="B211" s="2" t="s">
        <v>341</v>
      </c>
      <c r="C211" s="2" t="s">
        <v>90</v>
      </c>
      <c r="D211" s="2" t="s">
        <v>14</v>
      </c>
      <c r="E211" s="2">
        <v>35</v>
      </c>
      <c r="F211" s="2">
        <v>100</v>
      </c>
      <c r="G211" s="2">
        <v>182</v>
      </c>
      <c r="H211" s="9">
        <f t="shared" si="3"/>
        <v>30.189590629151066</v>
      </c>
      <c r="I211" s="2" t="str" cm="1">
        <f t="array" ref="I211">_xlfn.IFS(F211&gt;=100,"Over weight",F211&lt;100,"Average weight")</f>
        <v>Over weight</v>
      </c>
      <c r="J211" s="2" t="str" cm="1">
        <f t="array" ref="J211">_xlfn.IFS(G211&lt;164,"Below Average height",G211&gt;=165,"Above Average height",G211=164,"Average height")</f>
        <v>Above Average height</v>
      </c>
      <c r="K211" s="2" t="str" cm="1">
        <f t="array" ref="K211">_xlfn.IFS(E211&lt;=16,"Children",E211&lt;=30,"Young Adults",E211&lt;=45,"Middle-aged Adults",E211&gt;45,"Old Adults")</f>
        <v>Middle-aged Adults</v>
      </c>
    </row>
    <row r="212" spans="1:11" x14ac:dyDescent="0.45">
      <c r="A212" s="2">
        <v>237</v>
      </c>
      <c r="B212" s="2" t="s">
        <v>342</v>
      </c>
      <c r="C212" s="2" t="s">
        <v>93</v>
      </c>
      <c r="D212" s="2" t="s">
        <v>59</v>
      </c>
      <c r="E212" s="2">
        <v>22</v>
      </c>
      <c r="F212" s="2">
        <v>74</v>
      </c>
      <c r="G212" s="2">
        <v>169</v>
      </c>
      <c r="H212" s="9">
        <f t="shared" si="3"/>
        <v>25.909456951787405</v>
      </c>
      <c r="I212" s="2" t="str" cm="1">
        <f t="array" ref="I212">_xlfn.IFS(F212&gt;=100,"Over weight",F212&lt;100,"Average weight")</f>
        <v>Average weight</v>
      </c>
      <c r="J212" s="2" t="str" cm="1">
        <f t="array" ref="J212">_xlfn.IFS(G212&lt;164,"Below Average height",G212&gt;=165,"Above Average height",G212=164,"Average height")</f>
        <v>Above Average height</v>
      </c>
      <c r="K212" s="2" t="str" cm="1">
        <f t="array" ref="K212">_xlfn.IFS(E212&lt;=16,"Children",E212&lt;=30,"Young Adults",E212&lt;=45,"Middle-aged Adults",E212&gt;45,"Old Adults")</f>
        <v>Young Adults</v>
      </c>
    </row>
    <row r="213" spans="1:11" x14ac:dyDescent="0.45">
      <c r="A213" s="2">
        <v>238</v>
      </c>
      <c r="B213" s="2" t="s">
        <v>343</v>
      </c>
      <c r="C213" s="2" t="s">
        <v>90</v>
      </c>
      <c r="D213" s="2" t="s">
        <v>14</v>
      </c>
      <c r="E213" s="2">
        <v>29</v>
      </c>
      <c r="F213" s="2">
        <v>75</v>
      </c>
      <c r="G213" s="2">
        <v>173</v>
      </c>
      <c r="H213" s="9">
        <f t="shared" si="3"/>
        <v>25.059307026629689</v>
      </c>
      <c r="I213" s="2" t="str" cm="1">
        <f t="array" ref="I213">_xlfn.IFS(F213&gt;=100,"Over weight",F213&lt;100,"Average weight")</f>
        <v>Average weight</v>
      </c>
      <c r="J213" s="2" t="str" cm="1">
        <f t="array" ref="J213">_xlfn.IFS(G213&lt;164,"Below Average height",G213&gt;=165,"Above Average height",G213=164,"Average height")</f>
        <v>Above Average height</v>
      </c>
      <c r="K213" s="2" t="str" cm="1">
        <f t="array" ref="K213">_xlfn.IFS(E213&lt;=16,"Children",E213&lt;=30,"Young Adults",E213&lt;=45,"Middle-aged Adults",E213&gt;45,"Old Adults")</f>
        <v>Young Adults</v>
      </c>
    </row>
    <row r="214" spans="1:11" x14ac:dyDescent="0.45">
      <c r="A214" s="2">
        <v>239</v>
      </c>
      <c r="B214" s="2" t="s">
        <v>344</v>
      </c>
      <c r="C214" s="2" t="s">
        <v>94</v>
      </c>
      <c r="D214" s="2" t="s">
        <v>19</v>
      </c>
      <c r="E214" s="2">
        <v>18</v>
      </c>
      <c r="F214" s="2">
        <v>65</v>
      </c>
      <c r="G214" s="2">
        <v>175</v>
      </c>
      <c r="H214" s="9">
        <f t="shared" si="3"/>
        <v>21.224489795918366</v>
      </c>
      <c r="I214" s="2" t="str" cm="1">
        <f t="array" ref="I214">_xlfn.IFS(F214&gt;=100,"Over weight",F214&lt;100,"Average weight")</f>
        <v>Average weight</v>
      </c>
      <c r="J214" s="2" t="str" cm="1">
        <f t="array" ref="J214">_xlfn.IFS(G214&lt;164,"Below Average height",G214&gt;=165,"Above Average height",G214=164,"Average height")</f>
        <v>Above Average height</v>
      </c>
      <c r="K214" s="2" t="str" cm="1">
        <f t="array" ref="K214">_xlfn.IFS(E214&lt;=16,"Children",E214&lt;=30,"Young Adults",E214&lt;=45,"Middle-aged Adults",E214&gt;45,"Old Adults")</f>
        <v>Young Adults</v>
      </c>
    </row>
    <row r="215" spans="1:11" x14ac:dyDescent="0.45">
      <c r="A215" s="2">
        <v>240</v>
      </c>
      <c r="B215" s="2" t="s">
        <v>345</v>
      </c>
      <c r="C215" s="2" t="s">
        <v>88</v>
      </c>
      <c r="D215" s="2" t="s">
        <v>26</v>
      </c>
      <c r="E215" s="2">
        <v>21</v>
      </c>
      <c r="F215" s="2">
        <v>54</v>
      </c>
      <c r="G215" s="2">
        <v>165</v>
      </c>
      <c r="H215" s="9">
        <f t="shared" si="3"/>
        <v>19.834710743801654</v>
      </c>
      <c r="I215" s="2" t="str" cm="1">
        <f t="array" ref="I215">_xlfn.IFS(F215&gt;=100,"Over weight",F215&lt;100,"Average weight")</f>
        <v>Average weight</v>
      </c>
      <c r="J215" s="2" t="str" cm="1">
        <f t="array" ref="J215">_xlfn.IFS(G215&lt;164,"Below Average height",G215&gt;=165,"Above Average height",G215=164,"Average height")</f>
        <v>Above Average height</v>
      </c>
      <c r="K215" s="2" t="str" cm="1">
        <f t="array" ref="K215">_xlfn.IFS(E215&lt;=16,"Children",E215&lt;=30,"Young Adults",E215&lt;=45,"Middle-aged Adults",E215&gt;45,"Old Adults")</f>
        <v>Young Adults</v>
      </c>
    </row>
    <row r="216" spans="1:11" x14ac:dyDescent="0.45">
      <c r="A216" s="2">
        <v>243</v>
      </c>
      <c r="B216" s="2" t="s">
        <v>348</v>
      </c>
      <c r="C216" s="2" t="s">
        <v>85</v>
      </c>
      <c r="D216" s="2" t="s">
        <v>14</v>
      </c>
      <c r="E216" s="2">
        <v>29</v>
      </c>
      <c r="F216" s="2">
        <v>90</v>
      </c>
      <c r="G216" s="2">
        <v>181</v>
      </c>
      <c r="H216" s="9">
        <f t="shared" si="3"/>
        <v>27.471688898385274</v>
      </c>
      <c r="I216" s="2" t="str" cm="1">
        <f t="array" ref="I216">_xlfn.IFS(F216&gt;=100,"Over weight",F216&lt;100,"Average weight")</f>
        <v>Average weight</v>
      </c>
      <c r="J216" s="2" t="str" cm="1">
        <f t="array" ref="J216">_xlfn.IFS(G216&lt;164,"Below Average height",G216&gt;=165,"Above Average height",G216=164,"Average height")</f>
        <v>Above Average height</v>
      </c>
      <c r="K216" s="2" t="str" cm="1">
        <f t="array" ref="K216">_xlfn.IFS(E216&lt;=16,"Children",E216&lt;=30,"Young Adults",E216&lt;=45,"Middle-aged Adults",E216&gt;45,"Old Adults")</f>
        <v>Young Adults</v>
      </c>
    </row>
    <row r="217" spans="1:11" x14ac:dyDescent="0.45">
      <c r="A217" s="2">
        <v>244</v>
      </c>
      <c r="B217" s="2" t="s">
        <v>349</v>
      </c>
      <c r="C217" s="2" t="s">
        <v>91</v>
      </c>
      <c r="D217" s="2" t="s">
        <v>66</v>
      </c>
      <c r="E217" s="2">
        <v>29</v>
      </c>
      <c r="F217" s="2">
        <v>90</v>
      </c>
      <c r="G217" s="2">
        <v>190</v>
      </c>
      <c r="H217" s="9">
        <f t="shared" si="3"/>
        <v>24.930747922437675</v>
      </c>
      <c r="I217" s="2" t="str" cm="1">
        <f t="array" ref="I217">_xlfn.IFS(F217&gt;=100,"Over weight",F217&lt;100,"Average weight")</f>
        <v>Average weight</v>
      </c>
      <c r="J217" s="2" t="str" cm="1">
        <f t="array" ref="J217">_xlfn.IFS(G217&lt;164,"Below Average height",G217&gt;=165,"Above Average height",G217=164,"Average height")</f>
        <v>Above Average height</v>
      </c>
      <c r="K217" s="2" t="str" cm="1">
        <f t="array" ref="K217">_xlfn.IFS(E217&lt;=16,"Children",E217&lt;=30,"Young Adults",E217&lt;=45,"Middle-aged Adults",E217&gt;45,"Old Adults")</f>
        <v>Young Adults</v>
      </c>
    </row>
    <row r="218" spans="1:11" x14ac:dyDescent="0.45">
      <c r="A218" s="2">
        <v>247</v>
      </c>
      <c r="B218" s="2" t="s">
        <v>352</v>
      </c>
      <c r="C218" s="2" t="s">
        <v>86</v>
      </c>
      <c r="D218" s="2" t="s">
        <v>30</v>
      </c>
      <c r="E218" s="2">
        <v>20</v>
      </c>
      <c r="F218" s="2">
        <v>100</v>
      </c>
      <c r="G218" s="2">
        <v>182</v>
      </c>
      <c r="H218" s="9">
        <f t="shared" si="3"/>
        <v>30.189590629151066</v>
      </c>
      <c r="I218" s="2" t="str" cm="1">
        <f t="array" ref="I218">_xlfn.IFS(F218&gt;=100,"Over weight",F218&lt;100,"Average weight")</f>
        <v>Over weight</v>
      </c>
      <c r="J218" s="2" t="str" cm="1">
        <f t="array" ref="J218">_xlfn.IFS(G218&lt;164,"Below Average height",G218&gt;=165,"Above Average height",G218=164,"Average height")</f>
        <v>Above Average height</v>
      </c>
      <c r="K218" s="2" t="str" cm="1">
        <f t="array" ref="K218">_xlfn.IFS(E218&lt;=16,"Children",E218&lt;=30,"Young Adults",E218&lt;=45,"Middle-aged Adults",E218&gt;45,"Old Adults")</f>
        <v>Young Adults</v>
      </c>
    </row>
    <row r="219" spans="1:11" x14ac:dyDescent="0.45">
      <c r="A219" s="2">
        <v>248</v>
      </c>
      <c r="B219" s="2" t="s">
        <v>353</v>
      </c>
      <c r="C219" s="2" t="s">
        <v>89</v>
      </c>
      <c r="D219" s="2" t="s">
        <v>14</v>
      </c>
      <c r="E219" s="2">
        <v>20</v>
      </c>
      <c r="F219" s="2">
        <v>67</v>
      </c>
      <c r="G219" s="2">
        <v>178</v>
      </c>
      <c r="H219" s="9">
        <f t="shared" si="3"/>
        <v>21.146319909102385</v>
      </c>
      <c r="I219" s="2" t="str" cm="1">
        <f t="array" ref="I219">_xlfn.IFS(F219&gt;=100,"Over weight",F219&lt;100,"Average weight")</f>
        <v>Average weight</v>
      </c>
      <c r="J219" s="2" t="str" cm="1">
        <f t="array" ref="J219">_xlfn.IFS(G219&lt;164,"Below Average height",G219&gt;=165,"Above Average height",G219=164,"Average height")</f>
        <v>Above Average height</v>
      </c>
      <c r="K219" s="2" t="str" cm="1">
        <f t="array" ref="K219">_xlfn.IFS(E219&lt;=16,"Children",E219&lt;=30,"Young Adults",E219&lt;=45,"Middle-aged Adults",E219&gt;45,"Old Adults")</f>
        <v>Young Adults</v>
      </c>
    </row>
    <row r="220" spans="1:11" x14ac:dyDescent="0.45">
      <c r="A220" s="2">
        <v>249</v>
      </c>
      <c r="B220" s="2" t="s">
        <v>354</v>
      </c>
      <c r="C220" s="2" t="s">
        <v>91</v>
      </c>
      <c r="D220" s="2" t="s">
        <v>70</v>
      </c>
      <c r="E220" s="2">
        <v>27</v>
      </c>
      <c r="F220" s="2">
        <v>90</v>
      </c>
      <c r="G220" s="2">
        <v>185</v>
      </c>
      <c r="H220" s="9">
        <f t="shared" si="3"/>
        <v>26.296566837107374</v>
      </c>
      <c r="I220" s="2" t="str" cm="1">
        <f t="array" ref="I220">_xlfn.IFS(F220&gt;=100,"Over weight",F220&lt;100,"Average weight")</f>
        <v>Average weight</v>
      </c>
      <c r="J220" s="2" t="str" cm="1">
        <f t="array" ref="J220">_xlfn.IFS(G220&lt;164,"Below Average height",G220&gt;=165,"Above Average height",G220=164,"Average height")</f>
        <v>Above Average height</v>
      </c>
      <c r="K220" s="2" t="str" cm="1">
        <f t="array" ref="K220">_xlfn.IFS(E220&lt;=16,"Children",E220&lt;=30,"Young Adults",E220&lt;=45,"Middle-aged Adults",E220&gt;45,"Old Adults")</f>
        <v>Young Adults</v>
      </c>
    </row>
    <row r="221" spans="1:11" x14ac:dyDescent="0.45">
      <c r="A221" s="2">
        <v>250</v>
      </c>
      <c r="B221" s="2" t="s">
        <v>355</v>
      </c>
      <c r="C221" s="2" t="s">
        <v>91</v>
      </c>
      <c r="D221" s="2" t="s">
        <v>70</v>
      </c>
      <c r="E221" s="2">
        <v>17</v>
      </c>
      <c r="F221" s="2">
        <v>62</v>
      </c>
      <c r="G221" s="2">
        <v>170</v>
      </c>
      <c r="H221" s="9">
        <f t="shared" si="3"/>
        <v>21.453287197231838</v>
      </c>
      <c r="I221" s="2" t="str" cm="1">
        <f t="array" ref="I221">_xlfn.IFS(F221&gt;=100,"Over weight",F221&lt;100,"Average weight")</f>
        <v>Average weight</v>
      </c>
      <c r="J221" s="2" t="str" cm="1">
        <f t="array" ref="J221">_xlfn.IFS(G221&lt;164,"Below Average height",G221&gt;=165,"Above Average height",G221=164,"Average height")</f>
        <v>Above Average height</v>
      </c>
      <c r="K221" s="2" t="str" cm="1">
        <f t="array" ref="K221">_xlfn.IFS(E221&lt;=16,"Children",E221&lt;=30,"Young Adults",E221&lt;=45,"Middle-aged Adults",E221&gt;45,"Old Adults")</f>
        <v>Young Adults</v>
      </c>
    </row>
    <row r="222" spans="1:11" x14ac:dyDescent="0.45">
      <c r="A222" s="2">
        <v>251</v>
      </c>
      <c r="B222" s="2" t="s">
        <v>356</v>
      </c>
      <c r="C222" s="2" t="s">
        <v>85</v>
      </c>
      <c r="D222" s="2" t="s">
        <v>48</v>
      </c>
      <c r="E222" s="2">
        <v>38</v>
      </c>
      <c r="F222" s="2">
        <v>93</v>
      </c>
      <c r="G222" s="2">
        <v>186</v>
      </c>
      <c r="H222" s="9">
        <f t="shared" si="3"/>
        <v>26.881720430107524</v>
      </c>
      <c r="I222" s="2" t="str" cm="1">
        <f t="array" ref="I222">_xlfn.IFS(F222&gt;=100,"Over weight",F222&lt;100,"Average weight")</f>
        <v>Average weight</v>
      </c>
      <c r="J222" s="2" t="str" cm="1">
        <f t="array" ref="J222">_xlfn.IFS(G222&lt;164,"Below Average height",G222&gt;=165,"Above Average height",G222=164,"Average height")</f>
        <v>Above Average height</v>
      </c>
      <c r="K222" s="2" t="str" cm="1">
        <f t="array" ref="K222">_xlfn.IFS(E222&lt;=16,"Children",E222&lt;=30,"Young Adults",E222&lt;=45,"Middle-aged Adults",E222&gt;45,"Old Adults")</f>
        <v>Middle-aged Adults</v>
      </c>
    </row>
    <row r="223" spans="1:11" x14ac:dyDescent="0.45">
      <c r="A223" s="2">
        <v>253</v>
      </c>
      <c r="B223" s="2" t="s">
        <v>358</v>
      </c>
      <c r="C223" s="2" t="s">
        <v>94</v>
      </c>
      <c r="D223" s="2" t="s">
        <v>19</v>
      </c>
      <c r="E223" s="2">
        <v>21</v>
      </c>
      <c r="F223" s="2">
        <v>80</v>
      </c>
      <c r="G223" s="2">
        <v>188</v>
      </c>
      <c r="H223" s="9">
        <f t="shared" si="3"/>
        <v>22.634676324128566</v>
      </c>
      <c r="I223" s="2" t="str" cm="1">
        <f t="array" ref="I223">_xlfn.IFS(F223&gt;=100,"Over weight",F223&lt;100,"Average weight")</f>
        <v>Average weight</v>
      </c>
      <c r="J223" s="2" t="str" cm="1">
        <f t="array" ref="J223">_xlfn.IFS(G223&lt;164,"Below Average height",G223&gt;=165,"Above Average height",G223=164,"Average height")</f>
        <v>Above Average height</v>
      </c>
      <c r="K223" s="2" t="str" cm="1">
        <f t="array" ref="K223">_xlfn.IFS(E223&lt;=16,"Children",E223&lt;=30,"Young Adults",E223&lt;=45,"Middle-aged Adults",E223&gt;45,"Old Adults")</f>
        <v>Young Adults</v>
      </c>
    </row>
    <row r="224" spans="1:11" x14ac:dyDescent="0.45">
      <c r="A224" s="2">
        <v>254</v>
      </c>
      <c r="B224" s="2" t="s">
        <v>359</v>
      </c>
      <c r="C224" s="2" t="s">
        <v>87</v>
      </c>
      <c r="D224" s="2" t="s">
        <v>26</v>
      </c>
      <c r="E224" s="2">
        <v>21</v>
      </c>
      <c r="F224" s="2">
        <v>68</v>
      </c>
      <c r="G224" s="2">
        <v>180</v>
      </c>
      <c r="H224" s="9">
        <f t="shared" si="3"/>
        <v>20.987654320987652</v>
      </c>
      <c r="I224" s="2" t="str" cm="1">
        <f t="array" ref="I224">_xlfn.IFS(F224&gt;=100,"Over weight",F224&lt;100,"Average weight")</f>
        <v>Average weight</v>
      </c>
      <c r="J224" s="2" t="str" cm="1">
        <f t="array" ref="J224">_xlfn.IFS(G224&lt;164,"Below Average height",G224&gt;=165,"Above Average height",G224=164,"Average height")</f>
        <v>Above Average height</v>
      </c>
      <c r="K224" s="2" t="str" cm="1">
        <f t="array" ref="K224">_xlfn.IFS(E224&lt;=16,"Children",E224&lt;=30,"Young Adults",E224&lt;=45,"Middle-aged Adults",E224&gt;45,"Old Adults")</f>
        <v>Young Adults</v>
      </c>
    </row>
    <row r="225" spans="1:11" x14ac:dyDescent="0.45">
      <c r="A225" s="2">
        <v>255</v>
      </c>
      <c r="B225" s="2" t="s">
        <v>360</v>
      </c>
      <c r="C225" s="2" t="s">
        <v>91</v>
      </c>
      <c r="D225" s="2" t="s">
        <v>66</v>
      </c>
      <c r="E225" s="2">
        <v>29</v>
      </c>
      <c r="F225" s="2">
        <v>70</v>
      </c>
      <c r="G225" s="2">
        <v>165</v>
      </c>
      <c r="H225" s="9">
        <f t="shared" si="3"/>
        <v>25.711662075298442</v>
      </c>
      <c r="I225" s="2" t="str" cm="1">
        <f t="array" ref="I225">_xlfn.IFS(F225&gt;=100,"Over weight",F225&lt;100,"Average weight")</f>
        <v>Average weight</v>
      </c>
      <c r="J225" s="2" t="str" cm="1">
        <f t="array" ref="J225">_xlfn.IFS(G225&lt;164,"Below Average height",G225&gt;=165,"Above Average height",G225=164,"Average height")</f>
        <v>Above Average height</v>
      </c>
      <c r="K225" s="2" t="str" cm="1">
        <f t="array" ref="K225">_xlfn.IFS(E225&lt;=16,"Children",E225&lt;=30,"Young Adults",E225&lt;=45,"Middle-aged Adults",E225&gt;45,"Old Adults")</f>
        <v>Young Adults</v>
      </c>
    </row>
    <row r="226" spans="1:11" x14ac:dyDescent="0.45">
      <c r="A226" s="2">
        <v>256</v>
      </c>
      <c r="B226" s="2" t="s">
        <v>361</v>
      </c>
      <c r="C226" s="2" t="s">
        <v>88</v>
      </c>
      <c r="D226" s="2" t="s">
        <v>80</v>
      </c>
      <c r="E226" s="2">
        <v>28</v>
      </c>
      <c r="F226" s="2">
        <v>73</v>
      </c>
      <c r="G226" s="2">
        <v>180</v>
      </c>
      <c r="H226" s="9">
        <f t="shared" si="3"/>
        <v>22.530864197530864</v>
      </c>
      <c r="I226" s="2" t="str" cm="1">
        <f t="array" ref="I226">_xlfn.IFS(F226&gt;=100,"Over weight",F226&lt;100,"Average weight")</f>
        <v>Average weight</v>
      </c>
      <c r="J226" s="2" t="str" cm="1">
        <f t="array" ref="J226">_xlfn.IFS(G226&lt;164,"Below Average height",G226&gt;=165,"Above Average height",G226=164,"Average height")</f>
        <v>Above Average height</v>
      </c>
      <c r="K226" s="2" t="str" cm="1">
        <f t="array" ref="K226">_xlfn.IFS(E226&lt;=16,"Children",E226&lt;=30,"Young Adults",E226&lt;=45,"Middle-aged Adults",E226&gt;45,"Old Adults")</f>
        <v>Young Adults</v>
      </c>
    </row>
    <row r="227" spans="1:11" x14ac:dyDescent="0.45">
      <c r="A227" s="2">
        <v>257</v>
      </c>
      <c r="B227" s="2" t="s">
        <v>362</v>
      </c>
      <c r="C227" s="2" t="s">
        <v>93</v>
      </c>
      <c r="D227" s="2" t="s">
        <v>28</v>
      </c>
      <c r="E227" s="2">
        <v>25</v>
      </c>
      <c r="F227" s="2">
        <v>81</v>
      </c>
      <c r="G227" s="2">
        <v>183</v>
      </c>
      <c r="H227" s="9">
        <f t="shared" si="3"/>
        <v>24.187046492878256</v>
      </c>
      <c r="I227" s="2" t="str" cm="1">
        <f t="array" ref="I227">_xlfn.IFS(F227&gt;=100,"Over weight",F227&lt;100,"Average weight")</f>
        <v>Average weight</v>
      </c>
      <c r="J227" s="2" t="str" cm="1">
        <f t="array" ref="J227">_xlfn.IFS(G227&lt;164,"Below Average height",G227&gt;=165,"Above Average height",G227=164,"Average height")</f>
        <v>Above Average height</v>
      </c>
      <c r="K227" s="2" t="str" cm="1">
        <f t="array" ref="K227">_xlfn.IFS(E227&lt;=16,"Children",E227&lt;=30,"Young Adults",E227&lt;=45,"Middle-aged Adults",E227&gt;45,"Old Adults")</f>
        <v>Young Adults</v>
      </c>
    </row>
    <row r="228" spans="1:11" x14ac:dyDescent="0.45">
      <c r="A228" s="2">
        <v>258</v>
      </c>
      <c r="B228" s="2" t="s">
        <v>363</v>
      </c>
      <c r="C228" s="2" t="s">
        <v>91</v>
      </c>
      <c r="D228" s="2" t="s">
        <v>28</v>
      </c>
      <c r="E228" s="2">
        <v>33</v>
      </c>
      <c r="F228" s="2">
        <v>96</v>
      </c>
      <c r="G228" s="2">
        <v>192</v>
      </c>
      <c r="H228" s="9">
        <f t="shared" si="3"/>
        <v>26.041666666666668</v>
      </c>
      <c r="I228" s="2" t="str" cm="1">
        <f t="array" ref="I228">_xlfn.IFS(F228&gt;=100,"Over weight",F228&lt;100,"Average weight")</f>
        <v>Average weight</v>
      </c>
      <c r="J228" s="2" t="str" cm="1">
        <f t="array" ref="J228">_xlfn.IFS(G228&lt;164,"Below Average height",G228&gt;=165,"Above Average height",G228=164,"Average height")</f>
        <v>Above Average height</v>
      </c>
      <c r="K228" s="2" t="str" cm="1">
        <f t="array" ref="K228">_xlfn.IFS(E228&lt;=16,"Children",E228&lt;=30,"Young Adults",E228&lt;=45,"Middle-aged Adults",E228&gt;45,"Old Adults")</f>
        <v>Middle-aged Adults</v>
      </c>
    </row>
    <row r="229" spans="1:11" x14ac:dyDescent="0.45">
      <c r="A229" s="2">
        <v>259</v>
      </c>
      <c r="B229" s="2" t="s">
        <v>364</v>
      </c>
      <c r="C229" s="2" t="s">
        <v>96</v>
      </c>
      <c r="D229" s="2" t="s">
        <v>30</v>
      </c>
      <c r="E229" s="2">
        <v>35</v>
      </c>
      <c r="F229" s="2">
        <v>100</v>
      </c>
      <c r="G229" s="2">
        <v>173</v>
      </c>
      <c r="H229" s="9">
        <f t="shared" si="3"/>
        <v>33.412409368839583</v>
      </c>
      <c r="I229" s="2" t="str" cm="1">
        <f t="array" ref="I229">_xlfn.IFS(F229&gt;=100,"Over weight",F229&lt;100,"Average weight")</f>
        <v>Over weight</v>
      </c>
      <c r="J229" s="2" t="str" cm="1">
        <f t="array" ref="J229">_xlfn.IFS(G229&lt;164,"Below Average height",G229&gt;=165,"Above Average height",G229=164,"Average height")</f>
        <v>Above Average height</v>
      </c>
      <c r="K229" s="2" t="str" cm="1">
        <f t="array" ref="K229">_xlfn.IFS(E229&lt;=16,"Children",E229&lt;=30,"Young Adults",E229&lt;=45,"Middle-aged Adults",E229&gt;45,"Old Adults")</f>
        <v>Middle-aged Adults</v>
      </c>
    </row>
    <row r="230" spans="1:11" x14ac:dyDescent="0.45">
      <c r="A230" s="2">
        <v>260</v>
      </c>
      <c r="B230" s="2" t="s">
        <v>365</v>
      </c>
      <c r="C230" s="2" t="s">
        <v>85</v>
      </c>
      <c r="D230" s="2" t="s">
        <v>74</v>
      </c>
      <c r="E230" s="2">
        <v>24</v>
      </c>
      <c r="F230" s="2">
        <v>85</v>
      </c>
      <c r="G230" s="2">
        <v>180</v>
      </c>
      <c r="H230" s="9">
        <f t="shared" si="3"/>
        <v>26.234567901234566</v>
      </c>
      <c r="I230" s="2" t="str" cm="1">
        <f t="array" ref="I230">_xlfn.IFS(F230&gt;=100,"Over weight",F230&lt;100,"Average weight")</f>
        <v>Average weight</v>
      </c>
      <c r="J230" s="2" t="str" cm="1">
        <f t="array" ref="J230">_xlfn.IFS(G230&lt;164,"Below Average height",G230&gt;=165,"Above Average height",G230=164,"Average height")</f>
        <v>Above Average height</v>
      </c>
      <c r="K230" s="2" t="str" cm="1">
        <f t="array" ref="K230">_xlfn.IFS(E230&lt;=16,"Children",E230&lt;=30,"Young Adults",E230&lt;=45,"Middle-aged Adults",E230&gt;45,"Old Adults")</f>
        <v>Young Adults</v>
      </c>
    </row>
    <row r="231" spans="1:11" x14ac:dyDescent="0.45">
      <c r="A231" s="2">
        <v>261</v>
      </c>
      <c r="B231" s="2" t="s">
        <v>366</v>
      </c>
      <c r="C231" s="2" t="s">
        <v>98</v>
      </c>
      <c r="D231" s="2" t="s">
        <v>63</v>
      </c>
      <c r="E231" s="2">
        <v>19</v>
      </c>
      <c r="F231" s="2">
        <v>61</v>
      </c>
      <c r="G231" s="2">
        <v>167</v>
      </c>
      <c r="H231" s="9">
        <f t="shared" si="3"/>
        <v>21.872422819032593</v>
      </c>
      <c r="I231" s="2" t="str" cm="1">
        <f t="array" ref="I231">_xlfn.IFS(F231&gt;=100,"Over weight",F231&lt;100,"Average weight")</f>
        <v>Average weight</v>
      </c>
      <c r="J231" s="2" t="str" cm="1">
        <f t="array" ref="J231">_xlfn.IFS(G231&lt;164,"Below Average height",G231&gt;=165,"Above Average height",G231=164,"Average height")</f>
        <v>Above Average height</v>
      </c>
      <c r="K231" s="2" t="str" cm="1">
        <f t="array" ref="K231">_xlfn.IFS(E231&lt;=16,"Children",E231&lt;=30,"Young Adults",E231&lt;=45,"Middle-aged Adults",E231&gt;45,"Old Adults")</f>
        <v>Young Adults</v>
      </c>
    </row>
    <row r="232" spans="1:11" x14ac:dyDescent="0.45">
      <c r="A232" s="2">
        <v>262</v>
      </c>
      <c r="B232" s="2" t="s">
        <v>367</v>
      </c>
      <c r="C232" s="2" t="s">
        <v>93</v>
      </c>
      <c r="D232" s="2" t="s">
        <v>75</v>
      </c>
      <c r="E232" s="2">
        <v>24</v>
      </c>
      <c r="F232" s="2">
        <v>70</v>
      </c>
      <c r="G232" s="2">
        <v>167</v>
      </c>
      <c r="H232" s="9">
        <f t="shared" si="3"/>
        <v>25.099501595611173</v>
      </c>
      <c r="I232" s="2" t="str" cm="1">
        <f t="array" ref="I232">_xlfn.IFS(F232&gt;=100,"Over weight",F232&lt;100,"Average weight")</f>
        <v>Average weight</v>
      </c>
      <c r="J232" s="2" t="str" cm="1">
        <f t="array" ref="J232">_xlfn.IFS(G232&lt;164,"Below Average height",G232&gt;=165,"Above Average height",G232=164,"Average height")</f>
        <v>Above Average height</v>
      </c>
      <c r="K232" s="2" t="str" cm="1">
        <f t="array" ref="K232">_xlfn.IFS(E232&lt;=16,"Children",E232&lt;=30,"Young Adults",E232&lt;=45,"Middle-aged Adults",E232&gt;45,"Old Adults")</f>
        <v>Young Adults</v>
      </c>
    </row>
    <row r="233" spans="1:11" x14ac:dyDescent="0.45">
      <c r="A233" s="2">
        <v>263</v>
      </c>
      <c r="B233" s="2" t="s">
        <v>368</v>
      </c>
      <c r="C233" s="2" t="s">
        <v>85</v>
      </c>
      <c r="D233" s="2" t="s">
        <v>59</v>
      </c>
      <c r="E233" s="2">
        <v>22</v>
      </c>
      <c r="F233" s="2">
        <v>78</v>
      </c>
      <c r="G233" s="2">
        <v>173</v>
      </c>
      <c r="H233" s="9">
        <f t="shared" si="3"/>
        <v>26.061679307694877</v>
      </c>
      <c r="I233" s="2" t="str" cm="1">
        <f t="array" ref="I233">_xlfn.IFS(F233&gt;=100,"Over weight",F233&lt;100,"Average weight")</f>
        <v>Average weight</v>
      </c>
      <c r="J233" s="2" t="str" cm="1">
        <f t="array" ref="J233">_xlfn.IFS(G233&lt;164,"Below Average height",G233&gt;=165,"Above Average height",G233=164,"Average height")</f>
        <v>Above Average height</v>
      </c>
      <c r="K233" s="2" t="str" cm="1">
        <f t="array" ref="K233">_xlfn.IFS(E233&lt;=16,"Children",E233&lt;=30,"Young Adults",E233&lt;=45,"Middle-aged Adults",E233&gt;45,"Old Adults")</f>
        <v>Young Adults</v>
      </c>
    </row>
    <row r="234" spans="1:11" x14ac:dyDescent="0.45">
      <c r="A234" s="2">
        <v>266</v>
      </c>
      <c r="B234" s="2" t="s">
        <v>371</v>
      </c>
      <c r="C234" s="2" t="s">
        <v>91</v>
      </c>
      <c r="D234" s="2" t="s">
        <v>21</v>
      </c>
      <c r="E234" s="2">
        <v>34</v>
      </c>
      <c r="F234" s="2">
        <v>80</v>
      </c>
      <c r="G234" s="2">
        <v>181</v>
      </c>
      <c r="H234" s="9">
        <f t="shared" si="3"/>
        <v>24.419279020786909</v>
      </c>
      <c r="I234" s="2" t="str" cm="1">
        <f t="array" ref="I234">_xlfn.IFS(F234&gt;=100,"Over weight",F234&lt;100,"Average weight")</f>
        <v>Average weight</v>
      </c>
      <c r="J234" s="2" t="str" cm="1">
        <f t="array" ref="J234">_xlfn.IFS(G234&lt;164,"Below Average height",G234&gt;=165,"Above Average height",G234=164,"Average height")</f>
        <v>Above Average height</v>
      </c>
      <c r="K234" s="2" t="str" cm="1">
        <f t="array" ref="K234">_xlfn.IFS(E234&lt;=16,"Children",E234&lt;=30,"Young Adults",E234&lt;=45,"Middle-aged Adults",E234&gt;45,"Old Adults")</f>
        <v>Middle-aged Adults</v>
      </c>
    </row>
    <row r="235" spans="1:11" x14ac:dyDescent="0.45">
      <c r="A235" s="2">
        <v>268</v>
      </c>
      <c r="B235" s="2" t="s">
        <v>373</v>
      </c>
      <c r="C235" s="2" t="s">
        <v>87</v>
      </c>
      <c r="D235" s="2" t="s">
        <v>80</v>
      </c>
      <c r="E235" s="2">
        <v>16</v>
      </c>
      <c r="F235" s="2">
        <v>66</v>
      </c>
      <c r="G235" s="2">
        <v>170</v>
      </c>
      <c r="H235" s="9">
        <f t="shared" si="3"/>
        <v>22.837370242214536</v>
      </c>
      <c r="I235" s="2" t="str" cm="1">
        <f t="array" ref="I235">_xlfn.IFS(F235&gt;=100,"Over weight",F235&lt;100,"Average weight")</f>
        <v>Average weight</v>
      </c>
      <c r="J235" s="2" t="str" cm="1">
        <f t="array" ref="J235">_xlfn.IFS(G235&lt;164,"Below Average height",G235&gt;=165,"Above Average height",G235=164,"Average height")</f>
        <v>Above Average height</v>
      </c>
      <c r="K235" s="2" t="str" cm="1">
        <f t="array" ref="K235">_xlfn.IFS(E235&lt;=16,"Children",E235&lt;=30,"Young Adults",E235&lt;=45,"Middle-aged Adults",E235&gt;45,"Old Adults")</f>
        <v>Children</v>
      </c>
    </row>
    <row r="236" spans="1:11" x14ac:dyDescent="0.45">
      <c r="A236" s="2">
        <v>269</v>
      </c>
      <c r="B236" s="2" t="s">
        <v>374</v>
      </c>
      <c r="C236" s="2" t="s">
        <v>91</v>
      </c>
      <c r="D236" s="2" t="s">
        <v>80</v>
      </c>
      <c r="E236" s="2">
        <v>24</v>
      </c>
      <c r="F236" s="2">
        <v>85</v>
      </c>
      <c r="G236" s="2">
        <v>180</v>
      </c>
      <c r="H236" s="9">
        <f t="shared" si="3"/>
        <v>26.234567901234566</v>
      </c>
      <c r="I236" s="2" t="str" cm="1">
        <f t="array" ref="I236">_xlfn.IFS(F236&gt;=100,"Over weight",F236&lt;100,"Average weight")</f>
        <v>Average weight</v>
      </c>
      <c r="J236" s="2" t="str" cm="1">
        <f t="array" ref="J236">_xlfn.IFS(G236&lt;164,"Below Average height",G236&gt;=165,"Above Average height",G236=164,"Average height")</f>
        <v>Above Average height</v>
      </c>
      <c r="K236" s="2" t="str" cm="1">
        <f t="array" ref="K236">_xlfn.IFS(E236&lt;=16,"Children",E236&lt;=30,"Young Adults",E236&lt;=45,"Middle-aged Adults",E236&gt;45,"Old Adults")</f>
        <v>Young Adults</v>
      </c>
    </row>
    <row r="237" spans="1:11" x14ac:dyDescent="0.45">
      <c r="A237" s="2">
        <v>270</v>
      </c>
      <c r="B237" s="2" t="s">
        <v>375</v>
      </c>
      <c r="C237" s="2" t="s">
        <v>93</v>
      </c>
      <c r="D237" s="2" t="s">
        <v>14</v>
      </c>
      <c r="E237" s="2">
        <v>31</v>
      </c>
      <c r="F237" s="2">
        <v>74</v>
      </c>
      <c r="G237" s="2">
        <v>177</v>
      </c>
      <c r="H237" s="9">
        <f t="shared" si="3"/>
        <v>23.620287912158062</v>
      </c>
      <c r="I237" s="2" t="str" cm="1">
        <f t="array" ref="I237">_xlfn.IFS(F237&gt;=100,"Over weight",F237&lt;100,"Average weight")</f>
        <v>Average weight</v>
      </c>
      <c r="J237" s="2" t="str" cm="1">
        <f t="array" ref="J237">_xlfn.IFS(G237&lt;164,"Below Average height",G237&gt;=165,"Above Average height",G237=164,"Average height")</f>
        <v>Above Average height</v>
      </c>
      <c r="K237" s="2" t="str" cm="1">
        <f t="array" ref="K237">_xlfn.IFS(E237&lt;=16,"Children",E237&lt;=30,"Young Adults",E237&lt;=45,"Middle-aged Adults",E237&gt;45,"Old Adults")</f>
        <v>Middle-aged Adults</v>
      </c>
    </row>
    <row r="238" spans="1:11" x14ac:dyDescent="0.45">
      <c r="A238" s="2">
        <v>272</v>
      </c>
      <c r="B238" s="2" t="s">
        <v>377</v>
      </c>
      <c r="C238" s="2" t="s">
        <v>97</v>
      </c>
      <c r="D238" s="2" t="s">
        <v>80</v>
      </c>
      <c r="E238" s="2">
        <v>25</v>
      </c>
      <c r="F238" s="2">
        <v>59</v>
      </c>
      <c r="G238" s="2">
        <v>167</v>
      </c>
      <c r="H238" s="9">
        <f t="shared" si="3"/>
        <v>21.155294202015131</v>
      </c>
      <c r="I238" s="2" t="str" cm="1">
        <f t="array" ref="I238">_xlfn.IFS(F238&gt;=100,"Over weight",F238&lt;100,"Average weight")</f>
        <v>Average weight</v>
      </c>
      <c r="J238" s="2" t="str" cm="1">
        <f t="array" ref="J238">_xlfn.IFS(G238&lt;164,"Below Average height",G238&gt;=165,"Above Average height",G238=164,"Average height")</f>
        <v>Above Average height</v>
      </c>
      <c r="K238" s="2" t="str" cm="1">
        <f t="array" ref="K238">_xlfn.IFS(E238&lt;=16,"Children",E238&lt;=30,"Young Adults",E238&lt;=45,"Middle-aged Adults",E238&gt;45,"Old Adults")</f>
        <v>Young Adults</v>
      </c>
    </row>
    <row r="239" spans="1:11" x14ac:dyDescent="0.45">
      <c r="A239" s="2">
        <v>273</v>
      </c>
      <c r="B239" s="2" t="s">
        <v>378</v>
      </c>
      <c r="C239" s="2" t="s">
        <v>95</v>
      </c>
      <c r="D239" s="2" t="s">
        <v>5</v>
      </c>
      <c r="E239" s="2">
        <v>27</v>
      </c>
      <c r="F239" s="2">
        <v>72</v>
      </c>
      <c r="G239" s="2">
        <v>170</v>
      </c>
      <c r="H239" s="9">
        <f t="shared" si="3"/>
        <v>24.913494809688583</v>
      </c>
      <c r="I239" s="2" t="str" cm="1">
        <f t="array" ref="I239">_xlfn.IFS(F239&gt;=100,"Over weight",F239&lt;100,"Average weight")</f>
        <v>Average weight</v>
      </c>
      <c r="J239" s="2" t="str" cm="1">
        <f t="array" ref="J239">_xlfn.IFS(G239&lt;164,"Below Average height",G239&gt;=165,"Above Average height",G239=164,"Average height")</f>
        <v>Above Average height</v>
      </c>
      <c r="K239" s="2" t="str" cm="1">
        <f t="array" ref="K239">_xlfn.IFS(E239&lt;=16,"Children",E239&lt;=30,"Young Adults",E239&lt;=45,"Middle-aged Adults",E239&gt;45,"Old Adults")</f>
        <v>Young Adults</v>
      </c>
    </row>
    <row r="240" spans="1:11" x14ac:dyDescent="0.45">
      <c r="A240" s="2">
        <v>275</v>
      </c>
      <c r="B240" s="2" t="s">
        <v>380</v>
      </c>
      <c r="C240" s="2" t="s">
        <v>94</v>
      </c>
      <c r="D240" s="2" t="s">
        <v>62</v>
      </c>
      <c r="E240" s="2">
        <v>39</v>
      </c>
      <c r="F240" s="2">
        <v>75</v>
      </c>
      <c r="G240" s="2">
        <v>174</v>
      </c>
      <c r="H240" s="9">
        <f t="shared" si="3"/>
        <v>24.772096710265558</v>
      </c>
      <c r="I240" s="2" t="str" cm="1">
        <f t="array" ref="I240">_xlfn.IFS(F240&gt;=100,"Over weight",F240&lt;100,"Average weight")</f>
        <v>Average weight</v>
      </c>
      <c r="J240" s="2" t="str" cm="1">
        <f t="array" ref="J240">_xlfn.IFS(G240&lt;164,"Below Average height",G240&gt;=165,"Above Average height",G240=164,"Average height")</f>
        <v>Above Average height</v>
      </c>
      <c r="K240" s="2" t="str" cm="1">
        <f t="array" ref="K240">_xlfn.IFS(E240&lt;=16,"Children",E240&lt;=30,"Young Adults",E240&lt;=45,"Middle-aged Adults",E240&gt;45,"Old Adults")</f>
        <v>Middle-aged Adults</v>
      </c>
    </row>
    <row r="241" spans="1:11" x14ac:dyDescent="0.45">
      <c r="A241" s="2">
        <v>276</v>
      </c>
      <c r="B241" s="2" t="s">
        <v>381</v>
      </c>
      <c r="C241" s="2" t="s">
        <v>85</v>
      </c>
      <c r="D241" s="2" t="s">
        <v>67</v>
      </c>
      <c r="E241" s="2">
        <v>22</v>
      </c>
      <c r="F241" s="2">
        <v>75</v>
      </c>
      <c r="G241" s="2">
        <v>180</v>
      </c>
      <c r="H241" s="9">
        <f t="shared" si="3"/>
        <v>23.148148148148145</v>
      </c>
      <c r="I241" s="2" t="str" cm="1">
        <f t="array" ref="I241">_xlfn.IFS(F241&gt;=100,"Over weight",F241&lt;100,"Average weight")</f>
        <v>Average weight</v>
      </c>
      <c r="J241" s="2" t="str" cm="1">
        <f t="array" ref="J241">_xlfn.IFS(G241&lt;164,"Below Average height",G241&gt;=165,"Above Average height",G241=164,"Average height")</f>
        <v>Above Average height</v>
      </c>
      <c r="K241" s="2" t="str" cm="1">
        <f t="array" ref="K241">_xlfn.IFS(E241&lt;=16,"Children",E241&lt;=30,"Young Adults",E241&lt;=45,"Middle-aged Adults",E241&gt;45,"Old Adults")</f>
        <v>Young Adults</v>
      </c>
    </row>
    <row r="242" spans="1:11" x14ac:dyDescent="0.45">
      <c r="A242" s="2">
        <v>277</v>
      </c>
      <c r="B242" s="2" t="s">
        <v>382</v>
      </c>
      <c r="C242" s="2" t="s">
        <v>88</v>
      </c>
      <c r="D242" s="2" t="s">
        <v>26</v>
      </c>
      <c r="E242" s="2">
        <v>29</v>
      </c>
      <c r="F242" s="2">
        <v>63</v>
      </c>
      <c r="G242" s="2">
        <v>168</v>
      </c>
      <c r="H242" s="9">
        <f t="shared" si="3"/>
        <v>22.321428571428577</v>
      </c>
      <c r="I242" s="2" t="str" cm="1">
        <f t="array" ref="I242">_xlfn.IFS(F242&gt;=100,"Over weight",F242&lt;100,"Average weight")</f>
        <v>Average weight</v>
      </c>
      <c r="J242" s="2" t="str" cm="1">
        <f t="array" ref="J242">_xlfn.IFS(G242&lt;164,"Below Average height",G242&gt;=165,"Above Average height",G242=164,"Average height")</f>
        <v>Above Average height</v>
      </c>
      <c r="K242" s="2" t="str" cm="1">
        <f t="array" ref="K242">_xlfn.IFS(E242&lt;=16,"Children",E242&lt;=30,"Young Adults",E242&lt;=45,"Middle-aged Adults",E242&gt;45,"Old Adults")</f>
        <v>Young Adults</v>
      </c>
    </row>
    <row r="243" spans="1:11" x14ac:dyDescent="0.45">
      <c r="A243" s="2">
        <v>279</v>
      </c>
      <c r="B243" s="2" t="s">
        <v>384</v>
      </c>
      <c r="C243" s="2" t="s">
        <v>91</v>
      </c>
      <c r="D243" s="2" t="s">
        <v>70</v>
      </c>
      <c r="E243" s="2">
        <v>26</v>
      </c>
      <c r="F243" s="2">
        <v>68</v>
      </c>
      <c r="G243" s="2">
        <v>173</v>
      </c>
      <c r="H243" s="9">
        <f t="shared" si="3"/>
        <v>22.720438370810918</v>
      </c>
      <c r="I243" s="2" t="str" cm="1">
        <f t="array" ref="I243">_xlfn.IFS(F243&gt;=100,"Over weight",F243&lt;100,"Average weight")</f>
        <v>Average weight</v>
      </c>
      <c r="J243" s="2" t="str" cm="1">
        <f t="array" ref="J243">_xlfn.IFS(G243&lt;164,"Below Average height",G243&gt;=165,"Above Average height",G243=164,"Average height")</f>
        <v>Above Average height</v>
      </c>
      <c r="K243" s="2" t="str" cm="1">
        <f t="array" ref="K243">_xlfn.IFS(E243&lt;=16,"Children",E243&lt;=30,"Young Adults",E243&lt;=45,"Middle-aged Adults",E243&gt;45,"Old Adults")</f>
        <v>Young Adults</v>
      </c>
    </row>
    <row r="244" spans="1:11" x14ac:dyDescent="0.45">
      <c r="A244" s="2">
        <v>280</v>
      </c>
      <c r="B244" s="2" t="s">
        <v>385</v>
      </c>
      <c r="C244" s="2" t="s">
        <v>98</v>
      </c>
      <c r="D244" s="2" t="s">
        <v>80</v>
      </c>
      <c r="E244" s="2">
        <v>19</v>
      </c>
      <c r="F244" s="2">
        <v>64</v>
      </c>
      <c r="G244" s="2">
        <v>173</v>
      </c>
      <c r="H244" s="9">
        <f t="shared" si="3"/>
        <v>21.383941996057334</v>
      </c>
      <c r="I244" s="2" t="str" cm="1">
        <f t="array" ref="I244">_xlfn.IFS(F244&gt;=100,"Over weight",F244&lt;100,"Average weight")</f>
        <v>Average weight</v>
      </c>
      <c r="J244" s="2" t="str" cm="1">
        <f t="array" ref="J244">_xlfn.IFS(G244&lt;164,"Below Average height",G244&gt;=165,"Above Average height",G244=164,"Average height")</f>
        <v>Above Average height</v>
      </c>
      <c r="K244" s="2" t="str" cm="1">
        <f t="array" ref="K244">_xlfn.IFS(E244&lt;=16,"Children",E244&lt;=30,"Young Adults",E244&lt;=45,"Middle-aged Adults",E244&gt;45,"Old Adults")</f>
        <v>Young Adults</v>
      </c>
    </row>
    <row r="245" spans="1:11" x14ac:dyDescent="0.45">
      <c r="A245" s="2">
        <v>281</v>
      </c>
      <c r="B245" s="2" t="s">
        <v>386</v>
      </c>
      <c r="C245" s="2" t="s">
        <v>91</v>
      </c>
      <c r="D245" s="2" t="s">
        <v>21</v>
      </c>
      <c r="E245" s="2">
        <v>24</v>
      </c>
      <c r="F245" s="2">
        <v>85</v>
      </c>
      <c r="G245" s="2">
        <v>181</v>
      </c>
      <c r="H245" s="9">
        <f t="shared" si="3"/>
        <v>25.945483959586092</v>
      </c>
      <c r="I245" s="2" t="str" cm="1">
        <f t="array" ref="I245">_xlfn.IFS(F245&gt;=100,"Over weight",F245&lt;100,"Average weight")</f>
        <v>Average weight</v>
      </c>
      <c r="J245" s="2" t="str" cm="1">
        <f t="array" ref="J245">_xlfn.IFS(G245&lt;164,"Below Average height",G245&gt;=165,"Above Average height",G245=164,"Average height")</f>
        <v>Above Average height</v>
      </c>
      <c r="K245" s="2" t="str" cm="1">
        <f t="array" ref="K245">_xlfn.IFS(E245&lt;=16,"Children",E245&lt;=30,"Young Adults",E245&lt;=45,"Middle-aged Adults",E245&gt;45,"Old Adults")</f>
        <v>Young Adults</v>
      </c>
    </row>
    <row r="246" spans="1:11" x14ac:dyDescent="0.45">
      <c r="A246" s="2">
        <v>283</v>
      </c>
      <c r="B246" s="2" t="s">
        <v>388</v>
      </c>
      <c r="C246" s="2" t="s">
        <v>85</v>
      </c>
      <c r="D246" s="2" t="s">
        <v>47</v>
      </c>
      <c r="E246" s="2">
        <v>18</v>
      </c>
      <c r="F246" s="2">
        <v>56</v>
      </c>
      <c r="G246" s="2">
        <v>172</v>
      </c>
      <c r="H246" s="9">
        <f t="shared" si="3"/>
        <v>18.92915089237426</v>
      </c>
      <c r="I246" s="2" t="str" cm="1">
        <f t="array" ref="I246">_xlfn.IFS(F246&gt;=100,"Over weight",F246&lt;100,"Average weight")</f>
        <v>Average weight</v>
      </c>
      <c r="J246" s="2" t="str" cm="1">
        <f t="array" ref="J246">_xlfn.IFS(G246&lt;164,"Below Average height",G246&gt;=165,"Above Average height",G246=164,"Average height")</f>
        <v>Above Average height</v>
      </c>
      <c r="K246" s="2" t="str" cm="1">
        <f t="array" ref="K246">_xlfn.IFS(E246&lt;=16,"Children",E246&lt;=30,"Young Adults",E246&lt;=45,"Middle-aged Adults",E246&gt;45,"Old Adults")</f>
        <v>Young Adults</v>
      </c>
    </row>
    <row r="247" spans="1:11" x14ac:dyDescent="0.45">
      <c r="A247" s="2">
        <v>284</v>
      </c>
      <c r="B247" s="2" t="s">
        <v>389</v>
      </c>
      <c r="C247" s="2" t="s">
        <v>86</v>
      </c>
      <c r="D247" s="2" t="s">
        <v>14</v>
      </c>
      <c r="E247" s="2">
        <v>19</v>
      </c>
      <c r="F247" s="2">
        <v>49</v>
      </c>
      <c r="G247" s="2">
        <v>168</v>
      </c>
      <c r="H247" s="9">
        <f t="shared" si="3"/>
        <v>17.361111111111114</v>
      </c>
      <c r="I247" s="2" t="str" cm="1">
        <f t="array" ref="I247">_xlfn.IFS(F247&gt;=100,"Over weight",F247&lt;100,"Average weight")</f>
        <v>Average weight</v>
      </c>
      <c r="J247" s="2" t="str" cm="1">
        <f t="array" ref="J247">_xlfn.IFS(G247&lt;164,"Below Average height",G247&gt;=165,"Above Average height",G247=164,"Average height")</f>
        <v>Above Average height</v>
      </c>
      <c r="K247" s="2" t="str" cm="1">
        <f t="array" ref="K247">_xlfn.IFS(E247&lt;=16,"Children",E247&lt;=30,"Young Adults",E247&lt;=45,"Middle-aged Adults",E247&gt;45,"Old Adults")</f>
        <v>Young Adults</v>
      </c>
    </row>
    <row r="248" spans="1:11" x14ac:dyDescent="0.45">
      <c r="A248" s="2">
        <v>285</v>
      </c>
      <c r="B248" s="2" t="s">
        <v>390</v>
      </c>
      <c r="C248" s="2" t="s">
        <v>93</v>
      </c>
      <c r="D248" s="2" t="s">
        <v>26</v>
      </c>
      <c r="E248" s="2">
        <v>20</v>
      </c>
      <c r="F248" s="2">
        <v>63</v>
      </c>
      <c r="G248" s="2">
        <v>169</v>
      </c>
      <c r="H248" s="9">
        <f t="shared" si="3"/>
        <v>22.058051188683873</v>
      </c>
      <c r="I248" s="2" t="str" cm="1">
        <f t="array" ref="I248">_xlfn.IFS(F248&gt;=100,"Over weight",F248&lt;100,"Average weight")</f>
        <v>Average weight</v>
      </c>
      <c r="J248" s="2" t="str" cm="1">
        <f t="array" ref="J248">_xlfn.IFS(G248&lt;164,"Below Average height",G248&gt;=165,"Above Average height",G248=164,"Average height")</f>
        <v>Above Average height</v>
      </c>
      <c r="K248" s="2" t="str" cm="1">
        <f t="array" ref="K248">_xlfn.IFS(E248&lt;=16,"Children",E248&lt;=30,"Young Adults",E248&lt;=45,"Middle-aged Adults",E248&gt;45,"Old Adults")</f>
        <v>Young Adults</v>
      </c>
    </row>
    <row r="249" spans="1:11" x14ac:dyDescent="0.45">
      <c r="A249" s="2">
        <v>286</v>
      </c>
      <c r="B249" s="2" t="s">
        <v>391</v>
      </c>
      <c r="C249" s="2" t="s">
        <v>91</v>
      </c>
      <c r="D249" s="2" t="s">
        <v>70</v>
      </c>
      <c r="E249" s="2">
        <v>32</v>
      </c>
      <c r="F249" s="2">
        <v>115</v>
      </c>
      <c r="G249" s="2">
        <v>205</v>
      </c>
      <c r="H249" s="9">
        <f t="shared" si="3"/>
        <v>27.364663890541348</v>
      </c>
      <c r="I249" s="2" t="str" cm="1">
        <f t="array" ref="I249">_xlfn.IFS(F249&gt;=100,"Over weight",F249&lt;100,"Average weight")</f>
        <v>Over weight</v>
      </c>
      <c r="J249" s="2" t="str" cm="1">
        <f t="array" ref="J249">_xlfn.IFS(G249&lt;164,"Below Average height",G249&gt;=165,"Above Average height",G249=164,"Average height")</f>
        <v>Above Average height</v>
      </c>
      <c r="K249" s="2" t="str" cm="1">
        <f t="array" ref="K249">_xlfn.IFS(E249&lt;=16,"Children",E249&lt;=30,"Young Adults",E249&lt;=45,"Middle-aged Adults",E249&gt;45,"Old Adults")</f>
        <v>Middle-aged Adults</v>
      </c>
    </row>
    <row r="250" spans="1:11" x14ac:dyDescent="0.45">
      <c r="A250" s="2">
        <v>287</v>
      </c>
      <c r="B250" s="2" t="s">
        <v>392</v>
      </c>
      <c r="C250" s="2" t="s">
        <v>98</v>
      </c>
      <c r="D250" s="2" t="s">
        <v>26</v>
      </c>
      <c r="E250" s="2">
        <v>21</v>
      </c>
      <c r="F250" s="2">
        <v>65</v>
      </c>
      <c r="G250" s="2">
        <v>165</v>
      </c>
      <c r="H250" s="9">
        <f t="shared" si="3"/>
        <v>23.875114784205696</v>
      </c>
      <c r="I250" s="2" t="str" cm="1">
        <f t="array" ref="I250">_xlfn.IFS(F250&gt;=100,"Over weight",F250&lt;100,"Average weight")</f>
        <v>Average weight</v>
      </c>
      <c r="J250" s="2" t="str" cm="1">
        <f t="array" ref="J250">_xlfn.IFS(G250&lt;164,"Below Average height",G250&gt;=165,"Above Average height",G250=164,"Average height")</f>
        <v>Above Average height</v>
      </c>
      <c r="K250" s="2" t="str" cm="1">
        <f t="array" ref="K250">_xlfn.IFS(E250&lt;=16,"Children",E250&lt;=30,"Young Adults",E250&lt;=45,"Middle-aged Adults",E250&gt;45,"Old Adults")</f>
        <v>Young Adults</v>
      </c>
    </row>
    <row r="251" spans="1:11" x14ac:dyDescent="0.45">
      <c r="A251" s="2">
        <v>288</v>
      </c>
      <c r="B251" s="2" t="s">
        <v>393</v>
      </c>
      <c r="C251" s="2" t="s">
        <v>94</v>
      </c>
      <c r="D251" s="2" t="s">
        <v>42</v>
      </c>
      <c r="E251" s="2">
        <v>27</v>
      </c>
      <c r="F251" s="2">
        <v>73</v>
      </c>
      <c r="G251" s="2">
        <v>178</v>
      </c>
      <c r="H251" s="9">
        <f t="shared" si="3"/>
        <v>23.040020199469762</v>
      </c>
      <c r="I251" s="2" t="str" cm="1">
        <f t="array" ref="I251">_xlfn.IFS(F251&gt;=100,"Over weight",F251&lt;100,"Average weight")</f>
        <v>Average weight</v>
      </c>
      <c r="J251" s="2" t="str" cm="1">
        <f t="array" ref="J251">_xlfn.IFS(G251&lt;164,"Below Average height",G251&gt;=165,"Above Average height",G251=164,"Average height")</f>
        <v>Above Average height</v>
      </c>
      <c r="K251" s="2" t="str" cm="1">
        <f t="array" ref="K251">_xlfn.IFS(E251&lt;=16,"Children",E251&lt;=30,"Young Adults",E251&lt;=45,"Middle-aged Adults",E251&gt;45,"Old Adults")</f>
        <v>Young Adults</v>
      </c>
    </row>
    <row r="252" spans="1:11" x14ac:dyDescent="0.45">
      <c r="A252" s="2">
        <v>289</v>
      </c>
      <c r="B252" s="2" t="s">
        <v>394</v>
      </c>
      <c r="C252" s="2" t="s">
        <v>94</v>
      </c>
      <c r="D252" s="2" t="s">
        <v>39</v>
      </c>
      <c r="E252" s="2">
        <v>29</v>
      </c>
      <c r="F252" s="2">
        <v>75</v>
      </c>
      <c r="G252" s="2">
        <v>180</v>
      </c>
      <c r="H252" s="9">
        <f t="shared" si="3"/>
        <v>23.148148148148145</v>
      </c>
      <c r="I252" s="2" t="str" cm="1">
        <f t="array" ref="I252">_xlfn.IFS(F252&gt;=100,"Over weight",F252&lt;100,"Average weight")</f>
        <v>Average weight</v>
      </c>
      <c r="J252" s="2" t="str" cm="1">
        <f t="array" ref="J252">_xlfn.IFS(G252&lt;164,"Below Average height",G252&gt;=165,"Above Average height",G252=164,"Average height")</f>
        <v>Above Average height</v>
      </c>
      <c r="K252" s="2" t="str" cm="1">
        <f t="array" ref="K252">_xlfn.IFS(E252&lt;=16,"Children",E252&lt;=30,"Young Adults",E252&lt;=45,"Middle-aged Adults",E252&gt;45,"Old Adults")</f>
        <v>Young Adults</v>
      </c>
    </row>
    <row r="253" spans="1:11" x14ac:dyDescent="0.45">
      <c r="A253" s="2">
        <v>290</v>
      </c>
      <c r="B253" s="2" t="s">
        <v>395</v>
      </c>
      <c r="C253" s="2" t="s">
        <v>92</v>
      </c>
      <c r="D253" s="2" t="s">
        <v>26</v>
      </c>
      <c r="E253" s="2">
        <v>27</v>
      </c>
      <c r="F253" s="2">
        <v>67</v>
      </c>
      <c r="G253" s="2">
        <v>184</v>
      </c>
      <c r="H253" s="9">
        <f t="shared" si="3"/>
        <v>19.78969754253308</v>
      </c>
      <c r="I253" s="2" t="str" cm="1">
        <f t="array" ref="I253">_xlfn.IFS(F253&gt;=100,"Over weight",F253&lt;100,"Average weight")</f>
        <v>Average weight</v>
      </c>
      <c r="J253" s="2" t="str" cm="1">
        <f t="array" ref="J253">_xlfn.IFS(G253&lt;164,"Below Average height",G253&gt;=165,"Above Average height",G253=164,"Average height")</f>
        <v>Above Average height</v>
      </c>
      <c r="K253" s="2" t="str" cm="1">
        <f t="array" ref="K253">_xlfn.IFS(E253&lt;=16,"Children",E253&lt;=30,"Young Adults",E253&lt;=45,"Middle-aged Adults",E253&gt;45,"Old Adults")</f>
        <v>Young Adults</v>
      </c>
    </row>
    <row r="254" spans="1:11" x14ac:dyDescent="0.45">
      <c r="A254" s="2">
        <v>292</v>
      </c>
      <c r="B254" s="2" t="s">
        <v>397</v>
      </c>
      <c r="C254" s="2" t="s">
        <v>94</v>
      </c>
      <c r="D254" s="2" t="s">
        <v>42</v>
      </c>
      <c r="E254" s="2">
        <v>24</v>
      </c>
      <c r="F254" s="2">
        <v>69</v>
      </c>
      <c r="G254" s="2">
        <v>181</v>
      </c>
      <c r="H254" s="9">
        <f t="shared" si="3"/>
        <v>21.061628155428711</v>
      </c>
      <c r="I254" s="2" t="str" cm="1">
        <f t="array" ref="I254">_xlfn.IFS(F254&gt;=100,"Over weight",F254&lt;100,"Average weight")</f>
        <v>Average weight</v>
      </c>
      <c r="J254" s="2" t="str" cm="1">
        <f t="array" ref="J254">_xlfn.IFS(G254&lt;164,"Below Average height",G254&gt;=165,"Above Average height",G254=164,"Average height")</f>
        <v>Above Average height</v>
      </c>
      <c r="K254" s="2" t="str" cm="1">
        <f t="array" ref="K254">_xlfn.IFS(E254&lt;=16,"Children",E254&lt;=30,"Young Adults",E254&lt;=45,"Middle-aged Adults",E254&gt;45,"Old Adults")</f>
        <v>Young Adults</v>
      </c>
    </row>
    <row r="255" spans="1:11" x14ac:dyDescent="0.45">
      <c r="A255" s="2">
        <v>294</v>
      </c>
      <c r="B255" s="2" t="s">
        <v>399</v>
      </c>
      <c r="C255" s="2" t="s">
        <v>88</v>
      </c>
      <c r="D255" s="2" t="s">
        <v>42</v>
      </c>
      <c r="E255" s="2">
        <v>29</v>
      </c>
      <c r="F255" s="2">
        <v>80</v>
      </c>
      <c r="G255" s="2">
        <v>180</v>
      </c>
      <c r="H255" s="9">
        <f t="shared" si="3"/>
        <v>24.691358024691358</v>
      </c>
      <c r="I255" s="2" t="str" cm="1">
        <f t="array" ref="I255">_xlfn.IFS(F255&gt;=100,"Over weight",F255&lt;100,"Average weight")</f>
        <v>Average weight</v>
      </c>
      <c r="J255" s="2" t="str" cm="1">
        <f t="array" ref="J255">_xlfn.IFS(G255&lt;164,"Below Average height",G255&gt;=165,"Above Average height",G255=164,"Average height")</f>
        <v>Above Average height</v>
      </c>
      <c r="K255" s="2" t="str" cm="1">
        <f t="array" ref="K255">_xlfn.IFS(E255&lt;=16,"Children",E255&lt;=30,"Young Adults",E255&lt;=45,"Middle-aged Adults",E255&gt;45,"Old Adults")</f>
        <v>Young Adults</v>
      </c>
    </row>
    <row r="256" spans="1:11" x14ac:dyDescent="0.45">
      <c r="A256" s="2">
        <v>295</v>
      </c>
      <c r="B256" s="2" t="s">
        <v>400</v>
      </c>
      <c r="C256" s="2" t="s">
        <v>91</v>
      </c>
      <c r="D256" s="2" t="s">
        <v>80</v>
      </c>
      <c r="E256" s="2">
        <v>23</v>
      </c>
      <c r="F256" s="2">
        <v>66</v>
      </c>
      <c r="G256" s="2">
        <v>169</v>
      </c>
      <c r="H256" s="9">
        <f t="shared" si="3"/>
        <v>23.1084345786212</v>
      </c>
      <c r="I256" s="2" t="str" cm="1">
        <f t="array" ref="I256">_xlfn.IFS(F256&gt;=100,"Over weight",F256&lt;100,"Average weight")</f>
        <v>Average weight</v>
      </c>
      <c r="J256" s="2" t="str" cm="1">
        <f t="array" ref="J256">_xlfn.IFS(G256&lt;164,"Below Average height",G256&gt;=165,"Above Average height",G256=164,"Average height")</f>
        <v>Above Average height</v>
      </c>
      <c r="K256" s="2" t="str" cm="1">
        <f t="array" ref="K256">_xlfn.IFS(E256&lt;=16,"Children",E256&lt;=30,"Young Adults",E256&lt;=45,"Middle-aged Adults",E256&gt;45,"Old Adults")</f>
        <v>Young Adults</v>
      </c>
    </row>
    <row r="257" spans="1:11" x14ac:dyDescent="0.45">
      <c r="A257" s="2">
        <v>296</v>
      </c>
      <c r="B257" s="2" t="s">
        <v>401</v>
      </c>
      <c r="C257" s="2" t="s">
        <v>95</v>
      </c>
      <c r="D257" s="2" t="s">
        <v>65</v>
      </c>
      <c r="E257" s="2">
        <v>22</v>
      </c>
      <c r="F257" s="2">
        <v>85</v>
      </c>
      <c r="G257" s="2">
        <v>182</v>
      </c>
      <c r="H257" s="9">
        <f t="shared" si="3"/>
        <v>25.661152034778407</v>
      </c>
      <c r="I257" s="2" t="str" cm="1">
        <f t="array" ref="I257">_xlfn.IFS(F257&gt;=100,"Over weight",F257&lt;100,"Average weight")</f>
        <v>Average weight</v>
      </c>
      <c r="J257" s="2" t="str" cm="1">
        <f t="array" ref="J257">_xlfn.IFS(G257&lt;164,"Below Average height",G257&gt;=165,"Above Average height",G257=164,"Average height")</f>
        <v>Above Average height</v>
      </c>
      <c r="K257" s="2" t="str" cm="1">
        <f t="array" ref="K257">_xlfn.IFS(E257&lt;=16,"Children",E257&lt;=30,"Young Adults",E257&lt;=45,"Middle-aged Adults",E257&gt;45,"Old Adults")</f>
        <v>Young Adults</v>
      </c>
    </row>
    <row r="258" spans="1:11" x14ac:dyDescent="0.45">
      <c r="A258" s="2">
        <v>297</v>
      </c>
      <c r="B258" s="2" t="s">
        <v>402</v>
      </c>
      <c r="C258" s="2" t="s">
        <v>86</v>
      </c>
      <c r="D258" s="2" t="s">
        <v>14</v>
      </c>
      <c r="E258" s="2">
        <v>25</v>
      </c>
      <c r="F258" s="2">
        <v>49</v>
      </c>
      <c r="G258" s="2">
        <v>168</v>
      </c>
      <c r="H258" s="9">
        <f t="shared" ref="H258:H321" si="4" xml:space="preserve"> F258 / (( G258/ 100) ^ 2)</f>
        <v>17.361111111111114</v>
      </c>
      <c r="I258" s="2" t="str" cm="1">
        <f t="array" ref="I258">_xlfn.IFS(F258&gt;=100,"Over weight",F258&lt;100,"Average weight")</f>
        <v>Average weight</v>
      </c>
      <c r="J258" s="2" t="str" cm="1">
        <f t="array" ref="J258">_xlfn.IFS(G258&lt;164,"Below Average height",G258&gt;=165,"Above Average height",G258=164,"Average height")</f>
        <v>Above Average height</v>
      </c>
      <c r="K258" s="2" t="str" cm="1">
        <f t="array" ref="K258">_xlfn.IFS(E258&lt;=16,"Children",E258&lt;=30,"Young Adults",E258&lt;=45,"Middle-aged Adults",E258&gt;45,"Old Adults")</f>
        <v>Young Adults</v>
      </c>
    </row>
    <row r="259" spans="1:11" x14ac:dyDescent="0.45">
      <c r="A259" s="2">
        <v>298</v>
      </c>
      <c r="B259" s="2" t="s">
        <v>403</v>
      </c>
      <c r="C259" s="2" t="s">
        <v>95</v>
      </c>
      <c r="D259" s="2" t="s">
        <v>65</v>
      </c>
      <c r="E259" s="2">
        <v>22</v>
      </c>
      <c r="F259" s="2">
        <v>56</v>
      </c>
      <c r="G259" s="2">
        <v>167</v>
      </c>
      <c r="H259" s="9">
        <f t="shared" si="4"/>
        <v>20.07960127648894</v>
      </c>
      <c r="I259" s="2" t="str" cm="1">
        <f t="array" ref="I259">_xlfn.IFS(F259&gt;=100,"Over weight",F259&lt;100,"Average weight")</f>
        <v>Average weight</v>
      </c>
      <c r="J259" s="2" t="str" cm="1">
        <f t="array" ref="J259">_xlfn.IFS(G259&lt;164,"Below Average height",G259&gt;=165,"Above Average height",G259=164,"Average height")</f>
        <v>Above Average height</v>
      </c>
      <c r="K259" s="2" t="str" cm="1">
        <f t="array" ref="K259">_xlfn.IFS(E259&lt;=16,"Children",E259&lt;=30,"Young Adults",E259&lt;=45,"Middle-aged Adults",E259&gt;45,"Old Adults")</f>
        <v>Young Adults</v>
      </c>
    </row>
    <row r="260" spans="1:11" x14ac:dyDescent="0.45">
      <c r="A260" s="2">
        <v>299</v>
      </c>
      <c r="B260" s="2" t="s">
        <v>404</v>
      </c>
      <c r="C260" s="2" t="s">
        <v>85</v>
      </c>
      <c r="D260" s="2" t="s">
        <v>28</v>
      </c>
      <c r="E260" s="2">
        <v>24</v>
      </c>
      <c r="F260" s="2">
        <v>83</v>
      </c>
      <c r="G260" s="2">
        <v>187</v>
      </c>
      <c r="H260" s="9">
        <f t="shared" si="4"/>
        <v>23.735308416025617</v>
      </c>
      <c r="I260" s="2" t="str" cm="1">
        <f t="array" ref="I260">_xlfn.IFS(F260&gt;=100,"Over weight",F260&lt;100,"Average weight")</f>
        <v>Average weight</v>
      </c>
      <c r="J260" s="2" t="str" cm="1">
        <f t="array" ref="J260">_xlfn.IFS(G260&lt;164,"Below Average height",G260&gt;=165,"Above Average height",G260=164,"Average height")</f>
        <v>Above Average height</v>
      </c>
      <c r="K260" s="2" t="str" cm="1">
        <f t="array" ref="K260">_xlfn.IFS(E260&lt;=16,"Children",E260&lt;=30,"Young Adults",E260&lt;=45,"Middle-aged Adults",E260&gt;45,"Old Adults")</f>
        <v>Young Adults</v>
      </c>
    </row>
    <row r="261" spans="1:11" x14ac:dyDescent="0.45">
      <c r="A261" s="2">
        <v>300</v>
      </c>
      <c r="B261" s="2" t="s">
        <v>405</v>
      </c>
      <c r="C261" s="2" t="s">
        <v>89</v>
      </c>
      <c r="D261" s="2" t="s">
        <v>63</v>
      </c>
      <c r="E261" s="2">
        <v>26</v>
      </c>
      <c r="F261" s="2">
        <v>78</v>
      </c>
      <c r="G261" s="2">
        <v>181</v>
      </c>
      <c r="H261" s="9">
        <f t="shared" si="4"/>
        <v>23.808797045267237</v>
      </c>
      <c r="I261" s="2" t="str" cm="1">
        <f t="array" ref="I261">_xlfn.IFS(F261&gt;=100,"Over weight",F261&lt;100,"Average weight")</f>
        <v>Average weight</v>
      </c>
      <c r="J261" s="2" t="str" cm="1">
        <f t="array" ref="J261">_xlfn.IFS(G261&lt;164,"Below Average height",G261&gt;=165,"Above Average height",G261=164,"Average height")</f>
        <v>Above Average height</v>
      </c>
      <c r="K261" s="2" t="str" cm="1">
        <f t="array" ref="K261">_xlfn.IFS(E261&lt;=16,"Children",E261&lt;=30,"Young Adults",E261&lt;=45,"Middle-aged Adults",E261&gt;45,"Old Adults")</f>
        <v>Young Adults</v>
      </c>
    </row>
    <row r="262" spans="1:11" x14ac:dyDescent="0.45">
      <c r="A262" s="2">
        <v>301</v>
      </c>
      <c r="B262" s="2" t="s">
        <v>406</v>
      </c>
      <c r="C262" s="2" t="s">
        <v>98</v>
      </c>
      <c r="D262" s="2" t="s">
        <v>44</v>
      </c>
      <c r="E262" s="2">
        <v>23</v>
      </c>
      <c r="F262" s="2">
        <v>54</v>
      </c>
      <c r="G262" s="2">
        <v>167</v>
      </c>
      <c r="H262" s="9">
        <f t="shared" si="4"/>
        <v>19.362472659471475</v>
      </c>
      <c r="I262" s="2" t="str" cm="1">
        <f t="array" ref="I262">_xlfn.IFS(F262&gt;=100,"Over weight",F262&lt;100,"Average weight")</f>
        <v>Average weight</v>
      </c>
      <c r="J262" s="2" t="str" cm="1">
        <f t="array" ref="J262">_xlfn.IFS(G262&lt;164,"Below Average height",G262&gt;=165,"Above Average height",G262=164,"Average height")</f>
        <v>Above Average height</v>
      </c>
      <c r="K262" s="2" t="str" cm="1">
        <f t="array" ref="K262">_xlfn.IFS(E262&lt;=16,"Children",E262&lt;=30,"Young Adults",E262&lt;=45,"Middle-aged Adults",E262&gt;45,"Old Adults")</f>
        <v>Young Adults</v>
      </c>
    </row>
    <row r="263" spans="1:11" x14ac:dyDescent="0.45">
      <c r="A263" s="2">
        <v>302</v>
      </c>
      <c r="B263" s="2" t="s">
        <v>407</v>
      </c>
      <c r="C263" s="2" t="s">
        <v>100</v>
      </c>
      <c r="D263" s="2" t="s">
        <v>44</v>
      </c>
      <c r="E263" s="2">
        <v>31</v>
      </c>
      <c r="F263" s="2">
        <v>75</v>
      </c>
      <c r="G263" s="2">
        <v>173</v>
      </c>
      <c r="H263" s="9">
        <f t="shared" si="4"/>
        <v>25.059307026629689</v>
      </c>
      <c r="I263" s="2" t="str" cm="1">
        <f t="array" ref="I263">_xlfn.IFS(F263&gt;=100,"Over weight",F263&lt;100,"Average weight")</f>
        <v>Average weight</v>
      </c>
      <c r="J263" s="2" t="str" cm="1">
        <f t="array" ref="J263">_xlfn.IFS(G263&lt;164,"Below Average height",G263&gt;=165,"Above Average height",G263=164,"Average height")</f>
        <v>Above Average height</v>
      </c>
      <c r="K263" s="2" t="str" cm="1">
        <f t="array" ref="K263">_xlfn.IFS(E263&lt;=16,"Children",E263&lt;=30,"Young Adults",E263&lt;=45,"Middle-aged Adults",E263&gt;45,"Old Adults")</f>
        <v>Middle-aged Adults</v>
      </c>
    </row>
    <row r="264" spans="1:11" x14ac:dyDescent="0.45">
      <c r="A264" s="2">
        <v>303</v>
      </c>
      <c r="B264" s="2" t="s">
        <v>408</v>
      </c>
      <c r="C264" s="2" t="s">
        <v>98</v>
      </c>
      <c r="D264" s="2" t="s">
        <v>80</v>
      </c>
      <c r="E264" s="2">
        <v>18</v>
      </c>
      <c r="F264" s="2">
        <v>69</v>
      </c>
      <c r="G264" s="2">
        <v>183</v>
      </c>
      <c r="H264" s="9">
        <f t="shared" si="4"/>
        <v>20.603780345785182</v>
      </c>
      <c r="I264" s="2" t="str" cm="1">
        <f t="array" ref="I264">_xlfn.IFS(F264&gt;=100,"Over weight",F264&lt;100,"Average weight")</f>
        <v>Average weight</v>
      </c>
      <c r="J264" s="2" t="str" cm="1">
        <f t="array" ref="J264">_xlfn.IFS(G264&lt;164,"Below Average height",G264&gt;=165,"Above Average height",G264=164,"Average height")</f>
        <v>Above Average height</v>
      </c>
      <c r="K264" s="2" t="str" cm="1">
        <f t="array" ref="K264">_xlfn.IFS(E264&lt;=16,"Children",E264&lt;=30,"Young Adults",E264&lt;=45,"Middle-aged Adults",E264&gt;45,"Old Adults")</f>
        <v>Young Adults</v>
      </c>
    </row>
    <row r="265" spans="1:11" x14ac:dyDescent="0.45">
      <c r="A265" s="2">
        <v>304</v>
      </c>
      <c r="B265" s="2" t="s">
        <v>409</v>
      </c>
      <c r="C265" s="2" t="s">
        <v>92</v>
      </c>
      <c r="D265" s="2" t="s">
        <v>44</v>
      </c>
      <c r="E265" s="2">
        <v>28</v>
      </c>
      <c r="F265" s="2">
        <v>62</v>
      </c>
      <c r="G265" s="2">
        <v>174</v>
      </c>
      <c r="H265" s="9">
        <f t="shared" si="4"/>
        <v>20.478266613819528</v>
      </c>
      <c r="I265" s="2" t="str" cm="1">
        <f t="array" ref="I265">_xlfn.IFS(F265&gt;=100,"Over weight",F265&lt;100,"Average weight")</f>
        <v>Average weight</v>
      </c>
      <c r="J265" s="2" t="str" cm="1">
        <f t="array" ref="J265">_xlfn.IFS(G265&lt;164,"Below Average height",G265&gt;=165,"Above Average height",G265=164,"Average height")</f>
        <v>Above Average height</v>
      </c>
      <c r="K265" s="2" t="str" cm="1">
        <f t="array" ref="K265">_xlfn.IFS(E265&lt;=16,"Children",E265&lt;=30,"Young Adults",E265&lt;=45,"Middle-aged Adults",E265&gt;45,"Old Adults")</f>
        <v>Young Adults</v>
      </c>
    </row>
    <row r="266" spans="1:11" x14ac:dyDescent="0.45">
      <c r="A266" s="2">
        <v>305</v>
      </c>
      <c r="B266" s="2" t="s">
        <v>410</v>
      </c>
      <c r="C266" s="2" t="s">
        <v>98</v>
      </c>
      <c r="D266" s="2" t="s">
        <v>44</v>
      </c>
      <c r="E266" s="2">
        <v>19</v>
      </c>
      <c r="F266" s="2">
        <v>57</v>
      </c>
      <c r="G266" s="2">
        <v>167</v>
      </c>
      <c r="H266" s="9">
        <f t="shared" si="4"/>
        <v>20.43816558499767</v>
      </c>
      <c r="I266" s="2" t="str" cm="1">
        <f t="array" ref="I266">_xlfn.IFS(F266&gt;=100,"Over weight",F266&lt;100,"Average weight")</f>
        <v>Average weight</v>
      </c>
      <c r="J266" s="2" t="str" cm="1">
        <f t="array" ref="J266">_xlfn.IFS(G266&lt;164,"Below Average height",G266&gt;=165,"Above Average height",G266=164,"Average height")</f>
        <v>Above Average height</v>
      </c>
      <c r="K266" s="2" t="str" cm="1">
        <f t="array" ref="K266">_xlfn.IFS(E266&lt;=16,"Children",E266&lt;=30,"Young Adults",E266&lt;=45,"Middle-aged Adults",E266&gt;45,"Old Adults")</f>
        <v>Young Adults</v>
      </c>
    </row>
    <row r="267" spans="1:11" x14ac:dyDescent="0.45">
      <c r="A267" s="2">
        <v>307</v>
      </c>
      <c r="B267" s="2" t="s">
        <v>412</v>
      </c>
      <c r="C267" s="2" t="s">
        <v>89</v>
      </c>
      <c r="D267" s="2" t="s">
        <v>80</v>
      </c>
      <c r="E267" s="2">
        <v>21</v>
      </c>
      <c r="F267" s="2">
        <v>65</v>
      </c>
      <c r="G267" s="2">
        <v>173</v>
      </c>
      <c r="H267" s="9">
        <f t="shared" si="4"/>
        <v>21.718066089745729</v>
      </c>
      <c r="I267" s="2" t="str" cm="1">
        <f t="array" ref="I267">_xlfn.IFS(F267&gt;=100,"Over weight",F267&lt;100,"Average weight")</f>
        <v>Average weight</v>
      </c>
      <c r="J267" s="2" t="str" cm="1">
        <f t="array" ref="J267">_xlfn.IFS(G267&lt;164,"Below Average height",G267&gt;=165,"Above Average height",G267=164,"Average height")</f>
        <v>Above Average height</v>
      </c>
      <c r="K267" s="2" t="str" cm="1">
        <f t="array" ref="K267">_xlfn.IFS(E267&lt;=16,"Children",E267&lt;=30,"Young Adults",E267&lt;=45,"Middle-aged Adults",E267&gt;45,"Old Adults")</f>
        <v>Young Adults</v>
      </c>
    </row>
    <row r="268" spans="1:11" x14ac:dyDescent="0.45">
      <c r="A268" s="2">
        <v>310</v>
      </c>
      <c r="B268" s="2" t="s">
        <v>415</v>
      </c>
      <c r="C268" s="2" t="s">
        <v>95</v>
      </c>
      <c r="D268" s="2" t="s">
        <v>14</v>
      </c>
      <c r="E268" s="2">
        <v>27</v>
      </c>
      <c r="F268" s="2">
        <v>89</v>
      </c>
      <c r="G268" s="2">
        <v>183</v>
      </c>
      <c r="H268" s="9">
        <f t="shared" si="4"/>
        <v>26.575890590940304</v>
      </c>
      <c r="I268" s="2" t="str" cm="1">
        <f t="array" ref="I268">_xlfn.IFS(F268&gt;=100,"Over weight",F268&lt;100,"Average weight")</f>
        <v>Average weight</v>
      </c>
      <c r="J268" s="2" t="str" cm="1">
        <f t="array" ref="J268">_xlfn.IFS(G268&lt;164,"Below Average height",G268&gt;=165,"Above Average height",G268=164,"Average height")</f>
        <v>Above Average height</v>
      </c>
      <c r="K268" s="2" t="str" cm="1">
        <f t="array" ref="K268">_xlfn.IFS(E268&lt;=16,"Children",E268&lt;=30,"Young Adults",E268&lt;=45,"Middle-aged Adults",E268&gt;45,"Old Adults")</f>
        <v>Young Adults</v>
      </c>
    </row>
    <row r="269" spans="1:11" x14ac:dyDescent="0.45">
      <c r="A269" s="2">
        <v>311</v>
      </c>
      <c r="B269" s="2" t="s">
        <v>416</v>
      </c>
      <c r="C269" s="2" t="s">
        <v>86</v>
      </c>
      <c r="D269" s="2" t="s">
        <v>63</v>
      </c>
      <c r="E269" s="2">
        <v>22</v>
      </c>
      <c r="F269" s="2">
        <v>49</v>
      </c>
      <c r="G269" s="2">
        <v>180</v>
      </c>
      <c r="H269" s="9">
        <f t="shared" si="4"/>
        <v>15.123456790123456</v>
      </c>
      <c r="I269" s="2" t="str" cm="1">
        <f t="array" ref="I269">_xlfn.IFS(F269&gt;=100,"Over weight",F269&lt;100,"Average weight")</f>
        <v>Average weight</v>
      </c>
      <c r="J269" s="2" t="str" cm="1">
        <f t="array" ref="J269">_xlfn.IFS(G269&lt;164,"Below Average height",G269&gt;=165,"Above Average height",G269=164,"Average height")</f>
        <v>Above Average height</v>
      </c>
      <c r="K269" s="2" t="str" cm="1">
        <f t="array" ref="K269">_xlfn.IFS(E269&lt;=16,"Children",E269&lt;=30,"Young Adults",E269&lt;=45,"Middle-aged Adults",E269&gt;45,"Old Adults")</f>
        <v>Young Adults</v>
      </c>
    </row>
    <row r="270" spans="1:11" x14ac:dyDescent="0.45">
      <c r="A270" s="2">
        <v>312</v>
      </c>
      <c r="B270" s="2" t="s">
        <v>417</v>
      </c>
      <c r="C270" s="2" t="s">
        <v>91</v>
      </c>
      <c r="D270" s="2" t="s">
        <v>80</v>
      </c>
      <c r="E270" s="2">
        <v>27</v>
      </c>
      <c r="F270" s="2">
        <v>67</v>
      </c>
      <c r="G270" s="2">
        <v>174</v>
      </c>
      <c r="H270" s="9">
        <f t="shared" si="4"/>
        <v>22.129739727837229</v>
      </c>
      <c r="I270" s="2" t="str" cm="1">
        <f t="array" ref="I270">_xlfn.IFS(F270&gt;=100,"Over weight",F270&lt;100,"Average weight")</f>
        <v>Average weight</v>
      </c>
      <c r="J270" s="2" t="str" cm="1">
        <f t="array" ref="J270">_xlfn.IFS(G270&lt;164,"Below Average height",G270&gt;=165,"Above Average height",G270=164,"Average height")</f>
        <v>Above Average height</v>
      </c>
      <c r="K270" s="2" t="str" cm="1">
        <f t="array" ref="K270">_xlfn.IFS(E270&lt;=16,"Children",E270&lt;=30,"Young Adults",E270&lt;=45,"Middle-aged Adults",E270&gt;45,"Old Adults")</f>
        <v>Young Adults</v>
      </c>
    </row>
    <row r="271" spans="1:11" x14ac:dyDescent="0.45">
      <c r="A271" s="2">
        <v>313</v>
      </c>
      <c r="B271" s="2" t="s">
        <v>418</v>
      </c>
      <c r="C271" s="2" t="s">
        <v>100</v>
      </c>
      <c r="D271" s="2" t="s">
        <v>66</v>
      </c>
      <c r="E271" s="2">
        <v>26</v>
      </c>
      <c r="F271" s="2">
        <v>82</v>
      </c>
      <c r="G271" s="2">
        <v>185</v>
      </c>
      <c r="H271" s="9">
        <f t="shared" si="4"/>
        <v>23.959094229364496</v>
      </c>
      <c r="I271" s="2" t="str" cm="1">
        <f t="array" ref="I271">_xlfn.IFS(F271&gt;=100,"Over weight",F271&lt;100,"Average weight")</f>
        <v>Average weight</v>
      </c>
      <c r="J271" s="2" t="str" cm="1">
        <f t="array" ref="J271">_xlfn.IFS(G271&lt;164,"Below Average height",G271&gt;=165,"Above Average height",G271=164,"Average height")</f>
        <v>Above Average height</v>
      </c>
      <c r="K271" s="2" t="str" cm="1">
        <f t="array" ref="K271">_xlfn.IFS(E271&lt;=16,"Children",E271&lt;=30,"Young Adults",E271&lt;=45,"Middle-aged Adults",E271&gt;45,"Old Adults")</f>
        <v>Young Adults</v>
      </c>
    </row>
    <row r="272" spans="1:11" x14ac:dyDescent="0.45">
      <c r="A272" s="2">
        <v>314</v>
      </c>
      <c r="B272" s="2" t="s">
        <v>419</v>
      </c>
      <c r="C272" s="2" t="s">
        <v>94</v>
      </c>
      <c r="D272" s="2" t="s">
        <v>66</v>
      </c>
      <c r="E272" s="2">
        <v>23</v>
      </c>
      <c r="F272" s="2">
        <v>59</v>
      </c>
      <c r="G272" s="2">
        <v>170</v>
      </c>
      <c r="H272" s="9">
        <f t="shared" si="4"/>
        <v>20.415224913494811</v>
      </c>
      <c r="I272" s="2" t="str" cm="1">
        <f t="array" ref="I272">_xlfn.IFS(F272&gt;=100,"Over weight",F272&lt;100,"Average weight")</f>
        <v>Average weight</v>
      </c>
      <c r="J272" s="2" t="str" cm="1">
        <f t="array" ref="J272">_xlfn.IFS(G272&lt;164,"Below Average height",G272&gt;=165,"Above Average height",G272=164,"Average height")</f>
        <v>Above Average height</v>
      </c>
      <c r="K272" s="2" t="str" cm="1">
        <f t="array" ref="K272">_xlfn.IFS(E272&lt;=16,"Children",E272&lt;=30,"Young Adults",E272&lt;=45,"Middle-aged Adults",E272&gt;45,"Old Adults")</f>
        <v>Young Adults</v>
      </c>
    </row>
    <row r="273" spans="1:11" x14ac:dyDescent="0.45">
      <c r="A273" s="2">
        <v>315</v>
      </c>
      <c r="B273" s="2" t="s">
        <v>420</v>
      </c>
      <c r="C273" s="2" t="s">
        <v>93</v>
      </c>
      <c r="D273" s="2" t="s">
        <v>79</v>
      </c>
      <c r="E273" s="2">
        <v>19</v>
      </c>
      <c r="F273" s="2">
        <v>56</v>
      </c>
      <c r="G273" s="2">
        <v>166</v>
      </c>
      <c r="H273" s="9">
        <f t="shared" si="4"/>
        <v>20.322252866889244</v>
      </c>
      <c r="I273" s="2" t="str" cm="1">
        <f t="array" ref="I273">_xlfn.IFS(F273&gt;=100,"Over weight",F273&lt;100,"Average weight")</f>
        <v>Average weight</v>
      </c>
      <c r="J273" s="2" t="str" cm="1">
        <f t="array" ref="J273">_xlfn.IFS(G273&lt;164,"Below Average height",G273&gt;=165,"Above Average height",G273=164,"Average height")</f>
        <v>Above Average height</v>
      </c>
      <c r="K273" s="2" t="str" cm="1">
        <f t="array" ref="K273">_xlfn.IFS(E273&lt;=16,"Children",E273&lt;=30,"Young Adults",E273&lt;=45,"Middle-aged Adults",E273&gt;45,"Old Adults")</f>
        <v>Young Adults</v>
      </c>
    </row>
    <row r="274" spans="1:11" x14ac:dyDescent="0.45">
      <c r="A274" s="2">
        <v>316</v>
      </c>
      <c r="B274" s="2" t="s">
        <v>421</v>
      </c>
      <c r="C274" s="2" t="s">
        <v>97</v>
      </c>
      <c r="D274" s="2" t="s">
        <v>21</v>
      </c>
      <c r="E274" s="2">
        <v>32</v>
      </c>
      <c r="F274" s="2">
        <v>69</v>
      </c>
      <c r="G274" s="2">
        <v>179</v>
      </c>
      <c r="H274" s="9">
        <f t="shared" si="4"/>
        <v>21.534908398614277</v>
      </c>
      <c r="I274" s="2" t="str" cm="1">
        <f t="array" ref="I274">_xlfn.IFS(F274&gt;=100,"Over weight",F274&lt;100,"Average weight")</f>
        <v>Average weight</v>
      </c>
      <c r="J274" s="2" t="str" cm="1">
        <f t="array" ref="J274">_xlfn.IFS(G274&lt;164,"Below Average height",G274&gt;=165,"Above Average height",G274=164,"Average height")</f>
        <v>Above Average height</v>
      </c>
      <c r="K274" s="2" t="str" cm="1">
        <f t="array" ref="K274">_xlfn.IFS(E274&lt;=16,"Children",E274&lt;=30,"Young Adults",E274&lt;=45,"Middle-aged Adults",E274&gt;45,"Old Adults")</f>
        <v>Middle-aged Adults</v>
      </c>
    </row>
    <row r="275" spans="1:11" x14ac:dyDescent="0.45">
      <c r="A275" s="2">
        <v>318</v>
      </c>
      <c r="B275" s="2" t="s">
        <v>423</v>
      </c>
      <c r="C275" s="2" t="s">
        <v>91</v>
      </c>
      <c r="D275" s="2" t="s">
        <v>70</v>
      </c>
      <c r="E275" s="2">
        <v>29</v>
      </c>
      <c r="F275" s="2">
        <v>88</v>
      </c>
      <c r="G275" s="2">
        <v>185</v>
      </c>
      <c r="H275" s="9">
        <f t="shared" si="4"/>
        <v>25.712198685171657</v>
      </c>
      <c r="I275" s="2" t="str" cm="1">
        <f t="array" ref="I275">_xlfn.IFS(F275&gt;=100,"Over weight",F275&lt;100,"Average weight")</f>
        <v>Average weight</v>
      </c>
      <c r="J275" s="2" t="str" cm="1">
        <f t="array" ref="J275">_xlfn.IFS(G275&lt;164,"Below Average height",G275&gt;=165,"Above Average height",G275=164,"Average height")</f>
        <v>Above Average height</v>
      </c>
      <c r="K275" s="2" t="str" cm="1">
        <f t="array" ref="K275">_xlfn.IFS(E275&lt;=16,"Children",E275&lt;=30,"Young Adults",E275&lt;=45,"Middle-aged Adults",E275&gt;45,"Old Adults")</f>
        <v>Young Adults</v>
      </c>
    </row>
    <row r="276" spans="1:11" x14ac:dyDescent="0.45">
      <c r="A276" s="2">
        <v>319</v>
      </c>
      <c r="B276" s="2" t="s">
        <v>424</v>
      </c>
      <c r="C276" s="2" t="s">
        <v>92</v>
      </c>
      <c r="D276" s="2" t="s">
        <v>21</v>
      </c>
      <c r="E276" s="2">
        <v>22</v>
      </c>
      <c r="F276" s="2">
        <v>60</v>
      </c>
      <c r="G276" s="2">
        <v>176</v>
      </c>
      <c r="H276" s="9">
        <f t="shared" si="4"/>
        <v>19.369834710743802</v>
      </c>
      <c r="I276" s="2" t="str" cm="1">
        <f t="array" ref="I276">_xlfn.IFS(F276&gt;=100,"Over weight",F276&lt;100,"Average weight")</f>
        <v>Average weight</v>
      </c>
      <c r="J276" s="2" t="str" cm="1">
        <f t="array" ref="J276">_xlfn.IFS(G276&lt;164,"Below Average height",G276&gt;=165,"Above Average height",G276=164,"Average height")</f>
        <v>Above Average height</v>
      </c>
      <c r="K276" s="2" t="str" cm="1">
        <f t="array" ref="K276">_xlfn.IFS(E276&lt;=16,"Children",E276&lt;=30,"Young Adults",E276&lt;=45,"Middle-aged Adults",E276&gt;45,"Old Adults")</f>
        <v>Young Adults</v>
      </c>
    </row>
    <row r="277" spans="1:11" x14ac:dyDescent="0.45">
      <c r="A277" s="2">
        <v>320</v>
      </c>
      <c r="B277" s="2" t="s">
        <v>425</v>
      </c>
      <c r="C277" s="2" t="s">
        <v>91</v>
      </c>
      <c r="D277" s="2" t="s">
        <v>46</v>
      </c>
      <c r="E277" s="2">
        <v>29</v>
      </c>
      <c r="F277" s="2">
        <v>82</v>
      </c>
      <c r="G277" s="2">
        <v>181</v>
      </c>
      <c r="H277" s="9">
        <f t="shared" si="4"/>
        <v>25.029760996306585</v>
      </c>
      <c r="I277" s="2" t="str" cm="1">
        <f t="array" ref="I277">_xlfn.IFS(F277&gt;=100,"Over weight",F277&lt;100,"Average weight")</f>
        <v>Average weight</v>
      </c>
      <c r="J277" s="2" t="str" cm="1">
        <f t="array" ref="J277">_xlfn.IFS(G277&lt;164,"Below Average height",G277&gt;=165,"Above Average height",G277=164,"Average height")</f>
        <v>Above Average height</v>
      </c>
      <c r="K277" s="2" t="str" cm="1">
        <f t="array" ref="K277">_xlfn.IFS(E277&lt;=16,"Children",E277&lt;=30,"Young Adults",E277&lt;=45,"Middle-aged Adults",E277&gt;45,"Old Adults")</f>
        <v>Young Adults</v>
      </c>
    </row>
    <row r="278" spans="1:11" x14ac:dyDescent="0.45">
      <c r="A278" s="2">
        <v>321</v>
      </c>
      <c r="B278" s="2" t="s">
        <v>426</v>
      </c>
      <c r="C278" s="2" t="s">
        <v>94</v>
      </c>
      <c r="D278" s="2" t="s">
        <v>39</v>
      </c>
      <c r="E278" s="2">
        <v>27</v>
      </c>
      <c r="F278" s="2">
        <v>64</v>
      </c>
      <c r="G278" s="2">
        <v>174</v>
      </c>
      <c r="H278" s="9">
        <f t="shared" si="4"/>
        <v>21.138855859426609</v>
      </c>
      <c r="I278" s="2" t="str" cm="1">
        <f t="array" ref="I278">_xlfn.IFS(F278&gt;=100,"Over weight",F278&lt;100,"Average weight")</f>
        <v>Average weight</v>
      </c>
      <c r="J278" s="2" t="str" cm="1">
        <f t="array" ref="J278">_xlfn.IFS(G278&lt;164,"Below Average height",G278&gt;=165,"Above Average height",G278=164,"Average height")</f>
        <v>Above Average height</v>
      </c>
      <c r="K278" s="2" t="str" cm="1">
        <f t="array" ref="K278">_xlfn.IFS(E278&lt;=16,"Children",E278&lt;=30,"Young Adults",E278&lt;=45,"Middle-aged Adults",E278&gt;45,"Old Adults")</f>
        <v>Young Adults</v>
      </c>
    </row>
    <row r="279" spans="1:11" x14ac:dyDescent="0.45">
      <c r="A279" s="2">
        <v>322</v>
      </c>
      <c r="B279" s="2" t="s">
        <v>427</v>
      </c>
      <c r="C279" s="2" t="s">
        <v>85</v>
      </c>
      <c r="D279" s="2" t="s">
        <v>26</v>
      </c>
      <c r="E279" s="2">
        <v>29</v>
      </c>
      <c r="F279" s="2">
        <v>98</v>
      </c>
      <c r="G279" s="2">
        <v>191</v>
      </c>
      <c r="H279" s="9">
        <f t="shared" si="4"/>
        <v>26.863298703434666</v>
      </c>
      <c r="I279" s="2" t="str" cm="1">
        <f t="array" ref="I279">_xlfn.IFS(F279&gt;=100,"Over weight",F279&lt;100,"Average weight")</f>
        <v>Average weight</v>
      </c>
      <c r="J279" s="2" t="str" cm="1">
        <f t="array" ref="J279">_xlfn.IFS(G279&lt;164,"Below Average height",G279&gt;=165,"Above Average height",G279=164,"Average height")</f>
        <v>Above Average height</v>
      </c>
      <c r="K279" s="2" t="str" cm="1">
        <f t="array" ref="K279">_xlfn.IFS(E279&lt;=16,"Children",E279&lt;=30,"Young Adults",E279&lt;=45,"Middle-aged Adults",E279&gt;45,"Old Adults")</f>
        <v>Young Adults</v>
      </c>
    </row>
    <row r="280" spans="1:11" x14ac:dyDescent="0.45">
      <c r="A280" s="2">
        <v>324</v>
      </c>
      <c r="B280" s="2" t="s">
        <v>429</v>
      </c>
      <c r="C280" s="2" t="s">
        <v>93</v>
      </c>
      <c r="D280" s="2" t="s">
        <v>12</v>
      </c>
      <c r="E280" s="2">
        <v>33</v>
      </c>
      <c r="F280" s="2">
        <v>61</v>
      </c>
      <c r="G280" s="2">
        <v>168</v>
      </c>
      <c r="H280" s="9">
        <f t="shared" si="4"/>
        <v>21.612811791383223</v>
      </c>
      <c r="I280" s="2" t="str" cm="1">
        <f t="array" ref="I280">_xlfn.IFS(F280&gt;=100,"Over weight",F280&lt;100,"Average weight")</f>
        <v>Average weight</v>
      </c>
      <c r="J280" s="2" t="str" cm="1">
        <f t="array" ref="J280">_xlfn.IFS(G280&lt;164,"Below Average height",G280&gt;=165,"Above Average height",G280=164,"Average height")</f>
        <v>Above Average height</v>
      </c>
      <c r="K280" s="2" t="str" cm="1">
        <f t="array" ref="K280">_xlfn.IFS(E280&lt;=16,"Children",E280&lt;=30,"Young Adults",E280&lt;=45,"Middle-aged Adults",E280&gt;45,"Old Adults")</f>
        <v>Middle-aged Adults</v>
      </c>
    </row>
    <row r="281" spans="1:11" x14ac:dyDescent="0.45">
      <c r="A281" s="2">
        <v>325</v>
      </c>
      <c r="B281" s="2" t="s">
        <v>430</v>
      </c>
      <c r="C281" s="2" t="s">
        <v>88</v>
      </c>
      <c r="D281" s="2" t="s">
        <v>14</v>
      </c>
      <c r="E281" s="2">
        <v>32</v>
      </c>
      <c r="F281" s="2">
        <v>70</v>
      </c>
      <c r="G281" s="2">
        <v>175</v>
      </c>
      <c r="H281" s="9">
        <f t="shared" si="4"/>
        <v>22.857142857142858</v>
      </c>
      <c r="I281" s="2" t="str" cm="1">
        <f t="array" ref="I281">_xlfn.IFS(F281&gt;=100,"Over weight",F281&lt;100,"Average weight")</f>
        <v>Average weight</v>
      </c>
      <c r="J281" s="2" t="str" cm="1">
        <f t="array" ref="J281">_xlfn.IFS(G281&lt;164,"Below Average height",G281&gt;=165,"Above Average height",G281=164,"Average height")</f>
        <v>Above Average height</v>
      </c>
      <c r="K281" s="2" t="str" cm="1">
        <f t="array" ref="K281">_xlfn.IFS(E281&lt;=16,"Children",E281&lt;=30,"Young Adults",E281&lt;=45,"Middle-aged Adults",E281&gt;45,"Old Adults")</f>
        <v>Middle-aged Adults</v>
      </c>
    </row>
    <row r="282" spans="1:11" x14ac:dyDescent="0.45">
      <c r="A282" s="2">
        <v>326</v>
      </c>
      <c r="B282" s="2" t="s">
        <v>431</v>
      </c>
      <c r="C282" s="2" t="s">
        <v>95</v>
      </c>
      <c r="D282" s="2" t="s">
        <v>80</v>
      </c>
      <c r="E282" s="2">
        <v>24</v>
      </c>
      <c r="F282" s="2">
        <v>68</v>
      </c>
      <c r="G282" s="2">
        <v>175</v>
      </c>
      <c r="H282" s="9">
        <f t="shared" si="4"/>
        <v>22.204081632653061</v>
      </c>
      <c r="I282" s="2" t="str" cm="1">
        <f t="array" ref="I282">_xlfn.IFS(F282&gt;=100,"Over weight",F282&lt;100,"Average weight")</f>
        <v>Average weight</v>
      </c>
      <c r="J282" s="2" t="str" cm="1">
        <f t="array" ref="J282">_xlfn.IFS(G282&lt;164,"Below Average height",G282&gt;=165,"Above Average height",G282=164,"Average height")</f>
        <v>Above Average height</v>
      </c>
      <c r="K282" s="2" t="str" cm="1">
        <f t="array" ref="K282">_xlfn.IFS(E282&lt;=16,"Children",E282&lt;=30,"Young Adults",E282&lt;=45,"Middle-aged Adults",E282&gt;45,"Old Adults")</f>
        <v>Young Adults</v>
      </c>
    </row>
    <row r="283" spans="1:11" x14ac:dyDescent="0.45">
      <c r="A283" s="2">
        <v>327</v>
      </c>
      <c r="B283" s="2" t="s">
        <v>432</v>
      </c>
      <c r="C283" s="2" t="s">
        <v>85</v>
      </c>
      <c r="D283" s="2" t="s">
        <v>80</v>
      </c>
      <c r="E283" s="2">
        <v>28</v>
      </c>
      <c r="F283" s="2">
        <v>82</v>
      </c>
      <c r="G283" s="2">
        <v>183</v>
      </c>
      <c r="H283" s="9">
        <f t="shared" si="4"/>
        <v>24.485652005136011</v>
      </c>
      <c r="I283" s="2" t="str" cm="1">
        <f t="array" ref="I283">_xlfn.IFS(F283&gt;=100,"Over weight",F283&lt;100,"Average weight")</f>
        <v>Average weight</v>
      </c>
      <c r="J283" s="2" t="str" cm="1">
        <f t="array" ref="J283">_xlfn.IFS(G283&lt;164,"Below Average height",G283&gt;=165,"Above Average height",G283=164,"Average height")</f>
        <v>Above Average height</v>
      </c>
      <c r="K283" s="2" t="str" cm="1">
        <f t="array" ref="K283">_xlfn.IFS(E283&lt;=16,"Children",E283&lt;=30,"Young Adults",E283&lt;=45,"Middle-aged Adults",E283&gt;45,"Old Adults")</f>
        <v>Young Adults</v>
      </c>
    </row>
    <row r="284" spans="1:11" x14ac:dyDescent="0.45">
      <c r="A284" s="2">
        <v>328</v>
      </c>
      <c r="B284" s="2" t="s">
        <v>433</v>
      </c>
      <c r="C284" s="2" t="s">
        <v>95</v>
      </c>
      <c r="D284" s="2" t="s">
        <v>14</v>
      </c>
      <c r="E284" s="2">
        <v>25</v>
      </c>
      <c r="F284" s="2">
        <v>89</v>
      </c>
      <c r="G284" s="2">
        <v>181</v>
      </c>
      <c r="H284" s="9">
        <f t="shared" si="4"/>
        <v>27.16644791062544</v>
      </c>
      <c r="I284" s="2" t="str" cm="1">
        <f t="array" ref="I284">_xlfn.IFS(F284&gt;=100,"Over weight",F284&lt;100,"Average weight")</f>
        <v>Average weight</v>
      </c>
      <c r="J284" s="2" t="str" cm="1">
        <f t="array" ref="J284">_xlfn.IFS(G284&lt;164,"Below Average height",G284&gt;=165,"Above Average height",G284=164,"Average height")</f>
        <v>Above Average height</v>
      </c>
      <c r="K284" s="2" t="str" cm="1">
        <f t="array" ref="K284">_xlfn.IFS(E284&lt;=16,"Children",E284&lt;=30,"Young Adults",E284&lt;=45,"Middle-aged Adults",E284&gt;45,"Old Adults")</f>
        <v>Young Adults</v>
      </c>
    </row>
    <row r="285" spans="1:11" x14ac:dyDescent="0.45">
      <c r="A285" s="2">
        <v>329</v>
      </c>
      <c r="B285" s="2" t="s">
        <v>434</v>
      </c>
      <c r="C285" s="2" t="s">
        <v>88</v>
      </c>
      <c r="D285" s="2" t="s">
        <v>39</v>
      </c>
      <c r="E285" s="2">
        <v>25</v>
      </c>
      <c r="F285" s="2">
        <v>73</v>
      </c>
      <c r="G285" s="2">
        <v>178</v>
      </c>
      <c r="H285" s="9">
        <f t="shared" si="4"/>
        <v>23.040020199469762</v>
      </c>
      <c r="I285" s="2" t="str" cm="1">
        <f t="array" ref="I285">_xlfn.IFS(F285&gt;=100,"Over weight",F285&lt;100,"Average weight")</f>
        <v>Average weight</v>
      </c>
      <c r="J285" s="2" t="str" cm="1">
        <f t="array" ref="J285">_xlfn.IFS(G285&lt;164,"Below Average height",G285&gt;=165,"Above Average height",G285=164,"Average height")</f>
        <v>Above Average height</v>
      </c>
      <c r="K285" s="2" t="str" cm="1">
        <f t="array" ref="K285">_xlfn.IFS(E285&lt;=16,"Children",E285&lt;=30,"Young Adults",E285&lt;=45,"Middle-aged Adults",E285&gt;45,"Old Adults")</f>
        <v>Young Adults</v>
      </c>
    </row>
    <row r="286" spans="1:11" x14ac:dyDescent="0.45">
      <c r="A286" s="2">
        <v>330</v>
      </c>
      <c r="B286" s="2" t="s">
        <v>435</v>
      </c>
      <c r="C286" s="2" t="s">
        <v>87</v>
      </c>
      <c r="D286" s="2" t="s">
        <v>26</v>
      </c>
      <c r="E286" s="2">
        <v>26</v>
      </c>
      <c r="F286" s="2">
        <v>73</v>
      </c>
      <c r="G286" s="2">
        <v>176</v>
      </c>
      <c r="H286" s="9">
        <f t="shared" si="4"/>
        <v>23.566632231404959</v>
      </c>
      <c r="I286" s="2" t="str" cm="1">
        <f t="array" ref="I286">_xlfn.IFS(F286&gt;=100,"Over weight",F286&lt;100,"Average weight")</f>
        <v>Average weight</v>
      </c>
      <c r="J286" s="2" t="str" cm="1">
        <f t="array" ref="J286">_xlfn.IFS(G286&lt;164,"Below Average height",G286&gt;=165,"Above Average height",G286=164,"Average height")</f>
        <v>Above Average height</v>
      </c>
      <c r="K286" s="2" t="str" cm="1">
        <f t="array" ref="K286">_xlfn.IFS(E286&lt;=16,"Children",E286&lt;=30,"Young Adults",E286&lt;=45,"Middle-aged Adults",E286&gt;45,"Old Adults")</f>
        <v>Young Adults</v>
      </c>
    </row>
    <row r="287" spans="1:11" x14ac:dyDescent="0.45">
      <c r="A287" s="2">
        <v>332</v>
      </c>
      <c r="B287" s="2" t="s">
        <v>437</v>
      </c>
      <c r="C287" s="2" t="s">
        <v>92</v>
      </c>
      <c r="D287" s="2" t="s">
        <v>39</v>
      </c>
      <c r="E287" s="2">
        <v>22</v>
      </c>
      <c r="F287" s="2">
        <v>65</v>
      </c>
      <c r="G287" s="2">
        <v>176</v>
      </c>
      <c r="H287" s="9">
        <f t="shared" si="4"/>
        <v>20.983987603305785</v>
      </c>
      <c r="I287" s="2" t="str" cm="1">
        <f t="array" ref="I287">_xlfn.IFS(F287&gt;=100,"Over weight",F287&lt;100,"Average weight")</f>
        <v>Average weight</v>
      </c>
      <c r="J287" s="2" t="str" cm="1">
        <f t="array" ref="J287">_xlfn.IFS(G287&lt;164,"Below Average height",G287&gt;=165,"Above Average height",G287=164,"Average height")</f>
        <v>Above Average height</v>
      </c>
      <c r="K287" s="2" t="str" cm="1">
        <f t="array" ref="K287">_xlfn.IFS(E287&lt;=16,"Children",E287&lt;=30,"Young Adults",E287&lt;=45,"Middle-aged Adults",E287&gt;45,"Old Adults")</f>
        <v>Young Adults</v>
      </c>
    </row>
    <row r="288" spans="1:11" x14ac:dyDescent="0.45">
      <c r="A288" s="2">
        <v>333</v>
      </c>
      <c r="B288" s="2" t="s">
        <v>438</v>
      </c>
      <c r="C288" s="2" t="s">
        <v>94</v>
      </c>
      <c r="D288" s="2" t="s">
        <v>75</v>
      </c>
      <c r="E288" s="2">
        <v>23</v>
      </c>
      <c r="F288" s="2">
        <v>74</v>
      </c>
      <c r="G288" s="2">
        <v>179</v>
      </c>
      <c r="H288" s="9">
        <f t="shared" si="4"/>
        <v>23.095409007209515</v>
      </c>
      <c r="I288" s="2" t="str" cm="1">
        <f t="array" ref="I288">_xlfn.IFS(F288&gt;=100,"Over weight",F288&lt;100,"Average weight")</f>
        <v>Average weight</v>
      </c>
      <c r="J288" s="2" t="str" cm="1">
        <f t="array" ref="J288">_xlfn.IFS(G288&lt;164,"Below Average height",G288&gt;=165,"Above Average height",G288=164,"Average height")</f>
        <v>Above Average height</v>
      </c>
      <c r="K288" s="2" t="str" cm="1">
        <f t="array" ref="K288">_xlfn.IFS(E288&lt;=16,"Children",E288&lt;=30,"Young Adults",E288&lt;=45,"Middle-aged Adults",E288&gt;45,"Old Adults")</f>
        <v>Young Adults</v>
      </c>
    </row>
    <row r="289" spans="1:11" x14ac:dyDescent="0.45">
      <c r="A289" s="2">
        <v>334</v>
      </c>
      <c r="B289" s="2" t="s">
        <v>439</v>
      </c>
      <c r="C289" s="2" t="s">
        <v>94</v>
      </c>
      <c r="D289" s="2" t="s">
        <v>80</v>
      </c>
      <c r="E289" s="2">
        <v>29</v>
      </c>
      <c r="F289" s="2">
        <v>57</v>
      </c>
      <c r="G289" s="2">
        <v>165</v>
      </c>
      <c r="H289" s="9">
        <f t="shared" si="4"/>
        <v>20.936639118457304</v>
      </c>
      <c r="I289" s="2" t="str" cm="1">
        <f t="array" ref="I289">_xlfn.IFS(F289&gt;=100,"Over weight",F289&lt;100,"Average weight")</f>
        <v>Average weight</v>
      </c>
      <c r="J289" s="2" t="str" cm="1">
        <f t="array" ref="J289">_xlfn.IFS(G289&lt;164,"Below Average height",G289&gt;=165,"Above Average height",G289=164,"Average height")</f>
        <v>Above Average height</v>
      </c>
      <c r="K289" s="2" t="str" cm="1">
        <f t="array" ref="K289">_xlfn.IFS(E289&lt;=16,"Children",E289&lt;=30,"Young Adults",E289&lt;=45,"Middle-aged Adults",E289&gt;45,"Old Adults")</f>
        <v>Young Adults</v>
      </c>
    </row>
    <row r="290" spans="1:11" x14ac:dyDescent="0.45">
      <c r="A290" s="2">
        <v>335</v>
      </c>
      <c r="B290" s="2" t="s">
        <v>440</v>
      </c>
      <c r="C290" s="2" t="s">
        <v>90</v>
      </c>
      <c r="D290" s="2" t="s">
        <v>30</v>
      </c>
      <c r="E290" s="2">
        <v>35</v>
      </c>
      <c r="F290" s="2">
        <v>85</v>
      </c>
      <c r="G290" s="2">
        <v>178</v>
      </c>
      <c r="H290" s="9">
        <f t="shared" si="4"/>
        <v>26.82742078020452</v>
      </c>
      <c r="I290" s="2" t="str" cm="1">
        <f t="array" ref="I290">_xlfn.IFS(F290&gt;=100,"Over weight",F290&lt;100,"Average weight")</f>
        <v>Average weight</v>
      </c>
      <c r="J290" s="2" t="str" cm="1">
        <f t="array" ref="J290">_xlfn.IFS(G290&lt;164,"Below Average height",G290&gt;=165,"Above Average height",G290=164,"Average height")</f>
        <v>Above Average height</v>
      </c>
      <c r="K290" s="2" t="str" cm="1">
        <f t="array" ref="K290">_xlfn.IFS(E290&lt;=16,"Children",E290&lt;=30,"Young Adults",E290&lt;=45,"Middle-aged Adults",E290&gt;45,"Old Adults")</f>
        <v>Middle-aged Adults</v>
      </c>
    </row>
    <row r="291" spans="1:11" x14ac:dyDescent="0.45">
      <c r="A291" s="2">
        <v>336</v>
      </c>
      <c r="B291" s="2" t="s">
        <v>441</v>
      </c>
      <c r="C291" s="2" t="s">
        <v>94</v>
      </c>
      <c r="D291" s="2" t="s">
        <v>39</v>
      </c>
      <c r="E291" s="2">
        <v>34</v>
      </c>
      <c r="F291" s="2">
        <v>53</v>
      </c>
      <c r="G291" s="2">
        <v>170</v>
      </c>
      <c r="H291" s="9">
        <f t="shared" si="4"/>
        <v>18.339100346020764</v>
      </c>
      <c r="I291" s="2" t="str" cm="1">
        <f t="array" ref="I291">_xlfn.IFS(F291&gt;=100,"Over weight",F291&lt;100,"Average weight")</f>
        <v>Average weight</v>
      </c>
      <c r="J291" s="2" t="str" cm="1">
        <f t="array" ref="J291">_xlfn.IFS(G291&lt;164,"Below Average height",G291&gt;=165,"Above Average height",G291=164,"Average height")</f>
        <v>Above Average height</v>
      </c>
      <c r="K291" s="2" t="str" cm="1">
        <f t="array" ref="K291">_xlfn.IFS(E291&lt;=16,"Children",E291&lt;=30,"Young Adults",E291&lt;=45,"Middle-aged Adults",E291&gt;45,"Old Adults")</f>
        <v>Middle-aged Adults</v>
      </c>
    </row>
    <row r="292" spans="1:11" x14ac:dyDescent="0.45">
      <c r="A292" s="2">
        <v>337</v>
      </c>
      <c r="B292" s="2" t="s">
        <v>442</v>
      </c>
      <c r="C292" s="2" t="s">
        <v>98</v>
      </c>
      <c r="D292" s="2" t="s">
        <v>39</v>
      </c>
      <c r="E292" s="2">
        <v>23</v>
      </c>
      <c r="F292" s="2">
        <v>68</v>
      </c>
      <c r="G292" s="2">
        <v>169</v>
      </c>
      <c r="H292" s="9">
        <f t="shared" si="4"/>
        <v>23.808690171912751</v>
      </c>
      <c r="I292" s="2" t="str" cm="1">
        <f t="array" ref="I292">_xlfn.IFS(F292&gt;=100,"Over weight",F292&lt;100,"Average weight")</f>
        <v>Average weight</v>
      </c>
      <c r="J292" s="2" t="str" cm="1">
        <f t="array" ref="J292">_xlfn.IFS(G292&lt;164,"Below Average height",G292&gt;=165,"Above Average height",G292=164,"Average height")</f>
        <v>Above Average height</v>
      </c>
      <c r="K292" s="2" t="str" cm="1">
        <f t="array" ref="K292">_xlfn.IFS(E292&lt;=16,"Children",E292&lt;=30,"Young Adults",E292&lt;=45,"Middle-aged Adults",E292&gt;45,"Old Adults")</f>
        <v>Young Adults</v>
      </c>
    </row>
    <row r="293" spans="1:11" x14ac:dyDescent="0.45">
      <c r="A293" s="2">
        <v>338</v>
      </c>
      <c r="B293" s="2" t="s">
        <v>443</v>
      </c>
      <c r="C293" s="2" t="s">
        <v>96</v>
      </c>
      <c r="D293" s="2" t="s">
        <v>30</v>
      </c>
      <c r="E293" s="2">
        <v>40</v>
      </c>
      <c r="F293" s="2">
        <v>49</v>
      </c>
      <c r="G293" s="2">
        <v>178</v>
      </c>
      <c r="H293" s="9">
        <f t="shared" si="4"/>
        <v>15.465219038000251</v>
      </c>
      <c r="I293" s="2" t="str" cm="1">
        <f t="array" ref="I293">_xlfn.IFS(F293&gt;=100,"Over weight",F293&lt;100,"Average weight")</f>
        <v>Average weight</v>
      </c>
      <c r="J293" s="2" t="str" cm="1">
        <f t="array" ref="J293">_xlfn.IFS(G293&lt;164,"Below Average height",G293&gt;=165,"Above Average height",G293=164,"Average height")</f>
        <v>Above Average height</v>
      </c>
      <c r="K293" s="2" t="str" cm="1">
        <f t="array" ref="K293">_xlfn.IFS(E293&lt;=16,"Children",E293&lt;=30,"Young Adults",E293&lt;=45,"Middle-aged Adults",E293&gt;45,"Old Adults")</f>
        <v>Middle-aged Adults</v>
      </c>
    </row>
    <row r="294" spans="1:11" x14ac:dyDescent="0.45">
      <c r="A294" s="2">
        <v>340</v>
      </c>
      <c r="B294" s="2" t="s">
        <v>445</v>
      </c>
      <c r="C294" s="2" t="s">
        <v>86</v>
      </c>
      <c r="D294" s="2" t="s">
        <v>39</v>
      </c>
      <c r="E294" s="2">
        <v>26</v>
      </c>
      <c r="F294" s="2">
        <v>49</v>
      </c>
      <c r="G294" s="2">
        <v>181</v>
      </c>
      <c r="H294" s="9">
        <f t="shared" si="4"/>
        <v>14.956808400231983</v>
      </c>
      <c r="I294" s="2" t="str" cm="1">
        <f t="array" ref="I294">_xlfn.IFS(F294&gt;=100,"Over weight",F294&lt;100,"Average weight")</f>
        <v>Average weight</v>
      </c>
      <c r="J294" s="2" t="str" cm="1">
        <f t="array" ref="J294">_xlfn.IFS(G294&lt;164,"Below Average height",G294&gt;=165,"Above Average height",G294=164,"Average height")</f>
        <v>Above Average height</v>
      </c>
      <c r="K294" s="2" t="str" cm="1">
        <f t="array" ref="K294">_xlfn.IFS(E294&lt;=16,"Children",E294&lt;=30,"Young Adults",E294&lt;=45,"Middle-aged Adults",E294&gt;45,"Old Adults")</f>
        <v>Young Adults</v>
      </c>
    </row>
    <row r="295" spans="1:11" x14ac:dyDescent="0.45">
      <c r="A295" s="2">
        <v>341</v>
      </c>
      <c r="B295" s="2" t="s">
        <v>446</v>
      </c>
      <c r="C295" s="2" t="s">
        <v>89</v>
      </c>
      <c r="D295" s="2" t="s">
        <v>26</v>
      </c>
      <c r="E295" s="2">
        <v>23</v>
      </c>
      <c r="F295" s="2">
        <v>73</v>
      </c>
      <c r="G295" s="2">
        <v>182</v>
      </c>
      <c r="H295" s="9">
        <f t="shared" si="4"/>
        <v>22.03840115928028</v>
      </c>
      <c r="I295" s="2" t="str" cm="1">
        <f t="array" ref="I295">_xlfn.IFS(F295&gt;=100,"Over weight",F295&lt;100,"Average weight")</f>
        <v>Average weight</v>
      </c>
      <c r="J295" s="2" t="str" cm="1">
        <f t="array" ref="J295">_xlfn.IFS(G295&lt;164,"Below Average height",G295&gt;=165,"Above Average height",G295=164,"Average height")</f>
        <v>Above Average height</v>
      </c>
      <c r="K295" s="2" t="str" cm="1">
        <f t="array" ref="K295">_xlfn.IFS(E295&lt;=16,"Children",E295&lt;=30,"Young Adults",E295&lt;=45,"Middle-aged Adults",E295&gt;45,"Old Adults")</f>
        <v>Young Adults</v>
      </c>
    </row>
    <row r="296" spans="1:11" x14ac:dyDescent="0.45">
      <c r="A296" s="2">
        <v>344</v>
      </c>
      <c r="B296" s="2" t="s">
        <v>449</v>
      </c>
      <c r="C296" s="2" t="s">
        <v>90</v>
      </c>
      <c r="D296" s="2" t="s">
        <v>30</v>
      </c>
      <c r="E296" s="2">
        <v>27</v>
      </c>
      <c r="F296" s="2">
        <v>70</v>
      </c>
      <c r="G296" s="2">
        <v>173</v>
      </c>
      <c r="H296" s="9">
        <f t="shared" si="4"/>
        <v>23.388686558187711</v>
      </c>
      <c r="I296" s="2" t="str" cm="1">
        <f t="array" ref="I296">_xlfn.IFS(F296&gt;=100,"Over weight",F296&lt;100,"Average weight")</f>
        <v>Average weight</v>
      </c>
      <c r="J296" s="2" t="str" cm="1">
        <f t="array" ref="J296">_xlfn.IFS(G296&lt;164,"Below Average height",G296&gt;=165,"Above Average height",G296=164,"Average height")</f>
        <v>Above Average height</v>
      </c>
      <c r="K296" s="2" t="str" cm="1">
        <f t="array" ref="K296">_xlfn.IFS(E296&lt;=16,"Children",E296&lt;=30,"Young Adults",E296&lt;=45,"Middle-aged Adults",E296&gt;45,"Old Adults")</f>
        <v>Young Adults</v>
      </c>
    </row>
    <row r="297" spans="1:11" x14ac:dyDescent="0.45">
      <c r="A297" s="2">
        <v>346</v>
      </c>
      <c r="B297" s="2" t="s">
        <v>451</v>
      </c>
      <c r="C297" s="2" t="s">
        <v>87</v>
      </c>
      <c r="D297" s="2" t="s">
        <v>5</v>
      </c>
      <c r="E297" s="2">
        <v>37</v>
      </c>
      <c r="F297" s="2">
        <v>65</v>
      </c>
      <c r="G297" s="2">
        <v>175</v>
      </c>
      <c r="H297" s="9">
        <f t="shared" si="4"/>
        <v>21.224489795918366</v>
      </c>
      <c r="I297" s="2" t="str" cm="1">
        <f t="array" ref="I297">_xlfn.IFS(F297&gt;=100,"Over weight",F297&lt;100,"Average weight")</f>
        <v>Average weight</v>
      </c>
      <c r="J297" s="2" t="str" cm="1">
        <f t="array" ref="J297">_xlfn.IFS(G297&lt;164,"Below Average height",G297&gt;=165,"Above Average height",G297=164,"Average height")</f>
        <v>Above Average height</v>
      </c>
      <c r="K297" s="2" t="str" cm="1">
        <f t="array" ref="K297">_xlfn.IFS(E297&lt;=16,"Children",E297&lt;=30,"Young Adults",E297&lt;=45,"Middle-aged Adults",E297&gt;45,"Old Adults")</f>
        <v>Middle-aged Adults</v>
      </c>
    </row>
    <row r="298" spans="1:11" x14ac:dyDescent="0.45">
      <c r="A298" s="2">
        <v>347</v>
      </c>
      <c r="B298" s="2" t="s">
        <v>452</v>
      </c>
      <c r="C298" s="2" t="s">
        <v>87</v>
      </c>
      <c r="D298" s="2" t="s">
        <v>5</v>
      </c>
      <c r="E298" s="2">
        <v>21</v>
      </c>
      <c r="F298" s="2">
        <v>78</v>
      </c>
      <c r="G298" s="2">
        <v>177</v>
      </c>
      <c r="H298" s="9">
        <f t="shared" si="4"/>
        <v>24.897060231734173</v>
      </c>
      <c r="I298" s="2" t="str" cm="1">
        <f t="array" ref="I298">_xlfn.IFS(F298&gt;=100,"Over weight",F298&lt;100,"Average weight")</f>
        <v>Average weight</v>
      </c>
      <c r="J298" s="2" t="str" cm="1">
        <f t="array" ref="J298">_xlfn.IFS(G298&lt;164,"Below Average height",G298&gt;=165,"Above Average height",G298=164,"Average height")</f>
        <v>Above Average height</v>
      </c>
      <c r="K298" s="2" t="str" cm="1">
        <f t="array" ref="K298">_xlfn.IFS(E298&lt;=16,"Children",E298&lt;=30,"Young Adults",E298&lt;=45,"Middle-aged Adults",E298&gt;45,"Old Adults")</f>
        <v>Young Adults</v>
      </c>
    </row>
    <row r="299" spans="1:11" x14ac:dyDescent="0.45">
      <c r="A299" s="2">
        <v>348</v>
      </c>
      <c r="B299" s="2" t="s">
        <v>453</v>
      </c>
      <c r="C299" s="2" t="s">
        <v>85</v>
      </c>
      <c r="D299" s="2" t="s">
        <v>39</v>
      </c>
      <c r="E299" s="2">
        <v>25</v>
      </c>
      <c r="F299" s="2">
        <v>65</v>
      </c>
      <c r="G299" s="2">
        <v>171</v>
      </c>
      <c r="H299" s="9">
        <f t="shared" si="4"/>
        <v>22.229061933586404</v>
      </c>
      <c r="I299" s="2" t="str" cm="1">
        <f t="array" ref="I299">_xlfn.IFS(F299&gt;=100,"Over weight",F299&lt;100,"Average weight")</f>
        <v>Average weight</v>
      </c>
      <c r="J299" s="2" t="str" cm="1">
        <f t="array" ref="J299">_xlfn.IFS(G299&lt;164,"Below Average height",G299&gt;=165,"Above Average height",G299=164,"Average height")</f>
        <v>Above Average height</v>
      </c>
      <c r="K299" s="2" t="str" cm="1">
        <f t="array" ref="K299">_xlfn.IFS(E299&lt;=16,"Children",E299&lt;=30,"Young Adults",E299&lt;=45,"Middle-aged Adults",E299&gt;45,"Old Adults")</f>
        <v>Young Adults</v>
      </c>
    </row>
    <row r="300" spans="1:11" x14ac:dyDescent="0.45">
      <c r="A300" s="2">
        <v>349</v>
      </c>
      <c r="B300" s="2" t="s">
        <v>454</v>
      </c>
      <c r="C300" s="2" t="s">
        <v>85</v>
      </c>
      <c r="D300" s="2" t="s">
        <v>14</v>
      </c>
      <c r="E300" s="2">
        <v>29</v>
      </c>
      <c r="F300" s="2">
        <v>90</v>
      </c>
      <c r="G300" s="2">
        <v>173</v>
      </c>
      <c r="H300" s="9">
        <f t="shared" si="4"/>
        <v>30.071168431955627</v>
      </c>
      <c r="I300" s="2" t="str" cm="1">
        <f t="array" ref="I300">_xlfn.IFS(F300&gt;=100,"Over weight",F300&lt;100,"Average weight")</f>
        <v>Average weight</v>
      </c>
      <c r="J300" s="2" t="str" cm="1">
        <f t="array" ref="J300">_xlfn.IFS(G300&lt;164,"Below Average height",G300&gt;=165,"Above Average height",G300=164,"Average height")</f>
        <v>Above Average height</v>
      </c>
      <c r="K300" s="2" t="str" cm="1">
        <f t="array" ref="K300">_xlfn.IFS(E300&lt;=16,"Children",E300&lt;=30,"Young Adults",E300&lt;=45,"Middle-aged Adults",E300&gt;45,"Old Adults")</f>
        <v>Young Adults</v>
      </c>
    </row>
    <row r="301" spans="1:11" x14ac:dyDescent="0.45">
      <c r="A301" s="2">
        <v>351</v>
      </c>
      <c r="B301" s="2" t="s">
        <v>456</v>
      </c>
      <c r="C301" s="2" t="s">
        <v>90</v>
      </c>
      <c r="D301" s="2" t="s">
        <v>65</v>
      </c>
      <c r="E301" s="2">
        <v>20</v>
      </c>
      <c r="F301" s="2">
        <v>93</v>
      </c>
      <c r="G301" s="2">
        <v>185</v>
      </c>
      <c r="H301" s="9">
        <f t="shared" si="4"/>
        <v>27.173119065010955</v>
      </c>
      <c r="I301" s="2" t="str" cm="1">
        <f t="array" ref="I301">_xlfn.IFS(F301&gt;=100,"Over weight",F301&lt;100,"Average weight")</f>
        <v>Average weight</v>
      </c>
      <c r="J301" s="2" t="str" cm="1">
        <f t="array" ref="J301">_xlfn.IFS(G301&lt;164,"Below Average height",G301&gt;=165,"Above Average height",G301=164,"Average height")</f>
        <v>Above Average height</v>
      </c>
      <c r="K301" s="2" t="str" cm="1">
        <f t="array" ref="K301">_xlfn.IFS(E301&lt;=16,"Children",E301&lt;=30,"Young Adults",E301&lt;=45,"Middle-aged Adults",E301&gt;45,"Old Adults")</f>
        <v>Young Adults</v>
      </c>
    </row>
    <row r="302" spans="1:11" x14ac:dyDescent="0.45">
      <c r="A302" s="2">
        <v>352</v>
      </c>
      <c r="B302" s="2" t="s">
        <v>457</v>
      </c>
      <c r="C302" s="2" t="s">
        <v>94</v>
      </c>
      <c r="D302" s="2" t="s">
        <v>14</v>
      </c>
      <c r="E302" s="2">
        <v>26</v>
      </c>
      <c r="F302" s="2">
        <v>68</v>
      </c>
      <c r="G302" s="2">
        <v>170</v>
      </c>
      <c r="H302" s="9">
        <f t="shared" si="4"/>
        <v>23.529411764705884</v>
      </c>
      <c r="I302" s="2" t="str" cm="1">
        <f t="array" ref="I302">_xlfn.IFS(F302&gt;=100,"Over weight",F302&lt;100,"Average weight")</f>
        <v>Average weight</v>
      </c>
      <c r="J302" s="2" t="str" cm="1">
        <f t="array" ref="J302">_xlfn.IFS(G302&lt;164,"Below Average height",G302&gt;=165,"Above Average height",G302=164,"Average height")</f>
        <v>Above Average height</v>
      </c>
      <c r="K302" s="2" t="str" cm="1">
        <f t="array" ref="K302">_xlfn.IFS(E302&lt;=16,"Children",E302&lt;=30,"Young Adults",E302&lt;=45,"Middle-aged Adults",E302&gt;45,"Old Adults")</f>
        <v>Young Adults</v>
      </c>
    </row>
    <row r="303" spans="1:11" x14ac:dyDescent="0.45">
      <c r="A303" s="2">
        <v>353</v>
      </c>
      <c r="B303" s="2" t="s">
        <v>458</v>
      </c>
      <c r="C303" s="2" t="s">
        <v>93</v>
      </c>
      <c r="D303" s="2" t="s">
        <v>5</v>
      </c>
      <c r="E303" s="2">
        <v>26</v>
      </c>
      <c r="F303" s="2">
        <v>69</v>
      </c>
      <c r="G303" s="2">
        <v>172</v>
      </c>
      <c r="H303" s="9">
        <f t="shared" si="4"/>
        <v>23.323418063818284</v>
      </c>
      <c r="I303" s="2" t="str" cm="1">
        <f t="array" ref="I303">_xlfn.IFS(F303&gt;=100,"Over weight",F303&lt;100,"Average weight")</f>
        <v>Average weight</v>
      </c>
      <c r="J303" s="2" t="str" cm="1">
        <f t="array" ref="J303">_xlfn.IFS(G303&lt;164,"Below Average height",G303&gt;=165,"Above Average height",G303=164,"Average height")</f>
        <v>Above Average height</v>
      </c>
      <c r="K303" s="2" t="str" cm="1">
        <f t="array" ref="K303">_xlfn.IFS(E303&lt;=16,"Children",E303&lt;=30,"Young Adults",E303&lt;=45,"Middle-aged Adults",E303&gt;45,"Old Adults")</f>
        <v>Young Adults</v>
      </c>
    </row>
    <row r="304" spans="1:11" x14ac:dyDescent="0.45">
      <c r="A304" s="2">
        <v>354</v>
      </c>
      <c r="B304" s="2" t="s">
        <v>459</v>
      </c>
      <c r="C304" s="2" t="s">
        <v>88</v>
      </c>
      <c r="D304" s="2" t="s">
        <v>14</v>
      </c>
      <c r="E304" s="2">
        <v>21</v>
      </c>
      <c r="F304" s="2">
        <v>67</v>
      </c>
      <c r="G304" s="2">
        <v>180</v>
      </c>
      <c r="H304" s="9">
        <f t="shared" si="4"/>
        <v>20.679012345679013</v>
      </c>
      <c r="I304" s="2" t="str" cm="1">
        <f t="array" ref="I304">_xlfn.IFS(F304&gt;=100,"Over weight",F304&lt;100,"Average weight")</f>
        <v>Average weight</v>
      </c>
      <c r="J304" s="2" t="str" cm="1">
        <f t="array" ref="J304">_xlfn.IFS(G304&lt;164,"Below Average height",G304&gt;=165,"Above Average height",G304=164,"Average height")</f>
        <v>Above Average height</v>
      </c>
      <c r="K304" s="2" t="str" cm="1">
        <f t="array" ref="K304">_xlfn.IFS(E304&lt;=16,"Children",E304&lt;=30,"Young Adults",E304&lt;=45,"Middle-aged Adults",E304&gt;45,"Old Adults")</f>
        <v>Young Adults</v>
      </c>
    </row>
    <row r="305" spans="1:11" x14ac:dyDescent="0.45">
      <c r="A305" s="2">
        <v>355</v>
      </c>
      <c r="B305" s="2" t="s">
        <v>460</v>
      </c>
      <c r="C305" s="2" t="s">
        <v>87</v>
      </c>
      <c r="D305" s="2" t="s">
        <v>5</v>
      </c>
      <c r="E305" s="2">
        <v>21</v>
      </c>
      <c r="F305" s="2">
        <v>61</v>
      </c>
      <c r="G305" s="2">
        <v>174</v>
      </c>
      <c r="H305" s="9">
        <f t="shared" si="4"/>
        <v>20.147971991015986</v>
      </c>
      <c r="I305" s="2" t="str" cm="1">
        <f t="array" ref="I305">_xlfn.IFS(F305&gt;=100,"Over weight",F305&lt;100,"Average weight")</f>
        <v>Average weight</v>
      </c>
      <c r="J305" s="2" t="str" cm="1">
        <f t="array" ref="J305">_xlfn.IFS(G305&lt;164,"Below Average height",G305&gt;=165,"Above Average height",G305=164,"Average height")</f>
        <v>Above Average height</v>
      </c>
      <c r="K305" s="2" t="str" cm="1">
        <f t="array" ref="K305">_xlfn.IFS(E305&lt;=16,"Children",E305&lt;=30,"Young Adults",E305&lt;=45,"Middle-aged Adults",E305&gt;45,"Old Adults")</f>
        <v>Young Adults</v>
      </c>
    </row>
    <row r="306" spans="1:11" x14ac:dyDescent="0.45">
      <c r="A306" s="2">
        <v>356</v>
      </c>
      <c r="B306" s="2" t="s">
        <v>461</v>
      </c>
      <c r="C306" s="2" t="s">
        <v>93</v>
      </c>
      <c r="D306" s="2" t="s">
        <v>26</v>
      </c>
      <c r="E306" s="2">
        <v>25</v>
      </c>
      <c r="F306" s="2">
        <v>64</v>
      </c>
      <c r="G306" s="2">
        <v>170</v>
      </c>
      <c r="H306" s="9">
        <f t="shared" si="4"/>
        <v>22.145328719723185</v>
      </c>
      <c r="I306" s="2" t="str" cm="1">
        <f t="array" ref="I306">_xlfn.IFS(F306&gt;=100,"Over weight",F306&lt;100,"Average weight")</f>
        <v>Average weight</v>
      </c>
      <c r="J306" s="2" t="str" cm="1">
        <f t="array" ref="J306">_xlfn.IFS(G306&lt;164,"Below Average height",G306&gt;=165,"Above Average height",G306=164,"Average height")</f>
        <v>Above Average height</v>
      </c>
      <c r="K306" s="2" t="str" cm="1">
        <f t="array" ref="K306">_xlfn.IFS(E306&lt;=16,"Children",E306&lt;=30,"Young Adults",E306&lt;=45,"Middle-aged Adults",E306&gt;45,"Old Adults")</f>
        <v>Young Adults</v>
      </c>
    </row>
    <row r="307" spans="1:11" x14ac:dyDescent="0.45">
      <c r="A307" s="2">
        <v>357</v>
      </c>
      <c r="B307" s="2" t="s">
        <v>462</v>
      </c>
      <c r="C307" s="2" t="s">
        <v>95</v>
      </c>
      <c r="D307" s="2" t="s">
        <v>65</v>
      </c>
      <c r="E307" s="2">
        <v>20</v>
      </c>
      <c r="F307" s="2">
        <v>82</v>
      </c>
      <c r="G307" s="2">
        <v>185</v>
      </c>
      <c r="H307" s="9">
        <f t="shared" si="4"/>
        <v>23.959094229364496</v>
      </c>
      <c r="I307" s="2" t="str" cm="1">
        <f t="array" ref="I307">_xlfn.IFS(F307&gt;=100,"Over weight",F307&lt;100,"Average weight")</f>
        <v>Average weight</v>
      </c>
      <c r="J307" s="2" t="str" cm="1">
        <f t="array" ref="J307">_xlfn.IFS(G307&lt;164,"Below Average height",G307&gt;=165,"Above Average height",G307=164,"Average height")</f>
        <v>Above Average height</v>
      </c>
      <c r="K307" s="2" t="str" cm="1">
        <f t="array" ref="K307">_xlfn.IFS(E307&lt;=16,"Children",E307&lt;=30,"Young Adults",E307&lt;=45,"Middle-aged Adults",E307&gt;45,"Old Adults")</f>
        <v>Young Adults</v>
      </c>
    </row>
    <row r="308" spans="1:11" x14ac:dyDescent="0.45">
      <c r="A308" s="2">
        <v>359</v>
      </c>
      <c r="B308" s="2" t="s">
        <v>464</v>
      </c>
      <c r="C308" s="2" t="s">
        <v>91</v>
      </c>
      <c r="D308" s="2" t="s">
        <v>14</v>
      </c>
      <c r="E308" s="2">
        <v>22</v>
      </c>
      <c r="F308" s="2">
        <v>91</v>
      </c>
      <c r="G308" s="2">
        <v>181</v>
      </c>
      <c r="H308" s="9">
        <f t="shared" si="4"/>
        <v>27.776929886145112</v>
      </c>
      <c r="I308" s="2" t="str" cm="1">
        <f t="array" ref="I308">_xlfn.IFS(F308&gt;=100,"Over weight",F308&lt;100,"Average weight")</f>
        <v>Average weight</v>
      </c>
      <c r="J308" s="2" t="str" cm="1">
        <f t="array" ref="J308">_xlfn.IFS(G308&lt;164,"Below Average height",G308&gt;=165,"Above Average height",G308=164,"Average height")</f>
        <v>Above Average height</v>
      </c>
      <c r="K308" s="2" t="str" cm="1">
        <f t="array" ref="K308">_xlfn.IFS(E308&lt;=16,"Children",E308&lt;=30,"Young Adults",E308&lt;=45,"Middle-aged Adults",E308&gt;45,"Old Adults")</f>
        <v>Young Adults</v>
      </c>
    </row>
    <row r="309" spans="1:11" x14ac:dyDescent="0.45">
      <c r="A309" s="2">
        <v>360</v>
      </c>
      <c r="B309" s="2" t="s">
        <v>465</v>
      </c>
      <c r="C309" s="2" t="s">
        <v>85</v>
      </c>
      <c r="D309" s="2" t="s">
        <v>75</v>
      </c>
      <c r="E309" s="2">
        <v>35</v>
      </c>
      <c r="F309" s="2">
        <v>89</v>
      </c>
      <c r="G309" s="2">
        <v>174</v>
      </c>
      <c r="H309" s="9">
        <f t="shared" si="4"/>
        <v>29.396221429515126</v>
      </c>
      <c r="I309" s="2" t="str" cm="1">
        <f t="array" ref="I309">_xlfn.IFS(F309&gt;=100,"Over weight",F309&lt;100,"Average weight")</f>
        <v>Average weight</v>
      </c>
      <c r="J309" s="2" t="str" cm="1">
        <f t="array" ref="J309">_xlfn.IFS(G309&lt;164,"Below Average height",G309&gt;=165,"Above Average height",G309=164,"Average height")</f>
        <v>Above Average height</v>
      </c>
      <c r="K309" s="2" t="str" cm="1">
        <f t="array" ref="K309">_xlfn.IFS(E309&lt;=16,"Children",E309&lt;=30,"Young Adults",E309&lt;=45,"Middle-aged Adults",E309&gt;45,"Old Adults")</f>
        <v>Middle-aged Adults</v>
      </c>
    </row>
    <row r="310" spans="1:11" x14ac:dyDescent="0.45">
      <c r="A310" s="2">
        <v>361</v>
      </c>
      <c r="B310" s="2" t="s">
        <v>466</v>
      </c>
      <c r="C310" s="2" t="s">
        <v>91</v>
      </c>
      <c r="D310" s="2" t="s">
        <v>17</v>
      </c>
      <c r="E310" s="2">
        <v>22</v>
      </c>
      <c r="F310" s="2">
        <v>67</v>
      </c>
      <c r="G310" s="2">
        <v>177</v>
      </c>
      <c r="H310" s="9">
        <f t="shared" si="4"/>
        <v>21.385936352899868</v>
      </c>
      <c r="I310" s="2" t="str" cm="1">
        <f t="array" ref="I310">_xlfn.IFS(F310&gt;=100,"Over weight",F310&lt;100,"Average weight")</f>
        <v>Average weight</v>
      </c>
      <c r="J310" s="2" t="str" cm="1">
        <f t="array" ref="J310">_xlfn.IFS(G310&lt;164,"Below Average height",G310&gt;=165,"Above Average height",G310=164,"Average height")</f>
        <v>Above Average height</v>
      </c>
      <c r="K310" s="2" t="str" cm="1">
        <f t="array" ref="K310">_xlfn.IFS(E310&lt;=16,"Children",E310&lt;=30,"Young Adults",E310&lt;=45,"Middle-aged Adults",E310&gt;45,"Old Adults")</f>
        <v>Young Adults</v>
      </c>
    </row>
    <row r="311" spans="1:11" x14ac:dyDescent="0.45">
      <c r="A311" s="2">
        <v>362</v>
      </c>
      <c r="B311" s="2" t="s">
        <v>467</v>
      </c>
      <c r="C311" s="2" t="s">
        <v>94</v>
      </c>
      <c r="D311" s="2" t="s">
        <v>26</v>
      </c>
      <c r="E311" s="2">
        <v>24</v>
      </c>
      <c r="F311" s="2">
        <v>62</v>
      </c>
      <c r="G311" s="2">
        <v>175</v>
      </c>
      <c r="H311" s="9">
        <f t="shared" si="4"/>
        <v>20.244897959183675</v>
      </c>
      <c r="I311" s="2" t="str" cm="1">
        <f t="array" ref="I311">_xlfn.IFS(F311&gt;=100,"Over weight",F311&lt;100,"Average weight")</f>
        <v>Average weight</v>
      </c>
      <c r="J311" s="2" t="str" cm="1">
        <f t="array" ref="J311">_xlfn.IFS(G311&lt;164,"Below Average height",G311&gt;=165,"Above Average height",G311=164,"Average height")</f>
        <v>Above Average height</v>
      </c>
      <c r="K311" s="2" t="str" cm="1">
        <f t="array" ref="K311">_xlfn.IFS(E311&lt;=16,"Children",E311&lt;=30,"Young Adults",E311&lt;=45,"Middle-aged Adults",E311&gt;45,"Old Adults")</f>
        <v>Young Adults</v>
      </c>
    </row>
    <row r="312" spans="1:11" x14ac:dyDescent="0.45">
      <c r="A312" s="2">
        <v>363</v>
      </c>
      <c r="B312" s="2" t="s">
        <v>468</v>
      </c>
      <c r="C312" s="2" t="s">
        <v>91</v>
      </c>
      <c r="D312" s="2" t="s">
        <v>70</v>
      </c>
      <c r="E312" s="2">
        <v>22</v>
      </c>
      <c r="F312" s="2">
        <v>58</v>
      </c>
      <c r="G312" s="2">
        <v>168</v>
      </c>
      <c r="H312" s="9">
        <f t="shared" si="4"/>
        <v>20.549886621315196</v>
      </c>
      <c r="I312" s="2" t="str" cm="1">
        <f t="array" ref="I312">_xlfn.IFS(F312&gt;=100,"Over weight",F312&lt;100,"Average weight")</f>
        <v>Average weight</v>
      </c>
      <c r="J312" s="2" t="str" cm="1">
        <f t="array" ref="J312">_xlfn.IFS(G312&lt;164,"Below Average height",G312&gt;=165,"Above Average height",G312=164,"Average height")</f>
        <v>Above Average height</v>
      </c>
      <c r="K312" s="2" t="str" cm="1">
        <f t="array" ref="K312">_xlfn.IFS(E312&lt;=16,"Children",E312&lt;=30,"Young Adults",E312&lt;=45,"Middle-aged Adults",E312&gt;45,"Old Adults")</f>
        <v>Young Adults</v>
      </c>
    </row>
    <row r="313" spans="1:11" x14ac:dyDescent="0.45">
      <c r="A313" s="2">
        <v>364</v>
      </c>
      <c r="B313" s="2" t="s">
        <v>469</v>
      </c>
      <c r="C313" s="2" t="s">
        <v>90</v>
      </c>
      <c r="D313" s="2" t="s">
        <v>80</v>
      </c>
      <c r="E313" s="2">
        <v>24</v>
      </c>
      <c r="F313" s="2">
        <v>98</v>
      </c>
      <c r="G313" s="2">
        <v>180</v>
      </c>
      <c r="H313" s="9">
        <f t="shared" si="4"/>
        <v>30.246913580246911</v>
      </c>
      <c r="I313" s="2" t="str" cm="1">
        <f t="array" ref="I313">_xlfn.IFS(F313&gt;=100,"Over weight",F313&lt;100,"Average weight")</f>
        <v>Average weight</v>
      </c>
      <c r="J313" s="2" t="str" cm="1">
        <f t="array" ref="J313">_xlfn.IFS(G313&lt;164,"Below Average height",G313&gt;=165,"Above Average height",G313=164,"Average height")</f>
        <v>Above Average height</v>
      </c>
      <c r="K313" s="2" t="str" cm="1">
        <f t="array" ref="K313">_xlfn.IFS(E313&lt;=16,"Children",E313&lt;=30,"Young Adults",E313&lt;=45,"Middle-aged Adults",E313&gt;45,"Old Adults")</f>
        <v>Young Adults</v>
      </c>
    </row>
    <row r="314" spans="1:11" x14ac:dyDescent="0.45">
      <c r="A314" s="2">
        <v>365</v>
      </c>
      <c r="B314" s="2" t="s">
        <v>470</v>
      </c>
      <c r="C314" s="2" t="s">
        <v>91</v>
      </c>
      <c r="D314" s="2" t="s">
        <v>70</v>
      </c>
      <c r="E314" s="2">
        <v>17</v>
      </c>
      <c r="F314" s="2">
        <v>60</v>
      </c>
      <c r="G314" s="2">
        <v>174</v>
      </c>
      <c r="H314" s="9">
        <f t="shared" si="4"/>
        <v>19.817677368212443</v>
      </c>
      <c r="I314" s="2" t="str" cm="1">
        <f t="array" ref="I314">_xlfn.IFS(F314&gt;=100,"Over weight",F314&lt;100,"Average weight")</f>
        <v>Average weight</v>
      </c>
      <c r="J314" s="2" t="str" cm="1">
        <f t="array" ref="J314">_xlfn.IFS(G314&lt;164,"Below Average height",G314&gt;=165,"Above Average height",G314=164,"Average height")</f>
        <v>Above Average height</v>
      </c>
      <c r="K314" s="2" t="str" cm="1">
        <f t="array" ref="K314">_xlfn.IFS(E314&lt;=16,"Children",E314&lt;=30,"Young Adults",E314&lt;=45,"Middle-aged Adults",E314&gt;45,"Old Adults")</f>
        <v>Young Adults</v>
      </c>
    </row>
    <row r="315" spans="1:11" x14ac:dyDescent="0.45">
      <c r="A315" s="2">
        <v>366</v>
      </c>
      <c r="B315" s="2" t="s">
        <v>471</v>
      </c>
      <c r="C315" s="2" t="s">
        <v>90</v>
      </c>
      <c r="D315" s="2" t="s">
        <v>39</v>
      </c>
      <c r="E315" s="2">
        <v>21</v>
      </c>
      <c r="F315" s="2">
        <v>65</v>
      </c>
      <c r="G315" s="2">
        <v>167</v>
      </c>
      <c r="H315" s="9">
        <f t="shared" si="4"/>
        <v>23.306680053067517</v>
      </c>
      <c r="I315" s="2" t="str" cm="1">
        <f t="array" ref="I315">_xlfn.IFS(F315&gt;=100,"Over weight",F315&lt;100,"Average weight")</f>
        <v>Average weight</v>
      </c>
      <c r="J315" s="2" t="str" cm="1">
        <f t="array" ref="J315">_xlfn.IFS(G315&lt;164,"Below Average height",G315&gt;=165,"Above Average height",G315=164,"Average height")</f>
        <v>Above Average height</v>
      </c>
      <c r="K315" s="2" t="str" cm="1">
        <f t="array" ref="K315">_xlfn.IFS(E315&lt;=16,"Children",E315&lt;=30,"Young Adults",E315&lt;=45,"Middle-aged Adults",E315&gt;45,"Old Adults")</f>
        <v>Young Adults</v>
      </c>
    </row>
    <row r="316" spans="1:11" x14ac:dyDescent="0.45">
      <c r="A316" s="2">
        <v>368</v>
      </c>
      <c r="B316" s="2" t="s">
        <v>473</v>
      </c>
      <c r="C316" s="2" t="s">
        <v>89</v>
      </c>
      <c r="D316" s="2" t="s">
        <v>63</v>
      </c>
      <c r="E316" s="2">
        <v>21</v>
      </c>
      <c r="F316" s="2">
        <v>69</v>
      </c>
      <c r="G316" s="2">
        <v>176</v>
      </c>
      <c r="H316" s="9">
        <f t="shared" si="4"/>
        <v>22.275309917355372</v>
      </c>
      <c r="I316" s="2" t="str" cm="1">
        <f t="array" ref="I316">_xlfn.IFS(F316&gt;=100,"Over weight",F316&lt;100,"Average weight")</f>
        <v>Average weight</v>
      </c>
      <c r="J316" s="2" t="str" cm="1">
        <f t="array" ref="J316">_xlfn.IFS(G316&lt;164,"Below Average height",G316&gt;=165,"Above Average height",G316=164,"Average height")</f>
        <v>Above Average height</v>
      </c>
      <c r="K316" s="2" t="str" cm="1">
        <f t="array" ref="K316">_xlfn.IFS(E316&lt;=16,"Children",E316&lt;=30,"Young Adults",E316&lt;=45,"Middle-aged Adults",E316&gt;45,"Old Adults")</f>
        <v>Young Adults</v>
      </c>
    </row>
    <row r="317" spans="1:11" x14ac:dyDescent="0.45">
      <c r="A317" s="2">
        <v>369</v>
      </c>
      <c r="B317" s="2" t="s">
        <v>474</v>
      </c>
      <c r="C317" s="2" t="s">
        <v>100</v>
      </c>
      <c r="D317" s="2" t="s">
        <v>80</v>
      </c>
      <c r="E317" s="2">
        <v>24</v>
      </c>
      <c r="F317" s="2">
        <v>81</v>
      </c>
      <c r="G317" s="2">
        <v>175</v>
      </c>
      <c r="H317" s="9">
        <f t="shared" si="4"/>
        <v>26.448979591836736</v>
      </c>
      <c r="I317" s="2" t="str" cm="1">
        <f t="array" ref="I317">_xlfn.IFS(F317&gt;=100,"Over weight",F317&lt;100,"Average weight")</f>
        <v>Average weight</v>
      </c>
      <c r="J317" s="2" t="str" cm="1">
        <f t="array" ref="J317">_xlfn.IFS(G317&lt;164,"Below Average height",G317&gt;=165,"Above Average height",G317=164,"Average height")</f>
        <v>Above Average height</v>
      </c>
      <c r="K317" s="2" t="str" cm="1">
        <f t="array" ref="K317">_xlfn.IFS(E317&lt;=16,"Children",E317&lt;=30,"Young Adults",E317&lt;=45,"Middle-aged Adults",E317&gt;45,"Old Adults")</f>
        <v>Young Adults</v>
      </c>
    </row>
    <row r="318" spans="1:11" x14ac:dyDescent="0.45">
      <c r="A318" s="2">
        <v>370</v>
      </c>
      <c r="B318" s="2" t="s">
        <v>475</v>
      </c>
      <c r="C318" s="2" t="s">
        <v>90</v>
      </c>
      <c r="D318" s="2" t="s">
        <v>46</v>
      </c>
      <c r="E318" s="2">
        <v>26</v>
      </c>
      <c r="F318" s="2">
        <v>94</v>
      </c>
      <c r="G318" s="2">
        <v>186</v>
      </c>
      <c r="H318" s="9">
        <f t="shared" si="4"/>
        <v>27.170771187420506</v>
      </c>
      <c r="I318" s="2" t="str" cm="1">
        <f t="array" ref="I318">_xlfn.IFS(F318&gt;=100,"Over weight",F318&lt;100,"Average weight")</f>
        <v>Average weight</v>
      </c>
      <c r="J318" s="2" t="str" cm="1">
        <f t="array" ref="J318">_xlfn.IFS(G318&lt;164,"Below Average height",G318&gt;=165,"Above Average height",G318=164,"Average height")</f>
        <v>Above Average height</v>
      </c>
      <c r="K318" s="2" t="str" cm="1">
        <f t="array" ref="K318">_xlfn.IFS(E318&lt;=16,"Children",E318&lt;=30,"Young Adults",E318&lt;=45,"Middle-aged Adults",E318&gt;45,"Old Adults")</f>
        <v>Young Adults</v>
      </c>
    </row>
    <row r="319" spans="1:11" x14ac:dyDescent="0.45">
      <c r="A319" s="2">
        <v>371</v>
      </c>
      <c r="B319" s="2" t="s">
        <v>476</v>
      </c>
      <c r="C319" s="2" t="s">
        <v>92</v>
      </c>
      <c r="D319" s="2" t="s">
        <v>71</v>
      </c>
      <c r="E319" s="2">
        <v>26</v>
      </c>
      <c r="F319" s="2">
        <v>56</v>
      </c>
      <c r="G319" s="2">
        <v>171</v>
      </c>
      <c r="H319" s="9">
        <f t="shared" si="4"/>
        <v>19.151191819705211</v>
      </c>
      <c r="I319" s="2" t="str" cm="1">
        <f t="array" ref="I319">_xlfn.IFS(F319&gt;=100,"Over weight",F319&lt;100,"Average weight")</f>
        <v>Average weight</v>
      </c>
      <c r="J319" s="2" t="str" cm="1">
        <f t="array" ref="J319">_xlfn.IFS(G319&lt;164,"Below Average height",G319&gt;=165,"Above Average height",G319=164,"Average height")</f>
        <v>Above Average height</v>
      </c>
      <c r="K319" s="2" t="str" cm="1">
        <f t="array" ref="K319">_xlfn.IFS(E319&lt;=16,"Children",E319&lt;=30,"Young Adults",E319&lt;=45,"Middle-aged Adults",E319&gt;45,"Old Adults")</f>
        <v>Young Adults</v>
      </c>
    </row>
    <row r="320" spans="1:11" x14ac:dyDescent="0.45">
      <c r="A320" s="2">
        <v>372</v>
      </c>
      <c r="B320" s="2" t="s">
        <v>477</v>
      </c>
      <c r="C320" s="2" t="s">
        <v>94</v>
      </c>
      <c r="D320" s="2" t="s">
        <v>50</v>
      </c>
      <c r="E320" s="2">
        <v>28</v>
      </c>
      <c r="F320" s="2">
        <v>72</v>
      </c>
      <c r="G320" s="2">
        <v>180</v>
      </c>
      <c r="H320" s="9">
        <f t="shared" si="4"/>
        <v>22.222222222222221</v>
      </c>
      <c r="I320" s="2" t="str" cm="1">
        <f t="array" ref="I320">_xlfn.IFS(F320&gt;=100,"Over weight",F320&lt;100,"Average weight")</f>
        <v>Average weight</v>
      </c>
      <c r="J320" s="2" t="str" cm="1">
        <f t="array" ref="J320">_xlfn.IFS(G320&lt;164,"Below Average height",G320&gt;=165,"Above Average height",G320=164,"Average height")</f>
        <v>Above Average height</v>
      </c>
      <c r="K320" s="2" t="str" cm="1">
        <f t="array" ref="K320">_xlfn.IFS(E320&lt;=16,"Children",E320&lt;=30,"Young Adults",E320&lt;=45,"Middle-aged Adults",E320&gt;45,"Old Adults")</f>
        <v>Young Adults</v>
      </c>
    </row>
    <row r="321" spans="1:11" x14ac:dyDescent="0.45">
      <c r="A321" s="2">
        <v>373</v>
      </c>
      <c r="B321" s="2" t="s">
        <v>478</v>
      </c>
      <c r="C321" s="2" t="s">
        <v>90</v>
      </c>
      <c r="D321" s="2" t="s">
        <v>21</v>
      </c>
      <c r="E321" s="2">
        <v>39</v>
      </c>
      <c r="F321" s="2">
        <v>105</v>
      </c>
      <c r="G321" s="2">
        <v>187</v>
      </c>
      <c r="H321" s="9">
        <f t="shared" si="4"/>
        <v>30.026594984128796</v>
      </c>
      <c r="I321" s="2" t="str" cm="1">
        <f t="array" ref="I321">_xlfn.IFS(F321&gt;=100,"Over weight",F321&lt;100,"Average weight")</f>
        <v>Over weight</v>
      </c>
      <c r="J321" s="2" t="str" cm="1">
        <f t="array" ref="J321">_xlfn.IFS(G321&lt;164,"Below Average height",G321&gt;=165,"Above Average height",G321=164,"Average height")</f>
        <v>Above Average height</v>
      </c>
      <c r="K321" s="2" t="str" cm="1">
        <f t="array" ref="K321">_xlfn.IFS(E321&lt;=16,"Children",E321&lt;=30,"Young Adults",E321&lt;=45,"Middle-aged Adults",E321&gt;45,"Old Adults")</f>
        <v>Middle-aged Adults</v>
      </c>
    </row>
    <row r="322" spans="1:11" x14ac:dyDescent="0.45">
      <c r="A322" s="2">
        <v>374</v>
      </c>
      <c r="B322" s="2" t="s">
        <v>479</v>
      </c>
      <c r="C322" s="2" t="s">
        <v>94</v>
      </c>
      <c r="D322" s="2" t="s">
        <v>31</v>
      </c>
      <c r="E322" s="2">
        <v>19</v>
      </c>
      <c r="F322" s="2">
        <v>52</v>
      </c>
      <c r="G322" s="2">
        <v>168</v>
      </c>
      <c r="H322" s="9">
        <f t="shared" ref="H322:H385" si="5" xml:space="preserve"> F322 / (( G322/ 100) ^ 2)</f>
        <v>18.424036281179141</v>
      </c>
      <c r="I322" s="2" t="str" cm="1">
        <f t="array" ref="I322">_xlfn.IFS(F322&gt;=100,"Over weight",F322&lt;100,"Average weight")</f>
        <v>Average weight</v>
      </c>
      <c r="J322" s="2" t="str" cm="1">
        <f t="array" ref="J322">_xlfn.IFS(G322&lt;164,"Below Average height",G322&gt;=165,"Above Average height",G322=164,"Average height")</f>
        <v>Above Average height</v>
      </c>
      <c r="K322" s="2" t="str" cm="1">
        <f t="array" ref="K322">_xlfn.IFS(E322&lt;=16,"Children",E322&lt;=30,"Young Adults",E322&lt;=45,"Middle-aged Adults",E322&gt;45,"Old Adults")</f>
        <v>Young Adults</v>
      </c>
    </row>
    <row r="323" spans="1:11" x14ac:dyDescent="0.45">
      <c r="A323" s="2">
        <v>375</v>
      </c>
      <c r="B323" s="2" t="s">
        <v>480</v>
      </c>
      <c r="C323" s="2" t="s">
        <v>98</v>
      </c>
      <c r="D323" s="2" t="s">
        <v>33</v>
      </c>
      <c r="E323" s="2">
        <v>24</v>
      </c>
      <c r="F323" s="2">
        <v>83</v>
      </c>
      <c r="G323" s="2">
        <v>186</v>
      </c>
      <c r="H323" s="9">
        <f t="shared" si="5"/>
        <v>23.991212856977683</v>
      </c>
      <c r="I323" s="2" t="str" cm="1">
        <f t="array" ref="I323">_xlfn.IFS(F323&gt;=100,"Over weight",F323&lt;100,"Average weight")</f>
        <v>Average weight</v>
      </c>
      <c r="J323" s="2" t="str" cm="1">
        <f t="array" ref="J323">_xlfn.IFS(G323&lt;164,"Below Average height",G323&gt;=165,"Above Average height",G323=164,"Average height")</f>
        <v>Above Average height</v>
      </c>
      <c r="K323" s="2" t="str" cm="1">
        <f t="array" ref="K323">_xlfn.IFS(E323&lt;=16,"Children",E323&lt;=30,"Young Adults",E323&lt;=45,"Middle-aged Adults",E323&gt;45,"Old Adults")</f>
        <v>Young Adults</v>
      </c>
    </row>
    <row r="324" spans="1:11" x14ac:dyDescent="0.45">
      <c r="A324" s="2">
        <v>376</v>
      </c>
      <c r="B324" s="2" t="s">
        <v>481</v>
      </c>
      <c r="C324" s="2" t="s">
        <v>98</v>
      </c>
      <c r="D324" s="2" t="s">
        <v>33</v>
      </c>
      <c r="E324" s="2">
        <v>22</v>
      </c>
      <c r="F324" s="2">
        <v>65</v>
      </c>
      <c r="G324" s="2">
        <v>180</v>
      </c>
      <c r="H324" s="9">
        <f t="shared" si="5"/>
        <v>20.061728395061728</v>
      </c>
      <c r="I324" s="2" t="str" cm="1">
        <f t="array" ref="I324">_xlfn.IFS(F324&gt;=100,"Over weight",F324&lt;100,"Average weight")</f>
        <v>Average weight</v>
      </c>
      <c r="J324" s="2" t="str" cm="1">
        <f t="array" ref="J324">_xlfn.IFS(G324&lt;164,"Below Average height",G324&gt;=165,"Above Average height",G324=164,"Average height")</f>
        <v>Above Average height</v>
      </c>
      <c r="K324" s="2" t="str" cm="1">
        <f t="array" ref="K324">_xlfn.IFS(E324&lt;=16,"Children",E324&lt;=30,"Young Adults",E324&lt;=45,"Middle-aged Adults",E324&gt;45,"Old Adults")</f>
        <v>Young Adults</v>
      </c>
    </row>
    <row r="325" spans="1:11" x14ac:dyDescent="0.45">
      <c r="A325" s="2">
        <v>377</v>
      </c>
      <c r="B325" s="2" t="s">
        <v>482</v>
      </c>
      <c r="C325" s="2" t="s">
        <v>94</v>
      </c>
      <c r="D325" s="2" t="s">
        <v>26</v>
      </c>
      <c r="E325" s="2">
        <v>26</v>
      </c>
      <c r="F325" s="2">
        <v>79</v>
      </c>
      <c r="G325" s="2">
        <v>183</v>
      </c>
      <c r="H325" s="9">
        <f t="shared" si="5"/>
        <v>23.589835468362743</v>
      </c>
      <c r="I325" s="2" t="str" cm="1">
        <f t="array" ref="I325">_xlfn.IFS(F325&gt;=100,"Over weight",F325&lt;100,"Average weight")</f>
        <v>Average weight</v>
      </c>
      <c r="J325" s="2" t="str" cm="1">
        <f t="array" ref="J325">_xlfn.IFS(G325&lt;164,"Below Average height",G325&gt;=165,"Above Average height",G325=164,"Average height")</f>
        <v>Above Average height</v>
      </c>
      <c r="K325" s="2" t="str" cm="1">
        <f t="array" ref="K325">_xlfn.IFS(E325&lt;=16,"Children",E325&lt;=30,"Young Adults",E325&lt;=45,"Middle-aged Adults",E325&gt;45,"Old Adults")</f>
        <v>Young Adults</v>
      </c>
    </row>
    <row r="326" spans="1:11" x14ac:dyDescent="0.45">
      <c r="A326" s="2">
        <v>379</v>
      </c>
      <c r="B326" s="2" t="s">
        <v>484</v>
      </c>
      <c r="C326" s="2" t="s">
        <v>91</v>
      </c>
      <c r="D326" s="2" t="s">
        <v>46</v>
      </c>
      <c r="E326" s="2">
        <v>25</v>
      </c>
      <c r="F326" s="2">
        <v>90</v>
      </c>
      <c r="G326" s="2">
        <v>189</v>
      </c>
      <c r="H326" s="9">
        <f t="shared" si="5"/>
        <v>25.195263290501387</v>
      </c>
      <c r="I326" s="2" t="str" cm="1">
        <f t="array" ref="I326">_xlfn.IFS(F326&gt;=100,"Over weight",F326&lt;100,"Average weight")</f>
        <v>Average weight</v>
      </c>
      <c r="J326" s="2" t="str" cm="1">
        <f t="array" ref="J326">_xlfn.IFS(G326&lt;164,"Below Average height",G326&gt;=165,"Above Average height",G326=164,"Average height")</f>
        <v>Above Average height</v>
      </c>
      <c r="K326" s="2" t="str" cm="1">
        <f t="array" ref="K326">_xlfn.IFS(E326&lt;=16,"Children",E326&lt;=30,"Young Adults",E326&lt;=45,"Middle-aged Adults",E326&gt;45,"Old Adults")</f>
        <v>Young Adults</v>
      </c>
    </row>
    <row r="327" spans="1:11" x14ac:dyDescent="0.45">
      <c r="A327" s="2">
        <v>380</v>
      </c>
      <c r="B327" s="2" t="s">
        <v>485</v>
      </c>
      <c r="C327" s="2" t="s">
        <v>85</v>
      </c>
      <c r="D327" s="2" t="s">
        <v>78</v>
      </c>
      <c r="E327" s="2">
        <v>24</v>
      </c>
      <c r="F327" s="2">
        <v>63</v>
      </c>
      <c r="G327" s="2">
        <v>165</v>
      </c>
      <c r="H327" s="9">
        <f t="shared" si="5"/>
        <v>23.140495867768596</v>
      </c>
      <c r="I327" s="2" t="str" cm="1">
        <f t="array" ref="I327">_xlfn.IFS(F327&gt;=100,"Over weight",F327&lt;100,"Average weight")</f>
        <v>Average weight</v>
      </c>
      <c r="J327" s="2" t="str" cm="1">
        <f t="array" ref="J327">_xlfn.IFS(G327&lt;164,"Below Average height",G327&gt;=165,"Above Average height",G327=164,"Average height")</f>
        <v>Above Average height</v>
      </c>
      <c r="K327" s="2" t="str" cm="1">
        <f t="array" ref="K327">_xlfn.IFS(E327&lt;=16,"Children",E327&lt;=30,"Young Adults",E327&lt;=45,"Middle-aged Adults",E327&gt;45,"Old Adults")</f>
        <v>Young Adults</v>
      </c>
    </row>
    <row r="328" spans="1:11" x14ac:dyDescent="0.45">
      <c r="A328" s="2">
        <v>381</v>
      </c>
      <c r="B328" s="2" t="s">
        <v>486</v>
      </c>
      <c r="C328" s="2" t="s">
        <v>87</v>
      </c>
      <c r="D328" s="2" t="s">
        <v>8</v>
      </c>
      <c r="E328" s="2">
        <v>32</v>
      </c>
      <c r="F328" s="2">
        <v>68</v>
      </c>
      <c r="G328" s="2">
        <v>170</v>
      </c>
      <c r="H328" s="9">
        <f t="shared" si="5"/>
        <v>23.529411764705884</v>
      </c>
      <c r="I328" s="2" t="str" cm="1">
        <f t="array" ref="I328">_xlfn.IFS(F328&gt;=100,"Over weight",F328&lt;100,"Average weight")</f>
        <v>Average weight</v>
      </c>
      <c r="J328" s="2" t="str" cm="1">
        <f t="array" ref="J328">_xlfn.IFS(G328&lt;164,"Below Average height",G328&gt;=165,"Above Average height",G328=164,"Average height")</f>
        <v>Above Average height</v>
      </c>
      <c r="K328" s="2" t="str" cm="1">
        <f t="array" ref="K328">_xlfn.IFS(E328&lt;=16,"Children",E328&lt;=30,"Young Adults",E328&lt;=45,"Middle-aged Adults",E328&gt;45,"Old Adults")</f>
        <v>Middle-aged Adults</v>
      </c>
    </row>
    <row r="329" spans="1:11" x14ac:dyDescent="0.45">
      <c r="A329" s="2">
        <v>382</v>
      </c>
      <c r="B329" s="2" t="s">
        <v>487</v>
      </c>
      <c r="C329" s="2" t="s">
        <v>91</v>
      </c>
      <c r="D329" s="2" t="s">
        <v>66</v>
      </c>
      <c r="E329" s="2">
        <v>31</v>
      </c>
      <c r="F329" s="2">
        <v>88</v>
      </c>
      <c r="G329" s="2">
        <v>182</v>
      </c>
      <c r="H329" s="9">
        <f t="shared" si="5"/>
        <v>26.566839753652939</v>
      </c>
      <c r="I329" s="2" t="str" cm="1">
        <f t="array" ref="I329">_xlfn.IFS(F329&gt;=100,"Over weight",F329&lt;100,"Average weight")</f>
        <v>Average weight</v>
      </c>
      <c r="J329" s="2" t="str" cm="1">
        <f t="array" ref="J329">_xlfn.IFS(G329&lt;164,"Below Average height",G329&gt;=165,"Above Average height",G329=164,"Average height")</f>
        <v>Above Average height</v>
      </c>
      <c r="K329" s="2" t="str" cm="1">
        <f t="array" ref="K329">_xlfn.IFS(E329&lt;=16,"Children",E329&lt;=30,"Young Adults",E329&lt;=45,"Middle-aged Adults",E329&gt;45,"Old Adults")</f>
        <v>Middle-aged Adults</v>
      </c>
    </row>
    <row r="330" spans="1:11" x14ac:dyDescent="0.45">
      <c r="A330" s="2">
        <v>383</v>
      </c>
      <c r="B330" s="2" t="s">
        <v>488</v>
      </c>
      <c r="C330" s="2" t="s">
        <v>91</v>
      </c>
      <c r="D330" s="2" t="s">
        <v>46</v>
      </c>
      <c r="E330" s="2">
        <v>21</v>
      </c>
      <c r="F330" s="2">
        <v>85</v>
      </c>
      <c r="G330" s="2">
        <v>178</v>
      </c>
      <c r="H330" s="9">
        <f t="shared" si="5"/>
        <v>26.82742078020452</v>
      </c>
      <c r="I330" s="2" t="str" cm="1">
        <f t="array" ref="I330">_xlfn.IFS(F330&gt;=100,"Over weight",F330&lt;100,"Average weight")</f>
        <v>Average weight</v>
      </c>
      <c r="J330" s="2" t="str" cm="1">
        <f t="array" ref="J330">_xlfn.IFS(G330&lt;164,"Below Average height",G330&gt;=165,"Above Average height",G330=164,"Average height")</f>
        <v>Above Average height</v>
      </c>
      <c r="K330" s="2" t="str" cm="1">
        <f t="array" ref="K330">_xlfn.IFS(E330&lt;=16,"Children",E330&lt;=30,"Young Adults",E330&lt;=45,"Middle-aged Adults",E330&gt;45,"Old Adults")</f>
        <v>Young Adults</v>
      </c>
    </row>
    <row r="331" spans="1:11" x14ac:dyDescent="0.45">
      <c r="A331" s="2">
        <v>385</v>
      </c>
      <c r="B331" s="2" t="s">
        <v>490</v>
      </c>
      <c r="C331" s="2" t="s">
        <v>87</v>
      </c>
      <c r="D331" s="2" t="s">
        <v>26</v>
      </c>
      <c r="E331" s="2">
        <v>33</v>
      </c>
      <c r="F331" s="2">
        <v>62</v>
      </c>
      <c r="G331" s="2">
        <v>172</v>
      </c>
      <c r="H331" s="9">
        <f t="shared" si="5"/>
        <v>20.957274202271499</v>
      </c>
      <c r="I331" s="2" t="str" cm="1">
        <f t="array" ref="I331">_xlfn.IFS(F331&gt;=100,"Over weight",F331&lt;100,"Average weight")</f>
        <v>Average weight</v>
      </c>
      <c r="J331" s="2" t="str" cm="1">
        <f t="array" ref="J331">_xlfn.IFS(G331&lt;164,"Below Average height",G331&gt;=165,"Above Average height",G331=164,"Average height")</f>
        <v>Above Average height</v>
      </c>
      <c r="K331" s="2" t="str" cm="1">
        <f t="array" ref="K331">_xlfn.IFS(E331&lt;=16,"Children",E331&lt;=30,"Young Adults",E331&lt;=45,"Middle-aged Adults",E331&gt;45,"Old Adults")</f>
        <v>Middle-aged Adults</v>
      </c>
    </row>
    <row r="332" spans="1:11" x14ac:dyDescent="0.45">
      <c r="A332" s="2">
        <v>387</v>
      </c>
      <c r="B332" s="2" t="s">
        <v>492</v>
      </c>
      <c r="C332" s="2" t="s">
        <v>89</v>
      </c>
      <c r="D332" s="2" t="s">
        <v>80</v>
      </c>
      <c r="E332" s="2">
        <v>27</v>
      </c>
      <c r="F332" s="2">
        <v>84</v>
      </c>
      <c r="G332" s="2">
        <v>191</v>
      </c>
      <c r="H332" s="9">
        <f t="shared" si="5"/>
        <v>23.025684602944001</v>
      </c>
      <c r="I332" s="2" t="str" cm="1">
        <f t="array" ref="I332">_xlfn.IFS(F332&gt;=100,"Over weight",F332&lt;100,"Average weight")</f>
        <v>Average weight</v>
      </c>
      <c r="J332" s="2" t="str" cm="1">
        <f t="array" ref="J332">_xlfn.IFS(G332&lt;164,"Below Average height",G332&gt;=165,"Above Average height",G332=164,"Average height")</f>
        <v>Above Average height</v>
      </c>
      <c r="K332" s="2" t="str" cm="1">
        <f t="array" ref="K332">_xlfn.IFS(E332&lt;=16,"Children",E332&lt;=30,"Young Adults",E332&lt;=45,"Middle-aged Adults",E332&gt;45,"Old Adults")</f>
        <v>Young Adults</v>
      </c>
    </row>
    <row r="333" spans="1:11" x14ac:dyDescent="0.45">
      <c r="A333" s="2">
        <v>388</v>
      </c>
      <c r="B333" s="2" t="s">
        <v>493</v>
      </c>
      <c r="C333" s="2" t="s">
        <v>86</v>
      </c>
      <c r="D333" s="2" t="s">
        <v>14</v>
      </c>
      <c r="E333" s="2">
        <v>24</v>
      </c>
      <c r="F333" s="2">
        <v>46</v>
      </c>
      <c r="G333" s="2">
        <v>183</v>
      </c>
      <c r="H333" s="9">
        <f t="shared" si="5"/>
        <v>13.735853563856788</v>
      </c>
      <c r="I333" s="2" t="str" cm="1">
        <f t="array" ref="I333">_xlfn.IFS(F333&gt;=100,"Over weight",F333&lt;100,"Average weight")</f>
        <v>Average weight</v>
      </c>
      <c r="J333" s="2" t="str" cm="1">
        <f t="array" ref="J333">_xlfn.IFS(G333&lt;164,"Below Average height",G333&gt;=165,"Above Average height",G333=164,"Average height")</f>
        <v>Above Average height</v>
      </c>
      <c r="K333" s="2" t="str" cm="1">
        <f t="array" ref="K333">_xlfn.IFS(E333&lt;=16,"Children",E333&lt;=30,"Young Adults",E333&lt;=45,"Middle-aged Adults",E333&gt;45,"Old Adults")</f>
        <v>Young Adults</v>
      </c>
    </row>
    <row r="334" spans="1:11" x14ac:dyDescent="0.45">
      <c r="A334" s="2">
        <v>390</v>
      </c>
      <c r="B334" s="2" t="s">
        <v>495</v>
      </c>
      <c r="C334" s="2" t="s">
        <v>89</v>
      </c>
      <c r="D334" s="2" t="s">
        <v>58</v>
      </c>
      <c r="E334" s="2">
        <v>33</v>
      </c>
      <c r="F334" s="2">
        <v>82</v>
      </c>
      <c r="G334" s="2">
        <v>180</v>
      </c>
      <c r="H334" s="9">
        <f t="shared" si="5"/>
        <v>25.308641975308639</v>
      </c>
      <c r="I334" s="2" t="str" cm="1">
        <f t="array" ref="I334">_xlfn.IFS(F334&gt;=100,"Over weight",F334&lt;100,"Average weight")</f>
        <v>Average weight</v>
      </c>
      <c r="J334" s="2" t="str" cm="1">
        <f t="array" ref="J334">_xlfn.IFS(G334&lt;164,"Below Average height",G334&gt;=165,"Above Average height",G334=164,"Average height")</f>
        <v>Above Average height</v>
      </c>
      <c r="K334" s="2" t="str" cm="1">
        <f t="array" ref="K334">_xlfn.IFS(E334&lt;=16,"Children",E334&lt;=30,"Young Adults",E334&lt;=45,"Middle-aged Adults",E334&gt;45,"Old Adults")</f>
        <v>Middle-aged Adults</v>
      </c>
    </row>
    <row r="335" spans="1:11" x14ac:dyDescent="0.45">
      <c r="A335" s="2">
        <v>391</v>
      </c>
      <c r="B335" s="2" t="s">
        <v>496</v>
      </c>
      <c r="C335" s="2" t="s">
        <v>85</v>
      </c>
      <c r="D335" s="2" t="s">
        <v>73</v>
      </c>
      <c r="E335" s="2">
        <v>21</v>
      </c>
      <c r="F335" s="2">
        <v>76</v>
      </c>
      <c r="G335" s="2">
        <v>173</v>
      </c>
      <c r="H335" s="9">
        <f t="shared" si="5"/>
        <v>25.393431120318084</v>
      </c>
      <c r="I335" s="2" t="str" cm="1">
        <f t="array" ref="I335">_xlfn.IFS(F335&gt;=100,"Over weight",F335&lt;100,"Average weight")</f>
        <v>Average weight</v>
      </c>
      <c r="J335" s="2" t="str" cm="1">
        <f t="array" ref="J335">_xlfn.IFS(G335&lt;164,"Below Average height",G335&gt;=165,"Above Average height",G335=164,"Average height")</f>
        <v>Above Average height</v>
      </c>
      <c r="K335" s="2" t="str" cm="1">
        <f t="array" ref="K335">_xlfn.IFS(E335&lt;=16,"Children",E335&lt;=30,"Young Adults",E335&lt;=45,"Middle-aged Adults",E335&gt;45,"Old Adults")</f>
        <v>Young Adults</v>
      </c>
    </row>
    <row r="336" spans="1:11" x14ac:dyDescent="0.45">
      <c r="A336" s="2">
        <v>392</v>
      </c>
      <c r="B336" s="2" t="s">
        <v>497</v>
      </c>
      <c r="C336" s="2" t="s">
        <v>93</v>
      </c>
      <c r="D336" s="2" t="s">
        <v>26</v>
      </c>
      <c r="E336" s="2">
        <v>25</v>
      </c>
      <c r="F336" s="2">
        <v>82</v>
      </c>
      <c r="G336" s="2">
        <v>176</v>
      </c>
      <c r="H336" s="9">
        <f t="shared" si="5"/>
        <v>26.472107438016529</v>
      </c>
      <c r="I336" s="2" t="str" cm="1">
        <f t="array" ref="I336">_xlfn.IFS(F336&gt;=100,"Over weight",F336&lt;100,"Average weight")</f>
        <v>Average weight</v>
      </c>
      <c r="J336" s="2" t="str" cm="1">
        <f t="array" ref="J336">_xlfn.IFS(G336&lt;164,"Below Average height",G336&gt;=165,"Above Average height",G336=164,"Average height")</f>
        <v>Above Average height</v>
      </c>
      <c r="K336" s="2" t="str" cm="1">
        <f t="array" ref="K336">_xlfn.IFS(E336&lt;=16,"Children",E336&lt;=30,"Young Adults",E336&lt;=45,"Middle-aged Adults",E336&gt;45,"Old Adults")</f>
        <v>Young Adults</v>
      </c>
    </row>
    <row r="337" spans="1:11" x14ac:dyDescent="0.45">
      <c r="A337" s="2">
        <v>393</v>
      </c>
      <c r="B337" s="2" t="s">
        <v>498</v>
      </c>
      <c r="C337" s="2" t="s">
        <v>93</v>
      </c>
      <c r="D337" s="2" t="s">
        <v>26</v>
      </c>
      <c r="E337" s="2">
        <v>30</v>
      </c>
      <c r="F337" s="2">
        <v>87</v>
      </c>
      <c r="G337" s="2">
        <v>176</v>
      </c>
      <c r="H337" s="9">
        <f t="shared" si="5"/>
        <v>28.086260330578511</v>
      </c>
      <c r="I337" s="2" t="str" cm="1">
        <f t="array" ref="I337">_xlfn.IFS(F337&gt;=100,"Over weight",F337&lt;100,"Average weight")</f>
        <v>Average weight</v>
      </c>
      <c r="J337" s="2" t="str" cm="1">
        <f t="array" ref="J337">_xlfn.IFS(G337&lt;164,"Below Average height",G337&gt;=165,"Above Average height",G337=164,"Average height")</f>
        <v>Above Average height</v>
      </c>
      <c r="K337" s="2" t="str" cm="1">
        <f t="array" ref="K337">_xlfn.IFS(E337&lt;=16,"Children",E337&lt;=30,"Young Adults",E337&lt;=45,"Middle-aged Adults",E337&gt;45,"Old Adults")</f>
        <v>Young Adults</v>
      </c>
    </row>
    <row r="338" spans="1:11" x14ac:dyDescent="0.45">
      <c r="A338" s="2">
        <v>394</v>
      </c>
      <c r="B338" s="2" t="s">
        <v>499</v>
      </c>
      <c r="C338" s="2" t="s">
        <v>88</v>
      </c>
      <c r="D338" s="2" t="s">
        <v>39</v>
      </c>
      <c r="E338" s="2">
        <v>28</v>
      </c>
      <c r="F338" s="2">
        <v>66</v>
      </c>
      <c r="G338" s="2">
        <v>173</v>
      </c>
      <c r="H338" s="9">
        <f t="shared" si="5"/>
        <v>22.052190183434128</v>
      </c>
      <c r="I338" s="2" t="str" cm="1">
        <f t="array" ref="I338">_xlfn.IFS(F338&gt;=100,"Over weight",F338&lt;100,"Average weight")</f>
        <v>Average weight</v>
      </c>
      <c r="J338" s="2" t="str" cm="1">
        <f t="array" ref="J338">_xlfn.IFS(G338&lt;164,"Below Average height",G338&gt;=165,"Above Average height",G338=164,"Average height")</f>
        <v>Above Average height</v>
      </c>
      <c r="K338" s="2" t="str" cm="1">
        <f t="array" ref="K338">_xlfn.IFS(E338&lt;=16,"Children",E338&lt;=30,"Young Adults",E338&lt;=45,"Middle-aged Adults",E338&gt;45,"Old Adults")</f>
        <v>Young Adults</v>
      </c>
    </row>
    <row r="339" spans="1:11" x14ac:dyDescent="0.45">
      <c r="A339" s="2">
        <v>395</v>
      </c>
      <c r="B339" s="2" t="s">
        <v>500</v>
      </c>
      <c r="C339" s="2" t="s">
        <v>85</v>
      </c>
      <c r="D339" s="2" t="s">
        <v>26</v>
      </c>
      <c r="E339" s="2">
        <v>28</v>
      </c>
      <c r="F339" s="2">
        <v>80</v>
      </c>
      <c r="G339" s="2">
        <v>176</v>
      </c>
      <c r="H339" s="9">
        <f t="shared" si="5"/>
        <v>25.826446280991735</v>
      </c>
      <c r="I339" s="2" t="str" cm="1">
        <f t="array" ref="I339">_xlfn.IFS(F339&gt;=100,"Over weight",F339&lt;100,"Average weight")</f>
        <v>Average weight</v>
      </c>
      <c r="J339" s="2" t="str" cm="1">
        <f t="array" ref="J339">_xlfn.IFS(G339&lt;164,"Below Average height",G339&gt;=165,"Above Average height",G339=164,"Average height")</f>
        <v>Above Average height</v>
      </c>
      <c r="K339" s="2" t="str" cm="1">
        <f t="array" ref="K339">_xlfn.IFS(E339&lt;=16,"Children",E339&lt;=30,"Young Adults",E339&lt;=45,"Middle-aged Adults",E339&gt;45,"Old Adults")</f>
        <v>Young Adults</v>
      </c>
    </row>
    <row r="340" spans="1:11" x14ac:dyDescent="0.45">
      <c r="A340" s="2">
        <v>396</v>
      </c>
      <c r="B340" s="2" t="s">
        <v>501</v>
      </c>
      <c r="C340" s="2" t="s">
        <v>89</v>
      </c>
      <c r="D340" s="2" t="s">
        <v>58</v>
      </c>
      <c r="E340" s="2">
        <v>26</v>
      </c>
      <c r="F340" s="2">
        <v>63</v>
      </c>
      <c r="G340" s="2">
        <v>174</v>
      </c>
      <c r="H340" s="9">
        <f t="shared" si="5"/>
        <v>20.808561236623067</v>
      </c>
      <c r="I340" s="2" t="str" cm="1">
        <f t="array" ref="I340">_xlfn.IFS(F340&gt;=100,"Over weight",F340&lt;100,"Average weight")</f>
        <v>Average weight</v>
      </c>
      <c r="J340" s="2" t="str" cm="1">
        <f t="array" ref="J340">_xlfn.IFS(G340&lt;164,"Below Average height",G340&gt;=165,"Above Average height",G340=164,"Average height")</f>
        <v>Above Average height</v>
      </c>
      <c r="K340" s="2" t="str" cm="1">
        <f t="array" ref="K340">_xlfn.IFS(E340&lt;=16,"Children",E340&lt;=30,"Young Adults",E340&lt;=45,"Middle-aged Adults",E340&gt;45,"Old Adults")</f>
        <v>Young Adults</v>
      </c>
    </row>
    <row r="341" spans="1:11" x14ac:dyDescent="0.45">
      <c r="A341" s="2">
        <v>397</v>
      </c>
      <c r="B341" s="2" t="s">
        <v>502</v>
      </c>
      <c r="C341" s="2" t="s">
        <v>100</v>
      </c>
      <c r="D341" s="2" t="s">
        <v>5</v>
      </c>
      <c r="E341" s="2">
        <v>25</v>
      </c>
      <c r="F341" s="2">
        <v>80</v>
      </c>
      <c r="G341" s="2">
        <v>176</v>
      </c>
      <c r="H341" s="9">
        <f t="shared" si="5"/>
        <v>25.826446280991735</v>
      </c>
      <c r="I341" s="2" t="str" cm="1">
        <f t="array" ref="I341">_xlfn.IFS(F341&gt;=100,"Over weight",F341&lt;100,"Average weight")</f>
        <v>Average weight</v>
      </c>
      <c r="J341" s="2" t="str" cm="1">
        <f t="array" ref="J341">_xlfn.IFS(G341&lt;164,"Below Average height",G341&gt;=165,"Above Average height",G341=164,"Average height")</f>
        <v>Above Average height</v>
      </c>
      <c r="K341" s="2" t="str" cm="1">
        <f t="array" ref="K341">_xlfn.IFS(E341&lt;=16,"Children",E341&lt;=30,"Young Adults",E341&lt;=45,"Middle-aged Adults",E341&gt;45,"Old Adults")</f>
        <v>Young Adults</v>
      </c>
    </row>
    <row r="342" spans="1:11" x14ac:dyDescent="0.45">
      <c r="A342" s="2">
        <v>398</v>
      </c>
      <c r="B342" s="2" t="s">
        <v>503</v>
      </c>
      <c r="C342" s="2" t="s">
        <v>85</v>
      </c>
      <c r="D342" s="2" t="s">
        <v>75</v>
      </c>
      <c r="E342" s="2">
        <v>32</v>
      </c>
      <c r="F342" s="2">
        <v>89</v>
      </c>
      <c r="G342" s="2">
        <v>184</v>
      </c>
      <c r="H342" s="9">
        <f t="shared" si="5"/>
        <v>26.287807183364837</v>
      </c>
      <c r="I342" s="2" t="str" cm="1">
        <f t="array" ref="I342">_xlfn.IFS(F342&gt;=100,"Over weight",F342&lt;100,"Average weight")</f>
        <v>Average weight</v>
      </c>
      <c r="J342" s="2" t="str" cm="1">
        <f t="array" ref="J342">_xlfn.IFS(G342&lt;164,"Below Average height",G342&gt;=165,"Above Average height",G342=164,"Average height")</f>
        <v>Above Average height</v>
      </c>
      <c r="K342" s="2" t="str" cm="1">
        <f t="array" ref="K342">_xlfn.IFS(E342&lt;=16,"Children",E342&lt;=30,"Young Adults",E342&lt;=45,"Middle-aged Adults",E342&gt;45,"Old Adults")</f>
        <v>Middle-aged Adults</v>
      </c>
    </row>
    <row r="343" spans="1:11" x14ac:dyDescent="0.45">
      <c r="A343" s="2">
        <v>399</v>
      </c>
      <c r="B343" s="2" t="s">
        <v>504</v>
      </c>
      <c r="C343" s="2" t="s">
        <v>88</v>
      </c>
      <c r="D343" s="2" t="s">
        <v>26</v>
      </c>
      <c r="E343" s="2">
        <v>32</v>
      </c>
      <c r="F343" s="2">
        <v>63</v>
      </c>
      <c r="G343" s="2">
        <v>174</v>
      </c>
      <c r="H343" s="9">
        <f t="shared" si="5"/>
        <v>20.808561236623067</v>
      </c>
      <c r="I343" s="2" t="str" cm="1">
        <f t="array" ref="I343">_xlfn.IFS(F343&gt;=100,"Over weight",F343&lt;100,"Average weight")</f>
        <v>Average weight</v>
      </c>
      <c r="J343" s="2" t="str" cm="1">
        <f t="array" ref="J343">_xlfn.IFS(G343&lt;164,"Below Average height",G343&gt;=165,"Above Average height",G343=164,"Average height")</f>
        <v>Above Average height</v>
      </c>
      <c r="K343" s="2" t="str" cm="1">
        <f t="array" ref="K343">_xlfn.IFS(E343&lt;=16,"Children",E343&lt;=30,"Young Adults",E343&lt;=45,"Middle-aged Adults",E343&gt;45,"Old Adults")</f>
        <v>Middle-aged Adults</v>
      </c>
    </row>
    <row r="344" spans="1:11" x14ac:dyDescent="0.45">
      <c r="A344" s="2">
        <v>400</v>
      </c>
      <c r="B344" s="2" t="s">
        <v>505</v>
      </c>
      <c r="C344" s="2" t="s">
        <v>89</v>
      </c>
      <c r="D344" s="2" t="s">
        <v>41</v>
      </c>
      <c r="E344" s="2">
        <v>27</v>
      </c>
      <c r="F344" s="2">
        <v>70</v>
      </c>
      <c r="G344" s="2">
        <v>170</v>
      </c>
      <c r="H344" s="9">
        <f t="shared" si="5"/>
        <v>24.221453287197235</v>
      </c>
      <c r="I344" s="2" t="str" cm="1">
        <f t="array" ref="I344">_xlfn.IFS(F344&gt;=100,"Over weight",F344&lt;100,"Average weight")</f>
        <v>Average weight</v>
      </c>
      <c r="J344" s="2" t="str" cm="1">
        <f t="array" ref="J344">_xlfn.IFS(G344&lt;164,"Below Average height",G344&gt;=165,"Above Average height",G344=164,"Average height")</f>
        <v>Above Average height</v>
      </c>
      <c r="K344" s="2" t="str" cm="1">
        <f t="array" ref="K344">_xlfn.IFS(E344&lt;=16,"Children",E344&lt;=30,"Young Adults",E344&lt;=45,"Middle-aged Adults",E344&gt;45,"Old Adults")</f>
        <v>Young Adults</v>
      </c>
    </row>
    <row r="345" spans="1:11" x14ac:dyDescent="0.45">
      <c r="A345" s="2">
        <v>401</v>
      </c>
      <c r="B345" s="2" t="s">
        <v>506</v>
      </c>
      <c r="C345" s="2" t="s">
        <v>87</v>
      </c>
      <c r="D345" s="2" t="s">
        <v>14</v>
      </c>
      <c r="E345" s="2">
        <v>27</v>
      </c>
      <c r="F345" s="2">
        <v>96</v>
      </c>
      <c r="G345" s="2">
        <v>185</v>
      </c>
      <c r="H345" s="9">
        <f t="shared" si="5"/>
        <v>28.049671292914532</v>
      </c>
      <c r="I345" s="2" t="str" cm="1">
        <f t="array" ref="I345">_xlfn.IFS(F345&gt;=100,"Over weight",F345&lt;100,"Average weight")</f>
        <v>Average weight</v>
      </c>
      <c r="J345" s="2" t="str" cm="1">
        <f t="array" ref="J345">_xlfn.IFS(G345&lt;164,"Below Average height",G345&gt;=165,"Above Average height",G345=164,"Average height")</f>
        <v>Above Average height</v>
      </c>
      <c r="K345" s="2" t="str" cm="1">
        <f t="array" ref="K345">_xlfn.IFS(E345&lt;=16,"Children",E345&lt;=30,"Young Adults",E345&lt;=45,"Middle-aged Adults",E345&gt;45,"Old Adults")</f>
        <v>Young Adults</v>
      </c>
    </row>
    <row r="346" spans="1:11" x14ac:dyDescent="0.45">
      <c r="A346" s="2">
        <v>404</v>
      </c>
      <c r="B346" s="2" t="s">
        <v>509</v>
      </c>
      <c r="C346" s="2" t="s">
        <v>92</v>
      </c>
      <c r="D346" s="2" t="s">
        <v>39</v>
      </c>
      <c r="E346" s="2">
        <v>19</v>
      </c>
      <c r="F346" s="2">
        <v>70</v>
      </c>
      <c r="G346" s="2">
        <v>183</v>
      </c>
      <c r="H346" s="9">
        <f t="shared" si="5"/>
        <v>20.902385858042937</v>
      </c>
      <c r="I346" s="2" t="str" cm="1">
        <f t="array" ref="I346">_xlfn.IFS(F346&gt;=100,"Over weight",F346&lt;100,"Average weight")</f>
        <v>Average weight</v>
      </c>
      <c r="J346" s="2" t="str" cm="1">
        <f t="array" ref="J346">_xlfn.IFS(G346&lt;164,"Below Average height",G346&gt;=165,"Above Average height",G346=164,"Average height")</f>
        <v>Above Average height</v>
      </c>
      <c r="K346" s="2" t="str" cm="1">
        <f t="array" ref="K346">_xlfn.IFS(E346&lt;=16,"Children",E346&lt;=30,"Young Adults",E346&lt;=45,"Middle-aged Adults",E346&gt;45,"Old Adults")</f>
        <v>Young Adults</v>
      </c>
    </row>
    <row r="347" spans="1:11" x14ac:dyDescent="0.45">
      <c r="A347" s="2">
        <v>406</v>
      </c>
      <c r="B347" s="2" t="s">
        <v>511</v>
      </c>
      <c r="C347" s="2" t="s">
        <v>91</v>
      </c>
      <c r="D347" s="2" t="s">
        <v>8</v>
      </c>
      <c r="E347" s="2">
        <v>23</v>
      </c>
      <c r="F347" s="2">
        <v>80</v>
      </c>
      <c r="G347" s="2">
        <v>183</v>
      </c>
      <c r="H347" s="9">
        <f t="shared" si="5"/>
        <v>23.888440980620498</v>
      </c>
      <c r="I347" s="2" t="str" cm="1">
        <f t="array" ref="I347">_xlfn.IFS(F347&gt;=100,"Over weight",F347&lt;100,"Average weight")</f>
        <v>Average weight</v>
      </c>
      <c r="J347" s="2" t="str" cm="1">
        <f t="array" ref="J347">_xlfn.IFS(G347&lt;164,"Below Average height",G347&gt;=165,"Above Average height",G347=164,"Average height")</f>
        <v>Above Average height</v>
      </c>
      <c r="K347" s="2" t="str" cm="1">
        <f t="array" ref="K347">_xlfn.IFS(E347&lt;=16,"Children",E347&lt;=30,"Young Adults",E347&lt;=45,"Middle-aged Adults",E347&gt;45,"Old Adults")</f>
        <v>Young Adults</v>
      </c>
    </row>
    <row r="348" spans="1:11" x14ac:dyDescent="0.45">
      <c r="A348" s="2">
        <v>407</v>
      </c>
      <c r="B348" s="2" t="s">
        <v>512</v>
      </c>
      <c r="C348" s="2" t="s">
        <v>91</v>
      </c>
      <c r="D348" s="2" t="s">
        <v>70</v>
      </c>
      <c r="E348" s="2">
        <v>35</v>
      </c>
      <c r="F348" s="2">
        <v>91</v>
      </c>
      <c r="G348" s="2">
        <v>183</v>
      </c>
      <c r="H348" s="9">
        <f t="shared" si="5"/>
        <v>27.173101615455817</v>
      </c>
      <c r="I348" s="2" t="str" cm="1">
        <f t="array" ref="I348">_xlfn.IFS(F348&gt;=100,"Over weight",F348&lt;100,"Average weight")</f>
        <v>Average weight</v>
      </c>
      <c r="J348" s="2" t="str" cm="1">
        <f t="array" ref="J348">_xlfn.IFS(G348&lt;164,"Below Average height",G348&gt;=165,"Above Average height",G348=164,"Average height")</f>
        <v>Above Average height</v>
      </c>
      <c r="K348" s="2" t="str" cm="1">
        <f t="array" ref="K348">_xlfn.IFS(E348&lt;=16,"Children",E348&lt;=30,"Young Adults",E348&lt;=45,"Middle-aged Adults",E348&gt;45,"Old Adults")</f>
        <v>Middle-aged Adults</v>
      </c>
    </row>
    <row r="349" spans="1:11" x14ac:dyDescent="0.45">
      <c r="A349" s="2">
        <v>408</v>
      </c>
      <c r="B349" s="2" t="s">
        <v>513</v>
      </c>
      <c r="C349" s="2" t="s">
        <v>97</v>
      </c>
      <c r="D349" s="2" t="s">
        <v>80</v>
      </c>
      <c r="E349" s="2">
        <v>29</v>
      </c>
      <c r="F349" s="2">
        <v>66</v>
      </c>
      <c r="G349" s="2">
        <v>179</v>
      </c>
      <c r="H349" s="9">
        <f t="shared" si="5"/>
        <v>20.598608033457133</v>
      </c>
      <c r="I349" s="2" t="str" cm="1">
        <f t="array" ref="I349">_xlfn.IFS(F349&gt;=100,"Over weight",F349&lt;100,"Average weight")</f>
        <v>Average weight</v>
      </c>
      <c r="J349" s="2" t="str" cm="1">
        <f t="array" ref="J349">_xlfn.IFS(G349&lt;164,"Below Average height",G349&gt;=165,"Above Average height",G349=164,"Average height")</f>
        <v>Above Average height</v>
      </c>
      <c r="K349" s="2" t="str" cm="1">
        <f t="array" ref="K349">_xlfn.IFS(E349&lt;=16,"Children",E349&lt;=30,"Young Adults",E349&lt;=45,"Middle-aged Adults",E349&gt;45,"Old Adults")</f>
        <v>Young Adults</v>
      </c>
    </row>
    <row r="350" spans="1:11" x14ac:dyDescent="0.45">
      <c r="A350" s="2">
        <v>409</v>
      </c>
      <c r="B350" s="2" t="s">
        <v>514</v>
      </c>
      <c r="C350" s="2" t="s">
        <v>95</v>
      </c>
      <c r="D350" s="2" t="s">
        <v>66</v>
      </c>
      <c r="E350" s="2">
        <v>38</v>
      </c>
      <c r="F350" s="2">
        <v>103</v>
      </c>
      <c r="G350" s="2">
        <v>184</v>
      </c>
      <c r="H350" s="9">
        <f t="shared" si="5"/>
        <v>30.42296786389414</v>
      </c>
      <c r="I350" s="2" t="str" cm="1">
        <f t="array" ref="I350">_xlfn.IFS(F350&gt;=100,"Over weight",F350&lt;100,"Average weight")</f>
        <v>Over weight</v>
      </c>
      <c r="J350" s="2" t="str" cm="1">
        <f t="array" ref="J350">_xlfn.IFS(G350&lt;164,"Below Average height",G350&gt;=165,"Above Average height",G350=164,"Average height")</f>
        <v>Above Average height</v>
      </c>
      <c r="K350" s="2" t="str" cm="1">
        <f t="array" ref="K350">_xlfn.IFS(E350&lt;=16,"Children",E350&lt;=30,"Young Adults",E350&lt;=45,"Middle-aged Adults",E350&gt;45,"Old Adults")</f>
        <v>Middle-aged Adults</v>
      </c>
    </row>
    <row r="351" spans="1:11" x14ac:dyDescent="0.45">
      <c r="A351" s="2">
        <v>410</v>
      </c>
      <c r="B351" s="2" t="s">
        <v>515</v>
      </c>
      <c r="C351" s="2" t="s">
        <v>87</v>
      </c>
      <c r="D351" s="2" t="s">
        <v>80</v>
      </c>
      <c r="E351" s="2">
        <v>22</v>
      </c>
      <c r="F351" s="2">
        <v>79</v>
      </c>
      <c r="G351" s="2">
        <v>170</v>
      </c>
      <c r="H351" s="9">
        <f t="shared" si="5"/>
        <v>27.335640138408309</v>
      </c>
      <c r="I351" s="2" t="str" cm="1">
        <f t="array" ref="I351">_xlfn.IFS(F351&gt;=100,"Over weight",F351&lt;100,"Average weight")</f>
        <v>Average weight</v>
      </c>
      <c r="J351" s="2" t="str" cm="1">
        <f t="array" ref="J351">_xlfn.IFS(G351&lt;164,"Below Average height",G351&gt;=165,"Above Average height",G351=164,"Average height")</f>
        <v>Above Average height</v>
      </c>
      <c r="K351" s="2" t="str" cm="1">
        <f t="array" ref="K351">_xlfn.IFS(E351&lt;=16,"Children",E351&lt;=30,"Young Adults",E351&lt;=45,"Middle-aged Adults",E351&gt;45,"Old Adults")</f>
        <v>Young Adults</v>
      </c>
    </row>
    <row r="352" spans="1:11" x14ac:dyDescent="0.45">
      <c r="A352" s="2">
        <v>411</v>
      </c>
      <c r="B352" s="2" t="s">
        <v>516</v>
      </c>
      <c r="C352" s="2" t="s">
        <v>91</v>
      </c>
      <c r="D352" s="2" t="s">
        <v>8</v>
      </c>
      <c r="E352" s="2">
        <v>25</v>
      </c>
      <c r="F352" s="2">
        <v>94</v>
      </c>
      <c r="G352" s="2">
        <v>181</v>
      </c>
      <c r="H352" s="9">
        <f t="shared" si="5"/>
        <v>28.692652849424622</v>
      </c>
      <c r="I352" s="2" t="str" cm="1">
        <f t="array" ref="I352">_xlfn.IFS(F352&gt;=100,"Over weight",F352&lt;100,"Average weight")</f>
        <v>Average weight</v>
      </c>
      <c r="J352" s="2" t="str" cm="1">
        <f t="array" ref="J352">_xlfn.IFS(G352&lt;164,"Below Average height",G352&gt;=165,"Above Average height",G352=164,"Average height")</f>
        <v>Above Average height</v>
      </c>
      <c r="K352" s="2" t="str" cm="1">
        <f t="array" ref="K352">_xlfn.IFS(E352&lt;=16,"Children",E352&lt;=30,"Young Adults",E352&lt;=45,"Middle-aged Adults",E352&gt;45,"Old Adults")</f>
        <v>Young Adults</v>
      </c>
    </row>
    <row r="353" spans="1:11" x14ac:dyDescent="0.45">
      <c r="A353" s="2">
        <v>414</v>
      </c>
      <c r="B353" s="2" t="s">
        <v>519</v>
      </c>
      <c r="C353" s="2" t="s">
        <v>87</v>
      </c>
      <c r="D353" s="2" t="s">
        <v>80</v>
      </c>
      <c r="E353" s="2">
        <v>22</v>
      </c>
      <c r="F353" s="2">
        <v>70</v>
      </c>
      <c r="G353" s="2">
        <v>173</v>
      </c>
      <c r="H353" s="9">
        <f t="shared" si="5"/>
        <v>23.388686558187711</v>
      </c>
      <c r="I353" s="2" t="str" cm="1">
        <f t="array" ref="I353">_xlfn.IFS(F353&gt;=100,"Over weight",F353&lt;100,"Average weight")</f>
        <v>Average weight</v>
      </c>
      <c r="J353" s="2" t="str" cm="1">
        <f t="array" ref="J353">_xlfn.IFS(G353&lt;164,"Below Average height",G353&gt;=165,"Above Average height",G353=164,"Average height")</f>
        <v>Above Average height</v>
      </c>
      <c r="K353" s="2" t="str" cm="1">
        <f t="array" ref="K353">_xlfn.IFS(E353&lt;=16,"Children",E353&lt;=30,"Young Adults",E353&lt;=45,"Middle-aged Adults",E353&gt;45,"Old Adults")</f>
        <v>Young Adults</v>
      </c>
    </row>
    <row r="354" spans="1:11" x14ac:dyDescent="0.45">
      <c r="A354" s="2">
        <v>415</v>
      </c>
      <c r="B354" s="2" t="s">
        <v>520</v>
      </c>
      <c r="C354" s="2" t="s">
        <v>88</v>
      </c>
      <c r="D354" s="2" t="s">
        <v>79</v>
      </c>
      <c r="E354" s="2">
        <v>33</v>
      </c>
      <c r="F354" s="2">
        <v>70</v>
      </c>
      <c r="G354" s="2">
        <v>173</v>
      </c>
      <c r="H354" s="9">
        <f t="shared" si="5"/>
        <v>23.388686558187711</v>
      </c>
      <c r="I354" s="2" t="str" cm="1">
        <f t="array" ref="I354">_xlfn.IFS(F354&gt;=100,"Over weight",F354&lt;100,"Average weight")</f>
        <v>Average weight</v>
      </c>
      <c r="J354" s="2" t="str" cm="1">
        <f t="array" ref="J354">_xlfn.IFS(G354&lt;164,"Below Average height",G354&gt;=165,"Above Average height",G354=164,"Average height")</f>
        <v>Above Average height</v>
      </c>
      <c r="K354" s="2" t="str" cm="1">
        <f t="array" ref="K354">_xlfn.IFS(E354&lt;=16,"Children",E354&lt;=30,"Young Adults",E354&lt;=45,"Middle-aged Adults",E354&gt;45,"Old Adults")</f>
        <v>Middle-aged Adults</v>
      </c>
    </row>
    <row r="355" spans="1:11" x14ac:dyDescent="0.45">
      <c r="A355" s="2">
        <v>416</v>
      </c>
      <c r="B355" s="2" t="s">
        <v>521</v>
      </c>
      <c r="C355" s="2" t="s">
        <v>98</v>
      </c>
      <c r="D355" s="2" t="s">
        <v>80</v>
      </c>
      <c r="E355" s="2">
        <v>24</v>
      </c>
      <c r="F355" s="2">
        <v>56</v>
      </c>
      <c r="G355" s="2">
        <v>165</v>
      </c>
      <c r="H355" s="9">
        <f t="shared" si="5"/>
        <v>20.569329660238754</v>
      </c>
      <c r="I355" s="2" t="str" cm="1">
        <f t="array" ref="I355">_xlfn.IFS(F355&gt;=100,"Over weight",F355&lt;100,"Average weight")</f>
        <v>Average weight</v>
      </c>
      <c r="J355" s="2" t="str" cm="1">
        <f t="array" ref="J355">_xlfn.IFS(G355&lt;164,"Below Average height",G355&gt;=165,"Above Average height",G355=164,"Average height")</f>
        <v>Above Average height</v>
      </c>
      <c r="K355" s="2" t="str" cm="1">
        <f t="array" ref="K355">_xlfn.IFS(E355&lt;=16,"Children",E355&lt;=30,"Young Adults",E355&lt;=45,"Middle-aged Adults",E355&gt;45,"Old Adults")</f>
        <v>Young Adults</v>
      </c>
    </row>
    <row r="356" spans="1:11" x14ac:dyDescent="0.45">
      <c r="A356" s="2">
        <v>417</v>
      </c>
      <c r="B356" s="2" t="s">
        <v>522</v>
      </c>
      <c r="C356" s="2" t="s">
        <v>91</v>
      </c>
      <c r="D356" s="2" t="s">
        <v>75</v>
      </c>
      <c r="E356" s="2">
        <v>27</v>
      </c>
      <c r="F356" s="2">
        <v>86</v>
      </c>
      <c r="G356" s="2">
        <v>186</v>
      </c>
      <c r="H356" s="9">
        <f t="shared" si="5"/>
        <v>24.858365128916635</v>
      </c>
      <c r="I356" s="2" t="str" cm="1">
        <f t="array" ref="I356">_xlfn.IFS(F356&gt;=100,"Over weight",F356&lt;100,"Average weight")</f>
        <v>Average weight</v>
      </c>
      <c r="J356" s="2" t="str" cm="1">
        <f t="array" ref="J356">_xlfn.IFS(G356&lt;164,"Below Average height",G356&gt;=165,"Above Average height",G356=164,"Average height")</f>
        <v>Above Average height</v>
      </c>
      <c r="K356" s="2" t="str" cm="1">
        <f t="array" ref="K356">_xlfn.IFS(E356&lt;=16,"Children",E356&lt;=30,"Young Adults",E356&lt;=45,"Middle-aged Adults",E356&gt;45,"Old Adults")</f>
        <v>Young Adults</v>
      </c>
    </row>
    <row r="357" spans="1:11" x14ac:dyDescent="0.45">
      <c r="A357" s="2">
        <v>418</v>
      </c>
      <c r="B357" s="2" t="s">
        <v>523</v>
      </c>
      <c r="C357" s="2" t="s">
        <v>88</v>
      </c>
      <c r="D357" s="2" t="s">
        <v>79</v>
      </c>
      <c r="E357" s="2">
        <v>32</v>
      </c>
      <c r="F357" s="2">
        <v>78</v>
      </c>
      <c r="G357" s="2">
        <v>188</v>
      </c>
      <c r="H357" s="9">
        <f t="shared" si="5"/>
        <v>22.068809416025353</v>
      </c>
      <c r="I357" s="2" t="str" cm="1">
        <f t="array" ref="I357">_xlfn.IFS(F357&gt;=100,"Over weight",F357&lt;100,"Average weight")</f>
        <v>Average weight</v>
      </c>
      <c r="J357" s="2" t="str" cm="1">
        <f t="array" ref="J357">_xlfn.IFS(G357&lt;164,"Below Average height",G357&gt;=165,"Above Average height",G357=164,"Average height")</f>
        <v>Above Average height</v>
      </c>
      <c r="K357" s="2" t="str" cm="1">
        <f t="array" ref="K357">_xlfn.IFS(E357&lt;=16,"Children",E357&lt;=30,"Young Adults",E357&lt;=45,"Middle-aged Adults",E357&gt;45,"Old Adults")</f>
        <v>Middle-aged Adults</v>
      </c>
    </row>
    <row r="358" spans="1:11" x14ac:dyDescent="0.45">
      <c r="A358" s="2">
        <v>419</v>
      </c>
      <c r="B358" s="2" t="s">
        <v>524</v>
      </c>
      <c r="C358" s="2" t="s">
        <v>92</v>
      </c>
      <c r="D358" s="2" t="s">
        <v>26</v>
      </c>
      <c r="E358" s="2">
        <v>26</v>
      </c>
      <c r="F358" s="2">
        <v>58</v>
      </c>
      <c r="G358" s="2">
        <v>173</v>
      </c>
      <c r="H358" s="9">
        <f t="shared" si="5"/>
        <v>19.379197433926961</v>
      </c>
      <c r="I358" s="2" t="str" cm="1">
        <f t="array" ref="I358">_xlfn.IFS(F358&gt;=100,"Over weight",F358&lt;100,"Average weight")</f>
        <v>Average weight</v>
      </c>
      <c r="J358" s="2" t="str" cm="1">
        <f t="array" ref="J358">_xlfn.IFS(G358&lt;164,"Below Average height",G358&gt;=165,"Above Average height",G358=164,"Average height")</f>
        <v>Above Average height</v>
      </c>
      <c r="K358" s="2" t="str" cm="1">
        <f t="array" ref="K358">_xlfn.IFS(E358&lt;=16,"Children",E358&lt;=30,"Young Adults",E358&lt;=45,"Middle-aged Adults",E358&gt;45,"Old Adults")</f>
        <v>Young Adults</v>
      </c>
    </row>
    <row r="359" spans="1:11" x14ac:dyDescent="0.45">
      <c r="A359" s="2">
        <v>421</v>
      </c>
      <c r="B359" s="2" t="s">
        <v>526</v>
      </c>
      <c r="C359" s="2" t="s">
        <v>93</v>
      </c>
      <c r="D359" s="2" t="s">
        <v>66</v>
      </c>
      <c r="E359" s="2">
        <v>29</v>
      </c>
      <c r="F359" s="2">
        <v>72</v>
      </c>
      <c r="G359" s="2">
        <v>165</v>
      </c>
      <c r="H359" s="9">
        <f t="shared" si="5"/>
        <v>26.446280991735541</v>
      </c>
      <c r="I359" s="2" t="str" cm="1">
        <f t="array" ref="I359">_xlfn.IFS(F359&gt;=100,"Over weight",F359&lt;100,"Average weight")</f>
        <v>Average weight</v>
      </c>
      <c r="J359" s="2" t="str" cm="1">
        <f t="array" ref="J359">_xlfn.IFS(G359&lt;164,"Below Average height",G359&gt;=165,"Above Average height",G359=164,"Average height")</f>
        <v>Above Average height</v>
      </c>
      <c r="K359" s="2" t="str" cm="1">
        <f t="array" ref="K359">_xlfn.IFS(E359&lt;=16,"Children",E359&lt;=30,"Young Adults",E359&lt;=45,"Middle-aged Adults",E359&gt;45,"Old Adults")</f>
        <v>Young Adults</v>
      </c>
    </row>
    <row r="360" spans="1:11" x14ac:dyDescent="0.45">
      <c r="A360" s="2">
        <v>422</v>
      </c>
      <c r="B360" s="2" t="s">
        <v>527</v>
      </c>
      <c r="C360" s="2" t="s">
        <v>85</v>
      </c>
      <c r="D360" s="2" t="s">
        <v>75</v>
      </c>
      <c r="E360" s="2">
        <v>23</v>
      </c>
      <c r="F360" s="2">
        <v>67</v>
      </c>
      <c r="G360" s="2">
        <v>170</v>
      </c>
      <c r="H360" s="9">
        <f t="shared" si="5"/>
        <v>23.183391003460208</v>
      </c>
      <c r="I360" s="2" t="str" cm="1">
        <f t="array" ref="I360">_xlfn.IFS(F360&gt;=100,"Over weight",F360&lt;100,"Average weight")</f>
        <v>Average weight</v>
      </c>
      <c r="J360" s="2" t="str" cm="1">
        <f t="array" ref="J360">_xlfn.IFS(G360&lt;164,"Below Average height",G360&gt;=165,"Above Average height",G360=164,"Average height")</f>
        <v>Above Average height</v>
      </c>
      <c r="K360" s="2" t="str" cm="1">
        <f t="array" ref="K360">_xlfn.IFS(E360&lt;=16,"Children",E360&lt;=30,"Young Adults",E360&lt;=45,"Middle-aged Adults",E360&gt;45,"Old Adults")</f>
        <v>Young Adults</v>
      </c>
    </row>
    <row r="361" spans="1:11" x14ac:dyDescent="0.45">
      <c r="A361" s="2">
        <v>423</v>
      </c>
      <c r="B361" s="2" t="s">
        <v>528</v>
      </c>
      <c r="C361" s="2" t="s">
        <v>91</v>
      </c>
      <c r="D361" s="2" t="s">
        <v>66</v>
      </c>
      <c r="E361" s="2">
        <v>25</v>
      </c>
      <c r="F361" s="2">
        <v>62</v>
      </c>
      <c r="G361" s="2">
        <v>173</v>
      </c>
      <c r="H361" s="9">
        <f t="shared" si="5"/>
        <v>20.715693808680545</v>
      </c>
      <c r="I361" s="2" t="str" cm="1">
        <f t="array" ref="I361">_xlfn.IFS(F361&gt;=100,"Over weight",F361&lt;100,"Average weight")</f>
        <v>Average weight</v>
      </c>
      <c r="J361" s="2" t="str" cm="1">
        <f t="array" ref="J361">_xlfn.IFS(G361&lt;164,"Below Average height",G361&gt;=165,"Above Average height",G361=164,"Average height")</f>
        <v>Above Average height</v>
      </c>
      <c r="K361" s="2" t="str" cm="1">
        <f t="array" ref="K361">_xlfn.IFS(E361&lt;=16,"Children",E361&lt;=30,"Young Adults",E361&lt;=45,"Middle-aged Adults",E361&gt;45,"Old Adults")</f>
        <v>Young Adults</v>
      </c>
    </row>
    <row r="362" spans="1:11" x14ac:dyDescent="0.45">
      <c r="A362" s="2">
        <v>424</v>
      </c>
      <c r="B362" s="2" t="s">
        <v>529</v>
      </c>
      <c r="C362" s="2" t="s">
        <v>85</v>
      </c>
      <c r="D362" s="2" t="s">
        <v>39</v>
      </c>
      <c r="E362" s="2">
        <v>29</v>
      </c>
      <c r="F362" s="2">
        <v>81</v>
      </c>
      <c r="G362" s="2">
        <v>174</v>
      </c>
      <c r="H362" s="9">
        <f t="shared" si="5"/>
        <v>26.753864447086801</v>
      </c>
      <c r="I362" s="2" t="str" cm="1">
        <f t="array" ref="I362">_xlfn.IFS(F362&gt;=100,"Over weight",F362&lt;100,"Average weight")</f>
        <v>Average weight</v>
      </c>
      <c r="J362" s="2" t="str" cm="1">
        <f t="array" ref="J362">_xlfn.IFS(G362&lt;164,"Below Average height",G362&gt;=165,"Above Average height",G362=164,"Average height")</f>
        <v>Above Average height</v>
      </c>
      <c r="K362" s="2" t="str" cm="1">
        <f t="array" ref="K362">_xlfn.IFS(E362&lt;=16,"Children",E362&lt;=30,"Young Adults",E362&lt;=45,"Middle-aged Adults",E362&gt;45,"Old Adults")</f>
        <v>Young Adults</v>
      </c>
    </row>
    <row r="363" spans="1:11" x14ac:dyDescent="0.45">
      <c r="A363" s="2">
        <v>425</v>
      </c>
      <c r="B363" s="2" t="s">
        <v>530</v>
      </c>
      <c r="C363" s="2" t="s">
        <v>94</v>
      </c>
      <c r="D363" s="2" t="s">
        <v>66</v>
      </c>
      <c r="E363" s="2">
        <v>24</v>
      </c>
      <c r="F363" s="2">
        <v>84</v>
      </c>
      <c r="G363" s="2">
        <v>189</v>
      </c>
      <c r="H363" s="9">
        <f t="shared" si="5"/>
        <v>23.515579071134628</v>
      </c>
      <c r="I363" s="2" t="str" cm="1">
        <f t="array" ref="I363">_xlfn.IFS(F363&gt;=100,"Over weight",F363&lt;100,"Average weight")</f>
        <v>Average weight</v>
      </c>
      <c r="J363" s="2" t="str" cm="1">
        <f t="array" ref="J363">_xlfn.IFS(G363&lt;164,"Below Average height",G363&gt;=165,"Above Average height",G363=164,"Average height")</f>
        <v>Above Average height</v>
      </c>
      <c r="K363" s="2" t="str" cm="1">
        <f t="array" ref="K363">_xlfn.IFS(E363&lt;=16,"Children",E363&lt;=30,"Young Adults",E363&lt;=45,"Middle-aged Adults",E363&gt;45,"Old Adults")</f>
        <v>Young Adults</v>
      </c>
    </row>
    <row r="364" spans="1:11" x14ac:dyDescent="0.45">
      <c r="A364" s="2">
        <v>426</v>
      </c>
      <c r="B364" s="2" t="s">
        <v>531</v>
      </c>
      <c r="C364" s="2" t="s">
        <v>94</v>
      </c>
      <c r="D364" s="2" t="s">
        <v>39</v>
      </c>
      <c r="E364" s="2">
        <v>37</v>
      </c>
      <c r="F364" s="2">
        <v>68</v>
      </c>
      <c r="G364" s="2">
        <v>175</v>
      </c>
      <c r="H364" s="9">
        <f t="shared" si="5"/>
        <v>22.204081632653061</v>
      </c>
      <c r="I364" s="2" t="str" cm="1">
        <f t="array" ref="I364">_xlfn.IFS(F364&gt;=100,"Over weight",F364&lt;100,"Average weight")</f>
        <v>Average weight</v>
      </c>
      <c r="J364" s="2" t="str" cm="1">
        <f t="array" ref="J364">_xlfn.IFS(G364&lt;164,"Below Average height",G364&gt;=165,"Above Average height",G364=164,"Average height")</f>
        <v>Above Average height</v>
      </c>
      <c r="K364" s="2" t="str" cm="1">
        <f t="array" ref="K364">_xlfn.IFS(E364&lt;=16,"Children",E364&lt;=30,"Young Adults",E364&lt;=45,"Middle-aged Adults",E364&gt;45,"Old Adults")</f>
        <v>Middle-aged Adults</v>
      </c>
    </row>
    <row r="365" spans="1:11" x14ac:dyDescent="0.45">
      <c r="A365" s="2">
        <v>427</v>
      </c>
      <c r="B365" s="2" t="s">
        <v>532</v>
      </c>
      <c r="C365" s="2" t="s">
        <v>91</v>
      </c>
      <c r="D365" s="2" t="s">
        <v>75</v>
      </c>
      <c r="E365" s="2">
        <v>24</v>
      </c>
      <c r="F365" s="2">
        <v>88</v>
      </c>
      <c r="G365" s="2">
        <v>181</v>
      </c>
      <c r="H365" s="9">
        <f t="shared" si="5"/>
        <v>26.861206922865602</v>
      </c>
      <c r="I365" s="2" t="str" cm="1">
        <f t="array" ref="I365">_xlfn.IFS(F365&gt;=100,"Over weight",F365&lt;100,"Average weight")</f>
        <v>Average weight</v>
      </c>
      <c r="J365" s="2" t="str" cm="1">
        <f t="array" ref="J365">_xlfn.IFS(G365&lt;164,"Below Average height",G365&gt;=165,"Above Average height",G365=164,"Average height")</f>
        <v>Above Average height</v>
      </c>
      <c r="K365" s="2" t="str" cm="1">
        <f t="array" ref="K365">_xlfn.IFS(E365&lt;=16,"Children",E365&lt;=30,"Young Adults",E365&lt;=45,"Middle-aged Adults",E365&gt;45,"Old Adults")</f>
        <v>Young Adults</v>
      </c>
    </row>
    <row r="366" spans="1:11" x14ac:dyDescent="0.45">
      <c r="A366" s="2">
        <v>429</v>
      </c>
      <c r="B366" s="2" t="s">
        <v>534</v>
      </c>
      <c r="C366" s="2" t="s">
        <v>85</v>
      </c>
      <c r="D366" s="2" t="s">
        <v>31</v>
      </c>
      <c r="E366" s="2">
        <v>31</v>
      </c>
      <c r="F366" s="2">
        <v>89</v>
      </c>
      <c r="G366" s="2">
        <v>178</v>
      </c>
      <c r="H366" s="9">
        <f t="shared" si="5"/>
        <v>28.089887640449437</v>
      </c>
      <c r="I366" s="2" t="str" cm="1">
        <f t="array" ref="I366">_xlfn.IFS(F366&gt;=100,"Over weight",F366&lt;100,"Average weight")</f>
        <v>Average weight</v>
      </c>
      <c r="J366" s="2" t="str" cm="1">
        <f t="array" ref="J366">_xlfn.IFS(G366&lt;164,"Below Average height",G366&gt;=165,"Above Average height",G366=164,"Average height")</f>
        <v>Above Average height</v>
      </c>
      <c r="K366" s="2" t="str" cm="1">
        <f t="array" ref="K366">_xlfn.IFS(E366&lt;=16,"Children",E366&lt;=30,"Young Adults",E366&lt;=45,"Middle-aged Adults",E366&gt;45,"Old Adults")</f>
        <v>Middle-aged Adults</v>
      </c>
    </row>
    <row r="367" spans="1:11" x14ac:dyDescent="0.45">
      <c r="A367" s="2">
        <v>430</v>
      </c>
      <c r="B367" s="2" t="s">
        <v>535</v>
      </c>
      <c r="C367" s="2" t="s">
        <v>85</v>
      </c>
      <c r="D367" s="2" t="s">
        <v>14</v>
      </c>
      <c r="E367" s="2">
        <v>25</v>
      </c>
      <c r="F367" s="2">
        <v>84</v>
      </c>
      <c r="G367" s="2">
        <v>175</v>
      </c>
      <c r="H367" s="9">
        <f t="shared" si="5"/>
        <v>27.428571428571427</v>
      </c>
      <c r="I367" s="2" t="str" cm="1">
        <f t="array" ref="I367">_xlfn.IFS(F367&gt;=100,"Over weight",F367&lt;100,"Average weight")</f>
        <v>Average weight</v>
      </c>
      <c r="J367" s="2" t="str" cm="1">
        <f t="array" ref="J367">_xlfn.IFS(G367&lt;164,"Below Average height",G367&gt;=165,"Above Average height",G367=164,"Average height")</f>
        <v>Above Average height</v>
      </c>
      <c r="K367" s="2" t="str" cm="1">
        <f t="array" ref="K367">_xlfn.IFS(E367&lt;=16,"Children",E367&lt;=30,"Young Adults",E367&lt;=45,"Middle-aged Adults",E367&gt;45,"Old Adults")</f>
        <v>Young Adults</v>
      </c>
    </row>
    <row r="368" spans="1:11" x14ac:dyDescent="0.45">
      <c r="A368" s="2">
        <v>431</v>
      </c>
      <c r="B368" s="2" t="s">
        <v>536</v>
      </c>
      <c r="C368" s="2" t="s">
        <v>89</v>
      </c>
      <c r="D368" s="2" t="s">
        <v>59</v>
      </c>
      <c r="E368" s="2">
        <v>30</v>
      </c>
      <c r="F368" s="2">
        <v>76</v>
      </c>
      <c r="G368" s="2">
        <v>183</v>
      </c>
      <c r="H368" s="9">
        <f t="shared" si="5"/>
        <v>22.694018931589476</v>
      </c>
      <c r="I368" s="2" t="str" cm="1">
        <f t="array" ref="I368">_xlfn.IFS(F368&gt;=100,"Over weight",F368&lt;100,"Average weight")</f>
        <v>Average weight</v>
      </c>
      <c r="J368" s="2" t="str" cm="1">
        <f t="array" ref="J368">_xlfn.IFS(G368&lt;164,"Below Average height",G368&gt;=165,"Above Average height",G368=164,"Average height")</f>
        <v>Above Average height</v>
      </c>
      <c r="K368" s="2" t="str" cm="1">
        <f t="array" ref="K368">_xlfn.IFS(E368&lt;=16,"Children",E368&lt;=30,"Young Adults",E368&lt;=45,"Middle-aged Adults",E368&gt;45,"Old Adults")</f>
        <v>Young Adults</v>
      </c>
    </row>
    <row r="369" spans="1:11" x14ac:dyDescent="0.45">
      <c r="A369" s="2">
        <v>434</v>
      </c>
      <c r="B369" s="2" t="s">
        <v>539</v>
      </c>
      <c r="C369" s="2" t="s">
        <v>89</v>
      </c>
      <c r="D369" s="2" t="s">
        <v>41</v>
      </c>
      <c r="E369" s="2">
        <v>26</v>
      </c>
      <c r="F369" s="2">
        <v>75</v>
      </c>
      <c r="G369" s="2">
        <v>177</v>
      </c>
      <c r="H369" s="9">
        <f t="shared" si="5"/>
        <v>23.93948099205209</v>
      </c>
      <c r="I369" s="2" t="str" cm="1">
        <f t="array" ref="I369">_xlfn.IFS(F369&gt;=100,"Over weight",F369&lt;100,"Average weight")</f>
        <v>Average weight</v>
      </c>
      <c r="J369" s="2" t="str" cm="1">
        <f t="array" ref="J369">_xlfn.IFS(G369&lt;164,"Below Average height",G369&gt;=165,"Above Average height",G369=164,"Average height")</f>
        <v>Above Average height</v>
      </c>
      <c r="K369" s="2" t="str" cm="1">
        <f t="array" ref="K369">_xlfn.IFS(E369&lt;=16,"Children",E369&lt;=30,"Young Adults",E369&lt;=45,"Middle-aged Adults",E369&gt;45,"Old Adults")</f>
        <v>Young Adults</v>
      </c>
    </row>
    <row r="370" spans="1:11" x14ac:dyDescent="0.45">
      <c r="A370" s="2">
        <v>435</v>
      </c>
      <c r="B370" s="2" t="s">
        <v>540</v>
      </c>
      <c r="C370" s="2" t="s">
        <v>90</v>
      </c>
      <c r="D370" s="2" t="s">
        <v>41</v>
      </c>
      <c r="E370" s="2">
        <v>30</v>
      </c>
      <c r="F370" s="2">
        <v>88</v>
      </c>
      <c r="G370" s="2">
        <v>182</v>
      </c>
      <c r="H370" s="9">
        <f t="shared" si="5"/>
        <v>26.566839753652939</v>
      </c>
      <c r="I370" s="2" t="str" cm="1">
        <f t="array" ref="I370">_xlfn.IFS(F370&gt;=100,"Over weight",F370&lt;100,"Average weight")</f>
        <v>Average weight</v>
      </c>
      <c r="J370" s="2" t="str" cm="1">
        <f t="array" ref="J370">_xlfn.IFS(G370&lt;164,"Below Average height",G370&gt;=165,"Above Average height",G370=164,"Average height")</f>
        <v>Above Average height</v>
      </c>
      <c r="K370" s="2" t="str" cm="1">
        <f t="array" ref="K370">_xlfn.IFS(E370&lt;=16,"Children",E370&lt;=30,"Young Adults",E370&lt;=45,"Middle-aged Adults",E370&gt;45,"Old Adults")</f>
        <v>Young Adults</v>
      </c>
    </row>
    <row r="371" spans="1:11" x14ac:dyDescent="0.45">
      <c r="A371" s="2">
        <v>436</v>
      </c>
      <c r="B371" s="2" t="s">
        <v>541</v>
      </c>
      <c r="C371" s="2" t="s">
        <v>88</v>
      </c>
      <c r="D371" s="2" t="s">
        <v>71</v>
      </c>
      <c r="E371" s="2">
        <v>25</v>
      </c>
      <c r="F371" s="2">
        <v>72</v>
      </c>
      <c r="G371" s="2">
        <v>178</v>
      </c>
      <c r="H371" s="9">
        <f t="shared" si="5"/>
        <v>22.724403484408533</v>
      </c>
      <c r="I371" s="2" t="str" cm="1">
        <f t="array" ref="I371">_xlfn.IFS(F371&gt;=100,"Over weight",F371&lt;100,"Average weight")</f>
        <v>Average weight</v>
      </c>
      <c r="J371" s="2" t="str" cm="1">
        <f t="array" ref="J371">_xlfn.IFS(G371&lt;164,"Below Average height",G371&gt;=165,"Above Average height",G371=164,"Average height")</f>
        <v>Above Average height</v>
      </c>
      <c r="K371" s="2" t="str" cm="1">
        <f t="array" ref="K371">_xlfn.IFS(E371&lt;=16,"Children",E371&lt;=30,"Young Adults",E371&lt;=45,"Middle-aged Adults",E371&gt;45,"Old Adults")</f>
        <v>Young Adults</v>
      </c>
    </row>
    <row r="372" spans="1:11" x14ac:dyDescent="0.45">
      <c r="A372" s="2">
        <v>438</v>
      </c>
      <c r="B372" s="2" t="s">
        <v>543</v>
      </c>
      <c r="C372" s="2" t="s">
        <v>87</v>
      </c>
      <c r="D372" s="2" t="s">
        <v>66</v>
      </c>
      <c r="E372" s="2">
        <v>27</v>
      </c>
      <c r="F372" s="2">
        <v>75</v>
      </c>
      <c r="G372" s="2">
        <v>178</v>
      </c>
      <c r="H372" s="9">
        <f t="shared" si="5"/>
        <v>23.671253629592222</v>
      </c>
      <c r="I372" s="2" t="str" cm="1">
        <f t="array" ref="I372">_xlfn.IFS(F372&gt;=100,"Over weight",F372&lt;100,"Average weight")</f>
        <v>Average weight</v>
      </c>
      <c r="J372" s="2" t="str" cm="1">
        <f t="array" ref="J372">_xlfn.IFS(G372&lt;164,"Below Average height",G372&gt;=165,"Above Average height",G372=164,"Average height")</f>
        <v>Above Average height</v>
      </c>
      <c r="K372" s="2" t="str" cm="1">
        <f t="array" ref="K372">_xlfn.IFS(E372&lt;=16,"Children",E372&lt;=30,"Young Adults",E372&lt;=45,"Middle-aged Adults",E372&gt;45,"Old Adults")</f>
        <v>Young Adults</v>
      </c>
    </row>
    <row r="373" spans="1:11" x14ac:dyDescent="0.45">
      <c r="A373" s="2">
        <v>439</v>
      </c>
      <c r="B373" s="2" t="s">
        <v>544</v>
      </c>
      <c r="C373" s="2" t="s">
        <v>94</v>
      </c>
      <c r="D373" s="2" t="s">
        <v>8</v>
      </c>
      <c r="E373" s="2">
        <v>36</v>
      </c>
      <c r="F373" s="2">
        <v>72</v>
      </c>
      <c r="G373" s="2">
        <v>176</v>
      </c>
      <c r="H373" s="9">
        <f t="shared" si="5"/>
        <v>23.243801652892564</v>
      </c>
      <c r="I373" s="2" t="str" cm="1">
        <f t="array" ref="I373">_xlfn.IFS(F373&gt;=100,"Over weight",F373&lt;100,"Average weight")</f>
        <v>Average weight</v>
      </c>
      <c r="J373" s="2" t="str" cm="1">
        <f t="array" ref="J373">_xlfn.IFS(G373&lt;164,"Below Average height",G373&gt;=165,"Above Average height",G373=164,"Average height")</f>
        <v>Above Average height</v>
      </c>
      <c r="K373" s="2" t="str" cm="1">
        <f t="array" ref="K373">_xlfn.IFS(E373&lt;=16,"Children",E373&lt;=30,"Young Adults",E373&lt;=45,"Middle-aged Adults",E373&gt;45,"Old Adults")</f>
        <v>Middle-aged Adults</v>
      </c>
    </row>
    <row r="374" spans="1:11" x14ac:dyDescent="0.45">
      <c r="A374" s="2">
        <v>440</v>
      </c>
      <c r="B374" s="2" t="s">
        <v>545</v>
      </c>
      <c r="C374" s="2" t="s">
        <v>86</v>
      </c>
      <c r="D374" s="2" t="s">
        <v>63</v>
      </c>
      <c r="E374" s="2">
        <v>23</v>
      </c>
      <c r="F374" s="2">
        <v>46</v>
      </c>
      <c r="G374" s="2">
        <v>182</v>
      </c>
      <c r="H374" s="9">
        <f t="shared" si="5"/>
        <v>13.88721168940949</v>
      </c>
      <c r="I374" s="2" t="str" cm="1">
        <f t="array" ref="I374">_xlfn.IFS(F374&gt;=100,"Over weight",F374&lt;100,"Average weight")</f>
        <v>Average weight</v>
      </c>
      <c r="J374" s="2" t="str" cm="1">
        <f t="array" ref="J374">_xlfn.IFS(G374&lt;164,"Below Average height",G374&gt;=165,"Above Average height",G374=164,"Average height")</f>
        <v>Above Average height</v>
      </c>
      <c r="K374" s="2" t="str" cm="1">
        <f t="array" ref="K374">_xlfn.IFS(E374&lt;=16,"Children",E374&lt;=30,"Young Adults",E374&lt;=45,"Middle-aged Adults",E374&gt;45,"Old Adults")</f>
        <v>Young Adults</v>
      </c>
    </row>
    <row r="375" spans="1:11" x14ac:dyDescent="0.45">
      <c r="A375" s="2">
        <v>441</v>
      </c>
      <c r="B375" s="2" t="s">
        <v>546</v>
      </c>
      <c r="C375" s="2" t="s">
        <v>88</v>
      </c>
      <c r="D375" s="2" t="s">
        <v>74</v>
      </c>
      <c r="E375" s="2">
        <v>33</v>
      </c>
      <c r="F375" s="2">
        <v>58</v>
      </c>
      <c r="G375" s="2">
        <v>165</v>
      </c>
      <c r="H375" s="9">
        <f t="shared" si="5"/>
        <v>21.30394857667585</v>
      </c>
      <c r="I375" s="2" t="str" cm="1">
        <f t="array" ref="I375">_xlfn.IFS(F375&gt;=100,"Over weight",F375&lt;100,"Average weight")</f>
        <v>Average weight</v>
      </c>
      <c r="J375" s="2" t="str" cm="1">
        <f t="array" ref="J375">_xlfn.IFS(G375&lt;164,"Below Average height",G375&gt;=165,"Above Average height",G375=164,"Average height")</f>
        <v>Above Average height</v>
      </c>
      <c r="K375" s="2" t="str" cm="1">
        <f t="array" ref="K375">_xlfn.IFS(E375&lt;=16,"Children",E375&lt;=30,"Young Adults",E375&lt;=45,"Middle-aged Adults",E375&gt;45,"Old Adults")</f>
        <v>Middle-aged Adults</v>
      </c>
    </row>
    <row r="376" spans="1:11" x14ac:dyDescent="0.45">
      <c r="A376" s="2">
        <v>442</v>
      </c>
      <c r="B376" s="2" t="s">
        <v>547</v>
      </c>
      <c r="C376" s="2" t="s">
        <v>91</v>
      </c>
      <c r="D376" s="2" t="s">
        <v>75</v>
      </c>
      <c r="E376" s="2">
        <v>33</v>
      </c>
      <c r="F376" s="2">
        <v>87</v>
      </c>
      <c r="G376" s="2">
        <v>182</v>
      </c>
      <c r="H376" s="9">
        <f t="shared" si="5"/>
        <v>26.26494384736143</v>
      </c>
      <c r="I376" s="2" t="str" cm="1">
        <f t="array" ref="I376">_xlfn.IFS(F376&gt;=100,"Over weight",F376&lt;100,"Average weight")</f>
        <v>Average weight</v>
      </c>
      <c r="J376" s="2" t="str" cm="1">
        <f t="array" ref="J376">_xlfn.IFS(G376&lt;164,"Below Average height",G376&gt;=165,"Above Average height",G376=164,"Average height")</f>
        <v>Above Average height</v>
      </c>
      <c r="K376" s="2" t="str" cm="1">
        <f t="array" ref="K376">_xlfn.IFS(E376&lt;=16,"Children",E376&lt;=30,"Young Adults",E376&lt;=45,"Middle-aged Adults",E376&gt;45,"Old Adults")</f>
        <v>Middle-aged Adults</v>
      </c>
    </row>
    <row r="377" spans="1:11" x14ac:dyDescent="0.45">
      <c r="A377" s="2">
        <v>443</v>
      </c>
      <c r="B377" s="2" t="s">
        <v>548</v>
      </c>
      <c r="C377" s="2" t="s">
        <v>86</v>
      </c>
      <c r="D377" s="2" t="s">
        <v>66</v>
      </c>
      <c r="E377" s="2">
        <v>25</v>
      </c>
      <c r="F377" s="2">
        <v>48</v>
      </c>
      <c r="G377" s="2">
        <v>174</v>
      </c>
      <c r="H377" s="9">
        <f t="shared" si="5"/>
        <v>15.854141894569956</v>
      </c>
      <c r="I377" s="2" t="str" cm="1">
        <f t="array" ref="I377">_xlfn.IFS(F377&gt;=100,"Over weight",F377&lt;100,"Average weight")</f>
        <v>Average weight</v>
      </c>
      <c r="J377" s="2" t="str" cm="1">
        <f t="array" ref="J377">_xlfn.IFS(G377&lt;164,"Below Average height",G377&gt;=165,"Above Average height",G377=164,"Average height")</f>
        <v>Above Average height</v>
      </c>
      <c r="K377" s="2" t="str" cm="1">
        <f t="array" ref="K377">_xlfn.IFS(E377&lt;=16,"Children",E377&lt;=30,"Young Adults",E377&lt;=45,"Middle-aged Adults",E377&gt;45,"Old Adults")</f>
        <v>Young Adults</v>
      </c>
    </row>
    <row r="378" spans="1:11" x14ac:dyDescent="0.45">
      <c r="A378" s="2">
        <v>444</v>
      </c>
      <c r="B378" s="2" t="s">
        <v>549</v>
      </c>
      <c r="C378" s="2" t="s">
        <v>88</v>
      </c>
      <c r="D378" s="2" t="s">
        <v>8</v>
      </c>
      <c r="E378" s="2">
        <v>23</v>
      </c>
      <c r="F378" s="2">
        <v>56</v>
      </c>
      <c r="G378" s="2">
        <v>168</v>
      </c>
      <c r="H378" s="9">
        <f t="shared" si="5"/>
        <v>19.841269841269845</v>
      </c>
      <c r="I378" s="2" t="str" cm="1">
        <f t="array" ref="I378">_xlfn.IFS(F378&gt;=100,"Over weight",F378&lt;100,"Average weight")</f>
        <v>Average weight</v>
      </c>
      <c r="J378" s="2" t="str" cm="1">
        <f t="array" ref="J378">_xlfn.IFS(G378&lt;164,"Below Average height",G378&gt;=165,"Above Average height",G378=164,"Average height")</f>
        <v>Above Average height</v>
      </c>
      <c r="K378" s="2" t="str" cm="1">
        <f t="array" ref="K378">_xlfn.IFS(E378&lt;=16,"Children",E378&lt;=30,"Young Adults",E378&lt;=45,"Middle-aged Adults",E378&gt;45,"Old Adults")</f>
        <v>Young Adults</v>
      </c>
    </row>
    <row r="379" spans="1:11" x14ac:dyDescent="0.45">
      <c r="A379" s="2">
        <v>445</v>
      </c>
      <c r="B379" s="2" t="s">
        <v>550</v>
      </c>
      <c r="C379" s="2" t="s">
        <v>88</v>
      </c>
      <c r="D379" s="2" t="s">
        <v>26</v>
      </c>
      <c r="E379" s="2">
        <v>23</v>
      </c>
      <c r="F379" s="2">
        <v>56</v>
      </c>
      <c r="G379" s="2">
        <v>168</v>
      </c>
      <c r="H379" s="9">
        <f t="shared" si="5"/>
        <v>19.841269841269845</v>
      </c>
      <c r="I379" s="2" t="str" cm="1">
        <f t="array" ref="I379">_xlfn.IFS(F379&gt;=100,"Over weight",F379&lt;100,"Average weight")</f>
        <v>Average weight</v>
      </c>
      <c r="J379" s="2" t="str" cm="1">
        <f t="array" ref="J379">_xlfn.IFS(G379&lt;164,"Below Average height",G379&gt;=165,"Above Average height",G379=164,"Average height")</f>
        <v>Above Average height</v>
      </c>
      <c r="K379" s="2" t="str" cm="1">
        <f t="array" ref="K379">_xlfn.IFS(E379&lt;=16,"Children",E379&lt;=30,"Young Adults",E379&lt;=45,"Middle-aged Adults",E379&gt;45,"Old Adults")</f>
        <v>Young Adults</v>
      </c>
    </row>
    <row r="380" spans="1:11" x14ac:dyDescent="0.45">
      <c r="A380" s="2">
        <v>446</v>
      </c>
      <c r="B380" s="2" t="s">
        <v>551</v>
      </c>
      <c r="C380" s="2" t="s">
        <v>90</v>
      </c>
      <c r="D380" s="2" t="s">
        <v>66</v>
      </c>
      <c r="E380" s="2">
        <v>28</v>
      </c>
      <c r="F380" s="2">
        <v>65</v>
      </c>
      <c r="G380" s="2">
        <v>170</v>
      </c>
      <c r="H380" s="9">
        <f t="shared" si="5"/>
        <v>22.491349480968861</v>
      </c>
      <c r="I380" s="2" t="str" cm="1">
        <f t="array" ref="I380">_xlfn.IFS(F380&gt;=100,"Over weight",F380&lt;100,"Average weight")</f>
        <v>Average weight</v>
      </c>
      <c r="J380" s="2" t="str" cm="1">
        <f t="array" ref="J380">_xlfn.IFS(G380&lt;164,"Below Average height",G380&gt;=165,"Above Average height",G380=164,"Average height")</f>
        <v>Above Average height</v>
      </c>
      <c r="K380" s="2" t="str" cm="1">
        <f t="array" ref="K380">_xlfn.IFS(E380&lt;=16,"Children",E380&lt;=30,"Young Adults",E380&lt;=45,"Middle-aged Adults",E380&gt;45,"Old Adults")</f>
        <v>Young Adults</v>
      </c>
    </row>
    <row r="381" spans="1:11" x14ac:dyDescent="0.45">
      <c r="A381" s="2">
        <v>447</v>
      </c>
      <c r="B381" s="2" t="s">
        <v>552</v>
      </c>
      <c r="C381" s="2" t="s">
        <v>86</v>
      </c>
      <c r="D381" s="2" t="s">
        <v>75</v>
      </c>
      <c r="E381" s="2">
        <v>20</v>
      </c>
      <c r="F381" s="2">
        <v>48</v>
      </c>
      <c r="G381" s="2">
        <v>183</v>
      </c>
      <c r="H381" s="9">
        <f t="shared" si="5"/>
        <v>14.333064588372299</v>
      </c>
      <c r="I381" s="2" t="str" cm="1">
        <f t="array" ref="I381">_xlfn.IFS(F381&gt;=100,"Over weight",F381&lt;100,"Average weight")</f>
        <v>Average weight</v>
      </c>
      <c r="J381" s="2" t="str" cm="1">
        <f t="array" ref="J381">_xlfn.IFS(G381&lt;164,"Below Average height",G381&gt;=165,"Above Average height",G381=164,"Average height")</f>
        <v>Above Average height</v>
      </c>
      <c r="K381" s="2" t="str" cm="1">
        <f t="array" ref="K381">_xlfn.IFS(E381&lt;=16,"Children",E381&lt;=30,"Young Adults",E381&lt;=45,"Middle-aged Adults",E381&gt;45,"Old Adults")</f>
        <v>Young Adults</v>
      </c>
    </row>
    <row r="382" spans="1:11" x14ac:dyDescent="0.45">
      <c r="A382" s="2">
        <v>448</v>
      </c>
      <c r="B382" s="2" t="s">
        <v>553</v>
      </c>
      <c r="C382" s="2" t="s">
        <v>88</v>
      </c>
      <c r="D382" s="2" t="s">
        <v>21</v>
      </c>
      <c r="E382" s="2">
        <v>39</v>
      </c>
      <c r="F382" s="2">
        <v>72</v>
      </c>
      <c r="G382" s="2">
        <v>177</v>
      </c>
      <c r="H382" s="9">
        <f t="shared" si="5"/>
        <v>22.981901752370007</v>
      </c>
      <c r="I382" s="2" t="str" cm="1">
        <f t="array" ref="I382">_xlfn.IFS(F382&gt;=100,"Over weight",F382&lt;100,"Average weight")</f>
        <v>Average weight</v>
      </c>
      <c r="J382" s="2" t="str" cm="1">
        <f t="array" ref="J382">_xlfn.IFS(G382&lt;164,"Below Average height",G382&gt;=165,"Above Average height",G382=164,"Average height")</f>
        <v>Above Average height</v>
      </c>
      <c r="K382" s="2" t="str" cm="1">
        <f t="array" ref="K382">_xlfn.IFS(E382&lt;=16,"Children",E382&lt;=30,"Young Adults",E382&lt;=45,"Middle-aged Adults",E382&gt;45,"Old Adults")</f>
        <v>Middle-aged Adults</v>
      </c>
    </row>
    <row r="383" spans="1:11" x14ac:dyDescent="0.45">
      <c r="A383" s="2">
        <v>449</v>
      </c>
      <c r="B383" s="2" t="s">
        <v>554</v>
      </c>
      <c r="C383" s="2" t="s">
        <v>91</v>
      </c>
      <c r="D383" s="2" t="s">
        <v>14</v>
      </c>
      <c r="E383" s="2">
        <v>20</v>
      </c>
      <c r="F383" s="2">
        <v>93</v>
      </c>
      <c r="G383" s="2">
        <v>185</v>
      </c>
      <c r="H383" s="9">
        <f t="shared" si="5"/>
        <v>27.173119065010955</v>
      </c>
      <c r="I383" s="2" t="str" cm="1">
        <f t="array" ref="I383">_xlfn.IFS(F383&gt;=100,"Over weight",F383&lt;100,"Average weight")</f>
        <v>Average weight</v>
      </c>
      <c r="J383" s="2" t="str" cm="1">
        <f t="array" ref="J383">_xlfn.IFS(G383&lt;164,"Below Average height",G383&gt;=165,"Above Average height",G383=164,"Average height")</f>
        <v>Above Average height</v>
      </c>
      <c r="K383" s="2" t="str" cm="1">
        <f t="array" ref="K383">_xlfn.IFS(E383&lt;=16,"Children",E383&lt;=30,"Young Adults",E383&lt;=45,"Middle-aged Adults",E383&gt;45,"Old Adults")</f>
        <v>Young Adults</v>
      </c>
    </row>
    <row r="384" spans="1:11" x14ac:dyDescent="0.45">
      <c r="A384" s="2">
        <v>450</v>
      </c>
      <c r="B384" s="2" t="s">
        <v>555</v>
      </c>
      <c r="C384" s="2" t="s">
        <v>98</v>
      </c>
      <c r="D384" s="2" t="s">
        <v>30</v>
      </c>
      <c r="E384" s="2">
        <v>24</v>
      </c>
      <c r="F384" s="2">
        <v>75</v>
      </c>
      <c r="G384" s="2">
        <v>183</v>
      </c>
      <c r="H384" s="9">
        <f t="shared" si="5"/>
        <v>22.395413419331717</v>
      </c>
      <c r="I384" s="2" t="str" cm="1">
        <f t="array" ref="I384">_xlfn.IFS(F384&gt;=100,"Over weight",F384&lt;100,"Average weight")</f>
        <v>Average weight</v>
      </c>
      <c r="J384" s="2" t="str" cm="1">
        <f t="array" ref="J384">_xlfn.IFS(G384&lt;164,"Below Average height",G384&gt;=165,"Above Average height",G384=164,"Average height")</f>
        <v>Above Average height</v>
      </c>
      <c r="K384" s="2" t="str" cm="1">
        <f t="array" ref="K384">_xlfn.IFS(E384&lt;=16,"Children",E384&lt;=30,"Young Adults",E384&lt;=45,"Middle-aged Adults",E384&gt;45,"Old Adults")</f>
        <v>Young Adults</v>
      </c>
    </row>
    <row r="385" spans="1:11" x14ac:dyDescent="0.45">
      <c r="A385" s="2">
        <v>451</v>
      </c>
      <c r="B385" s="2" t="s">
        <v>556</v>
      </c>
      <c r="C385" s="2" t="s">
        <v>100</v>
      </c>
      <c r="D385" s="2" t="s">
        <v>14</v>
      </c>
      <c r="E385" s="2">
        <v>38</v>
      </c>
      <c r="F385" s="2">
        <v>78</v>
      </c>
      <c r="G385" s="2">
        <v>172</v>
      </c>
      <c r="H385" s="9">
        <f t="shared" si="5"/>
        <v>26.365603028664147</v>
      </c>
      <c r="I385" s="2" t="str" cm="1">
        <f t="array" ref="I385">_xlfn.IFS(F385&gt;=100,"Over weight",F385&lt;100,"Average weight")</f>
        <v>Average weight</v>
      </c>
      <c r="J385" s="2" t="str" cm="1">
        <f t="array" ref="J385">_xlfn.IFS(G385&lt;164,"Below Average height",G385&gt;=165,"Above Average height",G385=164,"Average height")</f>
        <v>Above Average height</v>
      </c>
      <c r="K385" s="2" t="str" cm="1">
        <f t="array" ref="K385">_xlfn.IFS(E385&lt;=16,"Children",E385&lt;=30,"Young Adults",E385&lt;=45,"Middle-aged Adults",E385&gt;45,"Old Adults")</f>
        <v>Middle-aged Adults</v>
      </c>
    </row>
    <row r="386" spans="1:11" x14ac:dyDescent="0.45">
      <c r="A386" s="2">
        <v>452</v>
      </c>
      <c r="B386" s="2" t="s">
        <v>557</v>
      </c>
      <c r="C386" s="2" t="s">
        <v>90</v>
      </c>
      <c r="D386" s="2" t="s">
        <v>65</v>
      </c>
      <c r="E386" s="2">
        <v>25</v>
      </c>
      <c r="F386" s="2">
        <v>100</v>
      </c>
      <c r="G386" s="2">
        <v>186</v>
      </c>
      <c r="H386" s="9">
        <f t="shared" ref="H386:H449" si="6" xml:space="preserve"> F386 / (( G386/ 100) ^ 2)</f>
        <v>28.905075731298414</v>
      </c>
      <c r="I386" s="2" t="str" cm="1">
        <f t="array" ref="I386">_xlfn.IFS(F386&gt;=100,"Over weight",F386&lt;100,"Average weight")</f>
        <v>Over weight</v>
      </c>
      <c r="J386" s="2" t="str" cm="1">
        <f t="array" ref="J386">_xlfn.IFS(G386&lt;164,"Below Average height",G386&gt;=165,"Above Average height",G386=164,"Average height")</f>
        <v>Above Average height</v>
      </c>
      <c r="K386" s="2" t="str" cm="1">
        <f t="array" ref="K386">_xlfn.IFS(E386&lt;=16,"Children",E386&lt;=30,"Young Adults",E386&lt;=45,"Middle-aged Adults",E386&gt;45,"Old Adults")</f>
        <v>Young Adults</v>
      </c>
    </row>
    <row r="387" spans="1:11" x14ac:dyDescent="0.45">
      <c r="A387" s="2">
        <v>453</v>
      </c>
      <c r="B387" s="2" t="s">
        <v>558</v>
      </c>
      <c r="C387" s="2" t="s">
        <v>85</v>
      </c>
      <c r="D387" s="2" t="s">
        <v>71</v>
      </c>
      <c r="E387" s="2">
        <v>30</v>
      </c>
      <c r="F387" s="2">
        <v>92</v>
      </c>
      <c r="G387" s="2">
        <v>182</v>
      </c>
      <c r="H387" s="9">
        <f t="shared" si="6"/>
        <v>27.77442337881898</v>
      </c>
      <c r="I387" s="2" t="str" cm="1">
        <f t="array" ref="I387">_xlfn.IFS(F387&gt;=100,"Over weight",F387&lt;100,"Average weight")</f>
        <v>Average weight</v>
      </c>
      <c r="J387" s="2" t="str" cm="1">
        <f t="array" ref="J387">_xlfn.IFS(G387&lt;164,"Below Average height",G387&gt;=165,"Above Average height",G387=164,"Average height")</f>
        <v>Above Average height</v>
      </c>
      <c r="K387" s="2" t="str" cm="1">
        <f t="array" ref="K387">_xlfn.IFS(E387&lt;=16,"Children",E387&lt;=30,"Young Adults",E387&lt;=45,"Middle-aged Adults",E387&gt;45,"Old Adults")</f>
        <v>Young Adults</v>
      </c>
    </row>
    <row r="388" spans="1:11" x14ac:dyDescent="0.45">
      <c r="A388" s="2">
        <v>454</v>
      </c>
      <c r="B388" s="2" t="s">
        <v>559</v>
      </c>
      <c r="C388" s="2" t="s">
        <v>85</v>
      </c>
      <c r="D388" s="2" t="s">
        <v>30</v>
      </c>
      <c r="E388" s="2">
        <v>24</v>
      </c>
      <c r="F388" s="2">
        <v>88</v>
      </c>
      <c r="G388" s="2">
        <v>189</v>
      </c>
      <c r="H388" s="9">
        <f t="shared" si="6"/>
        <v>24.635368550712467</v>
      </c>
      <c r="I388" s="2" t="str" cm="1">
        <f t="array" ref="I388">_xlfn.IFS(F388&gt;=100,"Over weight",F388&lt;100,"Average weight")</f>
        <v>Average weight</v>
      </c>
      <c r="J388" s="2" t="str" cm="1">
        <f t="array" ref="J388">_xlfn.IFS(G388&lt;164,"Below Average height",G388&gt;=165,"Above Average height",G388=164,"Average height")</f>
        <v>Above Average height</v>
      </c>
      <c r="K388" s="2" t="str" cm="1">
        <f t="array" ref="K388">_xlfn.IFS(E388&lt;=16,"Children",E388&lt;=30,"Young Adults",E388&lt;=45,"Middle-aged Adults",E388&gt;45,"Old Adults")</f>
        <v>Young Adults</v>
      </c>
    </row>
    <row r="389" spans="1:11" x14ac:dyDescent="0.45">
      <c r="A389" s="2">
        <v>455</v>
      </c>
      <c r="B389" s="2" t="s">
        <v>560</v>
      </c>
      <c r="C389" s="2" t="s">
        <v>90</v>
      </c>
      <c r="D389" s="2" t="s">
        <v>46</v>
      </c>
      <c r="E389" s="2">
        <v>25</v>
      </c>
      <c r="F389" s="2">
        <v>107</v>
      </c>
      <c r="G389" s="2">
        <v>193</v>
      </c>
      <c r="H389" s="9">
        <f t="shared" si="6"/>
        <v>28.725603371902601</v>
      </c>
      <c r="I389" s="2" t="str" cm="1">
        <f t="array" ref="I389">_xlfn.IFS(F389&gt;=100,"Over weight",F389&lt;100,"Average weight")</f>
        <v>Over weight</v>
      </c>
      <c r="J389" s="2" t="str" cm="1">
        <f t="array" ref="J389">_xlfn.IFS(G389&lt;164,"Below Average height",G389&gt;=165,"Above Average height",G389=164,"Average height")</f>
        <v>Above Average height</v>
      </c>
      <c r="K389" s="2" t="str" cm="1">
        <f t="array" ref="K389">_xlfn.IFS(E389&lt;=16,"Children",E389&lt;=30,"Young Adults",E389&lt;=45,"Middle-aged Adults",E389&gt;45,"Old Adults")</f>
        <v>Young Adults</v>
      </c>
    </row>
    <row r="390" spans="1:11" x14ac:dyDescent="0.45">
      <c r="A390" s="2">
        <v>456</v>
      </c>
      <c r="B390" s="2" t="s">
        <v>561</v>
      </c>
      <c r="C390" s="2" t="s">
        <v>85</v>
      </c>
      <c r="D390" s="2" t="s">
        <v>71</v>
      </c>
      <c r="E390" s="2">
        <v>24</v>
      </c>
      <c r="F390" s="2">
        <v>61</v>
      </c>
      <c r="G390" s="2">
        <v>171</v>
      </c>
      <c r="H390" s="9">
        <f t="shared" si="6"/>
        <v>20.861119660750319</v>
      </c>
      <c r="I390" s="2" t="str" cm="1">
        <f t="array" ref="I390">_xlfn.IFS(F390&gt;=100,"Over weight",F390&lt;100,"Average weight")</f>
        <v>Average weight</v>
      </c>
      <c r="J390" s="2" t="str" cm="1">
        <f t="array" ref="J390">_xlfn.IFS(G390&lt;164,"Below Average height",G390&gt;=165,"Above Average height",G390=164,"Average height")</f>
        <v>Above Average height</v>
      </c>
      <c r="K390" s="2" t="str" cm="1">
        <f t="array" ref="K390">_xlfn.IFS(E390&lt;=16,"Children",E390&lt;=30,"Young Adults",E390&lt;=45,"Middle-aged Adults",E390&gt;45,"Old Adults")</f>
        <v>Young Adults</v>
      </c>
    </row>
    <row r="391" spans="1:11" x14ac:dyDescent="0.45">
      <c r="A391" s="2">
        <v>457</v>
      </c>
      <c r="B391" s="2" t="s">
        <v>562</v>
      </c>
      <c r="C391" s="2" t="s">
        <v>100</v>
      </c>
      <c r="D391" s="2" t="s">
        <v>39</v>
      </c>
      <c r="E391" s="2">
        <v>31</v>
      </c>
      <c r="F391" s="2">
        <v>78</v>
      </c>
      <c r="G391" s="2">
        <v>178</v>
      </c>
      <c r="H391" s="9">
        <f t="shared" si="6"/>
        <v>24.618103774775911</v>
      </c>
      <c r="I391" s="2" t="str" cm="1">
        <f t="array" ref="I391">_xlfn.IFS(F391&gt;=100,"Over weight",F391&lt;100,"Average weight")</f>
        <v>Average weight</v>
      </c>
      <c r="J391" s="2" t="str" cm="1">
        <f t="array" ref="J391">_xlfn.IFS(G391&lt;164,"Below Average height",G391&gt;=165,"Above Average height",G391=164,"Average height")</f>
        <v>Above Average height</v>
      </c>
      <c r="K391" s="2" t="str" cm="1">
        <f t="array" ref="K391">_xlfn.IFS(E391&lt;=16,"Children",E391&lt;=30,"Young Adults",E391&lt;=45,"Middle-aged Adults",E391&gt;45,"Old Adults")</f>
        <v>Middle-aged Adults</v>
      </c>
    </row>
    <row r="392" spans="1:11" x14ac:dyDescent="0.45">
      <c r="A392" s="2">
        <v>458</v>
      </c>
      <c r="B392" s="2" t="s">
        <v>563</v>
      </c>
      <c r="C392" s="2" t="s">
        <v>91</v>
      </c>
      <c r="D392" s="2" t="s">
        <v>80</v>
      </c>
      <c r="E392" s="2">
        <v>33</v>
      </c>
      <c r="F392" s="2">
        <v>86</v>
      </c>
      <c r="G392" s="2">
        <v>178</v>
      </c>
      <c r="H392" s="9">
        <f t="shared" si="6"/>
        <v>27.143037495265748</v>
      </c>
      <c r="I392" s="2" t="str" cm="1">
        <f t="array" ref="I392">_xlfn.IFS(F392&gt;=100,"Over weight",F392&lt;100,"Average weight")</f>
        <v>Average weight</v>
      </c>
      <c r="J392" s="2" t="str" cm="1">
        <f t="array" ref="J392">_xlfn.IFS(G392&lt;164,"Below Average height",G392&gt;=165,"Above Average height",G392=164,"Average height")</f>
        <v>Above Average height</v>
      </c>
      <c r="K392" s="2" t="str" cm="1">
        <f t="array" ref="K392">_xlfn.IFS(E392&lt;=16,"Children",E392&lt;=30,"Young Adults",E392&lt;=45,"Middle-aged Adults",E392&gt;45,"Old Adults")</f>
        <v>Middle-aged Adults</v>
      </c>
    </row>
    <row r="393" spans="1:11" x14ac:dyDescent="0.45">
      <c r="A393" s="2">
        <v>459</v>
      </c>
      <c r="B393" s="2" t="s">
        <v>564</v>
      </c>
      <c r="C393" s="2" t="s">
        <v>89</v>
      </c>
      <c r="D393" s="2" t="s">
        <v>63</v>
      </c>
      <c r="E393" s="2">
        <v>23</v>
      </c>
      <c r="F393" s="2">
        <v>72</v>
      </c>
      <c r="G393" s="2">
        <v>178</v>
      </c>
      <c r="H393" s="9">
        <f t="shared" si="6"/>
        <v>22.724403484408533</v>
      </c>
      <c r="I393" s="2" t="str" cm="1">
        <f t="array" ref="I393">_xlfn.IFS(F393&gt;=100,"Over weight",F393&lt;100,"Average weight")</f>
        <v>Average weight</v>
      </c>
      <c r="J393" s="2" t="str" cm="1">
        <f t="array" ref="J393">_xlfn.IFS(G393&lt;164,"Below Average height",G393&gt;=165,"Above Average height",G393=164,"Average height")</f>
        <v>Above Average height</v>
      </c>
      <c r="K393" s="2" t="str" cm="1">
        <f t="array" ref="K393">_xlfn.IFS(E393&lt;=16,"Children",E393&lt;=30,"Young Adults",E393&lt;=45,"Middle-aged Adults",E393&gt;45,"Old Adults")</f>
        <v>Young Adults</v>
      </c>
    </row>
    <row r="394" spans="1:11" x14ac:dyDescent="0.45">
      <c r="A394" s="2">
        <v>461</v>
      </c>
      <c r="B394" s="2" t="s">
        <v>566</v>
      </c>
      <c r="C394" s="2" t="s">
        <v>94</v>
      </c>
      <c r="D394" s="2" t="s">
        <v>8</v>
      </c>
      <c r="E394" s="2">
        <v>24</v>
      </c>
      <c r="F394" s="2">
        <v>63</v>
      </c>
      <c r="G394" s="2">
        <v>171</v>
      </c>
      <c r="H394" s="9">
        <f t="shared" si="6"/>
        <v>21.545090797168363</v>
      </c>
      <c r="I394" s="2" t="str" cm="1">
        <f t="array" ref="I394">_xlfn.IFS(F394&gt;=100,"Over weight",F394&lt;100,"Average weight")</f>
        <v>Average weight</v>
      </c>
      <c r="J394" s="2" t="str" cm="1">
        <f t="array" ref="J394">_xlfn.IFS(G394&lt;164,"Below Average height",G394&gt;=165,"Above Average height",G394=164,"Average height")</f>
        <v>Above Average height</v>
      </c>
      <c r="K394" s="2" t="str" cm="1">
        <f t="array" ref="K394">_xlfn.IFS(E394&lt;=16,"Children",E394&lt;=30,"Young Adults",E394&lt;=45,"Middle-aged Adults",E394&gt;45,"Old Adults")</f>
        <v>Young Adults</v>
      </c>
    </row>
    <row r="395" spans="1:11" x14ac:dyDescent="0.45">
      <c r="A395" s="2">
        <v>463</v>
      </c>
      <c r="B395" s="2" t="s">
        <v>568</v>
      </c>
      <c r="C395" s="2" t="s">
        <v>96</v>
      </c>
      <c r="D395" s="2" t="s">
        <v>26</v>
      </c>
      <c r="E395" s="2">
        <v>38</v>
      </c>
      <c r="F395" s="2">
        <v>48</v>
      </c>
      <c r="G395" s="2">
        <v>173</v>
      </c>
      <c r="H395" s="9">
        <f t="shared" si="6"/>
        <v>16.037956497043002</v>
      </c>
      <c r="I395" s="2" t="str" cm="1">
        <f t="array" ref="I395">_xlfn.IFS(F395&gt;=100,"Over weight",F395&lt;100,"Average weight")</f>
        <v>Average weight</v>
      </c>
      <c r="J395" s="2" t="str" cm="1">
        <f t="array" ref="J395">_xlfn.IFS(G395&lt;164,"Below Average height",G395&gt;=165,"Above Average height",G395=164,"Average height")</f>
        <v>Above Average height</v>
      </c>
      <c r="K395" s="2" t="str" cm="1">
        <f t="array" ref="K395">_xlfn.IFS(E395&lt;=16,"Children",E395&lt;=30,"Young Adults",E395&lt;=45,"Middle-aged Adults",E395&gt;45,"Old Adults")</f>
        <v>Middle-aged Adults</v>
      </c>
    </row>
    <row r="396" spans="1:11" x14ac:dyDescent="0.45">
      <c r="A396" s="2">
        <v>464</v>
      </c>
      <c r="B396" s="2" t="s">
        <v>569</v>
      </c>
      <c r="C396" s="2" t="s">
        <v>96</v>
      </c>
      <c r="D396" s="2" t="s">
        <v>26</v>
      </c>
      <c r="E396" s="2">
        <v>26</v>
      </c>
      <c r="F396" s="2">
        <v>48</v>
      </c>
      <c r="G396" s="2">
        <v>174</v>
      </c>
      <c r="H396" s="9">
        <f t="shared" si="6"/>
        <v>15.854141894569956</v>
      </c>
      <c r="I396" s="2" t="str" cm="1">
        <f t="array" ref="I396">_xlfn.IFS(F396&gt;=100,"Over weight",F396&lt;100,"Average weight")</f>
        <v>Average weight</v>
      </c>
      <c r="J396" s="2" t="str" cm="1">
        <f t="array" ref="J396">_xlfn.IFS(G396&lt;164,"Below Average height",G396&gt;=165,"Above Average height",G396=164,"Average height")</f>
        <v>Above Average height</v>
      </c>
      <c r="K396" s="2" t="str" cm="1">
        <f t="array" ref="K396">_xlfn.IFS(E396&lt;=16,"Children",E396&lt;=30,"Young Adults",E396&lt;=45,"Middle-aged Adults",E396&gt;45,"Old Adults")</f>
        <v>Young Adults</v>
      </c>
    </row>
    <row r="397" spans="1:11" x14ac:dyDescent="0.45">
      <c r="A397" s="2">
        <v>465</v>
      </c>
      <c r="B397" s="2" t="s">
        <v>570</v>
      </c>
      <c r="C397" s="2" t="s">
        <v>98</v>
      </c>
      <c r="D397" s="2" t="s">
        <v>80</v>
      </c>
      <c r="E397" s="2">
        <v>19</v>
      </c>
      <c r="F397" s="2">
        <v>59</v>
      </c>
      <c r="G397" s="2">
        <v>168</v>
      </c>
      <c r="H397" s="9">
        <f t="shared" si="6"/>
        <v>20.904195011337873</v>
      </c>
      <c r="I397" s="2" t="str" cm="1">
        <f t="array" ref="I397">_xlfn.IFS(F397&gt;=100,"Over weight",F397&lt;100,"Average weight")</f>
        <v>Average weight</v>
      </c>
      <c r="J397" s="2" t="str" cm="1">
        <f t="array" ref="J397">_xlfn.IFS(G397&lt;164,"Below Average height",G397&gt;=165,"Above Average height",G397=164,"Average height")</f>
        <v>Above Average height</v>
      </c>
      <c r="K397" s="2" t="str" cm="1">
        <f t="array" ref="K397">_xlfn.IFS(E397&lt;=16,"Children",E397&lt;=30,"Young Adults",E397&lt;=45,"Middle-aged Adults",E397&gt;45,"Old Adults")</f>
        <v>Young Adults</v>
      </c>
    </row>
    <row r="398" spans="1:11" x14ac:dyDescent="0.45">
      <c r="A398" s="2">
        <v>466</v>
      </c>
      <c r="B398" s="2" t="s">
        <v>571</v>
      </c>
      <c r="C398" s="2" t="s">
        <v>85</v>
      </c>
      <c r="D398" s="2" t="s">
        <v>28</v>
      </c>
      <c r="E398" s="2">
        <v>20</v>
      </c>
      <c r="F398" s="2">
        <v>76</v>
      </c>
      <c r="G398" s="2">
        <v>176</v>
      </c>
      <c r="H398" s="9">
        <f t="shared" si="6"/>
        <v>24.535123966942148</v>
      </c>
      <c r="I398" s="2" t="str" cm="1">
        <f t="array" ref="I398">_xlfn.IFS(F398&gt;=100,"Over weight",F398&lt;100,"Average weight")</f>
        <v>Average weight</v>
      </c>
      <c r="J398" s="2" t="str" cm="1">
        <f t="array" ref="J398">_xlfn.IFS(G398&lt;164,"Below Average height",G398&gt;=165,"Above Average height",G398=164,"Average height")</f>
        <v>Above Average height</v>
      </c>
      <c r="K398" s="2" t="str" cm="1">
        <f t="array" ref="K398">_xlfn.IFS(E398&lt;=16,"Children",E398&lt;=30,"Young Adults",E398&lt;=45,"Middle-aged Adults",E398&gt;45,"Old Adults")</f>
        <v>Young Adults</v>
      </c>
    </row>
    <row r="399" spans="1:11" x14ac:dyDescent="0.45">
      <c r="A399" s="2">
        <v>467</v>
      </c>
      <c r="B399" s="2" t="s">
        <v>572</v>
      </c>
      <c r="C399" s="2" t="s">
        <v>90</v>
      </c>
      <c r="D399" s="2" t="s">
        <v>48</v>
      </c>
      <c r="E399" s="2">
        <v>31</v>
      </c>
      <c r="F399" s="2">
        <v>102</v>
      </c>
      <c r="G399" s="2">
        <v>194</v>
      </c>
      <c r="H399" s="9">
        <f t="shared" si="6"/>
        <v>27.101711127643746</v>
      </c>
      <c r="I399" s="2" t="str" cm="1">
        <f t="array" ref="I399">_xlfn.IFS(F399&gt;=100,"Over weight",F399&lt;100,"Average weight")</f>
        <v>Over weight</v>
      </c>
      <c r="J399" s="2" t="str" cm="1">
        <f t="array" ref="J399">_xlfn.IFS(G399&lt;164,"Below Average height",G399&gt;=165,"Above Average height",G399=164,"Average height")</f>
        <v>Above Average height</v>
      </c>
      <c r="K399" s="2" t="str" cm="1">
        <f t="array" ref="K399">_xlfn.IFS(E399&lt;=16,"Children",E399&lt;=30,"Young Adults",E399&lt;=45,"Middle-aged Adults",E399&gt;45,"Old Adults")</f>
        <v>Middle-aged Adults</v>
      </c>
    </row>
    <row r="400" spans="1:11" x14ac:dyDescent="0.45">
      <c r="A400" s="2">
        <v>468</v>
      </c>
      <c r="B400" s="2" t="s">
        <v>573</v>
      </c>
      <c r="C400" s="2" t="s">
        <v>93</v>
      </c>
      <c r="D400" s="2" t="s">
        <v>26</v>
      </c>
      <c r="E400" s="2">
        <v>27</v>
      </c>
      <c r="F400" s="2">
        <v>82</v>
      </c>
      <c r="G400" s="2">
        <v>178</v>
      </c>
      <c r="H400" s="9">
        <f t="shared" si="6"/>
        <v>25.880570635020831</v>
      </c>
      <c r="I400" s="2" t="str" cm="1">
        <f t="array" ref="I400">_xlfn.IFS(F400&gt;=100,"Over weight",F400&lt;100,"Average weight")</f>
        <v>Average weight</v>
      </c>
      <c r="J400" s="2" t="str" cm="1">
        <f t="array" ref="J400">_xlfn.IFS(G400&lt;164,"Below Average height",G400&gt;=165,"Above Average height",G400=164,"Average height")</f>
        <v>Above Average height</v>
      </c>
      <c r="K400" s="2" t="str" cm="1">
        <f t="array" ref="K400">_xlfn.IFS(E400&lt;=16,"Children",E400&lt;=30,"Young Adults",E400&lt;=45,"Middle-aged Adults",E400&gt;45,"Old Adults")</f>
        <v>Young Adults</v>
      </c>
    </row>
    <row r="401" spans="1:11" x14ac:dyDescent="0.45">
      <c r="A401" s="2">
        <v>469</v>
      </c>
      <c r="B401" s="2" t="s">
        <v>574</v>
      </c>
      <c r="C401" s="2" t="s">
        <v>96</v>
      </c>
      <c r="D401" s="2" t="s">
        <v>26</v>
      </c>
      <c r="E401" s="2">
        <v>37</v>
      </c>
      <c r="F401" s="2">
        <v>48</v>
      </c>
      <c r="G401" s="2">
        <v>183</v>
      </c>
      <c r="H401" s="9">
        <f t="shared" si="6"/>
        <v>14.333064588372299</v>
      </c>
      <c r="I401" s="2" t="str" cm="1">
        <f t="array" ref="I401">_xlfn.IFS(F401&gt;=100,"Over weight",F401&lt;100,"Average weight")</f>
        <v>Average weight</v>
      </c>
      <c r="J401" s="2" t="str" cm="1">
        <f t="array" ref="J401">_xlfn.IFS(G401&lt;164,"Below Average height",G401&gt;=165,"Above Average height",G401=164,"Average height")</f>
        <v>Above Average height</v>
      </c>
      <c r="K401" s="2" t="str" cm="1">
        <f t="array" ref="K401">_xlfn.IFS(E401&lt;=16,"Children",E401&lt;=30,"Young Adults",E401&lt;=45,"Middle-aged Adults",E401&gt;45,"Old Adults")</f>
        <v>Middle-aged Adults</v>
      </c>
    </row>
    <row r="402" spans="1:11" x14ac:dyDescent="0.45">
      <c r="A402" s="2">
        <v>470</v>
      </c>
      <c r="B402" s="2" t="s">
        <v>575</v>
      </c>
      <c r="C402" s="2" t="s">
        <v>87</v>
      </c>
      <c r="D402" s="2" t="s">
        <v>14</v>
      </c>
      <c r="E402" s="2">
        <v>18</v>
      </c>
      <c r="F402" s="2">
        <v>61</v>
      </c>
      <c r="G402" s="2">
        <v>165</v>
      </c>
      <c r="H402" s="9">
        <f t="shared" si="6"/>
        <v>22.4058769513315</v>
      </c>
      <c r="I402" s="2" t="str" cm="1">
        <f t="array" ref="I402">_xlfn.IFS(F402&gt;=100,"Over weight",F402&lt;100,"Average weight")</f>
        <v>Average weight</v>
      </c>
      <c r="J402" s="2" t="str" cm="1">
        <f t="array" ref="J402">_xlfn.IFS(G402&lt;164,"Below Average height",G402&gt;=165,"Above Average height",G402=164,"Average height")</f>
        <v>Above Average height</v>
      </c>
      <c r="K402" s="2" t="str" cm="1">
        <f t="array" ref="K402">_xlfn.IFS(E402&lt;=16,"Children",E402&lt;=30,"Young Adults",E402&lt;=45,"Middle-aged Adults",E402&gt;45,"Old Adults")</f>
        <v>Young Adults</v>
      </c>
    </row>
    <row r="403" spans="1:11" x14ac:dyDescent="0.45">
      <c r="A403" s="2">
        <v>471</v>
      </c>
      <c r="B403" s="2" t="s">
        <v>576</v>
      </c>
      <c r="C403" s="2" t="s">
        <v>91</v>
      </c>
      <c r="D403" s="2" t="s">
        <v>80</v>
      </c>
      <c r="E403" s="2">
        <v>22</v>
      </c>
      <c r="F403" s="2">
        <v>74</v>
      </c>
      <c r="G403" s="2">
        <v>175</v>
      </c>
      <c r="H403" s="9">
        <f t="shared" si="6"/>
        <v>24.163265306122447</v>
      </c>
      <c r="I403" s="2" t="str" cm="1">
        <f t="array" ref="I403">_xlfn.IFS(F403&gt;=100,"Over weight",F403&lt;100,"Average weight")</f>
        <v>Average weight</v>
      </c>
      <c r="J403" s="2" t="str" cm="1">
        <f t="array" ref="J403">_xlfn.IFS(G403&lt;164,"Below Average height",G403&gt;=165,"Above Average height",G403=164,"Average height")</f>
        <v>Above Average height</v>
      </c>
      <c r="K403" s="2" t="str" cm="1">
        <f t="array" ref="K403">_xlfn.IFS(E403&lt;=16,"Children",E403&lt;=30,"Young Adults",E403&lt;=45,"Middle-aged Adults",E403&gt;45,"Old Adults")</f>
        <v>Young Adults</v>
      </c>
    </row>
    <row r="404" spans="1:11" x14ac:dyDescent="0.45">
      <c r="A404" s="2">
        <v>472</v>
      </c>
      <c r="B404" s="2" t="s">
        <v>577</v>
      </c>
      <c r="C404" s="2" t="s">
        <v>85</v>
      </c>
      <c r="D404" s="2" t="s">
        <v>80</v>
      </c>
      <c r="E404" s="2">
        <v>24</v>
      </c>
      <c r="F404" s="2">
        <v>70</v>
      </c>
      <c r="G404" s="2">
        <v>170</v>
      </c>
      <c r="H404" s="9">
        <f t="shared" si="6"/>
        <v>24.221453287197235</v>
      </c>
      <c r="I404" s="2" t="str" cm="1">
        <f t="array" ref="I404">_xlfn.IFS(F404&gt;=100,"Over weight",F404&lt;100,"Average weight")</f>
        <v>Average weight</v>
      </c>
      <c r="J404" s="2" t="str" cm="1">
        <f t="array" ref="J404">_xlfn.IFS(G404&lt;164,"Below Average height",G404&gt;=165,"Above Average height",G404=164,"Average height")</f>
        <v>Above Average height</v>
      </c>
      <c r="K404" s="2" t="str" cm="1">
        <f t="array" ref="K404">_xlfn.IFS(E404&lt;=16,"Children",E404&lt;=30,"Young Adults",E404&lt;=45,"Middle-aged Adults",E404&gt;45,"Old Adults")</f>
        <v>Young Adults</v>
      </c>
    </row>
    <row r="405" spans="1:11" x14ac:dyDescent="0.45">
      <c r="A405" s="2">
        <v>473</v>
      </c>
      <c r="B405" s="2" t="s">
        <v>578</v>
      </c>
      <c r="C405" s="2" t="s">
        <v>100</v>
      </c>
      <c r="D405" s="2" t="s">
        <v>46</v>
      </c>
      <c r="E405" s="2">
        <v>25</v>
      </c>
      <c r="F405" s="2">
        <v>75</v>
      </c>
      <c r="G405" s="2">
        <v>179</v>
      </c>
      <c r="H405" s="9">
        <f t="shared" si="6"/>
        <v>23.40750912892856</v>
      </c>
      <c r="I405" s="2" t="str" cm="1">
        <f t="array" ref="I405">_xlfn.IFS(F405&gt;=100,"Over weight",F405&lt;100,"Average weight")</f>
        <v>Average weight</v>
      </c>
      <c r="J405" s="2" t="str" cm="1">
        <f t="array" ref="J405">_xlfn.IFS(G405&lt;164,"Below Average height",G405&gt;=165,"Above Average height",G405=164,"Average height")</f>
        <v>Above Average height</v>
      </c>
      <c r="K405" s="2" t="str" cm="1">
        <f t="array" ref="K405">_xlfn.IFS(E405&lt;=16,"Children",E405&lt;=30,"Young Adults",E405&lt;=45,"Middle-aged Adults",E405&gt;45,"Old Adults")</f>
        <v>Young Adults</v>
      </c>
    </row>
    <row r="406" spans="1:11" x14ac:dyDescent="0.45">
      <c r="A406" s="2">
        <v>474</v>
      </c>
      <c r="B406" s="2" t="s">
        <v>579</v>
      </c>
      <c r="C406" s="2" t="s">
        <v>100</v>
      </c>
      <c r="D406" s="2" t="s">
        <v>46</v>
      </c>
      <c r="E406" s="2">
        <v>28</v>
      </c>
      <c r="F406" s="2">
        <v>84</v>
      </c>
      <c r="G406" s="2">
        <v>186</v>
      </c>
      <c r="H406" s="9">
        <f t="shared" si="6"/>
        <v>24.280263614290668</v>
      </c>
      <c r="I406" s="2" t="str" cm="1">
        <f t="array" ref="I406">_xlfn.IFS(F406&gt;=100,"Over weight",F406&lt;100,"Average weight")</f>
        <v>Average weight</v>
      </c>
      <c r="J406" s="2" t="str" cm="1">
        <f t="array" ref="J406">_xlfn.IFS(G406&lt;164,"Below Average height",G406&gt;=165,"Above Average height",G406=164,"Average height")</f>
        <v>Above Average height</v>
      </c>
      <c r="K406" s="2" t="str" cm="1">
        <f t="array" ref="K406">_xlfn.IFS(E406&lt;=16,"Children",E406&lt;=30,"Young Adults",E406&lt;=45,"Middle-aged Adults",E406&gt;45,"Old Adults")</f>
        <v>Young Adults</v>
      </c>
    </row>
    <row r="407" spans="1:11" x14ac:dyDescent="0.45">
      <c r="A407" s="2">
        <v>475</v>
      </c>
      <c r="B407" s="2" t="s">
        <v>580</v>
      </c>
      <c r="C407" s="2" t="s">
        <v>88</v>
      </c>
      <c r="D407" s="2" t="s">
        <v>46</v>
      </c>
      <c r="E407" s="2">
        <v>24</v>
      </c>
      <c r="F407" s="2">
        <v>82</v>
      </c>
      <c r="G407" s="2">
        <v>193</v>
      </c>
      <c r="H407" s="9">
        <f t="shared" si="6"/>
        <v>22.014013799028163</v>
      </c>
      <c r="I407" s="2" t="str" cm="1">
        <f t="array" ref="I407">_xlfn.IFS(F407&gt;=100,"Over weight",F407&lt;100,"Average weight")</f>
        <v>Average weight</v>
      </c>
      <c r="J407" s="2" t="str" cm="1">
        <f t="array" ref="J407">_xlfn.IFS(G407&lt;164,"Below Average height",G407&gt;=165,"Above Average height",G407=164,"Average height")</f>
        <v>Above Average height</v>
      </c>
      <c r="K407" s="2" t="str" cm="1">
        <f t="array" ref="K407">_xlfn.IFS(E407&lt;=16,"Children",E407&lt;=30,"Young Adults",E407&lt;=45,"Middle-aged Adults",E407&gt;45,"Old Adults")</f>
        <v>Young Adults</v>
      </c>
    </row>
    <row r="408" spans="1:11" x14ac:dyDescent="0.45">
      <c r="A408" s="2">
        <v>476</v>
      </c>
      <c r="B408" s="2" t="s">
        <v>581</v>
      </c>
      <c r="C408" s="2" t="s">
        <v>87</v>
      </c>
      <c r="D408" s="2" t="s">
        <v>14</v>
      </c>
      <c r="E408" s="2">
        <v>27</v>
      </c>
      <c r="F408" s="2">
        <v>93</v>
      </c>
      <c r="G408" s="2">
        <v>183</v>
      </c>
      <c r="H408" s="9">
        <f t="shared" si="6"/>
        <v>27.77031263997133</v>
      </c>
      <c r="I408" s="2" t="str" cm="1">
        <f t="array" ref="I408">_xlfn.IFS(F408&gt;=100,"Over weight",F408&lt;100,"Average weight")</f>
        <v>Average weight</v>
      </c>
      <c r="J408" s="2" t="str" cm="1">
        <f t="array" ref="J408">_xlfn.IFS(G408&lt;164,"Below Average height",G408&gt;=165,"Above Average height",G408=164,"Average height")</f>
        <v>Above Average height</v>
      </c>
      <c r="K408" s="2" t="str" cm="1">
        <f t="array" ref="K408">_xlfn.IFS(E408&lt;=16,"Children",E408&lt;=30,"Young Adults",E408&lt;=45,"Middle-aged Adults",E408&gt;45,"Old Adults")</f>
        <v>Young Adults</v>
      </c>
    </row>
    <row r="409" spans="1:11" x14ac:dyDescent="0.45">
      <c r="A409" s="2">
        <v>477</v>
      </c>
      <c r="B409" s="2" t="s">
        <v>582</v>
      </c>
      <c r="C409" s="2" t="s">
        <v>96</v>
      </c>
      <c r="D409" s="2" t="s">
        <v>22</v>
      </c>
      <c r="E409" s="2">
        <v>25</v>
      </c>
      <c r="F409" s="2">
        <v>48</v>
      </c>
      <c r="G409" s="2">
        <v>169</v>
      </c>
      <c r="H409" s="9">
        <f t="shared" si="6"/>
        <v>16.806134238997235</v>
      </c>
      <c r="I409" s="2" t="str" cm="1">
        <f t="array" ref="I409">_xlfn.IFS(F409&gt;=100,"Over weight",F409&lt;100,"Average weight")</f>
        <v>Average weight</v>
      </c>
      <c r="J409" s="2" t="str" cm="1">
        <f t="array" ref="J409">_xlfn.IFS(G409&lt;164,"Below Average height",G409&gt;=165,"Above Average height",G409=164,"Average height")</f>
        <v>Above Average height</v>
      </c>
      <c r="K409" s="2" t="str" cm="1">
        <f t="array" ref="K409">_xlfn.IFS(E409&lt;=16,"Children",E409&lt;=30,"Young Adults",E409&lt;=45,"Middle-aged Adults",E409&gt;45,"Old Adults")</f>
        <v>Young Adults</v>
      </c>
    </row>
    <row r="410" spans="1:11" x14ac:dyDescent="0.45">
      <c r="A410" s="2">
        <v>478</v>
      </c>
      <c r="B410" s="2" t="s">
        <v>583</v>
      </c>
      <c r="C410" s="2" t="s">
        <v>96</v>
      </c>
      <c r="D410" s="2" t="s">
        <v>22</v>
      </c>
      <c r="E410" s="2">
        <v>22</v>
      </c>
      <c r="F410" s="2">
        <v>59</v>
      </c>
      <c r="G410" s="2">
        <v>173</v>
      </c>
      <c r="H410" s="9">
        <f t="shared" si="6"/>
        <v>19.713321527615356</v>
      </c>
      <c r="I410" s="2" t="str" cm="1">
        <f t="array" ref="I410">_xlfn.IFS(F410&gt;=100,"Over weight",F410&lt;100,"Average weight")</f>
        <v>Average weight</v>
      </c>
      <c r="J410" s="2" t="str" cm="1">
        <f t="array" ref="J410">_xlfn.IFS(G410&lt;164,"Below Average height",G410&gt;=165,"Above Average height",G410=164,"Average height")</f>
        <v>Above Average height</v>
      </c>
      <c r="K410" s="2" t="str" cm="1">
        <f t="array" ref="K410">_xlfn.IFS(E410&lt;=16,"Children",E410&lt;=30,"Young Adults",E410&lt;=45,"Middle-aged Adults",E410&gt;45,"Old Adults")</f>
        <v>Young Adults</v>
      </c>
    </row>
    <row r="411" spans="1:11" x14ac:dyDescent="0.45">
      <c r="A411" s="2">
        <v>479</v>
      </c>
      <c r="B411" s="2" t="s">
        <v>584</v>
      </c>
      <c r="C411" s="2" t="s">
        <v>94</v>
      </c>
      <c r="D411" s="2" t="s">
        <v>26</v>
      </c>
      <c r="E411" s="2">
        <v>26</v>
      </c>
      <c r="F411" s="2">
        <v>71</v>
      </c>
      <c r="G411" s="2">
        <v>178</v>
      </c>
      <c r="H411" s="9">
        <f t="shared" si="6"/>
        <v>22.408786769347305</v>
      </c>
      <c r="I411" s="2" t="str" cm="1">
        <f t="array" ref="I411">_xlfn.IFS(F411&gt;=100,"Over weight",F411&lt;100,"Average weight")</f>
        <v>Average weight</v>
      </c>
      <c r="J411" s="2" t="str" cm="1">
        <f t="array" ref="J411">_xlfn.IFS(G411&lt;164,"Below Average height",G411&gt;=165,"Above Average height",G411=164,"Average height")</f>
        <v>Above Average height</v>
      </c>
      <c r="K411" s="2" t="str" cm="1">
        <f t="array" ref="K411">_xlfn.IFS(E411&lt;=16,"Children",E411&lt;=30,"Young Adults",E411&lt;=45,"Middle-aged Adults",E411&gt;45,"Old Adults")</f>
        <v>Young Adults</v>
      </c>
    </row>
    <row r="412" spans="1:11" x14ac:dyDescent="0.45">
      <c r="A412" s="2">
        <v>480</v>
      </c>
      <c r="B412" s="2" t="s">
        <v>585</v>
      </c>
      <c r="C412" s="2" t="s">
        <v>97</v>
      </c>
      <c r="D412" s="2" t="s">
        <v>21</v>
      </c>
      <c r="E412" s="2">
        <v>22</v>
      </c>
      <c r="F412" s="2">
        <v>65</v>
      </c>
      <c r="G412" s="2">
        <v>180</v>
      </c>
      <c r="H412" s="9">
        <f t="shared" si="6"/>
        <v>20.061728395061728</v>
      </c>
      <c r="I412" s="2" t="str" cm="1">
        <f t="array" ref="I412">_xlfn.IFS(F412&gt;=100,"Over weight",F412&lt;100,"Average weight")</f>
        <v>Average weight</v>
      </c>
      <c r="J412" s="2" t="str" cm="1">
        <f t="array" ref="J412">_xlfn.IFS(G412&lt;164,"Below Average height",G412&gt;=165,"Above Average height",G412=164,"Average height")</f>
        <v>Above Average height</v>
      </c>
      <c r="K412" s="2" t="str" cm="1">
        <f t="array" ref="K412">_xlfn.IFS(E412&lt;=16,"Children",E412&lt;=30,"Young Adults",E412&lt;=45,"Middle-aged Adults",E412&gt;45,"Old Adults")</f>
        <v>Young Adults</v>
      </c>
    </row>
    <row r="413" spans="1:11" x14ac:dyDescent="0.45">
      <c r="A413" s="2">
        <v>481</v>
      </c>
      <c r="B413" s="2" t="s">
        <v>586</v>
      </c>
      <c r="C413" s="2" t="s">
        <v>91</v>
      </c>
      <c r="D413" s="2" t="s">
        <v>66</v>
      </c>
      <c r="E413" s="2">
        <v>19</v>
      </c>
      <c r="F413" s="2">
        <v>63</v>
      </c>
      <c r="G413" s="2">
        <v>166</v>
      </c>
      <c r="H413" s="9">
        <f t="shared" si="6"/>
        <v>22.862534475250399</v>
      </c>
      <c r="I413" s="2" t="str" cm="1">
        <f t="array" ref="I413">_xlfn.IFS(F413&gt;=100,"Over weight",F413&lt;100,"Average weight")</f>
        <v>Average weight</v>
      </c>
      <c r="J413" s="2" t="str" cm="1">
        <f t="array" ref="J413">_xlfn.IFS(G413&lt;164,"Below Average height",G413&gt;=165,"Above Average height",G413=164,"Average height")</f>
        <v>Above Average height</v>
      </c>
      <c r="K413" s="2" t="str" cm="1">
        <f t="array" ref="K413">_xlfn.IFS(E413&lt;=16,"Children",E413&lt;=30,"Young Adults",E413&lt;=45,"Middle-aged Adults",E413&gt;45,"Old Adults")</f>
        <v>Young Adults</v>
      </c>
    </row>
    <row r="414" spans="1:11" x14ac:dyDescent="0.45">
      <c r="A414" s="2">
        <v>483</v>
      </c>
      <c r="B414" s="2" t="s">
        <v>588</v>
      </c>
      <c r="C414" s="2" t="s">
        <v>88</v>
      </c>
      <c r="D414" s="2" t="s">
        <v>6</v>
      </c>
      <c r="E414" s="2">
        <v>25</v>
      </c>
      <c r="F414" s="2">
        <v>73</v>
      </c>
      <c r="G414" s="2">
        <v>194</v>
      </c>
      <c r="H414" s="9">
        <f t="shared" si="6"/>
        <v>19.396322669784251</v>
      </c>
      <c r="I414" s="2" t="str" cm="1">
        <f t="array" ref="I414">_xlfn.IFS(F414&gt;=100,"Over weight",F414&lt;100,"Average weight")</f>
        <v>Average weight</v>
      </c>
      <c r="J414" s="2" t="str" cm="1">
        <f t="array" ref="J414">_xlfn.IFS(G414&lt;164,"Below Average height",G414&gt;=165,"Above Average height",G414=164,"Average height")</f>
        <v>Above Average height</v>
      </c>
      <c r="K414" s="2" t="str" cm="1">
        <f t="array" ref="K414">_xlfn.IFS(E414&lt;=16,"Children",E414&lt;=30,"Young Adults",E414&lt;=45,"Middle-aged Adults",E414&gt;45,"Old Adults")</f>
        <v>Young Adults</v>
      </c>
    </row>
    <row r="415" spans="1:11" x14ac:dyDescent="0.45">
      <c r="A415" s="2">
        <v>484</v>
      </c>
      <c r="B415" s="2" t="s">
        <v>589</v>
      </c>
      <c r="C415" s="2" t="s">
        <v>97</v>
      </c>
      <c r="D415" s="2" t="s">
        <v>28</v>
      </c>
      <c r="E415" s="2">
        <v>24</v>
      </c>
      <c r="F415" s="2">
        <v>73</v>
      </c>
      <c r="G415" s="2">
        <v>185</v>
      </c>
      <c r="H415" s="9">
        <f t="shared" si="6"/>
        <v>21.329437545653761</v>
      </c>
      <c r="I415" s="2" t="str" cm="1">
        <f t="array" ref="I415">_xlfn.IFS(F415&gt;=100,"Over weight",F415&lt;100,"Average weight")</f>
        <v>Average weight</v>
      </c>
      <c r="J415" s="2" t="str" cm="1">
        <f t="array" ref="J415">_xlfn.IFS(G415&lt;164,"Below Average height",G415&gt;=165,"Above Average height",G415=164,"Average height")</f>
        <v>Above Average height</v>
      </c>
      <c r="K415" s="2" t="str" cm="1">
        <f t="array" ref="K415">_xlfn.IFS(E415&lt;=16,"Children",E415&lt;=30,"Young Adults",E415&lt;=45,"Middle-aged Adults",E415&gt;45,"Old Adults")</f>
        <v>Young Adults</v>
      </c>
    </row>
    <row r="416" spans="1:11" x14ac:dyDescent="0.45">
      <c r="A416" s="2">
        <v>485</v>
      </c>
      <c r="B416" s="2" t="s">
        <v>590</v>
      </c>
      <c r="C416" s="2" t="s">
        <v>88</v>
      </c>
      <c r="D416" s="2" t="s">
        <v>6</v>
      </c>
      <c r="E416" s="2">
        <v>26</v>
      </c>
      <c r="F416" s="2">
        <v>79</v>
      </c>
      <c r="G416" s="2">
        <v>186</v>
      </c>
      <c r="H416" s="9">
        <f t="shared" si="6"/>
        <v>22.835009827725745</v>
      </c>
      <c r="I416" s="2" t="str" cm="1">
        <f t="array" ref="I416">_xlfn.IFS(F416&gt;=100,"Over weight",F416&lt;100,"Average weight")</f>
        <v>Average weight</v>
      </c>
      <c r="J416" s="2" t="str" cm="1">
        <f t="array" ref="J416">_xlfn.IFS(G416&lt;164,"Below Average height",G416&gt;=165,"Above Average height",G416=164,"Average height")</f>
        <v>Above Average height</v>
      </c>
      <c r="K416" s="2" t="str" cm="1">
        <f t="array" ref="K416">_xlfn.IFS(E416&lt;=16,"Children",E416&lt;=30,"Young Adults",E416&lt;=45,"Middle-aged Adults",E416&gt;45,"Old Adults")</f>
        <v>Young Adults</v>
      </c>
    </row>
    <row r="417" spans="1:11" x14ac:dyDescent="0.45">
      <c r="A417" s="2">
        <v>486</v>
      </c>
      <c r="B417" s="2" t="s">
        <v>591</v>
      </c>
      <c r="C417" s="2" t="s">
        <v>96</v>
      </c>
      <c r="D417" s="2" t="s">
        <v>74</v>
      </c>
      <c r="E417" s="2">
        <v>24</v>
      </c>
      <c r="F417" s="2">
        <v>59</v>
      </c>
      <c r="G417" s="2">
        <v>173</v>
      </c>
      <c r="H417" s="9">
        <f t="shared" si="6"/>
        <v>19.713321527615356</v>
      </c>
      <c r="I417" s="2" t="str" cm="1">
        <f t="array" ref="I417">_xlfn.IFS(F417&gt;=100,"Over weight",F417&lt;100,"Average weight")</f>
        <v>Average weight</v>
      </c>
      <c r="J417" s="2" t="str" cm="1">
        <f t="array" ref="J417">_xlfn.IFS(G417&lt;164,"Below Average height",G417&gt;=165,"Above Average height",G417=164,"Average height")</f>
        <v>Above Average height</v>
      </c>
      <c r="K417" s="2" t="str" cm="1">
        <f t="array" ref="K417">_xlfn.IFS(E417&lt;=16,"Children",E417&lt;=30,"Young Adults",E417&lt;=45,"Middle-aged Adults",E417&gt;45,"Old Adults")</f>
        <v>Young Adults</v>
      </c>
    </row>
    <row r="418" spans="1:11" x14ac:dyDescent="0.45">
      <c r="A418" s="2">
        <v>487</v>
      </c>
      <c r="B418" s="2" t="s">
        <v>592</v>
      </c>
      <c r="C418" s="2" t="s">
        <v>95</v>
      </c>
      <c r="D418" s="2" t="s">
        <v>14</v>
      </c>
      <c r="E418" s="2">
        <v>25</v>
      </c>
      <c r="F418" s="2">
        <v>95</v>
      </c>
      <c r="G418" s="2">
        <v>188</v>
      </c>
      <c r="H418" s="9">
        <f t="shared" si="6"/>
        <v>26.878678134902671</v>
      </c>
      <c r="I418" s="2" t="str" cm="1">
        <f t="array" ref="I418">_xlfn.IFS(F418&gt;=100,"Over weight",F418&lt;100,"Average weight")</f>
        <v>Average weight</v>
      </c>
      <c r="J418" s="2" t="str" cm="1">
        <f t="array" ref="J418">_xlfn.IFS(G418&lt;164,"Below Average height",G418&gt;=165,"Above Average height",G418=164,"Average height")</f>
        <v>Above Average height</v>
      </c>
      <c r="K418" s="2" t="str" cm="1">
        <f t="array" ref="K418">_xlfn.IFS(E418&lt;=16,"Children",E418&lt;=30,"Young Adults",E418&lt;=45,"Middle-aged Adults",E418&gt;45,"Old Adults")</f>
        <v>Young Adults</v>
      </c>
    </row>
    <row r="419" spans="1:11" x14ac:dyDescent="0.45">
      <c r="A419" s="2">
        <v>488</v>
      </c>
      <c r="B419" s="2" t="s">
        <v>593</v>
      </c>
      <c r="C419" s="2" t="s">
        <v>90</v>
      </c>
      <c r="D419" s="2" t="s">
        <v>75</v>
      </c>
      <c r="E419" s="2">
        <v>28</v>
      </c>
      <c r="F419" s="2">
        <v>98</v>
      </c>
      <c r="G419" s="2">
        <v>178</v>
      </c>
      <c r="H419" s="9">
        <f t="shared" si="6"/>
        <v>30.930438076000502</v>
      </c>
      <c r="I419" s="2" t="str" cm="1">
        <f t="array" ref="I419">_xlfn.IFS(F419&gt;=100,"Over weight",F419&lt;100,"Average weight")</f>
        <v>Average weight</v>
      </c>
      <c r="J419" s="2" t="str" cm="1">
        <f t="array" ref="J419">_xlfn.IFS(G419&lt;164,"Below Average height",G419&gt;=165,"Above Average height",G419=164,"Average height")</f>
        <v>Above Average height</v>
      </c>
      <c r="K419" s="2" t="str" cm="1">
        <f t="array" ref="K419">_xlfn.IFS(E419&lt;=16,"Children",E419&lt;=30,"Young Adults",E419&lt;=45,"Middle-aged Adults",E419&gt;45,"Old Adults")</f>
        <v>Young Adults</v>
      </c>
    </row>
    <row r="420" spans="1:11" x14ac:dyDescent="0.45">
      <c r="A420" s="2">
        <v>489</v>
      </c>
      <c r="B420" s="2" t="s">
        <v>594</v>
      </c>
      <c r="C420" s="2" t="s">
        <v>96</v>
      </c>
      <c r="D420" s="2" t="s">
        <v>75</v>
      </c>
      <c r="E420" s="2">
        <v>41</v>
      </c>
      <c r="F420" s="2">
        <v>59</v>
      </c>
      <c r="G420" s="2">
        <v>179</v>
      </c>
      <c r="H420" s="9">
        <f t="shared" si="6"/>
        <v>18.413907181423802</v>
      </c>
      <c r="I420" s="2" t="str" cm="1">
        <f t="array" ref="I420">_xlfn.IFS(F420&gt;=100,"Over weight",F420&lt;100,"Average weight")</f>
        <v>Average weight</v>
      </c>
      <c r="J420" s="2" t="str" cm="1">
        <f t="array" ref="J420">_xlfn.IFS(G420&lt;164,"Below Average height",G420&gt;=165,"Above Average height",G420=164,"Average height")</f>
        <v>Above Average height</v>
      </c>
      <c r="K420" s="2" t="str" cm="1">
        <f t="array" ref="K420">_xlfn.IFS(E420&lt;=16,"Children",E420&lt;=30,"Young Adults",E420&lt;=45,"Middle-aged Adults",E420&gt;45,"Old Adults")</f>
        <v>Middle-aged Adults</v>
      </c>
    </row>
    <row r="421" spans="1:11" x14ac:dyDescent="0.45">
      <c r="A421" s="2">
        <v>490</v>
      </c>
      <c r="B421" s="2" t="s">
        <v>595</v>
      </c>
      <c r="C421" s="2" t="s">
        <v>90</v>
      </c>
      <c r="D421" s="2" t="s">
        <v>66</v>
      </c>
      <c r="E421" s="2">
        <v>31</v>
      </c>
      <c r="F421" s="2">
        <v>96</v>
      </c>
      <c r="G421" s="2">
        <v>182</v>
      </c>
      <c r="H421" s="9">
        <f t="shared" si="6"/>
        <v>28.982007003985025</v>
      </c>
      <c r="I421" s="2" t="str" cm="1">
        <f t="array" ref="I421">_xlfn.IFS(F421&gt;=100,"Over weight",F421&lt;100,"Average weight")</f>
        <v>Average weight</v>
      </c>
      <c r="J421" s="2" t="str" cm="1">
        <f t="array" ref="J421">_xlfn.IFS(G421&lt;164,"Below Average height",G421&gt;=165,"Above Average height",G421=164,"Average height")</f>
        <v>Above Average height</v>
      </c>
      <c r="K421" s="2" t="str" cm="1">
        <f t="array" ref="K421">_xlfn.IFS(E421&lt;=16,"Children",E421&lt;=30,"Young Adults",E421&lt;=45,"Middle-aged Adults",E421&gt;45,"Old Adults")</f>
        <v>Middle-aged Adults</v>
      </c>
    </row>
    <row r="422" spans="1:11" x14ac:dyDescent="0.45">
      <c r="A422" s="2">
        <v>491</v>
      </c>
      <c r="B422" s="2" t="s">
        <v>596</v>
      </c>
      <c r="C422" s="2" t="s">
        <v>91</v>
      </c>
      <c r="D422" s="2" t="s">
        <v>28</v>
      </c>
      <c r="E422" s="2">
        <v>27</v>
      </c>
      <c r="F422" s="2">
        <v>90</v>
      </c>
      <c r="G422" s="2">
        <v>188</v>
      </c>
      <c r="H422" s="9">
        <f t="shared" si="6"/>
        <v>25.464010864644639</v>
      </c>
      <c r="I422" s="2" t="str" cm="1">
        <f t="array" ref="I422">_xlfn.IFS(F422&gt;=100,"Over weight",F422&lt;100,"Average weight")</f>
        <v>Average weight</v>
      </c>
      <c r="J422" s="2" t="str" cm="1">
        <f t="array" ref="J422">_xlfn.IFS(G422&lt;164,"Below Average height",G422&gt;=165,"Above Average height",G422=164,"Average height")</f>
        <v>Above Average height</v>
      </c>
      <c r="K422" s="2" t="str" cm="1">
        <f t="array" ref="K422">_xlfn.IFS(E422&lt;=16,"Children",E422&lt;=30,"Young Adults",E422&lt;=45,"Middle-aged Adults",E422&gt;45,"Old Adults")</f>
        <v>Young Adults</v>
      </c>
    </row>
    <row r="423" spans="1:11" x14ac:dyDescent="0.45">
      <c r="A423" s="2">
        <v>492</v>
      </c>
      <c r="B423" s="2" t="s">
        <v>597</v>
      </c>
      <c r="C423" s="2" t="s">
        <v>94</v>
      </c>
      <c r="D423" s="2" t="s">
        <v>75</v>
      </c>
      <c r="E423" s="2">
        <v>30</v>
      </c>
      <c r="F423" s="2">
        <v>72</v>
      </c>
      <c r="G423" s="2">
        <v>177</v>
      </c>
      <c r="H423" s="9">
        <f t="shared" si="6"/>
        <v>22.981901752370007</v>
      </c>
      <c r="I423" s="2" t="str" cm="1">
        <f t="array" ref="I423">_xlfn.IFS(F423&gt;=100,"Over weight",F423&lt;100,"Average weight")</f>
        <v>Average weight</v>
      </c>
      <c r="J423" s="2" t="str" cm="1">
        <f t="array" ref="J423">_xlfn.IFS(G423&lt;164,"Below Average height",G423&gt;=165,"Above Average height",G423=164,"Average height")</f>
        <v>Above Average height</v>
      </c>
      <c r="K423" s="2" t="str" cm="1">
        <f t="array" ref="K423">_xlfn.IFS(E423&lt;=16,"Children",E423&lt;=30,"Young Adults",E423&lt;=45,"Middle-aged Adults",E423&gt;45,"Old Adults")</f>
        <v>Young Adults</v>
      </c>
    </row>
    <row r="424" spans="1:11" x14ac:dyDescent="0.45">
      <c r="A424" s="2">
        <v>494</v>
      </c>
      <c r="B424" s="2" t="s">
        <v>599</v>
      </c>
      <c r="C424" s="2" t="s">
        <v>94</v>
      </c>
      <c r="D424" s="2" t="s">
        <v>23</v>
      </c>
      <c r="E424" s="2">
        <v>24</v>
      </c>
      <c r="F424" s="2">
        <v>93</v>
      </c>
      <c r="G424" s="2">
        <v>197</v>
      </c>
      <c r="H424" s="9">
        <f t="shared" si="6"/>
        <v>23.963513617975213</v>
      </c>
      <c r="I424" s="2" t="str" cm="1">
        <f t="array" ref="I424">_xlfn.IFS(F424&gt;=100,"Over weight",F424&lt;100,"Average weight")</f>
        <v>Average weight</v>
      </c>
      <c r="J424" s="2" t="str" cm="1">
        <f t="array" ref="J424">_xlfn.IFS(G424&lt;164,"Below Average height",G424&gt;=165,"Above Average height",G424=164,"Average height")</f>
        <v>Above Average height</v>
      </c>
      <c r="K424" s="2" t="str" cm="1">
        <f t="array" ref="K424">_xlfn.IFS(E424&lt;=16,"Children",E424&lt;=30,"Young Adults",E424&lt;=45,"Middle-aged Adults",E424&gt;45,"Old Adults")</f>
        <v>Young Adults</v>
      </c>
    </row>
    <row r="425" spans="1:11" x14ac:dyDescent="0.45">
      <c r="A425" s="2">
        <v>495</v>
      </c>
      <c r="B425" s="2" t="s">
        <v>600</v>
      </c>
      <c r="C425" s="2" t="s">
        <v>98</v>
      </c>
      <c r="D425" s="2" t="s">
        <v>30</v>
      </c>
      <c r="E425" s="2">
        <v>25</v>
      </c>
      <c r="F425" s="2">
        <v>79</v>
      </c>
      <c r="G425" s="2">
        <v>186</v>
      </c>
      <c r="H425" s="9">
        <f t="shared" si="6"/>
        <v>22.835009827725745</v>
      </c>
      <c r="I425" s="2" t="str" cm="1">
        <f t="array" ref="I425">_xlfn.IFS(F425&gt;=100,"Over weight",F425&lt;100,"Average weight")</f>
        <v>Average weight</v>
      </c>
      <c r="J425" s="2" t="str" cm="1">
        <f t="array" ref="J425">_xlfn.IFS(G425&lt;164,"Below Average height",G425&gt;=165,"Above Average height",G425=164,"Average height")</f>
        <v>Above Average height</v>
      </c>
      <c r="K425" s="2" t="str" cm="1">
        <f t="array" ref="K425">_xlfn.IFS(E425&lt;=16,"Children",E425&lt;=30,"Young Adults",E425&lt;=45,"Middle-aged Adults",E425&gt;45,"Old Adults")</f>
        <v>Young Adults</v>
      </c>
    </row>
    <row r="426" spans="1:11" x14ac:dyDescent="0.45">
      <c r="A426" s="2">
        <v>496</v>
      </c>
      <c r="B426" s="2" t="s">
        <v>601</v>
      </c>
      <c r="C426" s="2" t="s">
        <v>91</v>
      </c>
      <c r="D426" s="2" t="s">
        <v>21</v>
      </c>
      <c r="E426" s="2">
        <v>33</v>
      </c>
      <c r="F426" s="2">
        <v>88</v>
      </c>
      <c r="G426" s="2">
        <v>183</v>
      </c>
      <c r="H426" s="9">
        <f t="shared" si="6"/>
        <v>26.277285078682549</v>
      </c>
      <c r="I426" s="2" t="str" cm="1">
        <f t="array" ref="I426">_xlfn.IFS(F426&gt;=100,"Over weight",F426&lt;100,"Average weight")</f>
        <v>Average weight</v>
      </c>
      <c r="J426" s="2" t="str" cm="1">
        <f t="array" ref="J426">_xlfn.IFS(G426&lt;164,"Below Average height",G426&gt;=165,"Above Average height",G426=164,"Average height")</f>
        <v>Above Average height</v>
      </c>
      <c r="K426" s="2" t="str" cm="1">
        <f t="array" ref="K426">_xlfn.IFS(E426&lt;=16,"Children",E426&lt;=30,"Young Adults",E426&lt;=45,"Middle-aged Adults",E426&gt;45,"Old Adults")</f>
        <v>Middle-aged Adults</v>
      </c>
    </row>
    <row r="427" spans="1:11" x14ac:dyDescent="0.45">
      <c r="A427" s="2">
        <v>497</v>
      </c>
      <c r="B427" s="2" t="s">
        <v>602</v>
      </c>
      <c r="C427" s="2" t="s">
        <v>91</v>
      </c>
      <c r="D427" s="2" t="s">
        <v>74</v>
      </c>
      <c r="E427" s="2">
        <v>20</v>
      </c>
      <c r="F427" s="2">
        <v>70</v>
      </c>
      <c r="G427" s="2">
        <v>166</v>
      </c>
      <c r="H427" s="9">
        <f t="shared" si="6"/>
        <v>25.402816083611555</v>
      </c>
      <c r="I427" s="2" t="str" cm="1">
        <f t="array" ref="I427">_xlfn.IFS(F427&gt;=100,"Over weight",F427&lt;100,"Average weight")</f>
        <v>Average weight</v>
      </c>
      <c r="J427" s="2" t="str" cm="1">
        <f t="array" ref="J427">_xlfn.IFS(G427&lt;164,"Below Average height",G427&gt;=165,"Above Average height",G427=164,"Average height")</f>
        <v>Above Average height</v>
      </c>
      <c r="K427" s="2" t="str" cm="1">
        <f t="array" ref="K427">_xlfn.IFS(E427&lt;=16,"Children",E427&lt;=30,"Young Adults",E427&lt;=45,"Middle-aged Adults",E427&gt;45,"Old Adults")</f>
        <v>Young Adults</v>
      </c>
    </row>
    <row r="428" spans="1:11" x14ac:dyDescent="0.45">
      <c r="A428" s="2">
        <v>498</v>
      </c>
      <c r="B428" s="2" t="s">
        <v>603</v>
      </c>
      <c r="C428" s="2" t="s">
        <v>87</v>
      </c>
      <c r="D428" s="2" t="s">
        <v>74</v>
      </c>
      <c r="E428" s="2">
        <v>29</v>
      </c>
      <c r="F428" s="2">
        <v>90</v>
      </c>
      <c r="G428" s="2">
        <v>179</v>
      </c>
      <c r="H428" s="9">
        <f t="shared" si="6"/>
        <v>28.089010954714272</v>
      </c>
      <c r="I428" s="2" t="str" cm="1">
        <f t="array" ref="I428">_xlfn.IFS(F428&gt;=100,"Over weight",F428&lt;100,"Average weight")</f>
        <v>Average weight</v>
      </c>
      <c r="J428" s="2" t="str" cm="1">
        <f t="array" ref="J428">_xlfn.IFS(G428&lt;164,"Below Average height",G428&gt;=165,"Above Average height",G428=164,"Average height")</f>
        <v>Above Average height</v>
      </c>
      <c r="K428" s="2" t="str" cm="1">
        <f t="array" ref="K428">_xlfn.IFS(E428&lt;=16,"Children",E428&lt;=30,"Young Adults",E428&lt;=45,"Middle-aged Adults",E428&gt;45,"Old Adults")</f>
        <v>Young Adults</v>
      </c>
    </row>
    <row r="429" spans="1:11" x14ac:dyDescent="0.45">
      <c r="A429" s="2">
        <v>499</v>
      </c>
      <c r="B429" s="2" t="s">
        <v>604</v>
      </c>
      <c r="C429" s="2" t="s">
        <v>98</v>
      </c>
      <c r="D429" s="2" t="s">
        <v>66</v>
      </c>
      <c r="E429" s="2">
        <v>19</v>
      </c>
      <c r="F429" s="2">
        <v>60</v>
      </c>
      <c r="G429" s="2">
        <v>165</v>
      </c>
      <c r="H429" s="9">
        <f t="shared" si="6"/>
        <v>22.03856749311295</v>
      </c>
      <c r="I429" s="2" t="str" cm="1">
        <f t="array" ref="I429">_xlfn.IFS(F429&gt;=100,"Over weight",F429&lt;100,"Average weight")</f>
        <v>Average weight</v>
      </c>
      <c r="J429" s="2" t="str" cm="1">
        <f t="array" ref="J429">_xlfn.IFS(G429&lt;164,"Below Average height",G429&gt;=165,"Above Average height",G429=164,"Average height")</f>
        <v>Above Average height</v>
      </c>
      <c r="K429" s="2" t="str" cm="1">
        <f t="array" ref="K429">_xlfn.IFS(E429&lt;=16,"Children",E429&lt;=30,"Young Adults",E429&lt;=45,"Middle-aged Adults",E429&gt;45,"Old Adults")</f>
        <v>Young Adults</v>
      </c>
    </row>
    <row r="430" spans="1:11" x14ac:dyDescent="0.45">
      <c r="A430" s="2">
        <v>500</v>
      </c>
      <c r="B430" s="2" t="s">
        <v>605</v>
      </c>
      <c r="C430" s="2" t="s">
        <v>87</v>
      </c>
      <c r="D430" s="2" t="s">
        <v>41</v>
      </c>
      <c r="E430" s="2">
        <v>19</v>
      </c>
      <c r="F430" s="2">
        <v>72</v>
      </c>
      <c r="G430" s="2">
        <v>178</v>
      </c>
      <c r="H430" s="9">
        <f t="shared" si="6"/>
        <v>22.724403484408533</v>
      </c>
      <c r="I430" s="2" t="str" cm="1">
        <f t="array" ref="I430">_xlfn.IFS(F430&gt;=100,"Over weight",F430&lt;100,"Average weight")</f>
        <v>Average weight</v>
      </c>
      <c r="J430" s="2" t="str" cm="1">
        <f t="array" ref="J430">_xlfn.IFS(G430&lt;164,"Below Average height",G430&gt;=165,"Above Average height",G430=164,"Average height")</f>
        <v>Above Average height</v>
      </c>
      <c r="K430" s="2" t="str" cm="1">
        <f t="array" ref="K430">_xlfn.IFS(E430&lt;=16,"Children",E430&lt;=30,"Young Adults",E430&lt;=45,"Middle-aged Adults",E430&gt;45,"Old Adults")</f>
        <v>Young Adults</v>
      </c>
    </row>
    <row r="431" spans="1:11" x14ac:dyDescent="0.45">
      <c r="A431" s="2">
        <v>501</v>
      </c>
      <c r="B431" s="2" t="s">
        <v>606</v>
      </c>
      <c r="C431" s="2" t="s">
        <v>91</v>
      </c>
      <c r="D431" s="2" t="s">
        <v>28</v>
      </c>
      <c r="E431" s="2">
        <v>24</v>
      </c>
      <c r="F431" s="2">
        <v>76</v>
      </c>
      <c r="G431" s="2">
        <v>183</v>
      </c>
      <c r="H431" s="9">
        <f t="shared" si="6"/>
        <v>22.694018931589476</v>
      </c>
      <c r="I431" s="2" t="str" cm="1">
        <f t="array" ref="I431">_xlfn.IFS(F431&gt;=100,"Over weight",F431&lt;100,"Average weight")</f>
        <v>Average weight</v>
      </c>
      <c r="J431" s="2" t="str" cm="1">
        <f t="array" ref="J431">_xlfn.IFS(G431&lt;164,"Below Average height",G431&gt;=165,"Above Average height",G431=164,"Average height")</f>
        <v>Above Average height</v>
      </c>
      <c r="K431" s="2" t="str" cm="1">
        <f t="array" ref="K431">_xlfn.IFS(E431&lt;=16,"Children",E431&lt;=30,"Young Adults",E431&lt;=45,"Middle-aged Adults",E431&gt;45,"Old Adults")</f>
        <v>Young Adults</v>
      </c>
    </row>
    <row r="432" spans="1:11" x14ac:dyDescent="0.45">
      <c r="A432" s="2">
        <v>502</v>
      </c>
      <c r="B432" s="2" t="s">
        <v>607</v>
      </c>
      <c r="C432" s="2" t="s">
        <v>91</v>
      </c>
      <c r="D432" s="2" t="s">
        <v>80</v>
      </c>
      <c r="E432" s="2">
        <v>26</v>
      </c>
      <c r="F432" s="2">
        <v>78</v>
      </c>
      <c r="G432" s="2">
        <v>175</v>
      </c>
      <c r="H432" s="9">
        <f t="shared" si="6"/>
        <v>25.469387755102041</v>
      </c>
      <c r="I432" s="2" t="str" cm="1">
        <f t="array" ref="I432">_xlfn.IFS(F432&gt;=100,"Over weight",F432&lt;100,"Average weight")</f>
        <v>Average weight</v>
      </c>
      <c r="J432" s="2" t="str" cm="1">
        <f t="array" ref="J432">_xlfn.IFS(G432&lt;164,"Below Average height",G432&gt;=165,"Above Average height",G432=164,"Average height")</f>
        <v>Above Average height</v>
      </c>
      <c r="K432" s="2" t="str" cm="1">
        <f t="array" ref="K432">_xlfn.IFS(E432&lt;=16,"Children",E432&lt;=30,"Young Adults",E432&lt;=45,"Middle-aged Adults",E432&gt;45,"Old Adults")</f>
        <v>Young Adults</v>
      </c>
    </row>
    <row r="433" spans="1:11" x14ac:dyDescent="0.45">
      <c r="A433" s="2">
        <v>503</v>
      </c>
      <c r="B433" s="2" t="s">
        <v>608</v>
      </c>
      <c r="C433" s="2" t="s">
        <v>96</v>
      </c>
      <c r="D433" s="2" t="s">
        <v>14</v>
      </c>
      <c r="E433" s="2">
        <v>26</v>
      </c>
      <c r="F433" s="2">
        <v>59</v>
      </c>
      <c r="G433" s="2">
        <v>178</v>
      </c>
      <c r="H433" s="9">
        <f t="shared" si="6"/>
        <v>18.621386188612547</v>
      </c>
      <c r="I433" s="2" t="str" cm="1">
        <f t="array" ref="I433">_xlfn.IFS(F433&gt;=100,"Over weight",F433&lt;100,"Average weight")</f>
        <v>Average weight</v>
      </c>
      <c r="J433" s="2" t="str" cm="1">
        <f t="array" ref="J433">_xlfn.IFS(G433&lt;164,"Below Average height",G433&gt;=165,"Above Average height",G433=164,"Average height")</f>
        <v>Above Average height</v>
      </c>
      <c r="K433" s="2" t="str" cm="1">
        <f t="array" ref="K433">_xlfn.IFS(E433&lt;=16,"Children",E433&lt;=30,"Young Adults",E433&lt;=45,"Middle-aged Adults",E433&gt;45,"Old Adults")</f>
        <v>Young Adults</v>
      </c>
    </row>
    <row r="434" spans="1:11" x14ac:dyDescent="0.45">
      <c r="A434" s="2">
        <v>504</v>
      </c>
      <c r="B434" s="2" t="s">
        <v>609</v>
      </c>
      <c r="C434" s="2" t="s">
        <v>91</v>
      </c>
      <c r="D434" s="2" t="s">
        <v>74</v>
      </c>
      <c r="E434" s="2">
        <v>18</v>
      </c>
      <c r="F434" s="2">
        <v>66</v>
      </c>
      <c r="G434" s="2">
        <v>166</v>
      </c>
      <c r="H434" s="9">
        <f t="shared" si="6"/>
        <v>23.951226593119468</v>
      </c>
      <c r="I434" s="2" t="str" cm="1">
        <f t="array" ref="I434">_xlfn.IFS(F434&gt;=100,"Over weight",F434&lt;100,"Average weight")</f>
        <v>Average weight</v>
      </c>
      <c r="J434" s="2" t="str" cm="1">
        <f t="array" ref="J434">_xlfn.IFS(G434&lt;164,"Below Average height",G434&gt;=165,"Above Average height",G434=164,"Average height")</f>
        <v>Above Average height</v>
      </c>
      <c r="K434" s="2" t="str" cm="1">
        <f t="array" ref="K434">_xlfn.IFS(E434&lt;=16,"Children",E434&lt;=30,"Young Adults",E434&lt;=45,"Middle-aged Adults",E434&gt;45,"Old Adults")</f>
        <v>Young Adults</v>
      </c>
    </row>
    <row r="435" spans="1:11" x14ac:dyDescent="0.45">
      <c r="A435" s="2">
        <v>505</v>
      </c>
      <c r="B435" s="2" t="s">
        <v>610</v>
      </c>
      <c r="C435" s="2" t="s">
        <v>91</v>
      </c>
      <c r="D435" s="2" t="s">
        <v>74</v>
      </c>
      <c r="E435" s="2">
        <v>25</v>
      </c>
      <c r="F435" s="2">
        <v>82</v>
      </c>
      <c r="G435" s="2">
        <v>180</v>
      </c>
      <c r="H435" s="9">
        <f t="shared" si="6"/>
        <v>25.308641975308639</v>
      </c>
      <c r="I435" s="2" t="str" cm="1">
        <f t="array" ref="I435">_xlfn.IFS(F435&gt;=100,"Over weight",F435&lt;100,"Average weight")</f>
        <v>Average weight</v>
      </c>
      <c r="J435" s="2" t="str" cm="1">
        <f t="array" ref="J435">_xlfn.IFS(G435&lt;164,"Below Average height",G435&gt;=165,"Above Average height",G435=164,"Average height")</f>
        <v>Above Average height</v>
      </c>
      <c r="K435" s="2" t="str" cm="1">
        <f t="array" ref="K435">_xlfn.IFS(E435&lt;=16,"Children",E435&lt;=30,"Young Adults",E435&lt;=45,"Middle-aged Adults",E435&gt;45,"Old Adults")</f>
        <v>Young Adults</v>
      </c>
    </row>
    <row r="436" spans="1:11" x14ac:dyDescent="0.45">
      <c r="A436" s="2">
        <v>506</v>
      </c>
      <c r="B436" s="2" t="s">
        <v>611</v>
      </c>
      <c r="C436" s="2" t="s">
        <v>91</v>
      </c>
      <c r="D436" s="2" t="s">
        <v>21</v>
      </c>
      <c r="E436" s="2">
        <v>28</v>
      </c>
      <c r="F436" s="2">
        <v>82</v>
      </c>
      <c r="G436" s="2">
        <v>182</v>
      </c>
      <c r="H436" s="9">
        <f t="shared" si="6"/>
        <v>24.755464315903875</v>
      </c>
      <c r="I436" s="2" t="str" cm="1">
        <f t="array" ref="I436">_xlfn.IFS(F436&gt;=100,"Over weight",F436&lt;100,"Average weight")</f>
        <v>Average weight</v>
      </c>
      <c r="J436" s="2" t="str" cm="1">
        <f t="array" ref="J436">_xlfn.IFS(G436&lt;164,"Below Average height",G436&gt;=165,"Above Average height",G436=164,"Average height")</f>
        <v>Above Average height</v>
      </c>
      <c r="K436" s="2" t="str" cm="1">
        <f t="array" ref="K436">_xlfn.IFS(E436&lt;=16,"Children",E436&lt;=30,"Young Adults",E436&lt;=45,"Middle-aged Adults",E436&gt;45,"Old Adults")</f>
        <v>Young Adults</v>
      </c>
    </row>
    <row r="437" spans="1:11" x14ac:dyDescent="0.45">
      <c r="A437" s="2">
        <v>507</v>
      </c>
      <c r="B437" s="2" t="s">
        <v>612</v>
      </c>
      <c r="C437" s="2" t="s">
        <v>89</v>
      </c>
      <c r="D437" s="2" t="s">
        <v>21</v>
      </c>
      <c r="E437" s="2">
        <v>17</v>
      </c>
      <c r="F437" s="2">
        <v>66</v>
      </c>
      <c r="G437" s="2">
        <v>176</v>
      </c>
      <c r="H437" s="9">
        <f t="shared" si="6"/>
        <v>21.306818181818183</v>
      </c>
      <c r="I437" s="2" t="str" cm="1">
        <f t="array" ref="I437">_xlfn.IFS(F437&gt;=100,"Over weight",F437&lt;100,"Average weight")</f>
        <v>Average weight</v>
      </c>
      <c r="J437" s="2" t="str" cm="1">
        <f t="array" ref="J437">_xlfn.IFS(G437&lt;164,"Below Average height",G437&gt;=165,"Above Average height",G437=164,"Average height")</f>
        <v>Above Average height</v>
      </c>
      <c r="K437" s="2" t="str" cm="1">
        <f t="array" ref="K437">_xlfn.IFS(E437&lt;=16,"Children",E437&lt;=30,"Young Adults",E437&lt;=45,"Middle-aged Adults",E437&gt;45,"Old Adults")</f>
        <v>Young Adults</v>
      </c>
    </row>
    <row r="438" spans="1:11" x14ac:dyDescent="0.45">
      <c r="A438" s="2">
        <v>508</v>
      </c>
      <c r="B438" s="2" t="s">
        <v>613</v>
      </c>
      <c r="C438" s="2" t="s">
        <v>89</v>
      </c>
      <c r="D438" s="2" t="s">
        <v>74</v>
      </c>
      <c r="E438" s="2">
        <v>25</v>
      </c>
      <c r="F438" s="2">
        <v>88</v>
      </c>
      <c r="G438" s="2">
        <v>189</v>
      </c>
      <c r="H438" s="9">
        <f t="shared" si="6"/>
        <v>24.635368550712467</v>
      </c>
      <c r="I438" s="2" t="str" cm="1">
        <f t="array" ref="I438">_xlfn.IFS(F438&gt;=100,"Over weight",F438&lt;100,"Average weight")</f>
        <v>Average weight</v>
      </c>
      <c r="J438" s="2" t="str" cm="1">
        <f t="array" ref="J438">_xlfn.IFS(G438&lt;164,"Below Average height",G438&gt;=165,"Above Average height",G438=164,"Average height")</f>
        <v>Above Average height</v>
      </c>
      <c r="K438" s="2" t="str" cm="1">
        <f t="array" ref="K438">_xlfn.IFS(E438&lt;=16,"Children",E438&lt;=30,"Young Adults",E438&lt;=45,"Middle-aged Adults",E438&gt;45,"Old Adults")</f>
        <v>Young Adults</v>
      </c>
    </row>
    <row r="439" spans="1:11" x14ac:dyDescent="0.45">
      <c r="A439" s="2">
        <v>509</v>
      </c>
      <c r="B439" s="2" t="s">
        <v>614</v>
      </c>
      <c r="C439" s="2" t="s">
        <v>91</v>
      </c>
      <c r="D439" s="2" t="s">
        <v>74</v>
      </c>
      <c r="E439" s="2">
        <v>24</v>
      </c>
      <c r="F439" s="2">
        <v>83</v>
      </c>
      <c r="G439" s="2">
        <v>185</v>
      </c>
      <c r="H439" s="9">
        <f t="shared" si="6"/>
        <v>24.251278305332356</v>
      </c>
      <c r="I439" s="2" t="str" cm="1">
        <f t="array" ref="I439">_xlfn.IFS(F439&gt;=100,"Over weight",F439&lt;100,"Average weight")</f>
        <v>Average weight</v>
      </c>
      <c r="J439" s="2" t="str" cm="1">
        <f t="array" ref="J439">_xlfn.IFS(G439&lt;164,"Below Average height",G439&gt;=165,"Above Average height",G439=164,"Average height")</f>
        <v>Above Average height</v>
      </c>
      <c r="K439" s="2" t="str" cm="1">
        <f t="array" ref="K439">_xlfn.IFS(E439&lt;=16,"Children",E439&lt;=30,"Young Adults",E439&lt;=45,"Middle-aged Adults",E439&gt;45,"Old Adults")</f>
        <v>Young Adults</v>
      </c>
    </row>
    <row r="440" spans="1:11" x14ac:dyDescent="0.45">
      <c r="A440" s="2">
        <v>510</v>
      </c>
      <c r="B440" s="2" t="s">
        <v>615</v>
      </c>
      <c r="C440" s="2" t="s">
        <v>96</v>
      </c>
      <c r="D440" s="2" t="s">
        <v>74</v>
      </c>
      <c r="E440" s="2">
        <v>18</v>
      </c>
      <c r="F440" s="2">
        <v>59</v>
      </c>
      <c r="G440" s="2">
        <v>177</v>
      </c>
      <c r="H440" s="9">
        <f t="shared" si="6"/>
        <v>18.832391713747644</v>
      </c>
      <c r="I440" s="2" t="str" cm="1">
        <f t="array" ref="I440">_xlfn.IFS(F440&gt;=100,"Over weight",F440&lt;100,"Average weight")</f>
        <v>Average weight</v>
      </c>
      <c r="J440" s="2" t="str" cm="1">
        <f t="array" ref="J440">_xlfn.IFS(G440&lt;164,"Below Average height",G440&gt;=165,"Above Average height",G440=164,"Average height")</f>
        <v>Above Average height</v>
      </c>
      <c r="K440" s="2" t="str" cm="1">
        <f t="array" ref="K440">_xlfn.IFS(E440&lt;=16,"Children",E440&lt;=30,"Young Adults",E440&lt;=45,"Middle-aged Adults",E440&gt;45,"Old Adults")</f>
        <v>Young Adults</v>
      </c>
    </row>
    <row r="441" spans="1:11" x14ac:dyDescent="0.45">
      <c r="A441" s="2">
        <v>511</v>
      </c>
      <c r="B441" s="2" t="s">
        <v>616</v>
      </c>
      <c r="C441" s="2" t="s">
        <v>93</v>
      </c>
      <c r="D441" s="2" t="s">
        <v>39</v>
      </c>
      <c r="E441" s="2">
        <v>27</v>
      </c>
      <c r="F441" s="2">
        <v>85</v>
      </c>
      <c r="G441" s="2">
        <v>180</v>
      </c>
      <c r="H441" s="9">
        <f t="shared" si="6"/>
        <v>26.234567901234566</v>
      </c>
      <c r="I441" s="2" t="str" cm="1">
        <f t="array" ref="I441">_xlfn.IFS(F441&gt;=100,"Over weight",F441&lt;100,"Average weight")</f>
        <v>Average weight</v>
      </c>
      <c r="J441" s="2" t="str" cm="1">
        <f t="array" ref="J441">_xlfn.IFS(G441&lt;164,"Below Average height",G441&gt;=165,"Above Average height",G441=164,"Average height")</f>
        <v>Above Average height</v>
      </c>
      <c r="K441" s="2" t="str" cm="1">
        <f t="array" ref="K441">_xlfn.IFS(E441&lt;=16,"Children",E441&lt;=30,"Young Adults",E441&lt;=45,"Middle-aged Adults",E441&gt;45,"Old Adults")</f>
        <v>Young Adults</v>
      </c>
    </row>
    <row r="442" spans="1:11" x14ac:dyDescent="0.45">
      <c r="A442" s="2">
        <v>512</v>
      </c>
      <c r="B442" s="2" t="s">
        <v>617</v>
      </c>
      <c r="C442" s="2" t="s">
        <v>94</v>
      </c>
      <c r="D442" s="2" t="s">
        <v>71</v>
      </c>
      <c r="E442" s="2">
        <v>17</v>
      </c>
      <c r="F442" s="2">
        <v>57</v>
      </c>
      <c r="G442" s="2">
        <v>165</v>
      </c>
      <c r="H442" s="9">
        <f t="shared" si="6"/>
        <v>20.936639118457304</v>
      </c>
      <c r="I442" s="2" t="str" cm="1">
        <f t="array" ref="I442">_xlfn.IFS(F442&gt;=100,"Over weight",F442&lt;100,"Average weight")</f>
        <v>Average weight</v>
      </c>
      <c r="J442" s="2" t="str" cm="1">
        <f t="array" ref="J442">_xlfn.IFS(G442&lt;164,"Below Average height",G442&gt;=165,"Above Average height",G442=164,"Average height")</f>
        <v>Above Average height</v>
      </c>
      <c r="K442" s="2" t="str" cm="1">
        <f t="array" ref="K442">_xlfn.IFS(E442&lt;=16,"Children",E442&lt;=30,"Young Adults",E442&lt;=45,"Middle-aged Adults",E442&gt;45,"Old Adults")</f>
        <v>Young Adults</v>
      </c>
    </row>
    <row r="443" spans="1:11" x14ac:dyDescent="0.45">
      <c r="A443" s="2">
        <v>513</v>
      </c>
      <c r="B443" s="2" t="s">
        <v>618</v>
      </c>
      <c r="C443" s="2" t="s">
        <v>85</v>
      </c>
      <c r="D443" s="2" t="s">
        <v>2</v>
      </c>
      <c r="E443" s="2">
        <v>20</v>
      </c>
      <c r="F443" s="2">
        <v>80</v>
      </c>
      <c r="G443" s="2">
        <v>180</v>
      </c>
      <c r="H443" s="9">
        <f t="shared" si="6"/>
        <v>24.691358024691358</v>
      </c>
      <c r="I443" s="2" t="str" cm="1">
        <f t="array" ref="I443">_xlfn.IFS(F443&gt;=100,"Over weight",F443&lt;100,"Average weight")</f>
        <v>Average weight</v>
      </c>
      <c r="J443" s="2" t="str" cm="1">
        <f t="array" ref="J443">_xlfn.IFS(G443&lt;164,"Below Average height",G443&gt;=165,"Above Average height",G443=164,"Average height")</f>
        <v>Above Average height</v>
      </c>
      <c r="K443" s="2" t="str" cm="1">
        <f t="array" ref="K443">_xlfn.IFS(E443&lt;=16,"Children",E443&lt;=30,"Young Adults",E443&lt;=45,"Middle-aged Adults",E443&gt;45,"Old Adults")</f>
        <v>Young Adults</v>
      </c>
    </row>
    <row r="444" spans="1:11" x14ac:dyDescent="0.45">
      <c r="A444" s="2">
        <v>514</v>
      </c>
      <c r="B444" s="2" t="s">
        <v>619</v>
      </c>
      <c r="C444" s="2" t="s">
        <v>92</v>
      </c>
      <c r="D444" s="2" t="s">
        <v>60</v>
      </c>
      <c r="E444" s="2">
        <v>24</v>
      </c>
      <c r="F444" s="2">
        <v>112</v>
      </c>
      <c r="G444" s="2">
        <v>179</v>
      </c>
      <c r="H444" s="9">
        <f t="shared" si="6"/>
        <v>34.955213632533315</v>
      </c>
      <c r="I444" s="2" t="str" cm="1">
        <f t="array" ref="I444">_xlfn.IFS(F444&gt;=100,"Over weight",F444&lt;100,"Average weight")</f>
        <v>Over weight</v>
      </c>
      <c r="J444" s="2" t="str" cm="1">
        <f t="array" ref="J444">_xlfn.IFS(G444&lt;164,"Below Average height",G444&gt;=165,"Above Average height",G444=164,"Average height")</f>
        <v>Above Average height</v>
      </c>
      <c r="K444" s="2" t="str" cm="1">
        <f t="array" ref="K444">_xlfn.IFS(E444&lt;=16,"Children",E444&lt;=30,"Young Adults",E444&lt;=45,"Middle-aged Adults",E444&gt;45,"Old Adults")</f>
        <v>Young Adults</v>
      </c>
    </row>
    <row r="445" spans="1:11" x14ac:dyDescent="0.45">
      <c r="A445" s="2">
        <v>516</v>
      </c>
      <c r="B445" s="2" t="s">
        <v>621</v>
      </c>
      <c r="C445" s="2" t="s">
        <v>98</v>
      </c>
      <c r="D445" s="2" t="s">
        <v>66</v>
      </c>
      <c r="E445" s="2">
        <v>27</v>
      </c>
      <c r="F445" s="2">
        <v>65</v>
      </c>
      <c r="G445" s="2">
        <v>176</v>
      </c>
      <c r="H445" s="9">
        <f t="shared" si="6"/>
        <v>20.983987603305785</v>
      </c>
      <c r="I445" s="2" t="str" cm="1">
        <f t="array" ref="I445">_xlfn.IFS(F445&gt;=100,"Over weight",F445&lt;100,"Average weight")</f>
        <v>Average weight</v>
      </c>
      <c r="J445" s="2" t="str" cm="1">
        <f t="array" ref="J445">_xlfn.IFS(G445&lt;164,"Below Average height",G445&gt;=165,"Above Average height",G445=164,"Average height")</f>
        <v>Above Average height</v>
      </c>
      <c r="K445" s="2" t="str" cm="1">
        <f t="array" ref="K445">_xlfn.IFS(E445&lt;=16,"Children",E445&lt;=30,"Young Adults",E445&lt;=45,"Middle-aged Adults",E445&gt;45,"Old Adults")</f>
        <v>Young Adults</v>
      </c>
    </row>
    <row r="446" spans="1:11" x14ac:dyDescent="0.45">
      <c r="A446" s="2">
        <v>517</v>
      </c>
      <c r="B446" s="2" t="s">
        <v>622</v>
      </c>
      <c r="C446" s="2" t="s">
        <v>96</v>
      </c>
      <c r="D446" s="2" t="s">
        <v>66</v>
      </c>
      <c r="E446" s="2">
        <v>26</v>
      </c>
      <c r="F446" s="2">
        <v>112</v>
      </c>
      <c r="G446" s="2">
        <v>178</v>
      </c>
      <c r="H446" s="9">
        <f t="shared" si="6"/>
        <v>35.349072086857717</v>
      </c>
      <c r="I446" s="2" t="str" cm="1">
        <f t="array" ref="I446">_xlfn.IFS(F446&gt;=100,"Over weight",F446&lt;100,"Average weight")</f>
        <v>Over weight</v>
      </c>
      <c r="J446" s="2" t="str" cm="1">
        <f t="array" ref="J446">_xlfn.IFS(G446&lt;164,"Below Average height",G446&gt;=165,"Above Average height",G446=164,"Average height")</f>
        <v>Above Average height</v>
      </c>
      <c r="K446" s="2" t="str" cm="1">
        <f t="array" ref="K446">_xlfn.IFS(E446&lt;=16,"Children",E446&lt;=30,"Young Adults",E446&lt;=45,"Middle-aged Adults",E446&gt;45,"Old Adults")</f>
        <v>Young Adults</v>
      </c>
    </row>
    <row r="447" spans="1:11" x14ac:dyDescent="0.45">
      <c r="A447" s="2">
        <v>518</v>
      </c>
      <c r="B447" s="2" t="s">
        <v>623</v>
      </c>
      <c r="C447" s="2" t="s">
        <v>94</v>
      </c>
      <c r="D447" s="2" t="s">
        <v>71</v>
      </c>
      <c r="E447" s="2">
        <v>24</v>
      </c>
      <c r="F447" s="2">
        <v>62</v>
      </c>
      <c r="G447" s="2">
        <v>169</v>
      </c>
      <c r="H447" s="9">
        <f t="shared" si="6"/>
        <v>21.707923392038097</v>
      </c>
      <c r="I447" s="2" t="str" cm="1">
        <f t="array" ref="I447">_xlfn.IFS(F447&gt;=100,"Over weight",F447&lt;100,"Average weight")</f>
        <v>Average weight</v>
      </c>
      <c r="J447" s="2" t="str" cm="1">
        <f t="array" ref="J447">_xlfn.IFS(G447&lt;164,"Below Average height",G447&gt;=165,"Above Average height",G447=164,"Average height")</f>
        <v>Above Average height</v>
      </c>
      <c r="K447" s="2" t="str" cm="1">
        <f t="array" ref="K447">_xlfn.IFS(E447&lt;=16,"Children",E447&lt;=30,"Young Adults",E447&lt;=45,"Middle-aged Adults",E447&gt;45,"Old Adults")</f>
        <v>Young Adults</v>
      </c>
    </row>
    <row r="448" spans="1:11" x14ac:dyDescent="0.45">
      <c r="A448" s="2">
        <v>519</v>
      </c>
      <c r="B448" s="2" t="s">
        <v>624</v>
      </c>
      <c r="C448" s="2" t="s">
        <v>89</v>
      </c>
      <c r="D448" s="2" t="s">
        <v>39</v>
      </c>
      <c r="E448" s="2">
        <v>28</v>
      </c>
      <c r="F448" s="2">
        <v>80</v>
      </c>
      <c r="G448" s="2">
        <v>189</v>
      </c>
      <c r="H448" s="9">
        <f t="shared" si="6"/>
        <v>22.395789591556788</v>
      </c>
      <c r="I448" s="2" t="str" cm="1">
        <f t="array" ref="I448">_xlfn.IFS(F448&gt;=100,"Over weight",F448&lt;100,"Average weight")</f>
        <v>Average weight</v>
      </c>
      <c r="J448" s="2" t="str" cm="1">
        <f t="array" ref="J448">_xlfn.IFS(G448&lt;164,"Below Average height",G448&gt;=165,"Above Average height",G448=164,"Average height")</f>
        <v>Above Average height</v>
      </c>
      <c r="K448" s="2" t="str" cm="1">
        <f t="array" ref="K448">_xlfn.IFS(E448&lt;=16,"Children",E448&lt;=30,"Young Adults",E448&lt;=45,"Middle-aged Adults",E448&gt;45,"Old Adults")</f>
        <v>Young Adults</v>
      </c>
    </row>
    <row r="449" spans="1:11" x14ac:dyDescent="0.45">
      <c r="A449" s="2">
        <v>520</v>
      </c>
      <c r="B449" s="2" t="s">
        <v>625</v>
      </c>
      <c r="C449" s="2" t="s">
        <v>94</v>
      </c>
      <c r="D449" s="2" t="s">
        <v>31</v>
      </c>
      <c r="E449" s="2">
        <v>33</v>
      </c>
      <c r="F449" s="2">
        <v>77</v>
      </c>
      <c r="G449" s="2">
        <v>180</v>
      </c>
      <c r="H449" s="9">
        <f t="shared" si="6"/>
        <v>23.76543209876543</v>
      </c>
      <c r="I449" s="2" t="str" cm="1">
        <f t="array" ref="I449">_xlfn.IFS(F449&gt;=100,"Over weight",F449&lt;100,"Average weight")</f>
        <v>Average weight</v>
      </c>
      <c r="J449" s="2" t="str" cm="1">
        <f t="array" ref="J449">_xlfn.IFS(G449&lt;164,"Below Average height",G449&gt;=165,"Above Average height",G449=164,"Average height")</f>
        <v>Above Average height</v>
      </c>
      <c r="K449" s="2" t="str" cm="1">
        <f t="array" ref="K449">_xlfn.IFS(E449&lt;=16,"Children",E449&lt;=30,"Young Adults",E449&lt;=45,"Middle-aged Adults",E449&gt;45,"Old Adults")</f>
        <v>Middle-aged Adults</v>
      </c>
    </row>
    <row r="450" spans="1:11" x14ac:dyDescent="0.45">
      <c r="A450" s="2">
        <v>521</v>
      </c>
      <c r="B450" s="2" t="s">
        <v>626</v>
      </c>
      <c r="C450" s="2" t="s">
        <v>93</v>
      </c>
      <c r="D450" s="2" t="s">
        <v>14</v>
      </c>
      <c r="E450" s="2">
        <v>33</v>
      </c>
      <c r="F450" s="2">
        <v>88</v>
      </c>
      <c r="G450" s="2">
        <v>185</v>
      </c>
      <c r="H450" s="9">
        <f t="shared" ref="H450:H513" si="7" xml:space="preserve"> F450 / (( G450/ 100) ^ 2)</f>
        <v>25.712198685171657</v>
      </c>
      <c r="I450" s="2" t="str" cm="1">
        <f t="array" ref="I450">_xlfn.IFS(F450&gt;=100,"Over weight",F450&lt;100,"Average weight")</f>
        <v>Average weight</v>
      </c>
      <c r="J450" s="2" t="str" cm="1">
        <f t="array" ref="J450">_xlfn.IFS(G450&lt;164,"Below Average height",G450&gt;=165,"Above Average height",G450=164,"Average height")</f>
        <v>Above Average height</v>
      </c>
      <c r="K450" s="2" t="str" cm="1">
        <f t="array" ref="K450">_xlfn.IFS(E450&lt;=16,"Children",E450&lt;=30,"Young Adults",E450&lt;=45,"Middle-aged Adults",E450&gt;45,"Old Adults")</f>
        <v>Middle-aged Adults</v>
      </c>
    </row>
    <row r="451" spans="1:11" x14ac:dyDescent="0.45">
      <c r="A451" s="2">
        <v>522</v>
      </c>
      <c r="B451" s="2" t="s">
        <v>627</v>
      </c>
      <c r="C451" s="2" t="s">
        <v>86</v>
      </c>
      <c r="D451" s="2" t="s">
        <v>39</v>
      </c>
      <c r="E451" s="2">
        <v>29</v>
      </c>
      <c r="F451" s="2">
        <v>112</v>
      </c>
      <c r="G451" s="2">
        <v>166</v>
      </c>
      <c r="H451" s="9">
        <f t="shared" si="7"/>
        <v>40.644505733778487</v>
      </c>
      <c r="I451" s="2" t="str" cm="1">
        <f t="array" ref="I451">_xlfn.IFS(F451&gt;=100,"Over weight",F451&lt;100,"Average weight")</f>
        <v>Over weight</v>
      </c>
      <c r="J451" s="2" t="str" cm="1">
        <f t="array" ref="J451">_xlfn.IFS(G451&lt;164,"Below Average height",G451&gt;=165,"Above Average height",G451=164,"Average height")</f>
        <v>Above Average height</v>
      </c>
      <c r="K451" s="2" t="str" cm="1">
        <f t="array" ref="K451">_xlfn.IFS(E451&lt;=16,"Children",E451&lt;=30,"Young Adults",E451&lt;=45,"Middle-aged Adults",E451&gt;45,"Old Adults")</f>
        <v>Young Adults</v>
      </c>
    </row>
    <row r="452" spans="1:11" x14ac:dyDescent="0.45">
      <c r="A452" s="2">
        <v>523</v>
      </c>
      <c r="B452" s="2" t="s">
        <v>628</v>
      </c>
      <c r="C452" s="2" t="s">
        <v>88</v>
      </c>
      <c r="D452" s="2" t="s">
        <v>19</v>
      </c>
      <c r="E452" s="2">
        <v>22</v>
      </c>
      <c r="F452" s="2">
        <v>80</v>
      </c>
      <c r="G452" s="2">
        <v>181</v>
      </c>
      <c r="H452" s="9">
        <f t="shared" si="7"/>
        <v>24.419279020786909</v>
      </c>
      <c r="I452" s="2" t="str" cm="1">
        <f t="array" ref="I452">_xlfn.IFS(F452&gt;=100,"Over weight",F452&lt;100,"Average weight")</f>
        <v>Average weight</v>
      </c>
      <c r="J452" s="2" t="str" cm="1">
        <f t="array" ref="J452">_xlfn.IFS(G452&lt;164,"Below Average height",G452&gt;=165,"Above Average height",G452=164,"Average height")</f>
        <v>Above Average height</v>
      </c>
      <c r="K452" s="2" t="str" cm="1">
        <f t="array" ref="K452">_xlfn.IFS(E452&lt;=16,"Children",E452&lt;=30,"Young Adults",E452&lt;=45,"Middle-aged Adults",E452&gt;45,"Old Adults")</f>
        <v>Young Adults</v>
      </c>
    </row>
    <row r="453" spans="1:11" x14ac:dyDescent="0.45">
      <c r="A453" s="2">
        <v>524</v>
      </c>
      <c r="B453" s="2" t="s">
        <v>629</v>
      </c>
      <c r="C453" s="2" t="s">
        <v>94</v>
      </c>
      <c r="D453" s="2" t="s">
        <v>74</v>
      </c>
      <c r="E453" s="2">
        <v>20</v>
      </c>
      <c r="F453" s="2">
        <v>65</v>
      </c>
      <c r="G453" s="2">
        <v>167</v>
      </c>
      <c r="H453" s="9">
        <f t="shared" si="7"/>
        <v>23.306680053067517</v>
      </c>
      <c r="I453" s="2" t="str" cm="1">
        <f t="array" ref="I453">_xlfn.IFS(F453&gt;=100,"Over weight",F453&lt;100,"Average weight")</f>
        <v>Average weight</v>
      </c>
      <c r="J453" s="2" t="str" cm="1">
        <f t="array" ref="J453">_xlfn.IFS(G453&lt;164,"Below Average height",G453&gt;=165,"Above Average height",G453=164,"Average height")</f>
        <v>Above Average height</v>
      </c>
      <c r="K453" s="2" t="str" cm="1">
        <f t="array" ref="K453">_xlfn.IFS(E453&lt;=16,"Children",E453&lt;=30,"Young Adults",E453&lt;=45,"Middle-aged Adults",E453&gt;45,"Old Adults")</f>
        <v>Young Adults</v>
      </c>
    </row>
    <row r="454" spans="1:11" x14ac:dyDescent="0.45">
      <c r="A454" s="2">
        <v>528</v>
      </c>
      <c r="B454" s="2" t="s">
        <v>633</v>
      </c>
      <c r="C454" s="2" t="s">
        <v>89</v>
      </c>
      <c r="D454" s="2" t="s">
        <v>66</v>
      </c>
      <c r="E454" s="2">
        <v>20</v>
      </c>
      <c r="F454" s="2">
        <v>65</v>
      </c>
      <c r="G454" s="2">
        <v>173</v>
      </c>
      <c r="H454" s="9">
        <f t="shared" si="7"/>
        <v>21.718066089745729</v>
      </c>
      <c r="I454" s="2" t="str" cm="1">
        <f t="array" ref="I454">_xlfn.IFS(F454&gt;=100,"Over weight",F454&lt;100,"Average weight")</f>
        <v>Average weight</v>
      </c>
      <c r="J454" s="2" t="str" cm="1">
        <f t="array" ref="J454">_xlfn.IFS(G454&lt;164,"Below Average height",G454&gt;=165,"Above Average height",G454=164,"Average height")</f>
        <v>Above Average height</v>
      </c>
      <c r="K454" s="2" t="str" cm="1">
        <f t="array" ref="K454">_xlfn.IFS(E454&lt;=16,"Children",E454&lt;=30,"Young Adults",E454&lt;=45,"Middle-aged Adults",E454&gt;45,"Old Adults")</f>
        <v>Young Adults</v>
      </c>
    </row>
    <row r="455" spans="1:11" x14ac:dyDescent="0.45">
      <c r="A455" s="2">
        <v>529</v>
      </c>
      <c r="B455" s="2" t="s">
        <v>634</v>
      </c>
      <c r="C455" s="2" t="s">
        <v>98</v>
      </c>
      <c r="D455" s="2" t="s">
        <v>26</v>
      </c>
      <c r="E455" s="2">
        <v>24</v>
      </c>
      <c r="F455" s="2">
        <v>72</v>
      </c>
      <c r="G455" s="2">
        <v>172</v>
      </c>
      <c r="H455" s="9">
        <f t="shared" si="7"/>
        <v>24.337479718766904</v>
      </c>
      <c r="I455" s="2" t="str" cm="1">
        <f t="array" ref="I455">_xlfn.IFS(F455&gt;=100,"Over weight",F455&lt;100,"Average weight")</f>
        <v>Average weight</v>
      </c>
      <c r="J455" s="2" t="str" cm="1">
        <f t="array" ref="J455">_xlfn.IFS(G455&lt;164,"Below Average height",G455&gt;=165,"Above Average height",G455=164,"Average height")</f>
        <v>Above Average height</v>
      </c>
      <c r="K455" s="2" t="str" cm="1">
        <f t="array" ref="K455">_xlfn.IFS(E455&lt;=16,"Children",E455&lt;=30,"Young Adults",E455&lt;=45,"Middle-aged Adults",E455&gt;45,"Old Adults")</f>
        <v>Young Adults</v>
      </c>
    </row>
    <row r="456" spans="1:11" x14ac:dyDescent="0.45">
      <c r="A456" s="2">
        <v>530</v>
      </c>
      <c r="B456" s="2" t="s">
        <v>635</v>
      </c>
      <c r="C456" s="2" t="s">
        <v>85</v>
      </c>
      <c r="D456" s="2" t="s">
        <v>26</v>
      </c>
      <c r="E456" s="2">
        <v>24</v>
      </c>
      <c r="F456" s="2">
        <v>93</v>
      </c>
      <c r="G456" s="2">
        <v>183</v>
      </c>
      <c r="H456" s="9">
        <f t="shared" si="7"/>
        <v>27.77031263997133</v>
      </c>
      <c r="I456" s="2" t="str" cm="1">
        <f t="array" ref="I456">_xlfn.IFS(F456&gt;=100,"Over weight",F456&lt;100,"Average weight")</f>
        <v>Average weight</v>
      </c>
      <c r="J456" s="2" t="str" cm="1">
        <f t="array" ref="J456">_xlfn.IFS(G456&lt;164,"Below Average height",G456&gt;=165,"Above Average height",G456=164,"Average height")</f>
        <v>Above Average height</v>
      </c>
      <c r="K456" s="2" t="str" cm="1">
        <f t="array" ref="K456">_xlfn.IFS(E456&lt;=16,"Children",E456&lt;=30,"Young Adults",E456&lt;=45,"Middle-aged Adults",E456&gt;45,"Old Adults")</f>
        <v>Young Adults</v>
      </c>
    </row>
    <row r="457" spans="1:11" x14ac:dyDescent="0.45">
      <c r="A457" s="2">
        <v>531</v>
      </c>
      <c r="B457" s="2" t="s">
        <v>636</v>
      </c>
      <c r="C457" s="2" t="s">
        <v>91</v>
      </c>
      <c r="D457" s="2" t="s">
        <v>66</v>
      </c>
      <c r="E457" s="2">
        <v>40</v>
      </c>
      <c r="F457" s="2">
        <v>92</v>
      </c>
      <c r="G457" s="2">
        <v>189</v>
      </c>
      <c r="H457" s="9">
        <f t="shared" si="7"/>
        <v>25.755158030290307</v>
      </c>
      <c r="I457" s="2" t="str" cm="1">
        <f t="array" ref="I457">_xlfn.IFS(F457&gt;=100,"Over weight",F457&lt;100,"Average weight")</f>
        <v>Average weight</v>
      </c>
      <c r="J457" s="2" t="str" cm="1">
        <f t="array" ref="J457">_xlfn.IFS(G457&lt;164,"Below Average height",G457&gt;=165,"Above Average height",G457=164,"Average height")</f>
        <v>Above Average height</v>
      </c>
      <c r="K457" s="2" t="str" cm="1">
        <f t="array" ref="K457">_xlfn.IFS(E457&lt;=16,"Children",E457&lt;=30,"Young Adults",E457&lt;=45,"Middle-aged Adults",E457&gt;45,"Old Adults")</f>
        <v>Middle-aged Adults</v>
      </c>
    </row>
    <row r="458" spans="1:11" x14ac:dyDescent="0.45">
      <c r="A458" s="2">
        <v>532</v>
      </c>
      <c r="B458" s="2" t="s">
        <v>637</v>
      </c>
      <c r="C458" s="2" t="s">
        <v>95</v>
      </c>
      <c r="D458" s="2" t="s">
        <v>66</v>
      </c>
      <c r="E458" s="2">
        <v>22</v>
      </c>
      <c r="F458" s="2">
        <v>95</v>
      </c>
      <c r="G458" s="2">
        <v>189</v>
      </c>
      <c r="H458" s="9">
        <f t="shared" si="7"/>
        <v>26.595000139973685</v>
      </c>
      <c r="I458" s="2" t="str" cm="1">
        <f t="array" ref="I458">_xlfn.IFS(F458&gt;=100,"Over weight",F458&lt;100,"Average weight")</f>
        <v>Average weight</v>
      </c>
      <c r="J458" s="2" t="str" cm="1">
        <f t="array" ref="J458">_xlfn.IFS(G458&lt;164,"Below Average height",G458&gt;=165,"Above Average height",G458=164,"Average height")</f>
        <v>Above Average height</v>
      </c>
      <c r="K458" s="2" t="str" cm="1">
        <f t="array" ref="K458">_xlfn.IFS(E458&lt;=16,"Children",E458&lt;=30,"Young Adults",E458&lt;=45,"Middle-aged Adults",E458&gt;45,"Old Adults")</f>
        <v>Young Adults</v>
      </c>
    </row>
    <row r="459" spans="1:11" x14ac:dyDescent="0.45">
      <c r="A459" s="2">
        <v>533</v>
      </c>
      <c r="B459" s="2" t="s">
        <v>638</v>
      </c>
      <c r="C459" s="2" t="s">
        <v>90</v>
      </c>
      <c r="D459" s="2" t="s">
        <v>66</v>
      </c>
      <c r="E459" s="2">
        <v>26</v>
      </c>
      <c r="F459" s="2">
        <v>78</v>
      </c>
      <c r="G459" s="2">
        <v>178</v>
      </c>
      <c r="H459" s="9">
        <f t="shared" si="7"/>
        <v>24.618103774775911</v>
      </c>
      <c r="I459" s="2" t="str" cm="1">
        <f t="array" ref="I459">_xlfn.IFS(F459&gt;=100,"Over weight",F459&lt;100,"Average weight")</f>
        <v>Average weight</v>
      </c>
      <c r="J459" s="2" t="str" cm="1">
        <f t="array" ref="J459">_xlfn.IFS(G459&lt;164,"Below Average height",G459&gt;=165,"Above Average height",G459=164,"Average height")</f>
        <v>Above Average height</v>
      </c>
      <c r="K459" s="2" t="str" cm="1">
        <f t="array" ref="K459">_xlfn.IFS(E459&lt;=16,"Children",E459&lt;=30,"Young Adults",E459&lt;=45,"Middle-aged Adults",E459&gt;45,"Old Adults")</f>
        <v>Young Adults</v>
      </c>
    </row>
    <row r="460" spans="1:11" x14ac:dyDescent="0.45">
      <c r="A460" s="2">
        <v>534</v>
      </c>
      <c r="B460" s="2" t="s">
        <v>639</v>
      </c>
      <c r="C460" s="2" t="s">
        <v>85</v>
      </c>
      <c r="D460" s="2" t="s">
        <v>42</v>
      </c>
      <c r="E460" s="2">
        <v>23</v>
      </c>
      <c r="F460" s="2">
        <v>56</v>
      </c>
      <c r="G460" s="2">
        <v>166</v>
      </c>
      <c r="H460" s="9">
        <f t="shared" si="7"/>
        <v>20.322252866889244</v>
      </c>
      <c r="I460" s="2" t="str" cm="1">
        <f t="array" ref="I460">_xlfn.IFS(F460&gt;=100,"Over weight",F460&lt;100,"Average weight")</f>
        <v>Average weight</v>
      </c>
      <c r="J460" s="2" t="str" cm="1">
        <f t="array" ref="J460">_xlfn.IFS(G460&lt;164,"Below Average height",G460&gt;=165,"Above Average height",G460=164,"Average height")</f>
        <v>Above Average height</v>
      </c>
      <c r="K460" s="2" t="str" cm="1">
        <f t="array" ref="K460">_xlfn.IFS(E460&lt;=16,"Children",E460&lt;=30,"Young Adults",E460&lt;=45,"Middle-aged Adults",E460&gt;45,"Old Adults")</f>
        <v>Young Adults</v>
      </c>
    </row>
    <row r="461" spans="1:11" x14ac:dyDescent="0.45">
      <c r="A461" s="2">
        <v>535</v>
      </c>
      <c r="B461" s="2" t="s">
        <v>640</v>
      </c>
      <c r="C461" s="2" t="s">
        <v>97</v>
      </c>
      <c r="D461" s="2" t="s">
        <v>26</v>
      </c>
      <c r="E461" s="2">
        <v>24</v>
      </c>
      <c r="F461" s="2">
        <v>61</v>
      </c>
      <c r="G461" s="2">
        <v>173</v>
      </c>
      <c r="H461" s="9">
        <f t="shared" si="7"/>
        <v>20.381569714992146</v>
      </c>
      <c r="I461" s="2" t="str" cm="1">
        <f t="array" ref="I461">_xlfn.IFS(F461&gt;=100,"Over weight",F461&lt;100,"Average weight")</f>
        <v>Average weight</v>
      </c>
      <c r="J461" s="2" t="str" cm="1">
        <f t="array" ref="J461">_xlfn.IFS(G461&lt;164,"Below Average height",G461&gt;=165,"Above Average height",G461=164,"Average height")</f>
        <v>Above Average height</v>
      </c>
      <c r="K461" s="2" t="str" cm="1">
        <f t="array" ref="K461">_xlfn.IFS(E461&lt;=16,"Children",E461&lt;=30,"Young Adults",E461&lt;=45,"Middle-aged Adults",E461&gt;45,"Old Adults")</f>
        <v>Young Adults</v>
      </c>
    </row>
    <row r="462" spans="1:11" x14ac:dyDescent="0.45">
      <c r="A462" s="2">
        <v>536</v>
      </c>
      <c r="B462" s="2" t="s">
        <v>641</v>
      </c>
      <c r="C462" s="2" t="s">
        <v>91</v>
      </c>
      <c r="D462" s="2" t="s">
        <v>28</v>
      </c>
      <c r="E462" s="2">
        <v>35</v>
      </c>
      <c r="F462" s="2">
        <v>80</v>
      </c>
      <c r="G462" s="2">
        <v>180</v>
      </c>
      <c r="H462" s="9">
        <f t="shared" si="7"/>
        <v>24.691358024691358</v>
      </c>
      <c r="I462" s="2" t="str" cm="1">
        <f t="array" ref="I462">_xlfn.IFS(F462&gt;=100,"Over weight",F462&lt;100,"Average weight")</f>
        <v>Average weight</v>
      </c>
      <c r="J462" s="2" t="str" cm="1">
        <f t="array" ref="J462">_xlfn.IFS(G462&lt;164,"Below Average height",G462&gt;=165,"Above Average height",G462=164,"Average height")</f>
        <v>Above Average height</v>
      </c>
      <c r="K462" s="2" t="str" cm="1">
        <f t="array" ref="K462">_xlfn.IFS(E462&lt;=16,"Children",E462&lt;=30,"Young Adults",E462&lt;=45,"Middle-aged Adults",E462&gt;45,"Old Adults")</f>
        <v>Middle-aged Adults</v>
      </c>
    </row>
    <row r="463" spans="1:11" x14ac:dyDescent="0.45">
      <c r="A463" s="2">
        <v>537</v>
      </c>
      <c r="B463" s="2" t="s">
        <v>642</v>
      </c>
      <c r="C463" s="2" t="s">
        <v>85</v>
      </c>
      <c r="D463" s="2" t="s">
        <v>6</v>
      </c>
      <c r="E463" s="2">
        <v>20</v>
      </c>
      <c r="F463" s="2">
        <v>64</v>
      </c>
      <c r="G463" s="2">
        <v>166</v>
      </c>
      <c r="H463" s="9">
        <f t="shared" si="7"/>
        <v>23.225431847873423</v>
      </c>
      <c r="I463" s="2" t="str" cm="1">
        <f t="array" ref="I463">_xlfn.IFS(F463&gt;=100,"Over weight",F463&lt;100,"Average weight")</f>
        <v>Average weight</v>
      </c>
      <c r="J463" s="2" t="str" cm="1">
        <f t="array" ref="J463">_xlfn.IFS(G463&lt;164,"Below Average height",G463&gt;=165,"Above Average height",G463=164,"Average height")</f>
        <v>Above Average height</v>
      </c>
      <c r="K463" s="2" t="str" cm="1">
        <f t="array" ref="K463">_xlfn.IFS(E463&lt;=16,"Children",E463&lt;=30,"Young Adults",E463&lt;=45,"Middle-aged Adults",E463&gt;45,"Old Adults")</f>
        <v>Young Adults</v>
      </c>
    </row>
    <row r="464" spans="1:11" x14ac:dyDescent="0.45">
      <c r="A464" s="2">
        <v>538</v>
      </c>
      <c r="B464" s="2" t="s">
        <v>643</v>
      </c>
      <c r="C464" s="2" t="s">
        <v>88</v>
      </c>
      <c r="D464" s="2" t="s">
        <v>65</v>
      </c>
      <c r="E464" s="2">
        <v>20</v>
      </c>
      <c r="F464" s="2">
        <v>69</v>
      </c>
      <c r="G464" s="2">
        <v>172</v>
      </c>
      <c r="H464" s="9">
        <f t="shared" si="7"/>
        <v>23.323418063818284</v>
      </c>
      <c r="I464" s="2" t="str" cm="1">
        <f t="array" ref="I464">_xlfn.IFS(F464&gt;=100,"Over weight",F464&lt;100,"Average weight")</f>
        <v>Average weight</v>
      </c>
      <c r="J464" s="2" t="str" cm="1">
        <f t="array" ref="J464">_xlfn.IFS(G464&lt;164,"Below Average height",G464&gt;=165,"Above Average height",G464=164,"Average height")</f>
        <v>Above Average height</v>
      </c>
      <c r="K464" s="2" t="str" cm="1">
        <f t="array" ref="K464">_xlfn.IFS(E464&lt;=16,"Children",E464&lt;=30,"Young Adults",E464&lt;=45,"Middle-aged Adults",E464&gt;45,"Old Adults")</f>
        <v>Young Adults</v>
      </c>
    </row>
    <row r="465" spans="1:11" x14ac:dyDescent="0.45">
      <c r="A465" s="2">
        <v>539</v>
      </c>
      <c r="B465" s="2" t="s">
        <v>644</v>
      </c>
      <c r="C465" s="2" t="s">
        <v>87</v>
      </c>
      <c r="D465" s="2" t="s">
        <v>80</v>
      </c>
      <c r="E465" s="2">
        <v>21</v>
      </c>
      <c r="F465" s="2">
        <v>68</v>
      </c>
      <c r="G465" s="2">
        <v>183</v>
      </c>
      <c r="H465" s="9">
        <f t="shared" si="7"/>
        <v>20.305174833527424</v>
      </c>
      <c r="I465" s="2" t="str" cm="1">
        <f t="array" ref="I465">_xlfn.IFS(F465&gt;=100,"Over weight",F465&lt;100,"Average weight")</f>
        <v>Average weight</v>
      </c>
      <c r="J465" s="2" t="str" cm="1">
        <f t="array" ref="J465">_xlfn.IFS(G465&lt;164,"Below Average height",G465&gt;=165,"Above Average height",G465=164,"Average height")</f>
        <v>Above Average height</v>
      </c>
      <c r="K465" s="2" t="str" cm="1">
        <f t="array" ref="K465">_xlfn.IFS(E465&lt;=16,"Children",E465&lt;=30,"Young Adults",E465&lt;=45,"Middle-aged Adults",E465&gt;45,"Old Adults")</f>
        <v>Young Adults</v>
      </c>
    </row>
    <row r="466" spans="1:11" x14ac:dyDescent="0.45">
      <c r="A466" s="2">
        <v>540</v>
      </c>
      <c r="B466" s="2" t="s">
        <v>645</v>
      </c>
      <c r="C466" s="2" t="s">
        <v>85</v>
      </c>
      <c r="D466" s="2" t="s">
        <v>71</v>
      </c>
      <c r="E466" s="2">
        <v>21</v>
      </c>
      <c r="F466" s="2">
        <v>63</v>
      </c>
      <c r="G466" s="2">
        <v>167</v>
      </c>
      <c r="H466" s="9">
        <f t="shared" si="7"/>
        <v>22.589551436050055</v>
      </c>
      <c r="I466" s="2" t="str" cm="1">
        <f t="array" ref="I466">_xlfn.IFS(F466&gt;=100,"Over weight",F466&lt;100,"Average weight")</f>
        <v>Average weight</v>
      </c>
      <c r="J466" s="2" t="str" cm="1">
        <f t="array" ref="J466">_xlfn.IFS(G466&lt;164,"Below Average height",G466&gt;=165,"Above Average height",G466=164,"Average height")</f>
        <v>Above Average height</v>
      </c>
      <c r="K466" s="2" t="str" cm="1">
        <f t="array" ref="K466">_xlfn.IFS(E466&lt;=16,"Children",E466&lt;=30,"Young Adults",E466&lt;=45,"Middle-aged Adults",E466&gt;45,"Old Adults")</f>
        <v>Young Adults</v>
      </c>
    </row>
    <row r="467" spans="1:11" x14ac:dyDescent="0.45">
      <c r="A467" s="2">
        <v>541</v>
      </c>
      <c r="B467" s="2" t="s">
        <v>646</v>
      </c>
      <c r="C467" s="2" t="s">
        <v>85</v>
      </c>
      <c r="D467" s="2" t="s">
        <v>19</v>
      </c>
      <c r="E467" s="2">
        <v>22</v>
      </c>
      <c r="F467" s="2">
        <v>59</v>
      </c>
      <c r="G467" s="2">
        <v>165</v>
      </c>
      <c r="H467" s="9">
        <f t="shared" si="7"/>
        <v>21.6712580348944</v>
      </c>
      <c r="I467" s="2" t="str" cm="1">
        <f t="array" ref="I467">_xlfn.IFS(F467&gt;=100,"Over weight",F467&lt;100,"Average weight")</f>
        <v>Average weight</v>
      </c>
      <c r="J467" s="2" t="str" cm="1">
        <f t="array" ref="J467">_xlfn.IFS(G467&lt;164,"Below Average height",G467&gt;=165,"Above Average height",G467=164,"Average height")</f>
        <v>Above Average height</v>
      </c>
      <c r="K467" s="2" t="str" cm="1">
        <f t="array" ref="K467">_xlfn.IFS(E467&lt;=16,"Children",E467&lt;=30,"Young Adults",E467&lt;=45,"Middle-aged Adults",E467&gt;45,"Old Adults")</f>
        <v>Young Adults</v>
      </c>
    </row>
    <row r="468" spans="1:11" x14ac:dyDescent="0.45">
      <c r="A468" s="2">
        <v>542</v>
      </c>
      <c r="B468" s="2" t="s">
        <v>647</v>
      </c>
      <c r="C468" s="2" t="s">
        <v>86</v>
      </c>
      <c r="D468" s="2" t="s">
        <v>73</v>
      </c>
      <c r="E468" s="2">
        <v>18</v>
      </c>
      <c r="F468" s="2">
        <v>112</v>
      </c>
      <c r="G468" s="2">
        <v>171</v>
      </c>
      <c r="H468" s="9">
        <f t="shared" si="7"/>
        <v>38.302383639410422</v>
      </c>
      <c r="I468" s="2" t="str" cm="1">
        <f t="array" ref="I468">_xlfn.IFS(F468&gt;=100,"Over weight",F468&lt;100,"Average weight")</f>
        <v>Over weight</v>
      </c>
      <c r="J468" s="2" t="str" cm="1">
        <f t="array" ref="J468">_xlfn.IFS(G468&lt;164,"Below Average height",G468&gt;=165,"Above Average height",G468=164,"Average height")</f>
        <v>Above Average height</v>
      </c>
      <c r="K468" s="2" t="str" cm="1">
        <f t="array" ref="K468">_xlfn.IFS(E468&lt;=16,"Children",E468&lt;=30,"Young Adults",E468&lt;=45,"Middle-aged Adults",E468&gt;45,"Old Adults")</f>
        <v>Young Adults</v>
      </c>
    </row>
    <row r="469" spans="1:11" x14ac:dyDescent="0.45">
      <c r="A469" s="2">
        <v>543</v>
      </c>
      <c r="B469" s="2" t="s">
        <v>648</v>
      </c>
      <c r="C469" s="2" t="s">
        <v>88</v>
      </c>
      <c r="D469" s="2" t="s">
        <v>74</v>
      </c>
      <c r="E469" s="2">
        <v>31</v>
      </c>
      <c r="F469" s="2">
        <v>82</v>
      </c>
      <c r="G469" s="2">
        <v>194</v>
      </c>
      <c r="H469" s="9">
        <f t="shared" si="7"/>
        <v>21.787650122223404</v>
      </c>
      <c r="I469" s="2" t="str" cm="1">
        <f t="array" ref="I469">_xlfn.IFS(F469&gt;=100,"Over weight",F469&lt;100,"Average weight")</f>
        <v>Average weight</v>
      </c>
      <c r="J469" s="2" t="str" cm="1">
        <f t="array" ref="J469">_xlfn.IFS(G469&lt;164,"Below Average height",G469&gt;=165,"Above Average height",G469=164,"Average height")</f>
        <v>Above Average height</v>
      </c>
      <c r="K469" s="2" t="str" cm="1">
        <f t="array" ref="K469">_xlfn.IFS(E469&lt;=16,"Children",E469&lt;=30,"Young Adults",E469&lt;=45,"Middle-aged Adults",E469&gt;45,"Old Adults")</f>
        <v>Middle-aged Adults</v>
      </c>
    </row>
    <row r="470" spans="1:11" x14ac:dyDescent="0.45">
      <c r="A470" s="2">
        <v>544</v>
      </c>
      <c r="B470" s="2" t="s">
        <v>649</v>
      </c>
      <c r="C470" s="2" t="s">
        <v>85</v>
      </c>
      <c r="D470" s="2" t="s">
        <v>79</v>
      </c>
      <c r="E470" s="2">
        <v>19</v>
      </c>
      <c r="F470" s="2">
        <v>80</v>
      </c>
      <c r="G470" s="2">
        <v>175</v>
      </c>
      <c r="H470" s="9">
        <f t="shared" si="7"/>
        <v>26.122448979591837</v>
      </c>
      <c r="I470" s="2" t="str" cm="1">
        <f t="array" ref="I470">_xlfn.IFS(F470&gt;=100,"Over weight",F470&lt;100,"Average weight")</f>
        <v>Average weight</v>
      </c>
      <c r="J470" s="2" t="str" cm="1">
        <f t="array" ref="J470">_xlfn.IFS(G470&lt;164,"Below Average height",G470&gt;=165,"Above Average height",G470=164,"Average height")</f>
        <v>Above Average height</v>
      </c>
      <c r="K470" s="2" t="str" cm="1">
        <f t="array" ref="K470">_xlfn.IFS(E470&lt;=16,"Children",E470&lt;=30,"Young Adults",E470&lt;=45,"Middle-aged Adults",E470&gt;45,"Old Adults")</f>
        <v>Young Adults</v>
      </c>
    </row>
    <row r="471" spans="1:11" x14ac:dyDescent="0.45">
      <c r="A471" s="2">
        <v>545</v>
      </c>
      <c r="B471" s="2" t="s">
        <v>650</v>
      </c>
      <c r="C471" s="2" t="s">
        <v>94</v>
      </c>
      <c r="D471" s="2" t="s">
        <v>28</v>
      </c>
      <c r="E471" s="2">
        <v>26</v>
      </c>
      <c r="F471" s="2">
        <v>60</v>
      </c>
      <c r="G471" s="2">
        <v>170</v>
      </c>
      <c r="H471" s="9">
        <f t="shared" si="7"/>
        <v>20.761245674740486</v>
      </c>
      <c r="I471" s="2" t="str" cm="1">
        <f t="array" ref="I471">_xlfn.IFS(F471&gt;=100,"Over weight",F471&lt;100,"Average weight")</f>
        <v>Average weight</v>
      </c>
      <c r="J471" s="2" t="str" cm="1">
        <f t="array" ref="J471">_xlfn.IFS(G471&lt;164,"Below Average height",G471&gt;=165,"Above Average height",G471=164,"Average height")</f>
        <v>Above Average height</v>
      </c>
      <c r="K471" s="2" t="str" cm="1">
        <f t="array" ref="K471">_xlfn.IFS(E471&lt;=16,"Children",E471&lt;=30,"Young Adults",E471&lt;=45,"Middle-aged Adults",E471&gt;45,"Old Adults")</f>
        <v>Young Adults</v>
      </c>
    </row>
    <row r="472" spans="1:11" x14ac:dyDescent="0.45">
      <c r="A472" s="2">
        <v>546</v>
      </c>
      <c r="B472" s="2" t="s">
        <v>651</v>
      </c>
      <c r="C472" s="2" t="s">
        <v>87</v>
      </c>
      <c r="D472" s="2" t="s">
        <v>28</v>
      </c>
      <c r="E472" s="2">
        <v>42</v>
      </c>
      <c r="F472" s="2">
        <v>99</v>
      </c>
      <c r="G472" s="2">
        <v>190</v>
      </c>
      <c r="H472" s="9">
        <f t="shared" si="7"/>
        <v>27.423822714681442</v>
      </c>
      <c r="I472" s="2" t="str" cm="1">
        <f t="array" ref="I472">_xlfn.IFS(F472&gt;=100,"Over weight",F472&lt;100,"Average weight")</f>
        <v>Average weight</v>
      </c>
      <c r="J472" s="2" t="str" cm="1">
        <f t="array" ref="J472">_xlfn.IFS(G472&lt;164,"Below Average height",G472&gt;=165,"Above Average height",G472=164,"Average height")</f>
        <v>Above Average height</v>
      </c>
      <c r="K472" s="2" t="str" cm="1">
        <f t="array" ref="K472">_xlfn.IFS(E472&lt;=16,"Children",E472&lt;=30,"Young Adults",E472&lt;=45,"Middle-aged Adults",E472&gt;45,"Old Adults")</f>
        <v>Middle-aged Adults</v>
      </c>
    </row>
    <row r="473" spans="1:11" x14ac:dyDescent="0.45">
      <c r="A473" s="2">
        <v>547</v>
      </c>
      <c r="B473" s="2" t="s">
        <v>652</v>
      </c>
      <c r="C473" s="2" t="s">
        <v>88</v>
      </c>
      <c r="D473" s="2" t="s">
        <v>39</v>
      </c>
      <c r="E473" s="2">
        <v>24</v>
      </c>
      <c r="F473" s="2">
        <v>57</v>
      </c>
      <c r="G473" s="2">
        <v>170</v>
      </c>
      <c r="H473" s="9">
        <f t="shared" si="7"/>
        <v>19.723183391003463</v>
      </c>
      <c r="I473" s="2" t="str" cm="1">
        <f t="array" ref="I473">_xlfn.IFS(F473&gt;=100,"Over weight",F473&lt;100,"Average weight")</f>
        <v>Average weight</v>
      </c>
      <c r="J473" s="2" t="str" cm="1">
        <f t="array" ref="J473">_xlfn.IFS(G473&lt;164,"Below Average height",G473&gt;=165,"Above Average height",G473=164,"Average height")</f>
        <v>Above Average height</v>
      </c>
      <c r="K473" s="2" t="str" cm="1">
        <f t="array" ref="K473">_xlfn.IFS(E473&lt;=16,"Children",E473&lt;=30,"Young Adults",E473&lt;=45,"Middle-aged Adults",E473&gt;45,"Old Adults")</f>
        <v>Young Adults</v>
      </c>
    </row>
    <row r="474" spans="1:11" x14ac:dyDescent="0.45">
      <c r="A474" s="2">
        <v>548</v>
      </c>
      <c r="B474" s="2" t="s">
        <v>653</v>
      </c>
      <c r="C474" s="2" t="s">
        <v>91</v>
      </c>
      <c r="D474" s="2" t="s">
        <v>28</v>
      </c>
      <c r="E474" s="2">
        <v>33</v>
      </c>
      <c r="F474" s="2">
        <v>89</v>
      </c>
      <c r="G474" s="2">
        <v>179</v>
      </c>
      <c r="H474" s="9">
        <f t="shared" si="7"/>
        <v>27.776910832995224</v>
      </c>
      <c r="I474" s="2" t="str" cm="1">
        <f t="array" ref="I474">_xlfn.IFS(F474&gt;=100,"Over weight",F474&lt;100,"Average weight")</f>
        <v>Average weight</v>
      </c>
      <c r="J474" s="2" t="str" cm="1">
        <f t="array" ref="J474">_xlfn.IFS(G474&lt;164,"Below Average height",G474&gt;=165,"Above Average height",G474=164,"Average height")</f>
        <v>Above Average height</v>
      </c>
      <c r="K474" s="2" t="str" cm="1">
        <f t="array" ref="K474">_xlfn.IFS(E474&lt;=16,"Children",E474&lt;=30,"Young Adults",E474&lt;=45,"Middle-aged Adults",E474&gt;45,"Old Adults")</f>
        <v>Middle-aged Adults</v>
      </c>
    </row>
    <row r="475" spans="1:11" x14ac:dyDescent="0.45">
      <c r="A475" s="2">
        <v>549</v>
      </c>
      <c r="B475" s="2" t="s">
        <v>654</v>
      </c>
      <c r="C475" s="2" t="s">
        <v>94</v>
      </c>
      <c r="D475" s="2" t="s">
        <v>28</v>
      </c>
      <c r="E475" s="2">
        <v>30</v>
      </c>
      <c r="F475" s="2">
        <v>72</v>
      </c>
      <c r="G475" s="2">
        <v>177</v>
      </c>
      <c r="H475" s="9">
        <f t="shared" si="7"/>
        <v>22.981901752370007</v>
      </c>
      <c r="I475" s="2" t="str" cm="1">
        <f t="array" ref="I475">_xlfn.IFS(F475&gt;=100,"Over weight",F475&lt;100,"Average weight")</f>
        <v>Average weight</v>
      </c>
      <c r="J475" s="2" t="str" cm="1">
        <f t="array" ref="J475">_xlfn.IFS(G475&lt;164,"Below Average height",G475&gt;=165,"Above Average height",G475=164,"Average height")</f>
        <v>Above Average height</v>
      </c>
      <c r="K475" s="2" t="str" cm="1">
        <f t="array" ref="K475">_xlfn.IFS(E475&lt;=16,"Children",E475&lt;=30,"Young Adults",E475&lt;=45,"Middle-aged Adults",E475&gt;45,"Old Adults")</f>
        <v>Young Adults</v>
      </c>
    </row>
    <row r="476" spans="1:11" x14ac:dyDescent="0.45">
      <c r="A476" s="2">
        <v>550</v>
      </c>
      <c r="B476" s="2" t="s">
        <v>655</v>
      </c>
      <c r="C476" s="2" t="s">
        <v>88</v>
      </c>
      <c r="D476" s="2" t="s">
        <v>42</v>
      </c>
      <c r="E476" s="2">
        <v>21</v>
      </c>
      <c r="F476" s="2">
        <v>60</v>
      </c>
      <c r="G476" s="2">
        <v>175</v>
      </c>
      <c r="H476" s="9">
        <f t="shared" si="7"/>
        <v>19.591836734693878</v>
      </c>
      <c r="I476" s="2" t="str" cm="1">
        <f t="array" ref="I476">_xlfn.IFS(F476&gt;=100,"Over weight",F476&lt;100,"Average weight")</f>
        <v>Average weight</v>
      </c>
      <c r="J476" s="2" t="str" cm="1">
        <f t="array" ref="J476">_xlfn.IFS(G476&lt;164,"Below Average height",G476&gt;=165,"Above Average height",G476=164,"Average height")</f>
        <v>Above Average height</v>
      </c>
      <c r="K476" s="2" t="str" cm="1">
        <f t="array" ref="K476">_xlfn.IFS(E476&lt;=16,"Children",E476&lt;=30,"Young Adults",E476&lt;=45,"Middle-aged Adults",E476&gt;45,"Old Adults")</f>
        <v>Young Adults</v>
      </c>
    </row>
    <row r="477" spans="1:11" x14ac:dyDescent="0.45">
      <c r="A477" s="2">
        <v>551</v>
      </c>
      <c r="B477" s="2" t="s">
        <v>656</v>
      </c>
      <c r="C477" s="2" t="s">
        <v>85</v>
      </c>
      <c r="D477" s="2" t="s">
        <v>39</v>
      </c>
      <c r="E477" s="2">
        <v>27</v>
      </c>
      <c r="F477" s="2">
        <v>85</v>
      </c>
      <c r="G477" s="2">
        <v>175</v>
      </c>
      <c r="H477" s="9">
        <f t="shared" si="7"/>
        <v>27.755102040816325</v>
      </c>
      <c r="I477" s="2" t="str" cm="1">
        <f t="array" ref="I477">_xlfn.IFS(F477&gt;=100,"Over weight",F477&lt;100,"Average weight")</f>
        <v>Average weight</v>
      </c>
      <c r="J477" s="2" t="str" cm="1">
        <f t="array" ref="J477">_xlfn.IFS(G477&lt;164,"Below Average height",G477&gt;=165,"Above Average height",G477=164,"Average height")</f>
        <v>Above Average height</v>
      </c>
      <c r="K477" s="2" t="str" cm="1">
        <f t="array" ref="K477">_xlfn.IFS(E477&lt;=16,"Children",E477&lt;=30,"Young Adults",E477&lt;=45,"Middle-aged Adults",E477&gt;45,"Old Adults")</f>
        <v>Young Adults</v>
      </c>
    </row>
    <row r="478" spans="1:11" x14ac:dyDescent="0.45">
      <c r="A478" s="2">
        <v>552</v>
      </c>
      <c r="B478" s="2" t="s">
        <v>657</v>
      </c>
      <c r="C478" s="2" t="s">
        <v>91</v>
      </c>
      <c r="D478" s="2" t="s">
        <v>25</v>
      </c>
      <c r="E478" s="2">
        <v>25</v>
      </c>
      <c r="F478" s="2">
        <v>84</v>
      </c>
      <c r="G478" s="2">
        <v>182</v>
      </c>
      <c r="H478" s="9">
        <f t="shared" si="7"/>
        <v>25.359256128486894</v>
      </c>
      <c r="I478" s="2" t="str" cm="1">
        <f t="array" ref="I478">_xlfn.IFS(F478&gt;=100,"Over weight",F478&lt;100,"Average weight")</f>
        <v>Average weight</v>
      </c>
      <c r="J478" s="2" t="str" cm="1">
        <f t="array" ref="J478">_xlfn.IFS(G478&lt;164,"Below Average height",G478&gt;=165,"Above Average height",G478=164,"Average height")</f>
        <v>Above Average height</v>
      </c>
      <c r="K478" s="2" t="str" cm="1">
        <f t="array" ref="K478">_xlfn.IFS(E478&lt;=16,"Children",E478&lt;=30,"Young Adults",E478&lt;=45,"Middle-aged Adults",E478&gt;45,"Old Adults")</f>
        <v>Young Adults</v>
      </c>
    </row>
    <row r="479" spans="1:11" x14ac:dyDescent="0.45">
      <c r="A479" s="2">
        <v>555</v>
      </c>
      <c r="B479" s="2" t="s">
        <v>660</v>
      </c>
      <c r="C479" s="2" t="s">
        <v>94</v>
      </c>
      <c r="D479" s="2" t="s">
        <v>75</v>
      </c>
      <c r="E479" s="2">
        <v>28</v>
      </c>
      <c r="F479" s="2">
        <v>67</v>
      </c>
      <c r="G479" s="2">
        <v>173</v>
      </c>
      <c r="H479" s="9">
        <f t="shared" si="7"/>
        <v>22.386314277122523</v>
      </c>
      <c r="I479" s="2" t="str" cm="1">
        <f t="array" ref="I479">_xlfn.IFS(F479&gt;=100,"Over weight",F479&lt;100,"Average weight")</f>
        <v>Average weight</v>
      </c>
      <c r="J479" s="2" t="str" cm="1">
        <f t="array" ref="J479">_xlfn.IFS(G479&lt;164,"Below Average height",G479&gt;=165,"Above Average height",G479=164,"Average height")</f>
        <v>Above Average height</v>
      </c>
      <c r="K479" s="2" t="str" cm="1">
        <f t="array" ref="K479">_xlfn.IFS(E479&lt;=16,"Children",E479&lt;=30,"Young Adults",E479&lt;=45,"Middle-aged Adults",E479&gt;45,"Old Adults")</f>
        <v>Young Adults</v>
      </c>
    </row>
    <row r="480" spans="1:11" x14ac:dyDescent="0.45">
      <c r="A480" s="2">
        <v>556</v>
      </c>
      <c r="B480" s="2" t="s">
        <v>661</v>
      </c>
      <c r="C480" s="2" t="s">
        <v>93</v>
      </c>
      <c r="D480" s="2" t="s">
        <v>39</v>
      </c>
      <c r="E480" s="2">
        <v>29</v>
      </c>
      <c r="F480" s="2">
        <v>85</v>
      </c>
      <c r="G480" s="2">
        <v>186</v>
      </c>
      <c r="H480" s="9">
        <f t="shared" si="7"/>
        <v>24.56931437160365</v>
      </c>
      <c r="I480" s="2" t="str" cm="1">
        <f t="array" ref="I480">_xlfn.IFS(F480&gt;=100,"Over weight",F480&lt;100,"Average weight")</f>
        <v>Average weight</v>
      </c>
      <c r="J480" s="2" t="str" cm="1">
        <f t="array" ref="J480">_xlfn.IFS(G480&lt;164,"Below Average height",G480&gt;=165,"Above Average height",G480=164,"Average height")</f>
        <v>Above Average height</v>
      </c>
      <c r="K480" s="2" t="str" cm="1">
        <f t="array" ref="K480">_xlfn.IFS(E480&lt;=16,"Children",E480&lt;=30,"Young Adults",E480&lt;=45,"Middle-aged Adults",E480&gt;45,"Old Adults")</f>
        <v>Young Adults</v>
      </c>
    </row>
    <row r="481" spans="1:11" x14ac:dyDescent="0.45">
      <c r="A481" s="2">
        <v>557</v>
      </c>
      <c r="B481" s="2" t="s">
        <v>662</v>
      </c>
      <c r="C481" s="2" t="s">
        <v>87</v>
      </c>
      <c r="D481" s="2" t="s">
        <v>22</v>
      </c>
      <c r="E481" s="2">
        <v>28</v>
      </c>
      <c r="F481" s="2">
        <v>68</v>
      </c>
      <c r="G481" s="2">
        <v>167</v>
      </c>
      <c r="H481" s="9">
        <f t="shared" si="7"/>
        <v>24.382372978593711</v>
      </c>
      <c r="I481" s="2" t="str" cm="1">
        <f t="array" ref="I481">_xlfn.IFS(F481&gt;=100,"Over weight",F481&lt;100,"Average weight")</f>
        <v>Average weight</v>
      </c>
      <c r="J481" s="2" t="str" cm="1">
        <f t="array" ref="J481">_xlfn.IFS(G481&lt;164,"Below Average height",G481&gt;=165,"Above Average height",G481=164,"Average height")</f>
        <v>Above Average height</v>
      </c>
      <c r="K481" s="2" t="str" cm="1">
        <f t="array" ref="K481">_xlfn.IFS(E481&lt;=16,"Children",E481&lt;=30,"Young Adults",E481&lt;=45,"Middle-aged Adults",E481&gt;45,"Old Adults")</f>
        <v>Young Adults</v>
      </c>
    </row>
    <row r="482" spans="1:11" x14ac:dyDescent="0.45">
      <c r="A482" s="2">
        <v>558</v>
      </c>
      <c r="B482" s="2" t="s">
        <v>663</v>
      </c>
      <c r="C482" s="2" t="s">
        <v>93</v>
      </c>
      <c r="D482" s="2" t="s">
        <v>71</v>
      </c>
      <c r="E482" s="2">
        <v>30</v>
      </c>
      <c r="F482" s="2">
        <v>80</v>
      </c>
      <c r="G482" s="2">
        <v>180</v>
      </c>
      <c r="H482" s="9">
        <f t="shared" si="7"/>
        <v>24.691358024691358</v>
      </c>
      <c r="I482" s="2" t="str" cm="1">
        <f t="array" ref="I482">_xlfn.IFS(F482&gt;=100,"Over weight",F482&lt;100,"Average weight")</f>
        <v>Average weight</v>
      </c>
      <c r="J482" s="2" t="str" cm="1">
        <f t="array" ref="J482">_xlfn.IFS(G482&lt;164,"Below Average height",G482&gt;=165,"Above Average height",G482=164,"Average height")</f>
        <v>Above Average height</v>
      </c>
      <c r="K482" s="2" t="str" cm="1">
        <f t="array" ref="K482">_xlfn.IFS(E482&lt;=16,"Children",E482&lt;=30,"Young Adults",E482&lt;=45,"Middle-aged Adults",E482&gt;45,"Old Adults")</f>
        <v>Young Adults</v>
      </c>
    </row>
    <row r="483" spans="1:11" x14ac:dyDescent="0.45">
      <c r="A483" s="2">
        <v>561</v>
      </c>
      <c r="B483" s="2" t="s">
        <v>666</v>
      </c>
      <c r="C483" s="2" t="s">
        <v>91</v>
      </c>
      <c r="D483" s="2" t="s">
        <v>21</v>
      </c>
      <c r="E483" s="2">
        <v>25</v>
      </c>
      <c r="F483" s="2">
        <v>87</v>
      </c>
      <c r="G483" s="2">
        <v>185</v>
      </c>
      <c r="H483" s="9">
        <f t="shared" si="7"/>
        <v>25.420014609203797</v>
      </c>
      <c r="I483" s="2" t="str" cm="1">
        <f t="array" ref="I483">_xlfn.IFS(F483&gt;=100,"Over weight",F483&lt;100,"Average weight")</f>
        <v>Average weight</v>
      </c>
      <c r="J483" s="2" t="str" cm="1">
        <f t="array" ref="J483">_xlfn.IFS(G483&lt;164,"Below Average height",G483&gt;=165,"Above Average height",G483=164,"Average height")</f>
        <v>Above Average height</v>
      </c>
      <c r="K483" s="2" t="str" cm="1">
        <f t="array" ref="K483">_xlfn.IFS(E483&lt;=16,"Children",E483&lt;=30,"Young Adults",E483&lt;=45,"Middle-aged Adults",E483&gt;45,"Old Adults")</f>
        <v>Young Adults</v>
      </c>
    </row>
    <row r="484" spans="1:11" x14ac:dyDescent="0.45">
      <c r="A484" s="2">
        <v>562</v>
      </c>
      <c r="B484" s="2" t="s">
        <v>667</v>
      </c>
      <c r="C484" s="2" t="s">
        <v>85</v>
      </c>
      <c r="D484" s="2" t="s">
        <v>19</v>
      </c>
      <c r="E484" s="2">
        <v>25</v>
      </c>
      <c r="F484" s="2">
        <v>68</v>
      </c>
      <c r="G484" s="2">
        <v>167</v>
      </c>
      <c r="H484" s="9">
        <f t="shared" si="7"/>
        <v>24.382372978593711</v>
      </c>
      <c r="I484" s="2" t="str" cm="1">
        <f t="array" ref="I484">_xlfn.IFS(F484&gt;=100,"Over weight",F484&lt;100,"Average weight")</f>
        <v>Average weight</v>
      </c>
      <c r="J484" s="2" t="str" cm="1">
        <f t="array" ref="J484">_xlfn.IFS(G484&lt;164,"Below Average height",G484&gt;=165,"Above Average height",G484=164,"Average height")</f>
        <v>Above Average height</v>
      </c>
      <c r="K484" s="2" t="str" cm="1">
        <f t="array" ref="K484">_xlfn.IFS(E484&lt;=16,"Children",E484&lt;=30,"Young Adults",E484&lt;=45,"Middle-aged Adults",E484&gt;45,"Old Adults")</f>
        <v>Young Adults</v>
      </c>
    </row>
    <row r="485" spans="1:11" x14ac:dyDescent="0.45">
      <c r="A485" s="2">
        <v>563</v>
      </c>
      <c r="B485" s="2" t="s">
        <v>668</v>
      </c>
      <c r="C485" s="2" t="s">
        <v>97</v>
      </c>
      <c r="D485" s="2" t="s">
        <v>80</v>
      </c>
      <c r="E485" s="2">
        <v>19</v>
      </c>
      <c r="F485" s="2">
        <v>70</v>
      </c>
      <c r="G485" s="2">
        <v>182</v>
      </c>
      <c r="H485" s="9">
        <f t="shared" si="7"/>
        <v>21.132713440405748</v>
      </c>
      <c r="I485" s="2" t="str" cm="1">
        <f t="array" ref="I485">_xlfn.IFS(F485&gt;=100,"Over weight",F485&lt;100,"Average weight")</f>
        <v>Average weight</v>
      </c>
      <c r="J485" s="2" t="str" cm="1">
        <f t="array" ref="J485">_xlfn.IFS(G485&lt;164,"Below Average height",G485&gt;=165,"Above Average height",G485=164,"Average height")</f>
        <v>Above Average height</v>
      </c>
      <c r="K485" s="2" t="str" cm="1">
        <f t="array" ref="K485">_xlfn.IFS(E485&lt;=16,"Children",E485&lt;=30,"Young Adults",E485&lt;=45,"Middle-aged Adults",E485&gt;45,"Old Adults")</f>
        <v>Young Adults</v>
      </c>
    </row>
    <row r="486" spans="1:11" x14ac:dyDescent="0.45">
      <c r="A486" s="2">
        <v>564</v>
      </c>
      <c r="B486" s="2" t="s">
        <v>669</v>
      </c>
      <c r="C486" s="2" t="s">
        <v>91</v>
      </c>
      <c r="D486" s="2" t="s">
        <v>14</v>
      </c>
      <c r="E486" s="2">
        <v>25</v>
      </c>
      <c r="F486" s="2">
        <v>80</v>
      </c>
      <c r="G486" s="2">
        <v>188</v>
      </c>
      <c r="H486" s="9">
        <f t="shared" si="7"/>
        <v>22.634676324128566</v>
      </c>
      <c r="I486" s="2" t="str" cm="1">
        <f t="array" ref="I486">_xlfn.IFS(F486&gt;=100,"Over weight",F486&lt;100,"Average weight")</f>
        <v>Average weight</v>
      </c>
      <c r="J486" s="2" t="str" cm="1">
        <f t="array" ref="J486">_xlfn.IFS(G486&lt;164,"Below Average height",G486&gt;=165,"Above Average height",G486=164,"Average height")</f>
        <v>Above Average height</v>
      </c>
      <c r="K486" s="2" t="str" cm="1">
        <f t="array" ref="K486">_xlfn.IFS(E486&lt;=16,"Children",E486&lt;=30,"Young Adults",E486&lt;=45,"Middle-aged Adults",E486&gt;45,"Old Adults")</f>
        <v>Young Adults</v>
      </c>
    </row>
    <row r="487" spans="1:11" x14ac:dyDescent="0.45">
      <c r="A487" s="2">
        <v>565</v>
      </c>
      <c r="B487" s="2" t="s">
        <v>670</v>
      </c>
      <c r="C487" s="2" t="s">
        <v>87</v>
      </c>
      <c r="D487" s="2" t="s">
        <v>71</v>
      </c>
      <c r="E487" s="2">
        <v>22</v>
      </c>
      <c r="F487" s="2">
        <v>95</v>
      </c>
      <c r="G487" s="2">
        <v>181</v>
      </c>
      <c r="H487" s="9">
        <f t="shared" si="7"/>
        <v>28.997893837184456</v>
      </c>
      <c r="I487" s="2" t="str" cm="1">
        <f t="array" ref="I487">_xlfn.IFS(F487&gt;=100,"Over weight",F487&lt;100,"Average weight")</f>
        <v>Average weight</v>
      </c>
      <c r="J487" s="2" t="str" cm="1">
        <f t="array" ref="J487">_xlfn.IFS(G487&lt;164,"Below Average height",G487&gt;=165,"Above Average height",G487=164,"Average height")</f>
        <v>Above Average height</v>
      </c>
      <c r="K487" s="2" t="str" cm="1">
        <f t="array" ref="K487">_xlfn.IFS(E487&lt;=16,"Children",E487&lt;=30,"Young Adults",E487&lt;=45,"Middle-aged Adults",E487&gt;45,"Old Adults")</f>
        <v>Young Adults</v>
      </c>
    </row>
    <row r="488" spans="1:11" x14ac:dyDescent="0.45">
      <c r="A488" s="2">
        <v>566</v>
      </c>
      <c r="B488" s="2" t="s">
        <v>671</v>
      </c>
      <c r="C488" s="2" t="s">
        <v>95</v>
      </c>
      <c r="D488" s="2" t="s">
        <v>28</v>
      </c>
      <c r="E488" s="2">
        <v>33</v>
      </c>
      <c r="F488" s="2">
        <v>85</v>
      </c>
      <c r="G488" s="2">
        <v>183</v>
      </c>
      <c r="H488" s="9">
        <f t="shared" si="7"/>
        <v>25.381468541909282</v>
      </c>
      <c r="I488" s="2" t="str" cm="1">
        <f t="array" ref="I488">_xlfn.IFS(F488&gt;=100,"Over weight",F488&lt;100,"Average weight")</f>
        <v>Average weight</v>
      </c>
      <c r="J488" s="2" t="str" cm="1">
        <f t="array" ref="J488">_xlfn.IFS(G488&lt;164,"Below Average height",G488&gt;=165,"Above Average height",G488=164,"Average height")</f>
        <v>Above Average height</v>
      </c>
      <c r="K488" s="2" t="str" cm="1">
        <f t="array" ref="K488">_xlfn.IFS(E488&lt;=16,"Children",E488&lt;=30,"Young Adults",E488&lt;=45,"Middle-aged Adults",E488&gt;45,"Old Adults")</f>
        <v>Middle-aged Adults</v>
      </c>
    </row>
    <row r="489" spans="1:11" x14ac:dyDescent="0.45">
      <c r="A489" s="2">
        <v>567</v>
      </c>
      <c r="B489" s="2" t="s">
        <v>672</v>
      </c>
      <c r="C489" s="2" t="s">
        <v>90</v>
      </c>
      <c r="D489" s="2" t="s">
        <v>28</v>
      </c>
      <c r="E489" s="2">
        <v>31</v>
      </c>
      <c r="F489" s="2">
        <v>96</v>
      </c>
      <c r="G489" s="2">
        <v>185</v>
      </c>
      <c r="H489" s="9">
        <f t="shared" si="7"/>
        <v>28.049671292914532</v>
      </c>
      <c r="I489" s="2" t="str" cm="1">
        <f t="array" ref="I489">_xlfn.IFS(F489&gt;=100,"Over weight",F489&lt;100,"Average weight")</f>
        <v>Average weight</v>
      </c>
      <c r="J489" s="2" t="str" cm="1">
        <f t="array" ref="J489">_xlfn.IFS(G489&lt;164,"Below Average height",G489&gt;=165,"Above Average height",G489=164,"Average height")</f>
        <v>Above Average height</v>
      </c>
      <c r="K489" s="2" t="str" cm="1">
        <f t="array" ref="K489">_xlfn.IFS(E489&lt;=16,"Children",E489&lt;=30,"Young Adults",E489&lt;=45,"Middle-aged Adults",E489&gt;45,"Old Adults")</f>
        <v>Middle-aged Adults</v>
      </c>
    </row>
    <row r="490" spans="1:11" x14ac:dyDescent="0.45">
      <c r="A490" s="2">
        <v>568</v>
      </c>
      <c r="B490" s="2" t="s">
        <v>673</v>
      </c>
      <c r="C490" s="2" t="s">
        <v>90</v>
      </c>
      <c r="D490" s="2" t="s">
        <v>80</v>
      </c>
      <c r="E490" s="2">
        <v>26</v>
      </c>
      <c r="F490" s="2">
        <v>95</v>
      </c>
      <c r="G490" s="2">
        <v>183</v>
      </c>
      <c r="H490" s="9">
        <f t="shared" si="7"/>
        <v>28.367523664486843</v>
      </c>
      <c r="I490" s="2" t="str" cm="1">
        <f t="array" ref="I490">_xlfn.IFS(F490&gt;=100,"Over weight",F490&lt;100,"Average weight")</f>
        <v>Average weight</v>
      </c>
      <c r="J490" s="2" t="str" cm="1">
        <f t="array" ref="J490">_xlfn.IFS(G490&lt;164,"Below Average height",G490&gt;=165,"Above Average height",G490=164,"Average height")</f>
        <v>Above Average height</v>
      </c>
      <c r="K490" s="2" t="str" cm="1">
        <f t="array" ref="K490">_xlfn.IFS(E490&lt;=16,"Children",E490&lt;=30,"Young Adults",E490&lt;=45,"Middle-aged Adults",E490&gt;45,"Old Adults")</f>
        <v>Young Adults</v>
      </c>
    </row>
    <row r="491" spans="1:11" x14ac:dyDescent="0.45">
      <c r="A491" s="2">
        <v>570</v>
      </c>
      <c r="B491" s="2" t="s">
        <v>675</v>
      </c>
      <c r="C491" s="2" t="s">
        <v>96</v>
      </c>
      <c r="D491" s="2" t="s">
        <v>66</v>
      </c>
      <c r="E491" s="2">
        <v>21</v>
      </c>
      <c r="F491" s="2">
        <v>102</v>
      </c>
      <c r="G491" s="2">
        <v>174</v>
      </c>
      <c r="H491" s="9">
        <f t="shared" si="7"/>
        <v>33.690051525961159</v>
      </c>
      <c r="I491" s="2" t="str" cm="1">
        <f t="array" ref="I491">_xlfn.IFS(F491&gt;=100,"Over weight",F491&lt;100,"Average weight")</f>
        <v>Over weight</v>
      </c>
      <c r="J491" s="2" t="str" cm="1">
        <f t="array" ref="J491">_xlfn.IFS(G491&lt;164,"Below Average height",G491&gt;=165,"Above Average height",G491=164,"Average height")</f>
        <v>Above Average height</v>
      </c>
      <c r="K491" s="2" t="str" cm="1">
        <f t="array" ref="K491">_xlfn.IFS(E491&lt;=16,"Children",E491&lt;=30,"Young Adults",E491&lt;=45,"Middle-aged Adults",E491&gt;45,"Old Adults")</f>
        <v>Young Adults</v>
      </c>
    </row>
    <row r="492" spans="1:11" x14ac:dyDescent="0.45">
      <c r="A492" s="2">
        <v>571</v>
      </c>
      <c r="B492" s="2" t="s">
        <v>676</v>
      </c>
      <c r="C492" s="2" t="s">
        <v>93</v>
      </c>
      <c r="D492" s="2" t="s">
        <v>73</v>
      </c>
      <c r="E492" s="2">
        <v>34</v>
      </c>
      <c r="F492" s="2">
        <v>83</v>
      </c>
      <c r="G492" s="2">
        <v>190</v>
      </c>
      <c r="H492" s="9">
        <f t="shared" si="7"/>
        <v>22.991689750692522</v>
      </c>
      <c r="I492" s="2" t="str" cm="1">
        <f t="array" ref="I492">_xlfn.IFS(F492&gt;=100,"Over weight",F492&lt;100,"Average weight")</f>
        <v>Average weight</v>
      </c>
      <c r="J492" s="2" t="str" cm="1">
        <f t="array" ref="J492">_xlfn.IFS(G492&lt;164,"Below Average height",G492&gt;=165,"Above Average height",G492=164,"Average height")</f>
        <v>Above Average height</v>
      </c>
      <c r="K492" s="2" t="str" cm="1">
        <f t="array" ref="K492">_xlfn.IFS(E492&lt;=16,"Children",E492&lt;=30,"Young Adults",E492&lt;=45,"Middle-aged Adults",E492&gt;45,"Old Adults")</f>
        <v>Middle-aged Adults</v>
      </c>
    </row>
    <row r="493" spans="1:11" x14ac:dyDescent="0.45">
      <c r="A493" s="2">
        <v>573</v>
      </c>
      <c r="B493" s="2" t="s">
        <v>678</v>
      </c>
      <c r="C493" s="2" t="s">
        <v>85</v>
      </c>
      <c r="D493" s="2" t="s">
        <v>80</v>
      </c>
      <c r="E493" s="2">
        <v>20</v>
      </c>
      <c r="F493" s="2">
        <v>75</v>
      </c>
      <c r="G493" s="2">
        <v>180</v>
      </c>
      <c r="H493" s="9">
        <f t="shared" si="7"/>
        <v>23.148148148148145</v>
      </c>
      <c r="I493" s="2" t="str" cm="1">
        <f t="array" ref="I493">_xlfn.IFS(F493&gt;=100,"Over weight",F493&lt;100,"Average weight")</f>
        <v>Average weight</v>
      </c>
      <c r="J493" s="2" t="str" cm="1">
        <f t="array" ref="J493">_xlfn.IFS(G493&lt;164,"Below Average height",G493&gt;=165,"Above Average height",G493=164,"Average height")</f>
        <v>Above Average height</v>
      </c>
      <c r="K493" s="2" t="str" cm="1">
        <f t="array" ref="K493">_xlfn.IFS(E493&lt;=16,"Children",E493&lt;=30,"Young Adults",E493&lt;=45,"Middle-aged Adults",E493&gt;45,"Old Adults")</f>
        <v>Young Adults</v>
      </c>
    </row>
    <row r="494" spans="1:11" x14ac:dyDescent="0.45">
      <c r="A494" s="2">
        <v>574</v>
      </c>
      <c r="B494" s="2" t="s">
        <v>679</v>
      </c>
      <c r="C494" s="2" t="s">
        <v>91</v>
      </c>
      <c r="D494" s="2" t="s">
        <v>60</v>
      </c>
      <c r="E494" s="2">
        <v>23</v>
      </c>
      <c r="F494" s="2">
        <v>82</v>
      </c>
      <c r="G494" s="2">
        <v>186</v>
      </c>
      <c r="H494" s="9">
        <f t="shared" si="7"/>
        <v>23.702162099664697</v>
      </c>
      <c r="I494" s="2" t="str" cm="1">
        <f t="array" ref="I494">_xlfn.IFS(F494&gt;=100,"Over weight",F494&lt;100,"Average weight")</f>
        <v>Average weight</v>
      </c>
      <c r="J494" s="2" t="str" cm="1">
        <f t="array" ref="J494">_xlfn.IFS(G494&lt;164,"Below Average height",G494&gt;=165,"Above Average height",G494=164,"Average height")</f>
        <v>Above Average height</v>
      </c>
      <c r="K494" s="2" t="str" cm="1">
        <f t="array" ref="K494">_xlfn.IFS(E494&lt;=16,"Children",E494&lt;=30,"Young Adults",E494&lt;=45,"Middle-aged Adults",E494&gt;45,"Old Adults")</f>
        <v>Young Adults</v>
      </c>
    </row>
    <row r="495" spans="1:11" x14ac:dyDescent="0.45">
      <c r="A495" s="2">
        <v>575</v>
      </c>
      <c r="B495" s="2" t="s">
        <v>680</v>
      </c>
      <c r="C495" s="2" t="s">
        <v>91</v>
      </c>
      <c r="D495" s="2" t="s">
        <v>74</v>
      </c>
      <c r="E495" s="2">
        <v>36</v>
      </c>
      <c r="F495" s="2">
        <v>93</v>
      </c>
      <c r="G495" s="2">
        <v>185</v>
      </c>
      <c r="H495" s="9">
        <f t="shared" si="7"/>
        <v>27.173119065010955</v>
      </c>
      <c r="I495" s="2" t="str" cm="1">
        <f t="array" ref="I495">_xlfn.IFS(F495&gt;=100,"Over weight",F495&lt;100,"Average weight")</f>
        <v>Average weight</v>
      </c>
      <c r="J495" s="2" t="str" cm="1">
        <f t="array" ref="J495">_xlfn.IFS(G495&lt;164,"Below Average height",G495&gt;=165,"Above Average height",G495=164,"Average height")</f>
        <v>Above Average height</v>
      </c>
      <c r="K495" s="2" t="str" cm="1">
        <f t="array" ref="K495">_xlfn.IFS(E495&lt;=16,"Children",E495&lt;=30,"Young Adults",E495&lt;=45,"Middle-aged Adults",E495&gt;45,"Old Adults")</f>
        <v>Middle-aged Adults</v>
      </c>
    </row>
    <row r="496" spans="1:11" x14ac:dyDescent="0.45">
      <c r="A496" s="2">
        <v>576</v>
      </c>
      <c r="B496" s="2" t="s">
        <v>681</v>
      </c>
      <c r="C496" s="2" t="s">
        <v>87</v>
      </c>
      <c r="D496" s="2" t="s">
        <v>74</v>
      </c>
      <c r="E496" s="2">
        <v>23</v>
      </c>
      <c r="F496" s="2">
        <v>85</v>
      </c>
      <c r="G496" s="2">
        <v>184</v>
      </c>
      <c r="H496" s="9">
        <f t="shared" si="7"/>
        <v>25.10633270321361</v>
      </c>
      <c r="I496" s="2" t="str" cm="1">
        <f t="array" ref="I496">_xlfn.IFS(F496&gt;=100,"Over weight",F496&lt;100,"Average weight")</f>
        <v>Average weight</v>
      </c>
      <c r="J496" s="2" t="str" cm="1">
        <f t="array" ref="J496">_xlfn.IFS(G496&lt;164,"Below Average height",G496&gt;=165,"Above Average height",G496=164,"Average height")</f>
        <v>Above Average height</v>
      </c>
      <c r="K496" s="2" t="str" cm="1">
        <f t="array" ref="K496">_xlfn.IFS(E496&lt;=16,"Children",E496&lt;=30,"Young Adults",E496&lt;=45,"Middle-aged Adults",E496&gt;45,"Old Adults")</f>
        <v>Young Adults</v>
      </c>
    </row>
    <row r="497" spans="1:11" x14ac:dyDescent="0.45">
      <c r="A497" s="2">
        <v>577</v>
      </c>
      <c r="B497" s="2" t="s">
        <v>682</v>
      </c>
      <c r="C497" s="2" t="s">
        <v>88</v>
      </c>
      <c r="D497" s="2" t="s">
        <v>26</v>
      </c>
      <c r="E497" s="2">
        <v>21</v>
      </c>
      <c r="F497" s="2">
        <v>75</v>
      </c>
      <c r="G497" s="2">
        <v>185</v>
      </c>
      <c r="H497" s="9">
        <f t="shared" si="7"/>
        <v>21.913805697589478</v>
      </c>
      <c r="I497" s="2" t="str" cm="1">
        <f t="array" ref="I497">_xlfn.IFS(F497&gt;=100,"Over weight",F497&lt;100,"Average weight")</f>
        <v>Average weight</v>
      </c>
      <c r="J497" s="2" t="str" cm="1">
        <f t="array" ref="J497">_xlfn.IFS(G497&lt;164,"Below Average height",G497&gt;=165,"Above Average height",G497=164,"Average height")</f>
        <v>Above Average height</v>
      </c>
      <c r="K497" s="2" t="str" cm="1">
        <f t="array" ref="K497">_xlfn.IFS(E497&lt;=16,"Children",E497&lt;=30,"Young Adults",E497&lt;=45,"Middle-aged Adults",E497&gt;45,"Old Adults")</f>
        <v>Young Adults</v>
      </c>
    </row>
    <row r="498" spans="1:11" x14ac:dyDescent="0.45">
      <c r="A498" s="2">
        <v>578</v>
      </c>
      <c r="B498" s="2" t="s">
        <v>683</v>
      </c>
      <c r="C498" s="2" t="s">
        <v>88</v>
      </c>
      <c r="D498" s="2" t="s">
        <v>26</v>
      </c>
      <c r="E498" s="2">
        <v>25</v>
      </c>
      <c r="F498" s="2">
        <v>67</v>
      </c>
      <c r="G498" s="2">
        <v>174</v>
      </c>
      <c r="H498" s="9">
        <f t="shared" si="7"/>
        <v>22.129739727837229</v>
      </c>
      <c r="I498" s="2" t="str" cm="1">
        <f t="array" ref="I498">_xlfn.IFS(F498&gt;=100,"Over weight",F498&lt;100,"Average weight")</f>
        <v>Average weight</v>
      </c>
      <c r="J498" s="2" t="str" cm="1">
        <f t="array" ref="J498">_xlfn.IFS(G498&lt;164,"Below Average height",G498&gt;=165,"Above Average height",G498=164,"Average height")</f>
        <v>Above Average height</v>
      </c>
      <c r="K498" s="2" t="str" cm="1">
        <f t="array" ref="K498">_xlfn.IFS(E498&lt;=16,"Children",E498&lt;=30,"Young Adults",E498&lt;=45,"Middle-aged Adults",E498&gt;45,"Old Adults")</f>
        <v>Young Adults</v>
      </c>
    </row>
    <row r="499" spans="1:11" x14ac:dyDescent="0.45">
      <c r="A499" s="2">
        <v>579</v>
      </c>
      <c r="B499" s="2" t="s">
        <v>684</v>
      </c>
      <c r="C499" s="2" t="s">
        <v>93</v>
      </c>
      <c r="D499" s="2" t="s">
        <v>75</v>
      </c>
      <c r="E499" s="2">
        <v>28</v>
      </c>
      <c r="F499" s="2">
        <v>57</v>
      </c>
      <c r="G499" s="2">
        <v>168</v>
      </c>
      <c r="H499" s="9">
        <f t="shared" si="7"/>
        <v>20.195578231292519</v>
      </c>
      <c r="I499" s="2" t="str" cm="1">
        <f t="array" ref="I499">_xlfn.IFS(F499&gt;=100,"Over weight",F499&lt;100,"Average weight")</f>
        <v>Average weight</v>
      </c>
      <c r="J499" s="2" t="str" cm="1">
        <f t="array" ref="J499">_xlfn.IFS(G499&lt;164,"Below Average height",G499&gt;=165,"Above Average height",G499=164,"Average height")</f>
        <v>Above Average height</v>
      </c>
      <c r="K499" s="2" t="str" cm="1">
        <f t="array" ref="K499">_xlfn.IFS(E499&lt;=16,"Children",E499&lt;=30,"Young Adults",E499&lt;=45,"Middle-aged Adults",E499&gt;45,"Old Adults")</f>
        <v>Young Adults</v>
      </c>
    </row>
    <row r="500" spans="1:11" x14ac:dyDescent="0.45">
      <c r="A500" s="2">
        <v>580</v>
      </c>
      <c r="B500" s="2" t="s">
        <v>685</v>
      </c>
      <c r="C500" s="2" t="s">
        <v>94</v>
      </c>
      <c r="D500" s="2" t="s">
        <v>39</v>
      </c>
      <c r="E500" s="2">
        <v>30</v>
      </c>
      <c r="F500" s="2">
        <v>72</v>
      </c>
      <c r="G500" s="2">
        <v>178</v>
      </c>
      <c r="H500" s="9">
        <f t="shared" si="7"/>
        <v>22.724403484408533</v>
      </c>
      <c r="I500" s="2" t="str" cm="1">
        <f t="array" ref="I500">_xlfn.IFS(F500&gt;=100,"Over weight",F500&lt;100,"Average weight")</f>
        <v>Average weight</v>
      </c>
      <c r="J500" s="2" t="str" cm="1">
        <f t="array" ref="J500">_xlfn.IFS(G500&lt;164,"Below Average height",G500&gt;=165,"Above Average height",G500=164,"Average height")</f>
        <v>Above Average height</v>
      </c>
      <c r="K500" s="2" t="str" cm="1">
        <f t="array" ref="K500">_xlfn.IFS(E500&lt;=16,"Children",E500&lt;=30,"Young Adults",E500&lt;=45,"Middle-aged Adults",E500&gt;45,"Old Adults")</f>
        <v>Young Adults</v>
      </c>
    </row>
    <row r="501" spans="1:11" x14ac:dyDescent="0.45">
      <c r="A501" s="2">
        <v>581</v>
      </c>
      <c r="B501" s="2" t="s">
        <v>686</v>
      </c>
      <c r="C501" s="2" t="s">
        <v>91</v>
      </c>
      <c r="D501" s="2" t="s">
        <v>75</v>
      </c>
      <c r="E501" s="2">
        <v>22</v>
      </c>
      <c r="F501" s="2">
        <v>73</v>
      </c>
      <c r="G501" s="2">
        <v>169</v>
      </c>
      <c r="H501" s="9">
        <f t="shared" si="7"/>
        <v>25.559329155141629</v>
      </c>
      <c r="I501" s="2" t="str" cm="1">
        <f t="array" ref="I501">_xlfn.IFS(F501&gt;=100,"Over weight",F501&lt;100,"Average weight")</f>
        <v>Average weight</v>
      </c>
      <c r="J501" s="2" t="str" cm="1">
        <f t="array" ref="J501">_xlfn.IFS(G501&lt;164,"Below Average height",G501&gt;=165,"Above Average height",G501=164,"Average height")</f>
        <v>Above Average height</v>
      </c>
      <c r="K501" s="2" t="str" cm="1">
        <f t="array" ref="K501">_xlfn.IFS(E501&lt;=16,"Children",E501&lt;=30,"Young Adults",E501&lt;=45,"Middle-aged Adults",E501&gt;45,"Old Adults")</f>
        <v>Young Adults</v>
      </c>
    </row>
    <row r="502" spans="1:11" x14ac:dyDescent="0.45">
      <c r="A502" s="2">
        <v>582</v>
      </c>
      <c r="B502" s="2" t="s">
        <v>687</v>
      </c>
      <c r="C502" s="2" t="s">
        <v>96</v>
      </c>
      <c r="D502" s="2" t="s">
        <v>22</v>
      </c>
      <c r="E502" s="2">
        <v>34</v>
      </c>
      <c r="F502" s="2">
        <v>102</v>
      </c>
      <c r="G502" s="2">
        <v>175</v>
      </c>
      <c r="H502" s="9">
        <f t="shared" si="7"/>
        <v>33.306122448979593</v>
      </c>
      <c r="I502" s="2" t="str" cm="1">
        <f t="array" ref="I502">_xlfn.IFS(F502&gt;=100,"Over weight",F502&lt;100,"Average weight")</f>
        <v>Over weight</v>
      </c>
      <c r="J502" s="2" t="str" cm="1">
        <f t="array" ref="J502">_xlfn.IFS(G502&lt;164,"Below Average height",G502&gt;=165,"Above Average height",G502=164,"Average height")</f>
        <v>Above Average height</v>
      </c>
      <c r="K502" s="2" t="str" cm="1">
        <f t="array" ref="K502">_xlfn.IFS(E502&lt;=16,"Children",E502&lt;=30,"Young Adults",E502&lt;=45,"Middle-aged Adults",E502&gt;45,"Old Adults")</f>
        <v>Middle-aged Adults</v>
      </c>
    </row>
    <row r="503" spans="1:11" x14ac:dyDescent="0.45">
      <c r="A503" s="2">
        <v>583</v>
      </c>
      <c r="B503" s="2" t="s">
        <v>688</v>
      </c>
      <c r="C503" s="2" t="s">
        <v>89</v>
      </c>
      <c r="D503" s="2" t="s">
        <v>80</v>
      </c>
      <c r="E503" s="2">
        <v>25</v>
      </c>
      <c r="F503" s="2">
        <v>67</v>
      </c>
      <c r="G503" s="2">
        <v>168</v>
      </c>
      <c r="H503" s="9">
        <f t="shared" si="7"/>
        <v>23.738662131519277</v>
      </c>
      <c r="I503" s="2" t="str" cm="1">
        <f t="array" ref="I503">_xlfn.IFS(F503&gt;=100,"Over weight",F503&lt;100,"Average weight")</f>
        <v>Average weight</v>
      </c>
      <c r="J503" s="2" t="str" cm="1">
        <f t="array" ref="J503">_xlfn.IFS(G503&lt;164,"Below Average height",G503&gt;=165,"Above Average height",G503=164,"Average height")</f>
        <v>Above Average height</v>
      </c>
      <c r="K503" s="2" t="str" cm="1">
        <f t="array" ref="K503">_xlfn.IFS(E503&lt;=16,"Children",E503&lt;=30,"Young Adults",E503&lt;=45,"Middle-aged Adults",E503&gt;45,"Old Adults")</f>
        <v>Young Adults</v>
      </c>
    </row>
    <row r="504" spans="1:11" x14ac:dyDescent="0.45">
      <c r="A504" s="2">
        <v>584</v>
      </c>
      <c r="B504" s="2" t="s">
        <v>689</v>
      </c>
      <c r="C504" s="2" t="s">
        <v>94</v>
      </c>
      <c r="D504" s="2" t="s">
        <v>80</v>
      </c>
      <c r="E504" s="2">
        <v>29</v>
      </c>
      <c r="F504" s="2">
        <v>79</v>
      </c>
      <c r="G504" s="2">
        <v>180</v>
      </c>
      <c r="H504" s="9">
        <f t="shared" si="7"/>
        <v>24.382716049382715</v>
      </c>
      <c r="I504" s="2" t="str" cm="1">
        <f t="array" ref="I504">_xlfn.IFS(F504&gt;=100,"Over weight",F504&lt;100,"Average weight")</f>
        <v>Average weight</v>
      </c>
      <c r="J504" s="2" t="str" cm="1">
        <f t="array" ref="J504">_xlfn.IFS(G504&lt;164,"Below Average height",G504&gt;=165,"Above Average height",G504=164,"Average height")</f>
        <v>Above Average height</v>
      </c>
      <c r="K504" s="2" t="str" cm="1">
        <f t="array" ref="K504">_xlfn.IFS(E504&lt;=16,"Children",E504&lt;=30,"Young Adults",E504&lt;=45,"Middle-aged Adults",E504&gt;45,"Old Adults")</f>
        <v>Young Adults</v>
      </c>
    </row>
    <row r="505" spans="1:11" x14ac:dyDescent="0.45">
      <c r="A505" s="2">
        <v>585</v>
      </c>
      <c r="B505" s="2" t="s">
        <v>690</v>
      </c>
      <c r="C505" s="2" t="s">
        <v>93</v>
      </c>
      <c r="D505" s="2" t="s">
        <v>75</v>
      </c>
      <c r="E505" s="2">
        <v>25</v>
      </c>
      <c r="F505" s="2">
        <v>70</v>
      </c>
      <c r="G505" s="2">
        <v>174</v>
      </c>
      <c r="H505" s="9">
        <f t="shared" si="7"/>
        <v>23.120623596247853</v>
      </c>
      <c r="I505" s="2" t="str" cm="1">
        <f t="array" ref="I505">_xlfn.IFS(F505&gt;=100,"Over weight",F505&lt;100,"Average weight")</f>
        <v>Average weight</v>
      </c>
      <c r="J505" s="2" t="str" cm="1">
        <f t="array" ref="J505">_xlfn.IFS(G505&lt;164,"Below Average height",G505&gt;=165,"Above Average height",G505=164,"Average height")</f>
        <v>Above Average height</v>
      </c>
      <c r="K505" s="2" t="str" cm="1">
        <f t="array" ref="K505">_xlfn.IFS(E505&lt;=16,"Children",E505&lt;=30,"Young Adults",E505&lt;=45,"Middle-aged Adults",E505&gt;45,"Old Adults")</f>
        <v>Young Adults</v>
      </c>
    </row>
    <row r="506" spans="1:11" x14ac:dyDescent="0.45">
      <c r="A506" s="2">
        <v>586</v>
      </c>
      <c r="B506" s="2" t="s">
        <v>691</v>
      </c>
      <c r="C506" s="2" t="s">
        <v>88</v>
      </c>
      <c r="D506" s="2" t="s">
        <v>75</v>
      </c>
      <c r="E506" s="2">
        <v>29</v>
      </c>
      <c r="F506" s="2">
        <v>67</v>
      </c>
      <c r="G506" s="2">
        <v>176</v>
      </c>
      <c r="H506" s="9">
        <f t="shared" si="7"/>
        <v>21.629648760330578</v>
      </c>
      <c r="I506" s="2" t="str" cm="1">
        <f t="array" ref="I506">_xlfn.IFS(F506&gt;=100,"Over weight",F506&lt;100,"Average weight")</f>
        <v>Average weight</v>
      </c>
      <c r="J506" s="2" t="str" cm="1">
        <f t="array" ref="J506">_xlfn.IFS(G506&lt;164,"Below Average height",G506&gt;=165,"Above Average height",G506=164,"Average height")</f>
        <v>Above Average height</v>
      </c>
      <c r="K506" s="2" t="str" cm="1">
        <f t="array" ref="K506">_xlfn.IFS(E506&lt;=16,"Children",E506&lt;=30,"Young Adults",E506&lt;=45,"Middle-aged Adults",E506&gt;45,"Old Adults")</f>
        <v>Young Adults</v>
      </c>
    </row>
    <row r="507" spans="1:11" x14ac:dyDescent="0.45">
      <c r="A507" s="2">
        <v>587</v>
      </c>
      <c r="B507" s="2" t="s">
        <v>692</v>
      </c>
      <c r="C507" s="2" t="s">
        <v>92</v>
      </c>
      <c r="D507" s="2" t="s">
        <v>80</v>
      </c>
      <c r="E507" s="2">
        <v>17</v>
      </c>
      <c r="F507" s="2">
        <v>60</v>
      </c>
      <c r="G507" s="2">
        <v>178</v>
      </c>
      <c r="H507" s="9">
        <f t="shared" si="7"/>
        <v>18.937002903673779</v>
      </c>
      <c r="I507" s="2" t="str" cm="1">
        <f t="array" ref="I507">_xlfn.IFS(F507&gt;=100,"Over weight",F507&lt;100,"Average weight")</f>
        <v>Average weight</v>
      </c>
      <c r="J507" s="2" t="str" cm="1">
        <f t="array" ref="J507">_xlfn.IFS(G507&lt;164,"Below Average height",G507&gt;=165,"Above Average height",G507=164,"Average height")</f>
        <v>Above Average height</v>
      </c>
      <c r="K507" s="2" t="str" cm="1">
        <f t="array" ref="K507">_xlfn.IFS(E507&lt;=16,"Children",E507&lt;=30,"Young Adults",E507&lt;=45,"Middle-aged Adults",E507&gt;45,"Old Adults")</f>
        <v>Young Adults</v>
      </c>
    </row>
    <row r="508" spans="1:11" x14ac:dyDescent="0.45">
      <c r="A508" s="2">
        <v>588</v>
      </c>
      <c r="B508" s="2" t="s">
        <v>693</v>
      </c>
      <c r="C508" s="2" t="s">
        <v>97</v>
      </c>
      <c r="D508" s="2" t="s">
        <v>28</v>
      </c>
      <c r="E508" s="2">
        <v>21</v>
      </c>
      <c r="F508" s="2">
        <v>59</v>
      </c>
      <c r="G508" s="2">
        <v>175</v>
      </c>
      <c r="H508" s="9">
        <f t="shared" si="7"/>
        <v>19.26530612244898</v>
      </c>
      <c r="I508" s="2" t="str" cm="1">
        <f t="array" ref="I508">_xlfn.IFS(F508&gt;=100,"Over weight",F508&lt;100,"Average weight")</f>
        <v>Average weight</v>
      </c>
      <c r="J508" s="2" t="str" cm="1">
        <f t="array" ref="J508">_xlfn.IFS(G508&lt;164,"Below Average height",G508&gt;=165,"Above Average height",G508=164,"Average height")</f>
        <v>Above Average height</v>
      </c>
      <c r="K508" s="2" t="str" cm="1">
        <f t="array" ref="K508">_xlfn.IFS(E508&lt;=16,"Children",E508&lt;=30,"Young Adults",E508&lt;=45,"Middle-aged Adults",E508&gt;45,"Old Adults")</f>
        <v>Young Adults</v>
      </c>
    </row>
    <row r="509" spans="1:11" x14ac:dyDescent="0.45">
      <c r="A509" s="2">
        <v>589</v>
      </c>
      <c r="B509" s="2" t="s">
        <v>694</v>
      </c>
      <c r="C509" s="2" t="s">
        <v>89</v>
      </c>
      <c r="D509" s="2" t="s">
        <v>74</v>
      </c>
      <c r="E509" s="2">
        <v>23</v>
      </c>
      <c r="F509" s="2">
        <v>83</v>
      </c>
      <c r="G509" s="2">
        <v>183</v>
      </c>
      <c r="H509" s="9">
        <f t="shared" si="7"/>
        <v>24.784257517393769</v>
      </c>
      <c r="I509" s="2" t="str" cm="1">
        <f t="array" ref="I509">_xlfn.IFS(F509&gt;=100,"Over weight",F509&lt;100,"Average weight")</f>
        <v>Average weight</v>
      </c>
      <c r="J509" s="2" t="str" cm="1">
        <f t="array" ref="J509">_xlfn.IFS(G509&lt;164,"Below Average height",G509&gt;=165,"Above Average height",G509=164,"Average height")</f>
        <v>Above Average height</v>
      </c>
      <c r="K509" s="2" t="str" cm="1">
        <f t="array" ref="K509">_xlfn.IFS(E509&lt;=16,"Children",E509&lt;=30,"Young Adults",E509&lt;=45,"Middle-aged Adults",E509&gt;45,"Old Adults")</f>
        <v>Young Adults</v>
      </c>
    </row>
    <row r="510" spans="1:11" x14ac:dyDescent="0.45">
      <c r="A510" s="2">
        <v>590</v>
      </c>
      <c r="B510" s="2" t="s">
        <v>695</v>
      </c>
      <c r="C510" s="2" t="s">
        <v>89</v>
      </c>
      <c r="D510" s="2" t="s">
        <v>28</v>
      </c>
      <c r="E510" s="2">
        <v>33</v>
      </c>
      <c r="F510" s="2">
        <v>64</v>
      </c>
      <c r="G510" s="2">
        <v>169</v>
      </c>
      <c r="H510" s="9">
        <f t="shared" si="7"/>
        <v>22.408178985329648</v>
      </c>
      <c r="I510" s="2" t="str" cm="1">
        <f t="array" ref="I510">_xlfn.IFS(F510&gt;=100,"Over weight",F510&lt;100,"Average weight")</f>
        <v>Average weight</v>
      </c>
      <c r="J510" s="2" t="str" cm="1">
        <f t="array" ref="J510">_xlfn.IFS(G510&lt;164,"Below Average height",G510&gt;=165,"Above Average height",G510=164,"Average height")</f>
        <v>Above Average height</v>
      </c>
      <c r="K510" s="2" t="str" cm="1">
        <f t="array" ref="K510">_xlfn.IFS(E510&lt;=16,"Children",E510&lt;=30,"Young Adults",E510&lt;=45,"Middle-aged Adults",E510&gt;45,"Old Adults")</f>
        <v>Middle-aged Adults</v>
      </c>
    </row>
    <row r="511" spans="1:11" x14ac:dyDescent="0.45">
      <c r="A511" s="2">
        <v>591</v>
      </c>
      <c r="B511" s="2" t="s">
        <v>696</v>
      </c>
      <c r="C511" s="2" t="s">
        <v>85</v>
      </c>
      <c r="D511" s="2" t="s">
        <v>14</v>
      </c>
      <c r="E511" s="2">
        <v>25</v>
      </c>
      <c r="F511" s="2">
        <v>86</v>
      </c>
      <c r="G511" s="2">
        <v>184</v>
      </c>
      <c r="H511" s="9">
        <f t="shared" si="7"/>
        <v>25.401701323251416</v>
      </c>
      <c r="I511" s="2" t="str" cm="1">
        <f t="array" ref="I511">_xlfn.IFS(F511&gt;=100,"Over weight",F511&lt;100,"Average weight")</f>
        <v>Average weight</v>
      </c>
      <c r="J511" s="2" t="str" cm="1">
        <f t="array" ref="J511">_xlfn.IFS(G511&lt;164,"Below Average height",G511&gt;=165,"Above Average height",G511=164,"Average height")</f>
        <v>Above Average height</v>
      </c>
      <c r="K511" s="2" t="str" cm="1">
        <f t="array" ref="K511">_xlfn.IFS(E511&lt;=16,"Children",E511&lt;=30,"Young Adults",E511&lt;=45,"Middle-aged Adults",E511&gt;45,"Old Adults")</f>
        <v>Young Adults</v>
      </c>
    </row>
    <row r="512" spans="1:11" x14ac:dyDescent="0.45">
      <c r="A512" s="2">
        <v>593</v>
      </c>
      <c r="B512" s="2" t="s">
        <v>698</v>
      </c>
      <c r="C512" s="2" t="s">
        <v>93</v>
      </c>
      <c r="D512" s="2" t="s">
        <v>6</v>
      </c>
      <c r="E512" s="2">
        <v>33</v>
      </c>
      <c r="F512" s="2">
        <v>83</v>
      </c>
      <c r="G512" s="2">
        <v>183</v>
      </c>
      <c r="H512" s="9">
        <f t="shared" si="7"/>
        <v>24.784257517393769</v>
      </c>
      <c r="I512" s="2" t="str" cm="1">
        <f t="array" ref="I512">_xlfn.IFS(F512&gt;=100,"Over weight",F512&lt;100,"Average weight")</f>
        <v>Average weight</v>
      </c>
      <c r="J512" s="2" t="str" cm="1">
        <f t="array" ref="J512">_xlfn.IFS(G512&lt;164,"Below Average height",G512&gt;=165,"Above Average height",G512=164,"Average height")</f>
        <v>Above Average height</v>
      </c>
      <c r="K512" s="2" t="str" cm="1">
        <f t="array" ref="K512">_xlfn.IFS(E512&lt;=16,"Children",E512&lt;=30,"Young Adults",E512&lt;=45,"Middle-aged Adults",E512&gt;45,"Old Adults")</f>
        <v>Middle-aged Adults</v>
      </c>
    </row>
    <row r="513" spans="1:11" x14ac:dyDescent="0.45">
      <c r="A513" s="2">
        <v>595</v>
      </c>
      <c r="B513" s="2" t="s">
        <v>700</v>
      </c>
      <c r="C513" s="2" t="s">
        <v>98</v>
      </c>
      <c r="D513" s="2" t="s">
        <v>41</v>
      </c>
      <c r="E513" s="2">
        <v>24</v>
      </c>
      <c r="F513" s="2">
        <v>64</v>
      </c>
      <c r="G513" s="2">
        <v>170</v>
      </c>
      <c r="H513" s="9">
        <f t="shared" si="7"/>
        <v>22.145328719723185</v>
      </c>
      <c r="I513" s="2" t="str" cm="1">
        <f t="array" ref="I513">_xlfn.IFS(F513&gt;=100,"Over weight",F513&lt;100,"Average weight")</f>
        <v>Average weight</v>
      </c>
      <c r="J513" s="2" t="str" cm="1">
        <f t="array" ref="J513">_xlfn.IFS(G513&lt;164,"Below Average height",G513&gt;=165,"Above Average height",G513=164,"Average height")</f>
        <v>Above Average height</v>
      </c>
      <c r="K513" s="2" t="str" cm="1">
        <f t="array" ref="K513">_xlfn.IFS(E513&lt;=16,"Children",E513&lt;=30,"Young Adults",E513&lt;=45,"Middle-aged Adults",E513&gt;45,"Old Adults")</f>
        <v>Young Adults</v>
      </c>
    </row>
    <row r="514" spans="1:11" x14ac:dyDescent="0.45">
      <c r="A514" s="2">
        <v>596</v>
      </c>
      <c r="B514" s="2" t="s">
        <v>701</v>
      </c>
      <c r="C514" s="2" t="s">
        <v>94</v>
      </c>
      <c r="D514" s="2" t="s">
        <v>41</v>
      </c>
      <c r="E514" s="2">
        <v>29</v>
      </c>
      <c r="F514" s="2">
        <v>54</v>
      </c>
      <c r="G514" s="2">
        <v>165</v>
      </c>
      <c r="H514" s="9">
        <f t="shared" ref="H514:H577" si="8" xml:space="preserve"> F514 / (( G514/ 100) ^ 2)</f>
        <v>19.834710743801654</v>
      </c>
      <c r="I514" s="2" t="str" cm="1">
        <f t="array" ref="I514">_xlfn.IFS(F514&gt;=100,"Over weight",F514&lt;100,"Average weight")</f>
        <v>Average weight</v>
      </c>
      <c r="J514" s="2" t="str" cm="1">
        <f t="array" ref="J514">_xlfn.IFS(G514&lt;164,"Below Average height",G514&gt;=165,"Above Average height",G514=164,"Average height")</f>
        <v>Above Average height</v>
      </c>
      <c r="K514" s="2" t="str" cm="1">
        <f t="array" ref="K514">_xlfn.IFS(E514&lt;=16,"Children",E514&lt;=30,"Young Adults",E514&lt;=45,"Middle-aged Adults",E514&gt;45,"Old Adults")</f>
        <v>Young Adults</v>
      </c>
    </row>
    <row r="515" spans="1:11" x14ac:dyDescent="0.45">
      <c r="A515" s="2">
        <v>598</v>
      </c>
      <c r="B515" s="2" t="s">
        <v>703</v>
      </c>
      <c r="C515" s="2" t="s">
        <v>91</v>
      </c>
      <c r="D515" s="2" t="s">
        <v>70</v>
      </c>
      <c r="E515" s="2">
        <v>28</v>
      </c>
      <c r="F515" s="2">
        <v>89</v>
      </c>
      <c r="G515" s="2">
        <v>186</v>
      </c>
      <c r="H515" s="9">
        <f t="shared" si="8"/>
        <v>25.725517400855587</v>
      </c>
      <c r="I515" s="2" t="str" cm="1">
        <f t="array" ref="I515">_xlfn.IFS(F515&gt;=100,"Over weight",F515&lt;100,"Average weight")</f>
        <v>Average weight</v>
      </c>
      <c r="J515" s="2" t="str" cm="1">
        <f t="array" ref="J515">_xlfn.IFS(G515&lt;164,"Below Average height",G515&gt;=165,"Above Average height",G515=164,"Average height")</f>
        <v>Above Average height</v>
      </c>
      <c r="K515" s="2" t="str" cm="1">
        <f t="array" ref="K515">_xlfn.IFS(E515&lt;=16,"Children",E515&lt;=30,"Young Adults",E515&lt;=45,"Middle-aged Adults",E515&gt;45,"Old Adults")</f>
        <v>Young Adults</v>
      </c>
    </row>
    <row r="516" spans="1:11" x14ac:dyDescent="0.45">
      <c r="A516" s="2">
        <v>599</v>
      </c>
      <c r="B516" s="2" t="s">
        <v>704</v>
      </c>
      <c r="C516" s="2" t="s">
        <v>85</v>
      </c>
      <c r="D516" s="2" t="s">
        <v>14</v>
      </c>
      <c r="E516" s="2">
        <v>20</v>
      </c>
      <c r="F516" s="2">
        <v>67</v>
      </c>
      <c r="G516" s="2">
        <v>177</v>
      </c>
      <c r="H516" s="9">
        <f t="shared" si="8"/>
        <v>21.385936352899868</v>
      </c>
      <c r="I516" s="2" t="str" cm="1">
        <f t="array" ref="I516">_xlfn.IFS(F516&gt;=100,"Over weight",F516&lt;100,"Average weight")</f>
        <v>Average weight</v>
      </c>
      <c r="J516" s="2" t="str" cm="1">
        <f t="array" ref="J516">_xlfn.IFS(G516&lt;164,"Below Average height",G516&gt;=165,"Above Average height",G516=164,"Average height")</f>
        <v>Above Average height</v>
      </c>
      <c r="K516" s="2" t="str" cm="1">
        <f t="array" ref="K516">_xlfn.IFS(E516&lt;=16,"Children",E516&lt;=30,"Young Adults",E516&lt;=45,"Middle-aged Adults",E516&gt;45,"Old Adults")</f>
        <v>Young Adults</v>
      </c>
    </row>
    <row r="517" spans="1:11" x14ac:dyDescent="0.45">
      <c r="A517" s="2">
        <v>600</v>
      </c>
      <c r="B517" s="2" t="s">
        <v>705</v>
      </c>
      <c r="C517" s="2" t="s">
        <v>94</v>
      </c>
      <c r="D517" s="2" t="s">
        <v>14</v>
      </c>
      <c r="E517" s="2">
        <v>26</v>
      </c>
      <c r="F517" s="2">
        <v>69</v>
      </c>
      <c r="G517" s="2">
        <v>178</v>
      </c>
      <c r="H517" s="9">
        <f t="shared" si="8"/>
        <v>21.777553339224845</v>
      </c>
      <c r="I517" s="2" t="str" cm="1">
        <f t="array" ref="I517">_xlfn.IFS(F517&gt;=100,"Over weight",F517&lt;100,"Average weight")</f>
        <v>Average weight</v>
      </c>
      <c r="J517" s="2" t="str" cm="1">
        <f t="array" ref="J517">_xlfn.IFS(G517&lt;164,"Below Average height",G517&gt;=165,"Above Average height",G517=164,"Average height")</f>
        <v>Above Average height</v>
      </c>
      <c r="K517" s="2" t="str" cm="1">
        <f t="array" ref="K517">_xlfn.IFS(E517&lt;=16,"Children",E517&lt;=30,"Young Adults",E517&lt;=45,"Middle-aged Adults",E517&gt;45,"Old Adults")</f>
        <v>Young Adults</v>
      </c>
    </row>
    <row r="518" spans="1:11" x14ac:dyDescent="0.45">
      <c r="A518" s="2">
        <v>601</v>
      </c>
      <c r="B518" s="2" t="s">
        <v>706</v>
      </c>
      <c r="C518" s="2" t="s">
        <v>94</v>
      </c>
      <c r="D518" s="2" t="s">
        <v>26</v>
      </c>
      <c r="E518" s="2">
        <v>29</v>
      </c>
      <c r="F518" s="2">
        <v>74</v>
      </c>
      <c r="G518" s="2">
        <v>180</v>
      </c>
      <c r="H518" s="9">
        <f t="shared" si="8"/>
        <v>22.839506172839506</v>
      </c>
      <c r="I518" s="2" t="str" cm="1">
        <f t="array" ref="I518">_xlfn.IFS(F518&gt;=100,"Over weight",F518&lt;100,"Average weight")</f>
        <v>Average weight</v>
      </c>
      <c r="J518" s="2" t="str" cm="1">
        <f t="array" ref="J518">_xlfn.IFS(G518&lt;164,"Below Average height",G518&gt;=165,"Above Average height",G518=164,"Average height")</f>
        <v>Above Average height</v>
      </c>
      <c r="K518" s="2" t="str" cm="1">
        <f t="array" ref="K518">_xlfn.IFS(E518&lt;=16,"Children",E518&lt;=30,"Young Adults",E518&lt;=45,"Middle-aged Adults",E518&gt;45,"Old Adults")</f>
        <v>Young Adults</v>
      </c>
    </row>
    <row r="519" spans="1:11" x14ac:dyDescent="0.45">
      <c r="A519" s="2">
        <v>602</v>
      </c>
      <c r="B519" s="2" t="s">
        <v>707</v>
      </c>
      <c r="C519" s="2" t="s">
        <v>96</v>
      </c>
      <c r="D519" s="2" t="s">
        <v>66</v>
      </c>
      <c r="E519" s="2">
        <v>21</v>
      </c>
      <c r="F519" s="2">
        <v>102</v>
      </c>
      <c r="G519" s="2">
        <v>170</v>
      </c>
      <c r="H519" s="9">
        <f t="shared" si="8"/>
        <v>35.294117647058826</v>
      </c>
      <c r="I519" s="2" t="str" cm="1">
        <f t="array" ref="I519">_xlfn.IFS(F519&gt;=100,"Over weight",F519&lt;100,"Average weight")</f>
        <v>Over weight</v>
      </c>
      <c r="J519" s="2" t="str" cm="1">
        <f t="array" ref="J519">_xlfn.IFS(G519&lt;164,"Below Average height",G519&gt;=165,"Above Average height",G519=164,"Average height")</f>
        <v>Above Average height</v>
      </c>
      <c r="K519" s="2" t="str" cm="1">
        <f t="array" ref="K519">_xlfn.IFS(E519&lt;=16,"Children",E519&lt;=30,"Young Adults",E519&lt;=45,"Middle-aged Adults",E519&gt;45,"Old Adults")</f>
        <v>Young Adults</v>
      </c>
    </row>
    <row r="520" spans="1:11" x14ac:dyDescent="0.45">
      <c r="A520" s="2">
        <v>603</v>
      </c>
      <c r="B520" s="2" t="s">
        <v>708</v>
      </c>
      <c r="C520" s="2" t="s">
        <v>93</v>
      </c>
      <c r="D520" s="2" t="s">
        <v>75</v>
      </c>
      <c r="E520" s="2">
        <v>23</v>
      </c>
      <c r="F520" s="2">
        <v>70</v>
      </c>
      <c r="G520" s="2">
        <v>172</v>
      </c>
      <c r="H520" s="9">
        <f t="shared" si="8"/>
        <v>23.661438615467823</v>
      </c>
      <c r="I520" s="2" t="str" cm="1">
        <f t="array" ref="I520">_xlfn.IFS(F520&gt;=100,"Over weight",F520&lt;100,"Average weight")</f>
        <v>Average weight</v>
      </c>
      <c r="J520" s="2" t="str" cm="1">
        <f t="array" ref="J520">_xlfn.IFS(G520&lt;164,"Below Average height",G520&gt;=165,"Above Average height",G520=164,"Average height")</f>
        <v>Above Average height</v>
      </c>
      <c r="K520" s="2" t="str" cm="1">
        <f t="array" ref="K520">_xlfn.IFS(E520&lt;=16,"Children",E520&lt;=30,"Young Adults",E520&lt;=45,"Middle-aged Adults",E520&gt;45,"Old Adults")</f>
        <v>Young Adults</v>
      </c>
    </row>
    <row r="521" spans="1:11" x14ac:dyDescent="0.45">
      <c r="A521" s="2">
        <v>604</v>
      </c>
      <c r="B521" s="2" t="s">
        <v>709</v>
      </c>
      <c r="C521" s="2" t="s">
        <v>91</v>
      </c>
      <c r="D521" s="2" t="s">
        <v>46</v>
      </c>
      <c r="E521" s="2">
        <v>24</v>
      </c>
      <c r="F521" s="2">
        <v>87</v>
      </c>
      <c r="G521" s="2">
        <v>186</v>
      </c>
      <c r="H521" s="9">
        <f t="shared" si="8"/>
        <v>25.14741588622962</v>
      </c>
      <c r="I521" s="2" t="str" cm="1">
        <f t="array" ref="I521">_xlfn.IFS(F521&gt;=100,"Over weight",F521&lt;100,"Average weight")</f>
        <v>Average weight</v>
      </c>
      <c r="J521" s="2" t="str" cm="1">
        <f t="array" ref="J521">_xlfn.IFS(G521&lt;164,"Below Average height",G521&gt;=165,"Above Average height",G521=164,"Average height")</f>
        <v>Above Average height</v>
      </c>
      <c r="K521" s="2" t="str" cm="1">
        <f t="array" ref="K521">_xlfn.IFS(E521&lt;=16,"Children",E521&lt;=30,"Young Adults",E521&lt;=45,"Middle-aged Adults",E521&gt;45,"Old Adults")</f>
        <v>Young Adults</v>
      </c>
    </row>
    <row r="522" spans="1:11" x14ac:dyDescent="0.45">
      <c r="A522" s="2">
        <v>605</v>
      </c>
      <c r="B522" s="2" t="s">
        <v>710</v>
      </c>
      <c r="C522" s="2" t="s">
        <v>87</v>
      </c>
      <c r="D522" s="2" t="s">
        <v>42</v>
      </c>
      <c r="E522" s="2">
        <v>17</v>
      </c>
      <c r="F522" s="2">
        <v>60</v>
      </c>
      <c r="G522" s="2">
        <v>167</v>
      </c>
      <c r="H522" s="9">
        <f t="shared" si="8"/>
        <v>21.513858510523864</v>
      </c>
      <c r="I522" s="2" t="str" cm="1">
        <f t="array" ref="I522">_xlfn.IFS(F522&gt;=100,"Over weight",F522&lt;100,"Average weight")</f>
        <v>Average weight</v>
      </c>
      <c r="J522" s="2" t="str" cm="1">
        <f t="array" ref="J522">_xlfn.IFS(G522&lt;164,"Below Average height",G522&gt;=165,"Above Average height",G522=164,"Average height")</f>
        <v>Above Average height</v>
      </c>
      <c r="K522" s="2" t="str" cm="1">
        <f t="array" ref="K522">_xlfn.IFS(E522&lt;=16,"Children",E522&lt;=30,"Young Adults",E522&lt;=45,"Middle-aged Adults",E522&gt;45,"Old Adults")</f>
        <v>Young Adults</v>
      </c>
    </row>
    <row r="523" spans="1:11" x14ac:dyDescent="0.45">
      <c r="A523" s="2">
        <v>606</v>
      </c>
      <c r="B523" s="2" t="s">
        <v>711</v>
      </c>
      <c r="C523" s="2" t="s">
        <v>85</v>
      </c>
      <c r="D523" s="2" t="s">
        <v>70</v>
      </c>
      <c r="E523" s="2">
        <v>20</v>
      </c>
      <c r="F523" s="2">
        <v>65</v>
      </c>
      <c r="G523" s="2">
        <v>165</v>
      </c>
      <c r="H523" s="9">
        <f t="shared" si="8"/>
        <v>23.875114784205696</v>
      </c>
      <c r="I523" s="2" t="str" cm="1">
        <f t="array" ref="I523">_xlfn.IFS(F523&gt;=100,"Over weight",F523&lt;100,"Average weight")</f>
        <v>Average weight</v>
      </c>
      <c r="J523" s="2" t="str" cm="1">
        <f t="array" ref="J523">_xlfn.IFS(G523&lt;164,"Below Average height",G523&gt;=165,"Above Average height",G523=164,"Average height")</f>
        <v>Above Average height</v>
      </c>
      <c r="K523" s="2" t="str" cm="1">
        <f t="array" ref="K523">_xlfn.IFS(E523&lt;=16,"Children",E523&lt;=30,"Young Adults",E523&lt;=45,"Middle-aged Adults",E523&gt;45,"Old Adults")</f>
        <v>Young Adults</v>
      </c>
    </row>
    <row r="524" spans="1:11" x14ac:dyDescent="0.45">
      <c r="A524" s="2">
        <v>608</v>
      </c>
      <c r="B524" s="2" t="s">
        <v>713</v>
      </c>
      <c r="C524" s="2" t="s">
        <v>89</v>
      </c>
      <c r="D524" s="2" t="s">
        <v>17</v>
      </c>
      <c r="E524" s="2">
        <v>29</v>
      </c>
      <c r="F524" s="2">
        <v>75</v>
      </c>
      <c r="G524" s="2">
        <v>180</v>
      </c>
      <c r="H524" s="9">
        <f t="shared" si="8"/>
        <v>23.148148148148145</v>
      </c>
      <c r="I524" s="2" t="str" cm="1">
        <f t="array" ref="I524">_xlfn.IFS(F524&gt;=100,"Over weight",F524&lt;100,"Average weight")</f>
        <v>Average weight</v>
      </c>
      <c r="J524" s="2" t="str" cm="1">
        <f t="array" ref="J524">_xlfn.IFS(G524&lt;164,"Below Average height",G524&gt;=165,"Above Average height",G524=164,"Average height")</f>
        <v>Above Average height</v>
      </c>
      <c r="K524" s="2" t="str" cm="1">
        <f t="array" ref="K524">_xlfn.IFS(E524&lt;=16,"Children",E524&lt;=30,"Young Adults",E524&lt;=45,"Middle-aged Adults",E524&gt;45,"Old Adults")</f>
        <v>Young Adults</v>
      </c>
    </row>
    <row r="525" spans="1:11" x14ac:dyDescent="0.45">
      <c r="A525" s="2">
        <v>609</v>
      </c>
      <c r="B525" s="2" t="s">
        <v>714</v>
      </c>
      <c r="C525" s="2" t="s">
        <v>91</v>
      </c>
      <c r="D525" s="2" t="s">
        <v>70</v>
      </c>
      <c r="E525" s="2">
        <v>20</v>
      </c>
      <c r="F525" s="2">
        <v>60</v>
      </c>
      <c r="G525" s="2">
        <v>174</v>
      </c>
      <c r="H525" s="9">
        <f t="shared" si="8"/>
        <v>19.817677368212443</v>
      </c>
      <c r="I525" s="2" t="str" cm="1">
        <f t="array" ref="I525">_xlfn.IFS(F525&gt;=100,"Over weight",F525&lt;100,"Average weight")</f>
        <v>Average weight</v>
      </c>
      <c r="J525" s="2" t="str" cm="1">
        <f t="array" ref="J525">_xlfn.IFS(G525&lt;164,"Below Average height",G525&gt;=165,"Above Average height",G525=164,"Average height")</f>
        <v>Above Average height</v>
      </c>
      <c r="K525" s="2" t="str" cm="1">
        <f t="array" ref="K525">_xlfn.IFS(E525&lt;=16,"Children",E525&lt;=30,"Young Adults",E525&lt;=45,"Middle-aged Adults",E525&gt;45,"Old Adults")</f>
        <v>Young Adults</v>
      </c>
    </row>
    <row r="526" spans="1:11" x14ac:dyDescent="0.45">
      <c r="A526" s="2">
        <v>611</v>
      </c>
      <c r="B526" s="2" t="s">
        <v>716</v>
      </c>
      <c r="C526" s="2" t="s">
        <v>94</v>
      </c>
      <c r="D526" s="2" t="s">
        <v>69</v>
      </c>
      <c r="E526" s="2">
        <v>18</v>
      </c>
      <c r="F526" s="2">
        <v>75</v>
      </c>
      <c r="G526" s="2">
        <v>190</v>
      </c>
      <c r="H526" s="9">
        <f t="shared" si="8"/>
        <v>20.775623268698062</v>
      </c>
      <c r="I526" s="2" t="str" cm="1">
        <f t="array" ref="I526">_xlfn.IFS(F526&gt;=100,"Over weight",F526&lt;100,"Average weight")</f>
        <v>Average weight</v>
      </c>
      <c r="J526" s="2" t="str" cm="1">
        <f t="array" ref="J526">_xlfn.IFS(G526&lt;164,"Below Average height",G526&gt;=165,"Above Average height",G526=164,"Average height")</f>
        <v>Above Average height</v>
      </c>
      <c r="K526" s="2" t="str" cm="1">
        <f t="array" ref="K526">_xlfn.IFS(E526&lt;=16,"Children",E526&lt;=30,"Young Adults",E526&lt;=45,"Middle-aged Adults",E526&gt;45,"Old Adults")</f>
        <v>Young Adults</v>
      </c>
    </row>
    <row r="527" spans="1:11" x14ac:dyDescent="0.45">
      <c r="A527" s="2">
        <v>615</v>
      </c>
      <c r="B527" s="2" t="s">
        <v>720</v>
      </c>
      <c r="C527" s="2" t="s">
        <v>95</v>
      </c>
      <c r="D527" s="2" t="s">
        <v>39</v>
      </c>
      <c r="E527" s="2">
        <v>19</v>
      </c>
      <c r="F527" s="2">
        <v>70</v>
      </c>
      <c r="G527" s="2">
        <v>173</v>
      </c>
      <c r="H527" s="9">
        <f t="shared" si="8"/>
        <v>23.388686558187711</v>
      </c>
      <c r="I527" s="2" t="str" cm="1">
        <f t="array" ref="I527">_xlfn.IFS(F527&gt;=100,"Over weight",F527&lt;100,"Average weight")</f>
        <v>Average weight</v>
      </c>
      <c r="J527" s="2" t="str" cm="1">
        <f t="array" ref="J527">_xlfn.IFS(G527&lt;164,"Below Average height",G527&gt;=165,"Above Average height",G527=164,"Average height")</f>
        <v>Above Average height</v>
      </c>
      <c r="K527" s="2" t="str" cm="1">
        <f t="array" ref="K527">_xlfn.IFS(E527&lt;=16,"Children",E527&lt;=30,"Young Adults",E527&lt;=45,"Middle-aged Adults",E527&gt;45,"Old Adults")</f>
        <v>Young Adults</v>
      </c>
    </row>
    <row r="528" spans="1:11" x14ac:dyDescent="0.45">
      <c r="A528" s="2">
        <v>616</v>
      </c>
      <c r="B528" s="2" t="s">
        <v>721</v>
      </c>
      <c r="C528" s="2" t="s">
        <v>85</v>
      </c>
      <c r="D528" s="2" t="s">
        <v>3</v>
      </c>
      <c r="E528" s="2">
        <v>19</v>
      </c>
      <c r="F528" s="2">
        <v>62</v>
      </c>
      <c r="G528" s="2">
        <v>167</v>
      </c>
      <c r="H528" s="9">
        <f t="shared" si="8"/>
        <v>22.230987127541326</v>
      </c>
      <c r="I528" s="2" t="str" cm="1">
        <f t="array" ref="I528">_xlfn.IFS(F528&gt;=100,"Over weight",F528&lt;100,"Average weight")</f>
        <v>Average weight</v>
      </c>
      <c r="J528" s="2" t="str" cm="1">
        <f t="array" ref="J528">_xlfn.IFS(G528&lt;164,"Below Average height",G528&gt;=165,"Above Average height",G528=164,"Average height")</f>
        <v>Above Average height</v>
      </c>
      <c r="K528" s="2" t="str" cm="1">
        <f t="array" ref="K528">_xlfn.IFS(E528&lt;=16,"Children",E528&lt;=30,"Young Adults",E528&lt;=45,"Middle-aged Adults",E528&gt;45,"Old Adults")</f>
        <v>Young Adults</v>
      </c>
    </row>
    <row r="529" spans="1:11" x14ac:dyDescent="0.45">
      <c r="A529" s="2">
        <v>617</v>
      </c>
      <c r="B529" s="2" t="s">
        <v>722</v>
      </c>
      <c r="C529" s="2" t="s">
        <v>90</v>
      </c>
      <c r="D529" s="2" t="s">
        <v>53</v>
      </c>
      <c r="E529" s="2">
        <v>38</v>
      </c>
      <c r="F529" s="2">
        <v>95</v>
      </c>
      <c r="G529" s="2">
        <v>180</v>
      </c>
      <c r="H529" s="9">
        <f t="shared" si="8"/>
        <v>29.320987654320987</v>
      </c>
      <c r="I529" s="2" t="str" cm="1">
        <f t="array" ref="I529">_xlfn.IFS(F529&gt;=100,"Over weight",F529&lt;100,"Average weight")</f>
        <v>Average weight</v>
      </c>
      <c r="J529" s="2" t="str" cm="1">
        <f t="array" ref="J529">_xlfn.IFS(G529&lt;164,"Below Average height",G529&gt;=165,"Above Average height",G529=164,"Average height")</f>
        <v>Above Average height</v>
      </c>
      <c r="K529" s="2" t="str" cm="1">
        <f t="array" ref="K529">_xlfn.IFS(E529&lt;=16,"Children",E529&lt;=30,"Young Adults",E529&lt;=45,"Middle-aged Adults",E529&gt;45,"Old Adults")</f>
        <v>Middle-aged Adults</v>
      </c>
    </row>
    <row r="530" spans="1:11" x14ac:dyDescent="0.45">
      <c r="A530" s="2">
        <v>618</v>
      </c>
      <c r="B530" s="2" t="s">
        <v>723</v>
      </c>
      <c r="C530" s="2" t="s">
        <v>87</v>
      </c>
      <c r="D530" s="2" t="s">
        <v>26</v>
      </c>
      <c r="E530" s="2">
        <v>33</v>
      </c>
      <c r="F530" s="2">
        <v>80</v>
      </c>
      <c r="G530" s="2">
        <v>173</v>
      </c>
      <c r="H530" s="9">
        <f t="shared" si="8"/>
        <v>26.729927495071667</v>
      </c>
      <c r="I530" s="2" t="str" cm="1">
        <f t="array" ref="I530">_xlfn.IFS(F530&gt;=100,"Over weight",F530&lt;100,"Average weight")</f>
        <v>Average weight</v>
      </c>
      <c r="J530" s="2" t="str" cm="1">
        <f t="array" ref="J530">_xlfn.IFS(G530&lt;164,"Below Average height",G530&gt;=165,"Above Average height",G530=164,"Average height")</f>
        <v>Above Average height</v>
      </c>
      <c r="K530" s="2" t="str" cm="1">
        <f t="array" ref="K530">_xlfn.IFS(E530&lt;=16,"Children",E530&lt;=30,"Young Adults",E530&lt;=45,"Middle-aged Adults",E530&gt;45,"Old Adults")</f>
        <v>Middle-aged Adults</v>
      </c>
    </row>
    <row r="531" spans="1:11" x14ac:dyDescent="0.45">
      <c r="A531" s="2">
        <v>619</v>
      </c>
      <c r="B531" s="2" t="s">
        <v>724</v>
      </c>
      <c r="C531" s="2" t="s">
        <v>91</v>
      </c>
      <c r="D531" s="2" t="s">
        <v>66</v>
      </c>
      <c r="E531" s="2">
        <v>22</v>
      </c>
      <c r="F531" s="2">
        <v>67</v>
      </c>
      <c r="G531" s="2">
        <v>173</v>
      </c>
      <c r="H531" s="9">
        <f t="shared" si="8"/>
        <v>22.386314277122523</v>
      </c>
      <c r="I531" s="2" t="str" cm="1">
        <f t="array" ref="I531">_xlfn.IFS(F531&gt;=100,"Over weight",F531&lt;100,"Average weight")</f>
        <v>Average weight</v>
      </c>
      <c r="J531" s="2" t="str" cm="1">
        <f t="array" ref="J531">_xlfn.IFS(G531&lt;164,"Below Average height",G531&gt;=165,"Above Average height",G531=164,"Average height")</f>
        <v>Above Average height</v>
      </c>
      <c r="K531" s="2" t="str" cm="1">
        <f t="array" ref="K531">_xlfn.IFS(E531&lt;=16,"Children",E531&lt;=30,"Young Adults",E531&lt;=45,"Middle-aged Adults",E531&gt;45,"Old Adults")</f>
        <v>Young Adults</v>
      </c>
    </row>
    <row r="532" spans="1:11" x14ac:dyDescent="0.45">
      <c r="A532" s="2">
        <v>620</v>
      </c>
      <c r="B532" s="2" t="s">
        <v>725</v>
      </c>
      <c r="C532" s="2" t="s">
        <v>85</v>
      </c>
      <c r="D532" s="2" t="s">
        <v>16</v>
      </c>
      <c r="E532" s="2">
        <v>26</v>
      </c>
      <c r="F532" s="2">
        <v>80</v>
      </c>
      <c r="G532" s="2">
        <v>179</v>
      </c>
      <c r="H532" s="9">
        <f t="shared" si="8"/>
        <v>24.968009737523797</v>
      </c>
      <c r="I532" s="2" t="str" cm="1">
        <f t="array" ref="I532">_xlfn.IFS(F532&gt;=100,"Over weight",F532&lt;100,"Average weight")</f>
        <v>Average weight</v>
      </c>
      <c r="J532" s="2" t="str" cm="1">
        <f t="array" ref="J532">_xlfn.IFS(G532&lt;164,"Below Average height",G532&gt;=165,"Above Average height",G532=164,"Average height")</f>
        <v>Above Average height</v>
      </c>
      <c r="K532" s="2" t="str" cm="1">
        <f t="array" ref="K532">_xlfn.IFS(E532&lt;=16,"Children",E532&lt;=30,"Young Adults",E532&lt;=45,"Middle-aged Adults",E532&gt;45,"Old Adults")</f>
        <v>Young Adults</v>
      </c>
    </row>
    <row r="533" spans="1:11" x14ac:dyDescent="0.45">
      <c r="A533" s="2">
        <v>622</v>
      </c>
      <c r="B533" s="2" t="s">
        <v>727</v>
      </c>
      <c r="C533" s="2" t="s">
        <v>98</v>
      </c>
      <c r="D533" s="2" t="s">
        <v>80</v>
      </c>
      <c r="E533" s="2">
        <v>19</v>
      </c>
      <c r="F533" s="2">
        <v>62</v>
      </c>
      <c r="G533" s="2">
        <v>175</v>
      </c>
      <c r="H533" s="9">
        <f t="shared" si="8"/>
        <v>20.244897959183675</v>
      </c>
      <c r="I533" s="2" t="str" cm="1">
        <f t="array" ref="I533">_xlfn.IFS(F533&gt;=100,"Over weight",F533&lt;100,"Average weight")</f>
        <v>Average weight</v>
      </c>
      <c r="J533" s="2" t="str" cm="1">
        <f t="array" ref="J533">_xlfn.IFS(G533&lt;164,"Below Average height",G533&gt;=165,"Above Average height",G533=164,"Average height")</f>
        <v>Above Average height</v>
      </c>
      <c r="K533" s="2" t="str" cm="1">
        <f t="array" ref="K533">_xlfn.IFS(E533&lt;=16,"Children",E533&lt;=30,"Young Adults",E533&lt;=45,"Middle-aged Adults",E533&gt;45,"Old Adults")</f>
        <v>Young Adults</v>
      </c>
    </row>
    <row r="534" spans="1:11" x14ac:dyDescent="0.45">
      <c r="A534" s="2">
        <v>623</v>
      </c>
      <c r="B534" s="2" t="s">
        <v>728</v>
      </c>
      <c r="C534" s="2" t="s">
        <v>85</v>
      </c>
      <c r="D534" s="2" t="s">
        <v>28</v>
      </c>
      <c r="E534" s="2">
        <v>20</v>
      </c>
      <c r="F534" s="2">
        <v>66</v>
      </c>
      <c r="G534" s="2">
        <v>170</v>
      </c>
      <c r="H534" s="9">
        <f t="shared" si="8"/>
        <v>22.837370242214536</v>
      </c>
      <c r="I534" s="2" t="str" cm="1">
        <f t="array" ref="I534">_xlfn.IFS(F534&gt;=100,"Over weight",F534&lt;100,"Average weight")</f>
        <v>Average weight</v>
      </c>
      <c r="J534" s="2" t="str" cm="1">
        <f t="array" ref="J534">_xlfn.IFS(G534&lt;164,"Below Average height",G534&gt;=165,"Above Average height",G534=164,"Average height")</f>
        <v>Above Average height</v>
      </c>
      <c r="K534" s="2" t="str" cm="1">
        <f t="array" ref="K534">_xlfn.IFS(E534&lt;=16,"Children",E534&lt;=30,"Young Adults",E534&lt;=45,"Middle-aged Adults",E534&gt;45,"Old Adults")</f>
        <v>Young Adults</v>
      </c>
    </row>
    <row r="535" spans="1:11" x14ac:dyDescent="0.45">
      <c r="A535" s="2">
        <v>624</v>
      </c>
      <c r="B535" s="2" t="s">
        <v>729</v>
      </c>
      <c r="C535" s="2" t="s">
        <v>95</v>
      </c>
      <c r="D535" s="2" t="s">
        <v>28</v>
      </c>
      <c r="E535" s="2">
        <v>22</v>
      </c>
      <c r="F535" s="2">
        <v>77</v>
      </c>
      <c r="G535" s="2">
        <v>183</v>
      </c>
      <c r="H535" s="9">
        <f t="shared" si="8"/>
        <v>22.99262444384723</v>
      </c>
      <c r="I535" s="2" t="str" cm="1">
        <f t="array" ref="I535">_xlfn.IFS(F535&gt;=100,"Over weight",F535&lt;100,"Average weight")</f>
        <v>Average weight</v>
      </c>
      <c r="J535" s="2" t="str" cm="1">
        <f t="array" ref="J535">_xlfn.IFS(G535&lt;164,"Below Average height",G535&gt;=165,"Above Average height",G535=164,"Average height")</f>
        <v>Above Average height</v>
      </c>
      <c r="K535" s="2" t="str" cm="1">
        <f t="array" ref="K535">_xlfn.IFS(E535&lt;=16,"Children",E535&lt;=30,"Young Adults",E535&lt;=45,"Middle-aged Adults",E535&gt;45,"Old Adults")</f>
        <v>Young Adults</v>
      </c>
    </row>
    <row r="536" spans="1:11" x14ac:dyDescent="0.45">
      <c r="A536" s="2">
        <v>625</v>
      </c>
      <c r="B536" s="2" t="s">
        <v>730</v>
      </c>
      <c r="C536" s="2" t="s">
        <v>85</v>
      </c>
      <c r="D536" s="2" t="s">
        <v>27</v>
      </c>
      <c r="E536" s="2">
        <v>16</v>
      </c>
      <c r="F536" s="2">
        <v>70</v>
      </c>
      <c r="G536" s="2">
        <v>176</v>
      </c>
      <c r="H536" s="9">
        <f t="shared" si="8"/>
        <v>22.598140495867771</v>
      </c>
      <c r="I536" s="2" t="str" cm="1">
        <f t="array" ref="I536">_xlfn.IFS(F536&gt;=100,"Over weight",F536&lt;100,"Average weight")</f>
        <v>Average weight</v>
      </c>
      <c r="J536" s="2" t="str" cm="1">
        <f t="array" ref="J536">_xlfn.IFS(G536&lt;164,"Below Average height",G536&gt;=165,"Above Average height",G536=164,"Average height")</f>
        <v>Above Average height</v>
      </c>
      <c r="K536" s="2" t="str" cm="1">
        <f t="array" ref="K536">_xlfn.IFS(E536&lt;=16,"Children",E536&lt;=30,"Young Adults",E536&lt;=45,"Middle-aged Adults",E536&gt;45,"Old Adults")</f>
        <v>Children</v>
      </c>
    </row>
    <row r="537" spans="1:11" x14ac:dyDescent="0.45">
      <c r="A537" s="2">
        <v>626</v>
      </c>
      <c r="B537" s="2" t="s">
        <v>731</v>
      </c>
      <c r="C537" s="2" t="s">
        <v>94</v>
      </c>
      <c r="D537" s="2" t="s">
        <v>39</v>
      </c>
      <c r="E537" s="2">
        <v>30</v>
      </c>
      <c r="F537" s="2">
        <v>61</v>
      </c>
      <c r="G537" s="2">
        <v>173</v>
      </c>
      <c r="H537" s="9">
        <f t="shared" si="8"/>
        <v>20.381569714992146</v>
      </c>
      <c r="I537" s="2" t="str" cm="1">
        <f t="array" ref="I537">_xlfn.IFS(F537&gt;=100,"Over weight",F537&lt;100,"Average weight")</f>
        <v>Average weight</v>
      </c>
      <c r="J537" s="2" t="str" cm="1">
        <f t="array" ref="J537">_xlfn.IFS(G537&lt;164,"Below Average height",G537&gt;=165,"Above Average height",G537=164,"Average height")</f>
        <v>Above Average height</v>
      </c>
      <c r="K537" s="2" t="str" cm="1">
        <f t="array" ref="K537">_xlfn.IFS(E537&lt;=16,"Children",E537&lt;=30,"Young Adults",E537&lt;=45,"Middle-aged Adults",E537&gt;45,"Old Adults")</f>
        <v>Young Adults</v>
      </c>
    </row>
    <row r="538" spans="1:11" x14ac:dyDescent="0.45">
      <c r="A538" s="2">
        <v>628</v>
      </c>
      <c r="B538" s="2" t="s">
        <v>733</v>
      </c>
      <c r="C538" s="2" t="s">
        <v>85</v>
      </c>
      <c r="D538" s="2" t="s">
        <v>13</v>
      </c>
      <c r="E538" s="2">
        <v>32</v>
      </c>
      <c r="F538" s="2">
        <v>93</v>
      </c>
      <c r="G538" s="2">
        <v>185</v>
      </c>
      <c r="H538" s="9">
        <f t="shared" si="8"/>
        <v>27.173119065010955</v>
      </c>
      <c r="I538" s="2" t="str" cm="1">
        <f t="array" ref="I538">_xlfn.IFS(F538&gt;=100,"Over weight",F538&lt;100,"Average weight")</f>
        <v>Average weight</v>
      </c>
      <c r="J538" s="2" t="str" cm="1">
        <f t="array" ref="J538">_xlfn.IFS(G538&lt;164,"Below Average height",G538&gt;=165,"Above Average height",G538=164,"Average height")</f>
        <v>Above Average height</v>
      </c>
      <c r="K538" s="2" t="str" cm="1">
        <f t="array" ref="K538">_xlfn.IFS(E538&lt;=16,"Children",E538&lt;=30,"Young Adults",E538&lt;=45,"Middle-aged Adults",E538&gt;45,"Old Adults")</f>
        <v>Middle-aged Adults</v>
      </c>
    </row>
    <row r="539" spans="1:11" x14ac:dyDescent="0.45">
      <c r="A539" s="2">
        <v>630</v>
      </c>
      <c r="B539" s="2" t="s">
        <v>735</v>
      </c>
      <c r="C539" s="2" t="s">
        <v>88</v>
      </c>
      <c r="D539" s="2" t="s">
        <v>70</v>
      </c>
      <c r="E539" s="2">
        <v>25</v>
      </c>
      <c r="F539" s="2">
        <v>64</v>
      </c>
      <c r="G539" s="2">
        <v>170</v>
      </c>
      <c r="H539" s="9">
        <f t="shared" si="8"/>
        <v>22.145328719723185</v>
      </c>
      <c r="I539" s="2" t="str" cm="1">
        <f t="array" ref="I539">_xlfn.IFS(F539&gt;=100,"Over weight",F539&lt;100,"Average weight")</f>
        <v>Average weight</v>
      </c>
      <c r="J539" s="2" t="str" cm="1">
        <f t="array" ref="J539">_xlfn.IFS(G539&lt;164,"Below Average height",G539&gt;=165,"Above Average height",G539=164,"Average height")</f>
        <v>Above Average height</v>
      </c>
      <c r="K539" s="2" t="str" cm="1">
        <f t="array" ref="K539">_xlfn.IFS(E539&lt;=16,"Children",E539&lt;=30,"Young Adults",E539&lt;=45,"Middle-aged Adults",E539&gt;45,"Old Adults")</f>
        <v>Young Adults</v>
      </c>
    </row>
    <row r="540" spans="1:11" x14ac:dyDescent="0.45">
      <c r="A540" s="2">
        <v>631</v>
      </c>
      <c r="B540" s="2" t="s">
        <v>736</v>
      </c>
      <c r="C540" s="2" t="s">
        <v>89</v>
      </c>
      <c r="D540" s="2" t="s">
        <v>58</v>
      </c>
      <c r="E540" s="2">
        <v>24</v>
      </c>
      <c r="F540" s="2">
        <v>64</v>
      </c>
      <c r="G540" s="2">
        <v>172</v>
      </c>
      <c r="H540" s="9">
        <f t="shared" si="8"/>
        <v>21.63331530557058</v>
      </c>
      <c r="I540" s="2" t="str" cm="1">
        <f t="array" ref="I540">_xlfn.IFS(F540&gt;=100,"Over weight",F540&lt;100,"Average weight")</f>
        <v>Average weight</v>
      </c>
      <c r="J540" s="2" t="str" cm="1">
        <f t="array" ref="J540">_xlfn.IFS(G540&lt;164,"Below Average height",G540&gt;=165,"Above Average height",G540=164,"Average height")</f>
        <v>Above Average height</v>
      </c>
      <c r="K540" s="2" t="str" cm="1">
        <f t="array" ref="K540">_xlfn.IFS(E540&lt;=16,"Children",E540&lt;=30,"Young Adults",E540&lt;=45,"Middle-aged Adults",E540&gt;45,"Old Adults")</f>
        <v>Young Adults</v>
      </c>
    </row>
    <row r="541" spans="1:11" x14ac:dyDescent="0.45">
      <c r="A541" s="2">
        <v>632</v>
      </c>
      <c r="B541" s="2" t="s">
        <v>737</v>
      </c>
      <c r="C541" s="2" t="s">
        <v>91</v>
      </c>
      <c r="D541" s="2" t="s">
        <v>14</v>
      </c>
      <c r="E541" s="2">
        <v>24</v>
      </c>
      <c r="F541" s="2">
        <v>101</v>
      </c>
      <c r="G541" s="2">
        <v>193</v>
      </c>
      <c r="H541" s="9">
        <f t="shared" si="8"/>
        <v>27.114821874412737</v>
      </c>
      <c r="I541" s="2" t="str" cm="1">
        <f t="array" ref="I541">_xlfn.IFS(F541&gt;=100,"Over weight",F541&lt;100,"Average weight")</f>
        <v>Over weight</v>
      </c>
      <c r="J541" s="2" t="str" cm="1">
        <f t="array" ref="J541">_xlfn.IFS(G541&lt;164,"Below Average height",G541&gt;=165,"Above Average height",G541=164,"Average height")</f>
        <v>Above Average height</v>
      </c>
      <c r="K541" s="2" t="str" cm="1">
        <f t="array" ref="K541">_xlfn.IFS(E541&lt;=16,"Children",E541&lt;=30,"Young Adults",E541&lt;=45,"Middle-aged Adults",E541&gt;45,"Old Adults")</f>
        <v>Young Adults</v>
      </c>
    </row>
    <row r="542" spans="1:11" x14ac:dyDescent="0.45">
      <c r="A542" s="2">
        <v>633</v>
      </c>
      <c r="B542" s="2" t="s">
        <v>738</v>
      </c>
      <c r="C542" s="2" t="s">
        <v>90</v>
      </c>
      <c r="D542" s="2" t="s">
        <v>39</v>
      </c>
      <c r="E542" s="2">
        <v>29</v>
      </c>
      <c r="F542" s="2">
        <v>70</v>
      </c>
      <c r="G542" s="2">
        <v>170</v>
      </c>
      <c r="H542" s="9">
        <f t="shared" si="8"/>
        <v>24.221453287197235</v>
      </c>
      <c r="I542" s="2" t="str" cm="1">
        <f t="array" ref="I542">_xlfn.IFS(F542&gt;=100,"Over weight",F542&lt;100,"Average weight")</f>
        <v>Average weight</v>
      </c>
      <c r="J542" s="2" t="str" cm="1">
        <f t="array" ref="J542">_xlfn.IFS(G542&lt;164,"Below Average height",G542&gt;=165,"Above Average height",G542=164,"Average height")</f>
        <v>Above Average height</v>
      </c>
      <c r="K542" s="2" t="str" cm="1">
        <f t="array" ref="K542">_xlfn.IFS(E542&lt;=16,"Children",E542&lt;=30,"Young Adults",E542&lt;=45,"Middle-aged Adults",E542&gt;45,"Old Adults")</f>
        <v>Young Adults</v>
      </c>
    </row>
    <row r="543" spans="1:11" x14ac:dyDescent="0.45">
      <c r="A543" s="2">
        <v>634</v>
      </c>
      <c r="B543" s="2" t="s">
        <v>739</v>
      </c>
      <c r="C543" s="2" t="s">
        <v>93</v>
      </c>
      <c r="D543" s="2" t="s">
        <v>30</v>
      </c>
      <c r="E543" s="2">
        <v>24</v>
      </c>
      <c r="F543" s="2">
        <v>65</v>
      </c>
      <c r="G543" s="2">
        <v>168</v>
      </c>
      <c r="H543" s="9">
        <f t="shared" si="8"/>
        <v>23.030045351473927</v>
      </c>
      <c r="I543" s="2" t="str" cm="1">
        <f t="array" ref="I543">_xlfn.IFS(F543&gt;=100,"Over weight",F543&lt;100,"Average weight")</f>
        <v>Average weight</v>
      </c>
      <c r="J543" s="2" t="str" cm="1">
        <f t="array" ref="J543">_xlfn.IFS(G543&lt;164,"Below Average height",G543&gt;=165,"Above Average height",G543=164,"Average height")</f>
        <v>Above Average height</v>
      </c>
      <c r="K543" s="2" t="str" cm="1">
        <f t="array" ref="K543">_xlfn.IFS(E543&lt;=16,"Children",E543&lt;=30,"Young Adults",E543&lt;=45,"Middle-aged Adults",E543&gt;45,"Old Adults")</f>
        <v>Young Adults</v>
      </c>
    </row>
    <row r="544" spans="1:11" x14ac:dyDescent="0.45">
      <c r="A544" s="2">
        <v>635</v>
      </c>
      <c r="B544" s="2" t="s">
        <v>740</v>
      </c>
      <c r="C544" s="2" t="s">
        <v>86</v>
      </c>
      <c r="D544" s="2" t="s">
        <v>81</v>
      </c>
      <c r="E544" s="2">
        <v>29</v>
      </c>
      <c r="F544" s="2">
        <v>102</v>
      </c>
      <c r="G544" s="2">
        <v>180</v>
      </c>
      <c r="H544" s="9">
        <f t="shared" si="8"/>
        <v>31.481481481481481</v>
      </c>
      <c r="I544" s="2" t="str" cm="1">
        <f t="array" ref="I544">_xlfn.IFS(F544&gt;=100,"Over weight",F544&lt;100,"Average weight")</f>
        <v>Over weight</v>
      </c>
      <c r="J544" s="2" t="str" cm="1">
        <f t="array" ref="J544">_xlfn.IFS(G544&lt;164,"Below Average height",G544&gt;=165,"Above Average height",G544=164,"Average height")</f>
        <v>Above Average height</v>
      </c>
      <c r="K544" s="2" t="str" cm="1">
        <f t="array" ref="K544">_xlfn.IFS(E544&lt;=16,"Children",E544&lt;=30,"Young Adults",E544&lt;=45,"Middle-aged Adults",E544&gt;45,"Old Adults")</f>
        <v>Young Adults</v>
      </c>
    </row>
    <row r="545" spans="1:11" x14ac:dyDescent="0.45">
      <c r="A545" s="2">
        <v>636</v>
      </c>
      <c r="B545" s="2" t="s">
        <v>741</v>
      </c>
      <c r="C545" s="2" t="s">
        <v>87</v>
      </c>
      <c r="D545" s="2" t="s">
        <v>14</v>
      </c>
      <c r="E545" s="2">
        <v>25</v>
      </c>
      <c r="F545" s="2">
        <v>77</v>
      </c>
      <c r="G545" s="2">
        <v>180</v>
      </c>
      <c r="H545" s="9">
        <f t="shared" si="8"/>
        <v>23.76543209876543</v>
      </c>
      <c r="I545" s="2" t="str" cm="1">
        <f t="array" ref="I545">_xlfn.IFS(F545&gt;=100,"Over weight",F545&lt;100,"Average weight")</f>
        <v>Average weight</v>
      </c>
      <c r="J545" s="2" t="str" cm="1">
        <f t="array" ref="J545">_xlfn.IFS(G545&lt;164,"Below Average height",G545&gt;=165,"Above Average height",G545=164,"Average height")</f>
        <v>Above Average height</v>
      </c>
      <c r="K545" s="2" t="str" cm="1">
        <f t="array" ref="K545">_xlfn.IFS(E545&lt;=16,"Children",E545&lt;=30,"Young Adults",E545&lt;=45,"Middle-aged Adults",E545&gt;45,"Old Adults")</f>
        <v>Young Adults</v>
      </c>
    </row>
    <row r="546" spans="1:11" x14ac:dyDescent="0.45">
      <c r="A546" s="2">
        <v>637</v>
      </c>
      <c r="B546" s="2" t="s">
        <v>742</v>
      </c>
      <c r="C546" s="2" t="s">
        <v>85</v>
      </c>
      <c r="D546" s="2" t="s">
        <v>75</v>
      </c>
      <c r="E546" s="2">
        <v>25</v>
      </c>
      <c r="F546" s="2">
        <v>81</v>
      </c>
      <c r="G546" s="2">
        <v>183</v>
      </c>
      <c r="H546" s="9">
        <f t="shared" si="8"/>
        <v>24.187046492878256</v>
      </c>
      <c r="I546" s="2" t="str" cm="1">
        <f t="array" ref="I546">_xlfn.IFS(F546&gt;=100,"Over weight",F546&lt;100,"Average weight")</f>
        <v>Average weight</v>
      </c>
      <c r="J546" s="2" t="str" cm="1">
        <f t="array" ref="J546">_xlfn.IFS(G546&lt;164,"Below Average height",G546&gt;=165,"Above Average height",G546=164,"Average height")</f>
        <v>Above Average height</v>
      </c>
      <c r="K546" s="2" t="str" cm="1">
        <f t="array" ref="K546">_xlfn.IFS(E546&lt;=16,"Children",E546&lt;=30,"Young Adults",E546&lt;=45,"Middle-aged Adults",E546&gt;45,"Old Adults")</f>
        <v>Young Adults</v>
      </c>
    </row>
    <row r="547" spans="1:11" x14ac:dyDescent="0.45">
      <c r="A547" s="2">
        <v>638</v>
      </c>
      <c r="B547" s="2" t="s">
        <v>743</v>
      </c>
      <c r="C547" s="2" t="s">
        <v>85</v>
      </c>
      <c r="D547" s="2" t="s">
        <v>67</v>
      </c>
      <c r="E547" s="2">
        <v>20</v>
      </c>
      <c r="F547" s="2">
        <v>75</v>
      </c>
      <c r="G547" s="2">
        <v>185</v>
      </c>
      <c r="H547" s="9">
        <f t="shared" si="8"/>
        <v>21.913805697589478</v>
      </c>
      <c r="I547" s="2" t="str" cm="1">
        <f t="array" ref="I547">_xlfn.IFS(F547&gt;=100,"Over weight",F547&lt;100,"Average weight")</f>
        <v>Average weight</v>
      </c>
      <c r="J547" s="2" t="str" cm="1">
        <f t="array" ref="J547">_xlfn.IFS(G547&lt;164,"Below Average height",G547&gt;=165,"Above Average height",G547=164,"Average height")</f>
        <v>Above Average height</v>
      </c>
      <c r="K547" s="2" t="str" cm="1">
        <f t="array" ref="K547">_xlfn.IFS(E547&lt;=16,"Children",E547&lt;=30,"Young Adults",E547&lt;=45,"Middle-aged Adults",E547&gt;45,"Old Adults")</f>
        <v>Young Adults</v>
      </c>
    </row>
    <row r="548" spans="1:11" x14ac:dyDescent="0.45">
      <c r="A548" s="2">
        <v>639</v>
      </c>
      <c r="B548" s="2" t="s">
        <v>744</v>
      </c>
      <c r="C548" s="2" t="s">
        <v>95</v>
      </c>
      <c r="D548" s="2" t="s">
        <v>26</v>
      </c>
      <c r="E548" s="2">
        <v>26</v>
      </c>
      <c r="F548" s="2">
        <v>83</v>
      </c>
      <c r="G548" s="2">
        <v>182</v>
      </c>
      <c r="H548" s="9">
        <f t="shared" si="8"/>
        <v>25.057360222195385</v>
      </c>
      <c r="I548" s="2" t="str" cm="1">
        <f t="array" ref="I548">_xlfn.IFS(F548&gt;=100,"Over weight",F548&lt;100,"Average weight")</f>
        <v>Average weight</v>
      </c>
      <c r="J548" s="2" t="str" cm="1">
        <f t="array" ref="J548">_xlfn.IFS(G548&lt;164,"Below Average height",G548&gt;=165,"Above Average height",G548=164,"Average height")</f>
        <v>Above Average height</v>
      </c>
      <c r="K548" s="2" t="str" cm="1">
        <f t="array" ref="K548">_xlfn.IFS(E548&lt;=16,"Children",E548&lt;=30,"Young Adults",E548&lt;=45,"Middle-aged Adults",E548&gt;45,"Old Adults")</f>
        <v>Young Adults</v>
      </c>
    </row>
    <row r="549" spans="1:11" x14ac:dyDescent="0.45">
      <c r="A549" s="2">
        <v>640</v>
      </c>
      <c r="B549" s="2" t="s">
        <v>745</v>
      </c>
      <c r="C549" s="2" t="s">
        <v>89</v>
      </c>
      <c r="D549" s="2" t="s">
        <v>14</v>
      </c>
      <c r="E549" s="2">
        <v>24</v>
      </c>
      <c r="F549" s="2">
        <v>77</v>
      </c>
      <c r="G549" s="2">
        <v>180</v>
      </c>
      <c r="H549" s="9">
        <f t="shared" si="8"/>
        <v>23.76543209876543</v>
      </c>
      <c r="I549" s="2" t="str" cm="1">
        <f t="array" ref="I549">_xlfn.IFS(F549&gt;=100,"Over weight",F549&lt;100,"Average weight")</f>
        <v>Average weight</v>
      </c>
      <c r="J549" s="2" t="str" cm="1">
        <f t="array" ref="J549">_xlfn.IFS(G549&lt;164,"Below Average height",G549&gt;=165,"Above Average height",G549=164,"Average height")</f>
        <v>Above Average height</v>
      </c>
      <c r="K549" s="2" t="str" cm="1">
        <f t="array" ref="K549">_xlfn.IFS(E549&lt;=16,"Children",E549&lt;=30,"Young Adults",E549&lt;=45,"Middle-aged Adults",E549&gt;45,"Old Adults")</f>
        <v>Young Adults</v>
      </c>
    </row>
    <row r="550" spans="1:11" x14ac:dyDescent="0.45">
      <c r="A550" s="2">
        <v>641</v>
      </c>
      <c r="B550" s="2" t="s">
        <v>746</v>
      </c>
      <c r="C550" s="2" t="s">
        <v>85</v>
      </c>
      <c r="D550" s="2" t="s">
        <v>75</v>
      </c>
      <c r="E550" s="2">
        <v>24</v>
      </c>
      <c r="F550" s="2">
        <v>68</v>
      </c>
      <c r="G550" s="2">
        <v>172</v>
      </c>
      <c r="H550" s="9">
        <f t="shared" si="8"/>
        <v>22.985397512168742</v>
      </c>
      <c r="I550" s="2" t="str" cm="1">
        <f t="array" ref="I550">_xlfn.IFS(F550&gt;=100,"Over weight",F550&lt;100,"Average weight")</f>
        <v>Average weight</v>
      </c>
      <c r="J550" s="2" t="str" cm="1">
        <f t="array" ref="J550">_xlfn.IFS(G550&lt;164,"Below Average height",G550&gt;=165,"Above Average height",G550=164,"Average height")</f>
        <v>Above Average height</v>
      </c>
      <c r="K550" s="2" t="str" cm="1">
        <f t="array" ref="K550">_xlfn.IFS(E550&lt;=16,"Children",E550&lt;=30,"Young Adults",E550&lt;=45,"Middle-aged Adults",E550&gt;45,"Old Adults")</f>
        <v>Young Adults</v>
      </c>
    </row>
    <row r="551" spans="1:11" x14ac:dyDescent="0.45">
      <c r="A551" s="2">
        <v>644</v>
      </c>
      <c r="B551" s="2" t="s">
        <v>749</v>
      </c>
      <c r="C551" s="2" t="s">
        <v>88</v>
      </c>
      <c r="D551" s="2" t="s">
        <v>46</v>
      </c>
      <c r="E551" s="2">
        <v>23</v>
      </c>
      <c r="F551" s="2">
        <v>60</v>
      </c>
      <c r="G551" s="2">
        <v>170</v>
      </c>
      <c r="H551" s="9">
        <f t="shared" si="8"/>
        <v>20.761245674740486</v>
      </c>
      <c r="I551" s="2" t="str" cm="1">
        <f t="array" ref="I551">_xlfn.IFS(F551&gt;=100,"Over weight",F551&lt;100,"Average weight")</f>
        <v>Average weight</v>
      </c>
      <c r="J551" s="2" t="str" cm="1">
        <f t="array" ref="J551">_xlfn.IFS(G551&lt;164,"Below Average height",G551&gt;=165,"Above Average height",G551=164,"Average height")</f>
        <v>Above Average height</v>
      </c>
      <c r="K551" s="2" t="str" cm="1">
        <f t="array" ref="K551">_xlfn.IFS(E551&lt;=16,"Children",E551&lt;=30,"Young Adults",E551&lt;=45,"Middle-aged Adults",E551&gt;45,"Old Adults")</f>
        <v>Young Adults</v>
      </c>
    </row>
    <row r="552" spans="1:11" x14ac:dyDescent="0.45">
      <c r="A552" s="2">
        <v>645</v>
      </c>
      <c r="B552" s="2" t="s">
        <v>750</v>
      </c>
      <c r="C552" s="2" t="s">
        <v>91</v>
      </c>
      <c r="D552" s="2" t="s">
        <v>80</v>
      </c>
      <c r="E552" s="2">
        <v>27</v>
      </c>
      <c r="F552" s="2">
        <v>98</v>
      </c>
      <c r="G552" s="2">
        <v>183</v>
      </c>
      <c r="H552" s="9">
        <f t="shared" si="8"/>
        <v>29.26334020126011</v>
      </c>
      <c r="I552" s="2" t="str" cm="1">
        <f t="array" ref="I552">_xlfn.IFS(F552&gt;=100,"Over weight",F552&lt;100,"Average weight")</f>
        <v>Average weight</v>
      </c>
      <c r="J552" s="2" t="str" cm="1">
        <f t="array" ref="J552">_xlfn.IFS(G552&lt;164,"Below Average height",G552&gt;=165,"Above Average height",G552=164,"Average height")</f>
        <v>Above Average height</v>
      </c>
      <c r="K552" s="2" t="str" cm="1">
        <f t="array" ref="K552">_xlfn.IFS(E552&lt;=16,"Children",E552&lt;=30,"Young Adults",E552&lt;=45,"Middle-aged Adults",E552&gt;45,"Old Adults")</f>
        <v>Young Adults</v>
      </c>
    </row>
    <row r="553" spans="1:11" x14ac:dyDescent="0.45">
      <c r="A553" s="2">
        <v>646</v>
      </c>
      <c r="B553" s="2" t="s">
        <v>751</v>
      </c>
      <c r="C553" s="2" t="s">
        <v>86</v>
      </c>
      <c r="D553" s="2" t="s">
        <v>23</v>
      </c>
      <c r="E553" s="2">
        <v>22</v>
      </c>
      <c r="F553" s="2">
        <v>102</v>
      </c>
      <c r="G553" s="2">
        <v>181</v>
      </c>
      <c r="H553" s="9">
        <f t="shared" si="8"/>
        <v>31.134580751503311</v>
      </c>
      <c r="I553" s="2" t="str" cm="1">
        <f t="array" ref="I553">_xlfn.IFS(F553&gt;=100,"Over weight",F553&lt;100,"Average weight")</f>
        <v>Over weight</v>
      </c>
      <c r="J553" s="2" t="str" cm="1">
        <f t="array" ref="J553">_xlfn.IFS(G553&lt;164,"Below Average height",G553&gt;=165,"Above Average height",G553=164,"Average height")</f>
        <v>Above Average height</v>
      </c>
      <c r="K553" s="2" t="str" cm="1">
        <f t="array" ref="K553">_xlfn.IFS(E553&lt;=16,"Children",E553&lt;=30,"Young Adults",E553&lt;=45,"Middle-aged Adults",E553&gt;45,"Old Adults")</f>
        <v>Young Adults</v>
      </c>
    </row>
    <row r="554" spans="1:11" x14ac:dyDescent="0.45">
      <c r="A554" s="2">
        <v>647</v>
      </c>
      <c r="B554" s="2" t="s">
        <v>752</v>
      </c>
      <c r="C554" s="2" t="s">
        <v>86</v>
      </c>
      <c r="D554" s="2" t="s">
        <v>23</v>
      </c>
      <c r="E554" s="2">
        <v>20</v>
      </c>
      <c r="F554" s="2">
        <v>90</v>
      </c>
      <c r="G554" s="2">
        <v>165</v>
      </c>
      <c r="H554" s="9">
        <f t="shared" si="8"/>
        <v>33.057851239669425</v>
      </c>
      <c r="I554" s="2" t="str" cm="1">
        <f t="array" ref="I554">_xlfn.IFS(F554&gt;=100,"Over weight",F554&lt;100,"Average weight")</f>
        <v>Average weight</v>
      </c>
      <c r="J554" s="2" t="str" cm="1">
        <f t="array" ref="J554">_xlfn.IFS(G554&lt;164,"Below Average height",G554&gt;=165,"Above Average height",G554=164,"Average height")</f>
        <v>Above Average height</v>
      </c>
      <c r="K554" s="2" t="str" cm="1">
        <f t="array" ref="K554">_xlfn.IFS(E554&lt;=16,"Children",E554&lt;=30,"Young Adults",E554&lt;=45,"Middle-aged Adults",E554&gt;45,"Old Adults")</f>
        <v>Young Adults</v>
      </c>
    </row>
    <row r="555" spans="1:11" x14ac:dyDescent="0.45">
      <c r="A555" s="2">
        <v>648</v>
      </c>
      <c r="B555" s="2" t="s">
        <v>753</v>
      </c>
      <c r="C555" s="2" t="s">
        <v>91</v>
      </c>
      <c r="D555" s="2" t="s">
        <v>28</v>
      </c>
      <c r="E555" s="2">
        <v>26</v>
      </c>
      <c r="F555" s="2">
        <v>85</v>
      </c>
      <c r="G555" s="2">
        <v>183</v>
      </c>
      <c r="H555" s="9">
        <f t="shared" si="8"/>
        <v>25.381468541909282</v>
      </c>
      <c r="I555" s="2" t="str" cm="1">
        <f t="array" ref="I555">_xlfn.IFS(F555&gt;=100,"Over weight",F555&lt;100,"Average weight")</f>
        <v>Average weight</v>
      </c>
      <c r="J555" s="2" t="str" cm="1">
        <f t="array" ref="J555">_xlfn.IFS(G555&lt;164,"Below Average height",G555&gt;=165,"Above Average height",G555=164,"Average height")</f>
        <v>Above Average height</v>
      </c>
      <c r="K555" s="2" t="str" cm="1">
        <f t="array" ref="K555">_xlfn.IFS(E555&lt;=16,"Children",E555&lt;=30,"Young Adults",E555&lt;=45,"Middle-aged Adults",E555&gt;45,"Old Adults")</f>
        <v>Young Adults</v>
      </c>
    </row>
    <row r="556" spans="1:11" x14ac:dyDescent="0.45">
      <c r="A556" s="2">
        <v>649</v>
      </c>
      <c r="B556" s="2" t="s">
        <v>754</v>
      </c>
      <c r="C556" s="2" t="s">
        <v>85</v>
      </c>
      <c r="D556" s="2" t="s">
        <v>6</v>
      </c>
      <c r="E556" s="2">
        <v>28</v>
      </c>
      <c r="F556" s="2">
        <v>68</v>
      </c>
      <c r="G556" s="2">
        <v>166</v>
      </c>
      <c r="H556" s="9">
        <f t="shared" si="8"/>
        <v>24.677021338365513</v>
      </c>
      <c r="I556" s="2" t="str" cm="1">
        <f t="array" ref="I556">_xlfn.IFS(F556&gt;=100,"Over weight",F556&lt;100,"Average weight")</f>
        <v>Average weight</v>
      </c>
      <c r="J556" s="2" t="str" cm="1">
        <f t="array" ref="J556">_xlfn.IFS(G556&lt;164,"Below Average height",G556&gt;=165,"Above Average height",G556=164,"Average height")</f>
        <v>Above Average height</v>
      </c>
      <c r="K556" s="2" t="str" cm="1">
        <f t="array" ref="K556">_xlfn.IFS(E556&lt;=16,"Children",E556&lt;=30,"Young Adults",E556&lt;=45,"Middle-aged Adults",E556&gt;45,"Old Adults")</f>
        <v>Young Adults</v>
      </c>
    </row>
    <row r="557" spans="1:11" x14ac:dyDescent="0.45">
      <c r="A557" s="2">
        <v>650</v>
      </c>
      <c r="B557" s="2" t="s">
        <v>755</v>
      </c>
      <c r="C557" s="2" t="s">
        <v>94</v>
      </c>
      <c r="D557" s="2" t="s">
        <v>14</v>
      </c>
      <c r="E557" s="2">
        <v>28</v>
      </c>
      <c r="F557" s="2">
        <v>76</v>
      </c>
      <c r="G557" s="2">
        <v>178</v>
      </c>
      <c r="H557" s="9">
        <f t="shared" si="8"/>
        <v>23.98687034465345</v>
      </c>
      <c r="I557" s="2" t="str" cm="1">
        <f t="array" ref="I557">_xlfn.IFS(F557&gt;=100,"Over weight",F557&lt;100,"Average weight")</f>
        <v>Average weight</v>
      </c>
      <c r="J557" s="2" t="str" cm="1">
        <f t="array" ref="J557">_xlfn.IFS(G557&lt;164,"Below Average height",G557&gt;=165,"Above Average height",G557=164,"Average height")</f>
        <v>Above Average height</v>
      </c>
      <c r="K557" s="2" t="str" cm="1">
        <f t="array" ref="K557">_xlfn.IFS(E557&lt;=16,"Children",E557&lt;=30,"Young Adults",E557&lt;=45,"Middle-aged Adults",E557&gt;45,"Old Adults")</f>
        <v>Young Adults</v>
      </c>
    </row>
    <row r="558" spans="1:11" x14ac:dyDescent="0.45">
      <c r="A558" s="2">
        <v>651</v>
      </c>
      <c r="B558" s="2" t="s">
        <v>756</v>
      </c>
      <c r="C558" s="2" t="s">
        <v>91</v>
      </c>
      <c r="D558" s="2" t="s">
        <v>66</v>
      </c>
      <c r="E558" s="2">
        <v>35</v>
      </c>
      <c r="F558" s="2">
        <v>94</v>
      </c>
      <c r="G558" s="2">
        <v>185</v>
      </c>
      <c r="H558" s="9">
        <f t="shared" si="8"/>
        <v>27.465303140978815</v>
      </c>
      <c r="I558" s="2" t="str" cm="1">
        <f t="array" ref="I558">_xlfn.IFS(F558&gt;=100,"Over weight",F558&lt;100,"Average weight")</f>
        <v>Average weight</v>
      </c>
      <c r="J558" s="2" t="str" cm="1">
        <f t="array" ref="J558">_xlfn.IFS(G558&lt;164,"Below Average height",G558&gt;=165,"Above Average height",G558=164,"Average height")</f>
        <v>Above Average height</v>
      </c>
      <c r="K558" s="2" t="str" cm="1">
        <f t="array" ref="K558">_xlfn.IFS(E558&lt;=16,"Children",E558&lt;=30,"Young Adults",E558&lt;=45,"Middle-aged Adults",E558&gt;45,"Old Adults")</f>
        <v>Middle-aged Adults</v>
      </c>
    </row>
    <row r="559" spans="1:11" x14ac:dyDescent="0.45">
      <c r="A559" s="2">
        <v>652</v>
      </c>
      <c r="B559" s="2" t="s">
        <v>757</v>
      </c>
      <c r="C559" s="2" t="s">
        <v>95</v>
      </c>
      <c r="D559" s="2" t="s">
        <v>3</v>
      </c>
      <c r="E559" s="2">
        <v>47</v>
      </c>
      <c r="F559" s="2">
        <v>90</v>
      </c>
      <c r="G559" s="2">
        <v>183</v>
      </c>
      <c r="H559" s="9">
        <f t="shared" si="8"/>
        <v>26.874496103198062</v>
      </c>
      <c r="I559" s="2" t="str" cm="1">
        <f t="array" ref="I559">_xlfn.IFS(F559&gt;=100,"Over weight",F559&lt;100,"Average weight")</f>
        <v>Average weight</v>
      </c>
      <c r="J559" s="2" t="str" cm="1">
        <f t="array" ref="J559">_xlfn.IFS(G559&lt;164,"Below Average height",G559&gt;=165,"Above Average height",G559=164,"Average height")</f>
        <v>Above Average height</v>
      </c>
      <c r="K559" s="2" t="str" cm="1">
        <f t="array" ref="K559">_xlfn.IFS(E559&lt;=16,"Children",E559&lt;=30,"Young Adults",E559&lt;=45,"Middle-aged Adults",E559&gt;45,"Old Adults")</f>
        <v>Old Adults</v>
      </c>
    </row>
    <row r="560" spans="1:11" x14ac:dyDescent="0.45">
      <c r="A560" s="2">
        <v>653</v>
      </c>
      <c r="B560" s="2" t="s">
        <v>758</v>
      </c>
      <c r="C560" s="2" t="s">
        <v>85</v>
      </c>
      <c r="D560" s="2" t="s">
        <v>14</v>
      </c>
      <c r="E560" s="2">
        <v>24</v>
      </c>
      <c r="F560" s="2">
        <v>75</v>
      </c>
      <c r="G560" s="2">
        <v>178</v>
      </c>
      <c r="H560" s="9">
        <f t="shared" si="8"/>
        <v>23.671253629592222</v>
      </c>
      <c r="I560" s="2" t="str" cm="1">
        <f t="array" ref="I560">_xlfn.IFS(F560&gt;=100,"Over weight",F560&lt;100,"Average weight")</f>
        <v>Average weight</v>
      </c>
      <c r="J560" s="2" t="str" cm="1">
        <f t="array" ref="J560">_xlfn.IFS(G560&lt;164,"Below Average height",G560&gt;=165,"Above Average height",G560=164,"Average height")</f>
        <v>Above Average height</v>
      </c>
      <c r="K560" s="2" t="str" cm="1">
        <f t="array" ref="K560">_xlfn.IFS(E560&lt;=16,"Children",E560&lt;=30,"Young Adults",E560&lt;=45,"Middle-aged Adults",E560&gt;45,"Old Adults")</f>
        <v>Young Adults</v>
      </c>
    </row>
    <row r="561" spans="1:11" x14ac:dyDescent="0.45">
      <c r="A561" s="2">
        <v>655</v>
      </c>
      <c r="B561" s="2" t="s">
        <v>760</v>
      </c>
      <c r="C561" s="2" t="s">
        <v>85</v>
      </c>
      <c r="D561" s="2" t="s">
        <v>71</v>
      </c>
      <c r="E561" s="2">
        <v>29</v>
      </c>
      <c r="F561" s="2">
        <v>81</v>
      </c>
      <c r="G561" s="2">
        <v>179</v>
      </c>
      <c r="H561" s="9">
        <f t="shared" si="8"/>
        <v>25.280109859242845</v>
      </c>
      <c r="I561" s="2" t="str" cm="1">
        <f t="array" ref="I561">_xlfn.IFS(F561&gt;=100,"Over weight",F561&lt;100,"Average weight")</f>
        <v>Average weight</v>
      </c>
      <c r="J561" s="2" t="str" cm="1">
        <f t="array" ref="J561">_xlfn.IFS(G561&lt;164,"Below Average height",G561&gt;=165,"Above Average height",G561=164,"Average height")</f>
        <v>Above Average height</v>
      </c>
      <c r="K561" s="2" t="str" cm="1">
        <f t="array" ref="K561">_xlfn.IFS(E561&lt;=16,"Children",E561&lt;=30,"Young Adults",E561&lt;=45,"Middle-aged Adults",E561&gt;45,"Old Adults")</f>
        <v>Young Adults</v>
      </c>
    </row>
    <row r="562" spans="1:11" x14ac:dyDescent="0.45">
      <c r="A562" s="2">
        <v>656</v>
      </c>
      <c r="B562" s="2" t="s">
        <v>761</v>
      </c>
      <c r="C562" s="2" t="s">
        <v>94</v>
      </c>
      <c r="D562" s="2" t="s">
        <v>28</v>
      </c>
      <c r="E562" s="2">
        <v>19</v>
      </c>
      <c r="F562" s="2">
        <v>56</v>
      </c>
      <c r="G562" s="2">
        <v>167</v>
      </c>
      <c r="H562" s="9">
        <f t="shared" si="8"/>
        <v>20.07960127648894</v>
      </c>
      <c r="I562" s="2" t="str" cm="1">
        <f t="array" ref="I562">_xlfn.IFS(F562&gt;=100,"Over weight",F562&lt;100,"Average weight")</f>
        <v>Average weight</v>
      </c>
      <c r="J562" s="2" t="str" cm="1">
        <f t="array" ref="J562">_xlfn.IFS(G562&lt;164,"Below Average height",G562&gt;=165,"Above Average height",G562=164,"Average height")</f>
        <v>Above Average height</v>
      </c>
      <c r="K562" s="2" t="str" cm="1">
        <f t="array" ref="K562">_xlfn.IFS(E562&lt;=16,"Children",E562&lt;=30,"Young Adults",E562&lt;=45,"Middle-aged Adults",E562&gt;45,"Old Adults")</f>
        <v>Young Adults</v>
      </c>
    </row>
    <row r="563" spans="1:11" x14ac:dyDescent="0.45">
      <c r="A563" s="2">
        <v>657</v>
      </c>
      <c r="B563" s="2" t="s">
        <v>762</v>
      </c>
      <c r="C563" s="2" t="s">
        <v>97</v>
      </c>
      <c r="D563" s="2" t="s">
        <v>6</v>
      </c>
      <c r="E563" s="2">
        <v>34</v>
      </c>
      <c r="F563" s="2">
        <v>67</v>
      </c>
      <c r="G563" s="2">
        <v>180</v>
      </c>
      <c r="H563" s="9">
        <f t="shared" si="8"/>
        <v>20.679012345679013</v>
      </c>
      <c r="I563" s="2" t="str" cm="1">
        <f t="array" ref="I563">_xlfn.IFS(F563&gt;=100,"Over weight",F563&lt;100,"Average weight")</f>
        <v>Average weight</v>
      </c>
      <c r="J563" s="2" t="str" cm="1">
        <f t="array" ref="J563">_xlfn.IFS(G563&lt;164,"Below Average height",G563&gt;=165,"Above Average height",G563=164,"Average height")</f>
        <v>Above Average height</v>
      </c>
      <c r="K563" s="2" t="str" cm="1">
        <f t="array" ref="K563">_xlfn.IFS(E563&lt;=16,"Children",E563&lt;=30,"Young Adults",E563&lt;=45,"Middle-aged Adults",E563&gt;45,"Old Adults")</f>
        <v>Middle-aged Adults</v>
      </c>
    </row>
    <row r="564" spans="1:11" x14ac:dyDescent="0.45">
      <c r="A564" s="2">
        <v>658</v>
      </c>
      <c r="B564" s="2" t="s">
        <v>763</v>
      </c>
      <c r="C564" s="2" t="s">
        <v>95</v>
      </c>
      <c r="D564" s="2" t="s">
        <v>14</v>
      </c>
      <c r="E564" s="2">
        <v>22</v>
      </c>
      <c r="F564" s="2">
        <v>70</v>
      </c>
      <c r="G564" s="2">
        <v>171</v>
      </c>
      <c r="H564" s="9">
        <f t="shared" si="8"/>
        <v>23.938989774631512</v>
      </c>
      <c r="I564" s="2" t="str" cm="1">
        <f t="array" ref="I564">_xlfn.IFS(F564&gt;=100,"Over weight",F564&lt;100,"Average weight")</f>
        <v>Average weight</v>
      </c>
      <c r="J564" s="2" t="str" cm="1">
        <f t="array" ref="J564">_xlfn.IFS(G564&lt;164,"Below Average height",G564&gt;=165,"Above Average height",G564=164,"Average height")</f>
        <v>Above Average height</v>
      </c>
      <c r="K564" s="2" t="str" cm="1">
        <f t="array" ref="K564">_xlfn.IFS(E564&lt;=16,"Children",E564&lt;=30,"Young Adults",E564&lt;=45,"Middle-aged Adults",E564&gt;45,"Old Adults")</f>
        <v>Young Adults</v>
      </c>
    </row>
    <row r="565" spans="1:11" x14ac:dyDescent="0.45">
      <c r="A565" s="2">
        <v>660</v>
      </c>
      <c r="B565" s="2" t="s">
        <v>765</v>
      </c>
      <c r="C565" s="2" t="s">
        <v>93</v>
      </c>
      <c r="D565" s="2" t="s">
        <v>6</v>
      </c>
      <c r="E565" s="2">
        <v>35</v>
      </c>
      <c r="F565" s="2">
        <v>80</v>
      </c>
      <c r="G565" s="2">
        <v>180</v>
      </c>
      <c r="H565" s="9">
        <f t="shared" si="8"/>
        <v>24.691358024691358</v>
      </c>
      <c r="I565" s="2" t="str" cm="1">
        <f t="array" ref="I565">_xlfn.IFS(F565&gt;=100,"Over weight",F565&lt;100,"Average weight")</f>
        <v>Average weight</v>
      </c>
      <c r="J565" s="2" t="str" cm="1">
        <f t="array" ref="J565">_xlfn.IFS(G565&lt;164,"Below Average height",G565&gt;=165,"Above Average height",G565=164,"Average height")</f>
        <v>Above Average height</v>
      </c>
      <c r="K565" s="2" t="str" cm="1">
        <f t="array" ref="K565">_xlfn.IFS(E565&lt;=16,"Children",E565&lt;=30,"Young Adults",E565&lt;=45,"Middle-aged Adults",E565&gt;45,"Old Adults")</f>
        <v>Middle-aged Adults</v>
      </c>
    </row>
    <row r="566" spans="1:11" x14ac:dyDescent="0.45">
      <c r="A566" s="2">
        <v>661</v>
      </c>
      <c r="B566" s="2" t="s">
        <v>766</v>
      </c>
      <c r="C566" s="2" t="s">
        <v>91</v>
      </c>
      <c r="D566" s="2" t="s">
        <v>8</v>
      </c>
      <c r="E566" s="2">
        <v>26</v>
      </c>
      <c r="F566" s="2">
        <v>83</v>
      </c>
      <c r="G566" s="2">
        <v>181</v>
      </c>
      <c r="H566" s="9">
        <f t="shared" si="8"/>
        <v>25.33500198406642</v>
      </c>
      <c r="I566" s="2" t="str" cm="1">
        <f t="array" ref="I566">_xlfn.IFS(F566&gt;=100,"Over weight",F566&lt;100,"Average weight")</f>
        <v>Average weight</v>
      </c>
      <c r="J566" s="2" t="str" cm="1">
        <f t="array" ref="J566">_xlfn.IFS(G566&lt;164,"Below Average height",G566&gt;=165,"Above Average height",G566=164,"Average height")</f>
        <v>Above Average height</v>
      </c>
      <c r="K566" s="2" t="str" cm="1">
        <f t="array" ref="K566">_xlfn.IFS(E566&lt;=16,"Children",E566&lt;=30,"Young Adults",E566&lt;=45,"Middle-aged Adults",E566&gt;45,"Old Adults")</f>
        <v>Young Adults</v>
      </c>
    </row>
    <row r="567" spans="1:11" x14ac:dyDescent="0.45">
      <c r="A567" s="2">
        <v>662</v>
      </c>
      <c r="B567" s="2" t="s">
        <v>767</v>
      </c>
      <c r="C567" s="2" t="s">
        <v>89</v>
      </c>
      <c r="D567" s="2" t="s">
        <v>22</v>
      </c>
      <c r="E567" s="2">
        <v>33</v>
      </c>
      <c r="F567" s="2">
        <v>58</v>
      </c>
      <c r="G567" s="2">
        <v>165</v>
      </c>
      <c r="H567" s="9">
        <f t="shared" si="8"/>
        <v>21.30394857667585</v>
      </c>
      <c r="I567" s="2" t="str" cm="1">
        <f t="array" ref="I567">_xlfn.IFS(F567&gt;=100,"Over weight",F567&lt;100,"Average weight")</f>
        <v>Average weight</v>
      </c>
      <c r="J567" s="2" t="str" cm="1">
        <f t="array" ref="J567">_xlfn.IFS(G567&lt;164,"Below Average height",G567&gt;=165,"Above Average height",G567=164,"Average height")</f>
        <v>Above Average height</v>
      </c>
      <c r="K567" s="2" t="str" cm="1">
        <f t="array" ref="K567">_xlfn.IFS(E567&lt;=16,"Children",E567&lt;=30,"Young Adults",E567&lt;=45,"Middle-aged Adults",E567&gt;45,"Old Adults")</f>
        <v>Middle-aged Adults</v>
      </c>
    </row>
    <row r="568" spans="1:11" x14ac:dyDescent="0.45">
      <c r="A568" s="2">
        <v>663</v>
      </c>
      <c r="B568" s="2" t="s">
        <v>768</v>
      </c>
      <c r="C568" s="2" t="s">
        <v>91</v>
      </c>
      <c r="D568" s="2" t="s">
        <v>74</v>
      </c>
      <c r="E568" s="2">
        <v>21</v>
      </c>
      <c r="F568" s="2">
        <v>71</v>
      </c>
      <c r="G568" s="2">
        <v>170</v>
      </c>
      <c r="H568" s="9">
        <f t="shared" si="8"/>
        <v>24.567474048442911</v>
      </c>
      <c r="I568" s="2" t="str" cm="1">
        <f t="array" ref="I568">_xlfn.IFS(F568&gt;=100,"Over weight",F568&lt;100,"Average weight")</f>
        <v>Average weight</v>
      </c>
      <c r="J568" s="2" t="str" cm="1">
        <f t="array" ref="J568">_xlfn.IFS(G568&lt;164,"Below Average height",G568&gt;=165,"Above Average height",G568=164,"Average height")</f>
        <v>Above Average height</v>
      </c>
      <c r="K568" s="2" t="str" cm="1">
        <f t="array" ref="K568">_xlfn.IFS(E568&lt;=16,"Children",E568&lt;=30,"Young Adults",E568&lt;=45,"Middle-aged Adults",E568&gt;45,"Old Adults")</f>
        <v>Young Adults</v>
      </c>
    </row>
    <row r="569" spans="1:11" x14ac:dyDescent="0.45">
      <c r="A569" s="2">
        <v>664</v>
      </c>
      <c r="B569" s="2" t="s">
        <v>769</v>
      </c>
      <c r="C569" s="2" t="s">
        <v>90</v>
      </c>
      <c r="D569" s="2" t="s">
        <v>75</v>
      </c>
      <c r="E569" s="2">
        <v>34</v>
      </c>
      <c r="F569" s="2">
        <v>100</v>
      </c>
      <c r="G569" s="2">
        <v>189</v>
      </c>
      <c r="H569" s="9">
        <f t="shared" si="8"/>
        <v>27.994736989445986</v>
      </c>
      <c r="I569" s="2" t="str" cm="1">
        <f t="array" ref="I569">_xlfn.IFS(F569&gt;=100,"Over weight",F569&lt;100,"Average weight")</f>
        <v>Over weight</v>
      </c>
      <c r="J569" s="2" t="str" cm="1">
        <f t="array" ref="J569">_xlfn.IFS(G569&lt;164,"Below Average height",G569&gt;=165,"Above Average height",G569=164,"Average height")</f>
        <v>Above Average height</v>
      </c>
      <c r="K569" s="2" t="str" cm="1">
        <f t="array" ref="K569">_xlfn.IFS(E569&lt;=16,"Children",E569&lt;=30,"Young Adults",E569&lt;=45,"Middle-aged Adults",E569&gt;45,"Old Adults")</f>
        <v>Middle-aged Adults</v>
      </c>
    </row>
    <row r="570" spans="1:11" x14ac:dyDescent="0.45">
      <c r="A570" s="2">
        <v>665</v>
      </c>
      <c r="B570" s="2" t="s">
        <v>770</v>
      </c>
      <c r="C570" s="2" t="s">
        <v>91</v>
      </c>
      <c r="D570" s="2" t="s">
        <v>66</v>
      </c>
      <c r="E570" s="2">
        <v>26</v>
      </c>
      <c r="F570" s="2">
        <v>93</v>
      </c>
      <c r="G570" s="2">
        <v>185</v>
      </c>
      <c r="H570" s="9">
        <f t="shared" si="8"/>
        <v>27.173119065010955</v>
      </c>
      <c r="I570" s="2" t="str" cm="1">
        <f t="array" ref="I570">_xlfn.IFS(F570&gt;=100,"Over weight",F570&lt;100,"Average weight")</f>
        <v>Average weight</v>
      </c>
      <c r="J570" s="2" t="str" cm="1">
        <f t="array" ref="J570">_xlfn.IFS(G570&lt;164,"Below Average height",G570&gt;=165,"Above Average height",G570=164,"Average height")</f>
        <v>Above Average height</v>
      </c>
      <c r="K570" s="2" t="str" cm="1">
        <f t="array" ref="K570">_xlfn.IFS(E570&lt;=16,"Children",E570&lt;=30,"Young Adults",E570&lt;=45,"Middle-aged Adults",E570&gt;45,"Old Adults")</f>
        <v>Young Adults</v>
      </c>
    </row>
    <row r="571" spans="1:11" x14ac:dyDescent="0.45">
      <c r="A571" s="2">
        <v>666</v>
      </c>
      <c r="B571" s="2" t="s">
        <v>771</v>
      </c>
      <c r="C571" s="2" t="s">
        <v>88</v>
      </c>
      <c r="D571" s="2" t="s">
        <v>14</v>
      </c>
      <c r="E571" s="2">
        <v>23</v>
      </c>
      <c r="F571" s="2">
        <v>72</v>
      </c>
      <c r="G571" s="2">
        <v>183</v>
      </c>
      <c r="H571" s="9">
        <f t="shared" si="8"/>
        <v>21.49959688255845</v>
      </c>
      <c r="I571" s="2" t="str" cm="1">
        <f t="array" ref="I571">_xlfn.IFS(F571&gt;=100,"Over weight",F571&lt;100,"Average weight")</f>
        <v>Average weight</v>
      </c>
      <c r="J571" s="2" t="str" cm="1">
        <f t="array" ref="J571">_xlfn.IFS(G571&lt;164,"Below Average height",G571&gt;=165,"Above Average height",G571=164,"Average height")</f>
        <v>Above Average height</v>
      </c>
      <c r="K571" s="2" t="str" cm="1">
        <f t="array" ref="K571">_xlfn.IFS(E571&lt;=16,"Children",E571&lt;=30,"Young Adults",E571&lt;=45,"Middle-aged Adults",E571&gt;45,"Old Adults")</f>
        <v>Young Adults</v>
      </c>
    </row>
    <row r="572" spans="1:11" x14ac:dyDescent="0.45">
      <c r="A572" s="2">
        <v>667</v>
      </c>
      <c r="B572" s="2" t="s">
        <v>772</v>
      </c>
      <c r="C572" s="2" t="s">
        <v>89</v>
      </c>
      <c r="D572" s="2" t="s">
        <v>14</v>
      </c>
      <c r="E572" s="2">
        <v>24</v>
      </c>
      <c r="F572" s="2">
        <v>80</v>
      </c>
      <c r="G572" s="2">
        <v>180</v>
      </c>
      <c r="H572" s="9">
        <f t="shared" si="8"/>
        <v>24.691358024691358</v>
      </c>
      <c r="I572" s="2" t="str" cm="1">
        <f t="array" ref="I572">_xlfn.IFS(F572&gt;=100,"Over weight",F572&lt;100,"Average weight")</f>
        <v>Average weight</v>
      </c>
      <c r="J572" s="2" t="str" cm="1">
        <f t="array" ref="J572">_xlfn.IFS(G572&lt;164,"Below Average height",G572&gt;=165,"Above Average height",G572=164,"Average height")</f>
        <v>Above Average height</v>
      </c>
      <c r="K572" s="2" t="str" cm="1">
        <f t="array" ref="K572">_xlfn.IFS(E572&lt;=16,"Children",E572&lt;=30,"Young Adults",E572&lt;=45,"Middle-aged Adults",E572&gt;45,"Old Adults")</f>
        <v>Young Adults</v>
      </c>
    </row>
    <row r="573" spans="1:11" x14ac:dyDescent="0.45">
      <c r="A573" s="2">
        <v>668</v>
      </c>
      <c r="B573" s="2" t="s">
        <v>773</v>
      </c>
      <c r="C573" s="2" t="s">
        <v>98</v>
      </c>
      <c r="D573" s="2" t="s">
        <v>14</v>
      </c>
      <c r="E573" s="2">
        <v>21</v>
      </c>
      <c r="F573" s="2">
        <v>62</v>
      </c>
      <c r="G573" s="2">
        <v>174</v>
      </c>
      <c r="H573" s="9">
        <f t="shared" si="8"/>
        <v>20.478266613819528</v>
      </c>
      <c r="I573" s="2" t="str" cm="1">
        <f t="array" ref="I573">_xlfn.IFS(F573&gt;=100,"Over weight",F573&lt;100,"Average weight")</f>
        <v>Average weight</v>
      </c>
      <c r="J573" s="2" t="str" cm="1">
        <f t="array" ref="J573">_xlfn.IFS(G573&lt;164,"Below Average height",G573&gt;=165,"Above Average height",G573=164,"Average height")</f>
        <v>Above Average height</v>
      </c>
      <c r="K573" s="2" t="str" cm="1">
        <f t="array" ref="K573">_xlfn.IFS(E573&lt;=16,"Children",E573&lt;=30,"Young Adults",E573&lt;=45,"Middle-aged Adults",E573&gt;45,"Old Adults")</f>
        <v>Young Adults</v>
      </c>
    </row>
    <row r="574" spans="1:11" x14ac:dyDescent="0.45">
      <c r="A574" s="2">
        <v>669</v>
      </c>
      <c r="B574" s="2" t="s">
        <v>774</v>
      </c>
      <c r="C574" s="2" t="s">
        <v>88</v>
      </c>
      <c r="D574" s="2" t="s">
        <v>71</v>
      </c>
      <c r="E574" s="2">
        <v>29</v>
      </c>
      <c r="F574" s="2">
        <v>57</v>
      </c>
      <c r="G574" s="2">
        <v>171</v>
      </c>
      <c r="H574" s="9">
        <f t="shared" si="8"/>
        <v>19.493177387914233</v>
      </c>
      <c r="I574" s="2" t="str" cm="1">
        <f t="array" ref="I574">_xlfn.IFS(F574&gt;=100,"Over weight",F574&lt;100,"Average weight")</f>
        <v>Average weight</v>
      </c>
      <c r="J574" s="2" t="str" cm="1">
        <f t="array" ref="J574">_xlfn.IFS(G574&lt;164,"Below Average height",G574&gt;=165,"Above Average height",G574=164,"Average height")</f>
        <v>Above Average height</v>
      </c>
      <c r="K574" s="2" t="str" cm="1">
        <f t="array" ref="K574">_xlfn.IFS(E574&lt;=16,"Children",E574&lt;=30,"Young Adults",E574&lt;=45,"Middle-aged Adults",E574&gt;45,"Old Adults")</f>
        <v>Young Adults</v>
      </c>
    </row>
    <row r="575" spans="1:11" x14ac:dyDescent="0.45">
      <c r="A575" s="2">
        <v>670</v>
      </c>
      <c r="B575" s="2" t="s">
        <v>775</v>
      </c>
      <c r="C575" s="2" t="s">
        <v>87</v>
      </c>
      <c r="D575" s="2" t="s">
        <v>59</v>
      </c>
      <c r="E575" s="2">
        <v>21</v>
      </c>
      <c r="F575" s="2">
        <v>70</v>
      </c>
      <c r="G575" s="2">
        <v>174</v>
      </c>
      <c r="H575" s="9">
        <f t="shared" si="8"/>
        <v>23.120623596247853</v>
      </c>
      <c r="I575" s="2" t="str" cm="1">
        <f t="array" ref="I575">_xlfn.IFS(F575&gt;=100,"Over weight",F575&lt;100,"Average weight")</f>
        <v>Average weight</v>
      </c>
      <c r="J575" s="2" t="str" cm="1">
        <f t="array" ref="J575">_xlfn.IFS(G575&lt;164,"Below Average height",G575&gt;=165,"Above Average height",G575=164,"Average height")</f>
        <v>Above Average height</v>
      </c>
      <c r="K575" s="2" t="str" cm="1">
        <f t="array" ref="K575">_xlfn.IFS(E575&lt;=16,"Children",E575&lt;=30,"Young Adults",E575&lt;=45,"Middle-aged Adults",E575&gt;45,"Old Adults")</f>
        <v>Young Adults</v>
      </c>
    </row>
    <row r="576" spans="1:11" x14ac:dyDescent="0.45">
      <c r="A576" s="2">
        <v>671</v>
      </c>
      <c r="B576" s="2" t="s">
        <v>776</v>
      </c>
      <c r="C576" s="2" t="s">
        <v>91</v>
      </c>
      <c r="D576" s="2" t="s">
        <v>28</v>
      </c>
      <c r="E576" s="2">
        <v>28</v>
      </c>
      <c r="F576" s="2">
        <v>88</v>
      </c>
      <c r="G576" s="2">
        <v>180</v>
      </c>
      <c r="H576" s="9">
        <f t="shared" si="8"/>
        <v>27.160493827160494</v>
      </c>
      <c r="I576" s="2" t="str" cm="1">
        <f t="array" ref="I576">_xlfn.IFS(F576&gt;=100,"Over weight",F576&lt;100,"Average weight")</f>
        <v>Average weight</v>
      </c>
      <c r="J576" s="2" t="str" cm="1">
        <f t="array" ref="J576">_xlfn.IFS(G576&lt;164,"Below Average height",G576&gt;=165,"Above Average height",G576=164,"Average height")</f>
        <v>Above Average height</v>
      </c>
      <c r="K576" s="2" t="str" cm="1">
        <f t="array" ref="K576">_xlfn.IFS(E576&lt;=16,"Children",E576&lt;=30,"Young Adults",E576&lt;=45,"Middle-aged Adults",E576&gt;45,"Old Adults")</f>
        <v>Young Adults</v>
      </c>
    </row>
    <row r="577" spans="1:11" x14ac:dyDescent="0.45">
      <c r="A577" s="2">
        <v>672</v>
      </c>
      <c r="B577" s="2" t="s">
        <v>777</v>
      </c>
      <c r="C577" s="2" t="s">
        <v>96</v>
      </c>
      <c r="D577" s="2" t="s">
        <v>75</v>
      </c>
      <c r="E577" s="2">
        <v>29</v>
      </c>
      <c r="F577" s="2">
        <v>90</v>
      </c>
      <c r="G577" s="2">
        <v>168</v>
      </c>
      <c r="H577" s="9">
        <f t="shared" si="8"/>
        <v>31.887755102040821</v>
      </c>
      <c r="I577" s="2" t="str" cm="1">
        <f t="array" ref="I577">_xlfn.IFS(F577&gt;=100,"Over weight",F577&lt;100,"Average weight")</f>
        <v>Average weight</v>
      </c>
      <c r="J577" s="2" t="str" cm="1">
        <f t="array" ref="J577">_xlfn.IFS(G577&lt;164,"Below Average height",G577&gt;=165,"Above Average height",G577=164,"Average height")</f>
        <v>Above Average height</v>
      </c>
      <c r="K577" s="2" t="str" cm="1">
        <f t="array" ref="K577">_xlfn.IFS(E577&lt;=16,"Children",E577&lt;=30,"Young Adults",E577&lt;=45,"Middle-aged Adults",E577&gt;45,"Old Adults")</f>
        <v>Young Adults</v>
      </c>
    </row>
    <row r="578" spans="1:11" x14ac:dyDescent="0.45">
      <c r="A578" s="2">
        <v>673</v>
      </c>
      <c r="B578" s="2" t="s">
        <v>778</v>
      </c>
      <c r="C578" s="2" t="s">
        <v>88</v>
      </c>
      <c r="D578" s="2" t="s">
        <v>28</v>
      </c>
      <c r="E578" s="2">
        <v>33</v>
      </c>
      <c r="F578" s="2">
        <v>72</v>
      </c>
      <c r="G578" s="2">
        <v>177</v>
      </c>
      <c r="H578" s="9">
        <f t="shared" ref="H578:H641" si="9" xml:space="preserve"> F578 / (( G578/ 100) ^ 2)</f>
        <v>22.981901752370007</v>
      </c>
      <c r="I578" s="2" t="str" cm="1">
        <f t="array" ref="I578">_xlfn.IFS(F578&gt;=100,"Over weight",F578&lt;100,"Average weight")</f>
        <v>Average weight</v>
      </c>
      <c r="J578" s="2" t="str" cm="1">
        <f t="array" ref="J578">_xlfn.IFS(G578&lt;164,"Below Average height",G578&gt;=165,"Above Average height",G578=164,"Average height")</f>
        <v>Above Average height</v>
      </c>
      <c r="K578" s="2" t="str" cm="1">
        <f t="array" ref="K578">_xlfn.IFS(E578&lt;=16,"Children",E578&lt;=30,"Young Adults",E578&lt;=45,"Middle-aged Adults",E578&gt;45,"Old Adults")</f>
        <v>Middle-aged Adults</v>
      </c>
    </row>
    <row r="579" spans="1:11" x14ac:dyDescent="0.45">
      <c r="A579" s="2">
        <v>674</v>
      </c>
      <c r="B579" s="2" t="s">
        <v>779</v>
      </c>
      <c r="C579" s="2" t="s">
        <v>91</v>
      </c>
      <c r="D579" s="2" t="s">
        <v>28</v>
      </c>
      <c r="E579" s="2">
        <v>24</v>
      </c>
      <c r="F579" s="2">
        <v>92</v>
      </c>
      <c r="G579" s="2">
        <v>185</v>
      </c>
      <c r="H579" s="9">
        <f t="shared" si="9"/>
        <v>26.880934989043094</v>
      </c>
      <c r="I579" s="2" t="str" cm="1">
        <f t="array" ref="I579">_xlfn.IFS(F579&gt;=100,"Over weight",F579&lt;100,"Average weight")</f>
        <v>Average weight</v>
      </c>
      <c r="J579" s="2" t="str" cm="1">
        <f t="array" ref="J579">_xlfn.IFS(G579&lt;164,"Below Average height",G579&gt;=165,"Above Average height",G579=164,"Average height")</f>
        <v>Above Average height</v>
      </c>
      <c r="K579" s="2" t="str" cm="1">
        <f t="array" ref="K579">_xlfn.IFS(E579&lt;=16,"Children",E579&lt;=30,"Young Adults",E579&lt;=45,"Middle-aged Adults",E579&gt;45,"Old Adults")</f>
        <v>Young Adults</v>
      </c>
    </row>
    <row r="580" spans="1:11" x14ac:dyDescent="0.45">
      <c r="A580" s="2">
        <v>675</v>
      </c>
      <c r="B580" s="2" t="s">
        <v>780</v>
      </c>
      <c r="C580" s="2" t="s">
        <v>94</v>
      </c>
      <c r="D580" s="2" t="s">
        <v>14</v>
      </c>
      <c r="E580" s="2">
        <v>30</v>
      </c>
      <c r="F580" s="2">
        <v>76</v>
      </c>
      <c r="G580" s="2">
        <v>179</v>
      </c>
      <c r="H580" s="9">
        <f t="shared" si="9"/>
        <v>23.719609250647608</v>
      </c>
      <c r="I580" s="2" t="str" cm="1">
        <f t="array" ref="I580">_xlfn.IFS(F580&gt;=100,"Over weight",F580&lt;100,"Average weight")</f>
        <v>Average weight</v>
      </c>
      <c r="J580" s="2" t="str" cm="1">
        <f t="array" ref="J580">_xlfn.IFS(G580&lt;164,"Below Average height",G580&gt;=165,"Above Average height",G580=164,"Average height")</f>
        <v>Above Average height</v>
      </c>
      <c r="K580" s="2" t="str" cm="1">
        <f t="array" ref="K580">_xlfn.IFS(E580&lt;=16,"Children",E580&lt;=30,"Young Adults",E580&lt;=45,"Middle-aged Adults",E580&gt;45,"Old Adults")</f>
        <v>Young Adults</v>
      </c>
    </row>
    <row r="581" spans="1:11" x14ac:dyDescent="0.45">
      <c r="A581" s="2">
        <v>676</v>
      </c>
      <c r="B581" s="2" t="s">
        <v>781</v>
      </c>
      <c r="C581" s="2" t="s">
        <v>85</v>
      </c>
      <c r="D581" s="2" t="s">
        <v>59</v>
      </c>
      <c r="E581" s="2">
        <v>23</v>
      </c>
      <c r="F581" s="2">
        <v>84</v>
      </c>
      <c r="G581" s="2">
        <v>181</v>
      </c>
      <c r="H581" s="9">
        <f t="shared" si="9"/>
        <v>25.640242971826257</v>
      </c>
      <c r="I581" s="2" t="str" cm="1">
        <f t="array" ref="I581">_xlfn.IFS(F581&gt;=100,"Over weight",F581&lt;100,"Average weight")</f>
        <v>Average weight</v>
      </c>
      <c r="J581" s="2" t="str" cm="1">
        <f t="array" ref="J581">_xlfn.IFS(G581&lt;164,"Below Average height",G581&gt;=165,"Above Average height",G581=164,"Average height")</f>
        <v>Above Average height</v>
      </c>
      <c r="K581" s="2" t="str" cm="1">
        <f t="array" ref="K581">_xlfn.IFS(E581&lt;=16,"Children",E581&lt;=30,"Young Adults",E581&lt;=45,"Middle-aged Adults",E581&gt;45,"Old Adults")</f>
        <v>Young Adults</v>
      </c>
    </row>
    <row r="582" spans="1:11" x14ac:dyDescent="0.45">
      <c r="A582" s="2">
        <v>677</v>
      </c>
      <c r="B582" s="2" t="s">
        <v>782</v>
      </c>
      <c r="C582" s="2" t="s">
        <v>85</v>
      </c>
      <c r="D582" s="2" t="s">
        <v>81</v>
      </c>
      <c r="E582" s="2">
        <v>22</v>
      </c>
      <c r="F582" s="2">
        <v>60</v>
      </c>
      <c r="G582" s="2">
        <v>180</v>
      </c>
      <c r="H582" s="9">
        <f t="shared" si="9"/>
        <v>18.518518518518519</v>
      </c>
      <c r="I582" s="2" t="str" cm="1">
        <f t="array" ref="I582">_xlfn.IFS(F582&gt;=100,"Over weight",F582&lt;100,"Average weight")</f>
        <v>Average weight</v>
      </c>
      <c r="J582" s="2" t="str" cm="1">
        <f t="array" ref="J582">_xlfn.IFS(G582&lt;164,"Below Average height",G582&gt;=165,"Above Average height",G582=164,"Average height")</f>
        <v>Above Average height</v>
      </c>
      <c r="K582" s="2" t="str" cm="1">
        <f t="array" ref="K582">_xlfn.IFS(E582&lt;=16,"Children",E582&lt;=30,"Young Adults",E582&lt;=45,"Middle-aged Adults",E582&gt;45,"Old Adults")</f>
        <v>Young Adults</v>
      </c>
    </row>
    <row r="583" spans="1:11" x14ac:dyDescent="0.45">
      <c r="A583" s="2">
        <v>678</v>
      </c>
      <c r="B583" s="2" t="s">
        <v>783</v>
      </c>
      <c r="C583" s="2" t="s">
        <v>94</v>
      </c>
      <c r="D583" s="2" t="s">
        <v>13</v>
      </c>
      <c r="E583" s="2">
        <v>24</v>
      </c>
      <c r="F583" s="2">
        <v>56</v>
      </c>
      <c r="G583" s="2">
        <v>167</v>
      </c>
      <c r="H583" s="9">
        <f t="shared" si="9"/>
        <v>20.07960127648894</v>
      </c>
      <c r="I583" s="2" t="str" cm="1">
        <f t="array" ref="I583">_xlfn.IFS(F583&gt;=100,"Over weight",F583&lt;100,"Average weight")</f>
        <v>Average weight</v>
      </c>
      <c r="J583" s="2" t="str" cm="1">
        <f t="array" ref="J583">_xlfn.IFS(G583&lt;164,"Below Average height",G583&gt;=165,"Above Average height",G583=164,"Average height")</f>
        <v>Above Average height</v>
      </c>
      <c r="K583" s="2" t="str" cm="1">
        <f t="array" ref="K583">_xlfn.IFS(E583&lt;=16,"Children",E583&lt;=30,"Young Adults",E583&lt;=45,"Middle-aged Adults",E583&gt;45,"Old Adults")</f>
        <v>Young Adults</v>
      </c>
    </row>
    <row r="584" spans="1:11" x14ac:dyDescent="0.45">
      <c r="A584" s="2">
        <v>679</v>
      </c>
      <c r="B584" s="2" t="s">
        <v>784</v>
      </c>
      <c r="C584" s="2" t="s">
        <v>95</v>
      </c>
      <c r="D584" s="2" t="s">
        <v>80</v>
      </c>
      <c r="E584" s="2">
        <v>39</v>
      </c>
      <c r="F584" s="2">
        <v>91</v>
      </c>
      <c r="G584" s="2">
        <v>185</v>
      </c>
      <c r="H584" s="9">
        <f t="shared" si="9"/>
        <v>26.588750913075234</v>
      </c>
      <c r="I584" s="2" t="str" cm="1">
        <f t="array" ref="I584">_xlfn.IFS(F584&gt;=100,"Over weight",F584&lt;100,"Average weight")</f>
        <v>Average weight</v>
      </c>
      <c r="J584" s="2" t="str" cm="1">
        <f t="array" ref="J584">_xlfn.IFS(G584&lt;164,"Below Average height",G584&gt;=165,"Above Average height",G584=164,"Average height")</f>
        <v>Above Average height</v>
      </c>
      <c r="K584" s="2" t="str" cm="1">
        <f t="array" ref="K584">_xlfn.IFS(E584&lt;=16,"Children",E584&lt;=30,"Young Adults",E584&lt;=45,"Middle-aged Adults",E584&gt;45,"Old Adults")</f>
        <v>Middle-aged Adults</v>
      </c>
    </row>
    <row r="585" spans="1:11" x14ac:dyDescent="0.45">
      <c r="A585" s="2">
        <v>680</v>
      </c>
      <c r="B585" s="2" t="s">
        <v>785</v>
      </c>
      <c r="C585" s="2" t="s">
        <v>87</v>
      </c>
      <c r="D585" s="2" t="s">
        <v>8</v>
      </c>
      <c r="E585" s="2">
        <v>30</v>
      </c>
      <c r="F585" s="2">
        <v>74</v>
      </c>
      <c r="G585" s="2">
        <v>176</v>
      </c>
      <c r="H585" s="9">
        <f t="shared" si="9"/>
        <v>23.889462809917354</v>
      </c>
      <c r="I585" s="2" t="str" cm="1">
        <f t="array" ref="I585">_xlfn.IFS(F585&gt;=100,"Over weight",F585&lt;100,"Average weight")</f>
        <v>Average weight</v>
      </c>
      <c r="J585" s="2" t="str" cm="1">
        <f t="array" ref="J585">_xlfn.IFS(G585&lt;164,"Below Average height",G585&gt;=165,"Above Average height",G585=164,"Average height")</f>
        <v>Above Average height</v>
      </c>
      <c r="K585" s="2" t="str" cm="1">
        <f t="array" ref="K585">_xlfn.IFS(E585&lt;=16,"Children",E585&lt;=30,"Young Adults",E585&lt;=45,"Middle-aged Adults",E585&gt;45,"Old Adults")</f>
        <v>Young Adults</v>
      </c>
    </row>
    <row r="586" spans="1:11" x14ac:dyDescent="0.45">
      <c r="A586" s="2">
        <v>681</v>
      </c>
      <c r="B586" s="2" t="s">
        <v>786</v>
      </c>
      <c r="C586" s="2" t="s">
        <v>89</v>
      </c>
      <c r="D586" s="2" t="s">
        <v>58</v>
      </c>
      <c r="E586" s="2">
        <v>33</v>
      </c>
      <c r="F586" s="2">
        <v>75</v>
      </c>
      <c r="G586" s="2">
        <v>180</v>
      </c>
      <c r="H586" s="9">
        <f t="shared" si="9"/>
        <v>23.148148148148145</v>
      </c>
      <c r="I586" s="2" t="str" cm="1">
        <f t="array" ref="I586">_xlfn.IFS(F586&gt;=100,"Over weight",F586&lt;100,"Average weight")</f>
        <v>Average weight</v>
      </c>
      <c r="J586" s="2" t="str" cm="1">
        <f t="array" ref="J586">_xlfn.IFS(G586&lt;164,"Below Average height",G586&gt;=165,"Above Average height",G586=164,"Average height")</f>
        <v>Above Average height</v>
      </c>
      <c r="K586" s="2" t="str" cm="1">
        <f t="array" ref="K586">_xlfn.IFS(E586&lt;=16,"Children",E586&lt;=30,"Young Adults",E586&lt;=45,"Middle-aged Adults",E586&gt;45,"Old Adults")</f>
        <v>Middle-aged Adults</v>
      </c>
    </row>
    <row r="587" spans="1:11" x14ac:dyDescent="0.45">
      <c r="A587" s="2">
        <v>683</v>
      </c>
      <c r="B587" s="2" t="s">
        <v>788</v>
      </c>
      <c r="C587" s="2" t="s">
        <v>89</v>
      </c>
      <c r="D587" s="2" t="s">
        <v>58</v>
      </c>
      <c r="E587" s="2">
        <v>28</v>
      </c>
      <c r="F587" s="2">
        <v>82</v>
      </c>
      <c r="G587" s="2">
        <v>181</v>
      </c>
      <c r="H587" s="9">
        <f t="shared" si="9"/>
        <v>25.029760996306585</v>
      </c>
      <c r="I587" s="2" t="str" cm="1">
        <f t="array" ref="I587">_xlfn.IFS(F587&gt;=100,"Over weight",F587&lt;100,"Average weight")</f>
        <v>Average weight</v>
      </c>
      <c r="J587" s="2" t="str" cm="1">
        <f t="array" ref="J587">_xlfn.IFS(G587&lt;164,"Below Average height",G587&gt;=165,"Above Average height",G587=164,"Average height")</f>
        <v>Above Average height</v>
      </c>
      <c r="K587" s="2" t="str" cm="1">
        <f t="array" ref="K587">_xlfn.IFS(E587&lt;=16,"Children",E587&lt;=30,"Young Adults",E587&lt;=45,"Middle-aged Adults",E587&gt;45,"Old Adults")</f>
        <v>Young Adults</v>
      </c>
    </row>
    <row r="588" spans="1:11" x14ac:dyDescent="0.45">
      <c r="A588" s="2">
        <v>684</v>
      </c>
      <c r="B588" s="2" t="s">
        <v>789</v>
      </c>
      <c r="C588" s="2" t="s">
        <v>91</v>
      </c>
      <c r="D588" s="2" t="s">
        <v>60</v>
      </c>
      <c r="E588" s="2">
        <v>32</v>
      </c>
      <c r="F588" s="2">
        <v>86</v>
      </c>
      <c r="G588" s="2">
        <v>188</v>
      </c>
      <c r="H588" s="9">
        <f t="shared" si="9"/>
        <v>24.332277048438208</v>
      </c>
      <c r="I588" s="2" t="str" cm="1">
        <f t="array" ref="I588">_xlfn.IFS(F588&gt;=100,"Over weight",F588&lt;100,"Average weight")</f>
        <v>Average weight</v>
      </c>
      <c r="J588" s="2" t="str" cm="1">
        <f t="array" ref="J588">_xlfn.IFS(G588&lt;164,"Below Average height",G588&gt;=165,"Above Average height",G588=164,"Average height")</f>
        <v>Above Average height</v>
      </c>
      <c r="K588" s="2" t="str" cm="1">
        <f t="array" ref="K588">_xlfn.IFS(E588&lt;=16,"Children",E588&lt;=30,"Young Adults",E588&lt;=45,"Middle-aged Adults",E588&gt;45,"Old Adults")</f>
        <v>Middle-aged Adults</v>
      </c>
    </row>
    <row r="589" spans="1:11" x14ac:dyDescent="0.45">
      <c r="A589" s="2">
        <v>685</v>
      </c>
      <c r="B589" s="2" t="s">
        <v>790</v>
      </c>
      <c r="C589" s="2" t="s">
        <v>89</v>
      </c>
      <c r="D589" s="2" t="s">
        <v>14</v>
      </c>
      <c r="E589" s="2">
        <v>33</v>
      </c>
      <c r="F589" s="2">
        <v>66</v>
      </c>
      <c r="G589" s="2">
        <v>175</v>
      </c>
      <c r="H589" s="9">
        <f t="shared" si="9"/>
        <v>21.551020408163264</v>
      </c>
      <c r="I589" s="2" t="str" cm="1">
        <f t="array" ref="I589">_xlfn.IFS(F589&gt;=100,"Over weight",F589&lt;100,"Average weight")</f>
        <v>Average weight</v>
      </c>
      <c r="J589" s="2" t="str" cm="1">
        <f t="array" ref="J589">_xlfn.IFS(G589&lt;164,"Below Average height",G589&gt;=165,"Above Average height",G589=164,"Average height")</f>
        <v>Above Average height</v>
      </c>
      <c r="K589" s="2" t="str" cm="1">
        <f t="array" ref="K589">_xlfn.IFS(E589&lt;=16,"Children",E589&lt;=30,"Young Adults",E589&lt;=45,"Middle-aged Adults",E589&gt;45,"Old Adults")</f>
        <v>Middle-aged Adults</v>
      </c>
    </row>
    <row r="590" spans="1:11" x14ac:dyDescent="0.45">
      <c r="A590" s="2">
        <v>686</v>
      </c>
      <c r="B590" s="2" t="s">
        <v>791</v>
      </c>
      <c r="C590" s="2" t="s">
        <v>97</v>
      </c>
      <c r="D590" s="2" t="s">
        <v>6</v>
      </c>
      <c r="E590" s="2">
        <v>27</v>
      </c>
      <c r="F590" s="2">
        <v>71</v>
      </c>
      <c r="G590" s="2">
        <v>185</v>
      </c>
      <c r="H590" s="9">
        <f t="shared" si="9"/>
        <v>20.74506939371804</v>
      </c>
      <c r="I590" s="2" t="str" cm="1">
        <f t="array" ref="I590">_xlfn.IFS(F590&gt;=100,"Over weight",F590&lt;100,"Average weight")</f>
        <v>Average weight</v>
      </c>
      <c r="J590" s="2" t="str" cm="1">
        <f t="array" ref="J590">_xlfn.IFS(G590&lt;164,"Below Average height",G590&gt;=165,"Above Average height",G590=164,"Average height")</f>
        <v>Above Average height</v>
      </c>
      <c r="K590" s="2" t="str" cm="1">
        <f t="array" ref="K590">_xlfn.IFS(E590&lt;=16,"Children",E590&lt;=30,"Young Adults",E590&lt;=45,"Middle-aged Adults",E590&gt;45,"Old Adults")</f>
        <v>Young Adults</v>
      </c>
    </row>
    <row r="591" spans="1:11" x14ac:dyDescent="0.45">
      <c r="A591" s="2">
        <v>687</v>
      </c>
      <c r="B591" s="2" t="s">
        <v>792</v>
      </c>
      <c r="C591" s="2" t="s">
        <v>94</v>
      </c>
      <c r="D591" s="2" t="s">
        <v>75</v>
      </c>
      <c r="E591" s="2">
        <v>25</v>
      </c>
      <c r="F591" s="2">
        <v>60</v>
      </c>
      <c r="G591" s="2">
        <v>170</v>
      </c>
      <c r="H591" s="9">
        <f t="shared" si="9"/>
        <v>20.761245674740486</v>
      </c>
      <c r="I591" s="2" t="str" cm="1">
        <f t="array" ref="I591">_xlfn.IFS(F591&gt;=100,"Over weight",F591&lt;100,"Average weight")</f>
        <v>Average weight</v>
      </c>
      <c r="J591" s="2" t="str" cm="1">
        <f t="array" ref="J591">_xlfn.IFS(G591&lt;164,"Below Average height",G591&gt;=165,"Above Average height",G591=164,"Average height")</f>
        <v>Above Average height</v>
      </c>
      <c r="K591" s="2" t="str" cm="1">
        <f t="array" ref="K591">_xlfn.IFS(E591&lt;=16,"Children",E591&lt;=30,"Young Adults",E591&lt;=45,"Middle-aged Adults",E591&gt;45,"Old Adults")</f>
        <v>Young Adults</v>
      </c>
    </row>
    <row r="592" spans="1:11" x14ac:dyDescent="0.45">
      <c r="A592" s="2">
        <v>688</v>
      </c>
      <c r="B592" s="2" t="s">
        <v>793</v>
      </c>
      <c r="C592" s="2" t="s">
        <v>95</v>
      </c>
      <c r="D592" s="2" t="s">
        <v>39</v>
      </c>
      <c r="E592" s="2">
        <v>32</v>
      </c>
      <c r="F592" s="2">
        <v>75</v>
      </c>
      <c r="G592" s="2">
        <v>170</v>
      </c>
      <c r="H592" s="9">
        <f t="shared" si="9"/>
        <v>25.95155709342561</v>
      </c>
      <c r="I592" s="2" t="str" cm="1">
        <f t="array" ref="I592">_xlfn.IFS(F592&gt;=100,"Over weight",F592&lt;100,"Average weight")</f>
        <v>Average weight</v>
      </c>
      <c r="J592" s="2" t="str" cm="1">
        <f t="array" ref="J592">_xlfn.IFS(G592&lt;164,"Below Average height",G592&gt;=165,"Above Average height",G592=164,"Average height")</f>
        <v>Above Average height</v>
      </c>
      <c r="K592" s="2" t="str" cm="1">
        <f t="array" ref="K592">_xlfn.IFS(E592&lt;=16,"Children",E592&lt;=30,"Young Adults",E592&lt;=45,"Middle-aged Adults",E592&gt;45,"Old Adults")</f>
        <v>Middle-aged Adults</v>
      </c>
    </row>
    <row r="593" spans="1:11" x14ac:dyDescent="0.45">
      <c r="A593" s="2">
        <v>689</v>
      </c>
      <c r="B593" s="2" t="s">
        <v>794</v>
      </c>
      <c r="C593" s="2" t="s">
        <v>85</v>
      </c>
      <c r="D593" s="2" t="s">
        <v>75</v>
      </c>
      <c r="E593" s="2">
        <v>32</v>
      </c>
      <c r="F593" s="2">
        <v>90</v>
      </c>
      <c r="G593" s="2">
        <v>180</v>
      </c>
      <c r="H593" s="9">
        <f t="shared" si="9"/>
        <v>27.777777777777775</v>
      </c>
      <c r="I593" s="2" t="str" cm="1">
        <f t="array" ref="I593">_xlfn.IFS(F593&gt;=100,"Over weight",F593&lt;100,"Average weight")</f>
        <v>Average weight</v>
      </c>
      <c r="J593" s="2" t="str" cm="1">
        <f t="array" ref="J593">_xlfn.IFS(G593&lt;164,"Below Average height",G593&gt;=165,"Above Average height",G593=164,"Average height")</f>
        <v>Above Average height</v>
      </c>
      <c r="K593" s="2" t="str" cm="1">
        <f t="array" ref="K593">_xlfn.IFS(E593&lt;=16,"Children",E593&lt;=30,"Young Adults",E593&lt;=45,"Middle-aged Adults",E593&gt;45,"Old Adults")</f>
        <v>Middle-aged Adults</v>
      </c>
    </row>
    <row r="594" spans="1:11" x14ac:dyDescent="0.45">
      <c r="A594" s="2">
        <v>690</v>
      </c>
      <c r="B594" s="2" t="s">
        <v>795</v>
      </c>
      <c r="C594" s="2" t="s">
        <v>93</v>
      </c>
      <c r="D594" s="2" t="s">
        <v>6</v>
      </c>
      <c r="E594" s="2">
        <v>28</v>
      </c>
      <c r="F594" s="2">
        <v>80</v>
      </c>
      <c r="G594" s="2">
        <v>177</v>
      </c>
      <c r="H594" s="9">
        <f t="shared" si="9"/>
        <v>25.535446391522228</v>
      </c>
      <c r="I594" s="2" t="str" cm="1">
        <f t="array" ref="I594">_xlfn.IFS(F594&gt;=100,"Over weight",F594&lt;100,"Average weight")</f>
        <v>Average weight</v>
      </c>
      <c r="J594" s="2" t="str" cm="1">
        <f t="array" ref="J594">_xlfn.IFS(G594&lt;164,"Below Average height",G594&gt;=165,"Above Average height",G594=164,"Average height")</f>
        <v>Above Average height</v>
      </c>
      <c r="K594" s="2" t="str" cm="1">
        <f t="array" ref="K594">_xlfn.IFS(E594&lt;=16,"Children",E594&lt;=30,"Young Adults",E594&lt;=45,"Middle-aged Adults",E594&gt;45,"Old Adults")</f>
        <v>Young Adults</v>
      </c>
    </row>
    <row r="595" spans="1:11" x14ac:dyDescent="0.45">
      <c r="A595" s="2">
        <v>691</v>
      </c>
      <c r="B595" s="2" t="s">
        <v>796</v>
      </c>
      <c r="C595" s="2" t="s">
        <v>85</v>
      </c>
      <c r="D595" s="2" t="s">
        <v>6</v>
      </c>
      <c r="E595" s="2">
        <v>28</v>
      </c>
      <c r="F595" s="2">
        <v>90</v>
      </c>
      <c r="G595" s="2">
        <v>180</v>
      </c>
      <c r="H595" s="9">
        <f t="shared" si="9"/>
        <v>27.777777777777775</v>
      </c>
      <c r="I595" s="2" t="str" cm="1">
        <f t="array" ref="I595">_xlfn.IFS(F595&gt;=100,"Over weight",F595&lt;100,"Average weight")</f>
        <v>Average weight</v>
      </c>
      <c r="J595" s="2" t="str" cm="1">
        <f t="array" ref="J595">_xlfn.IFS(G595&lt;164,"Below Average height",G595&gt;=165,"Above Average height",G595=164,"Average height")</f>
        <v>Above Average height</v>
      </c>
      <c r="K595" s="2" t="str" cm="1">
        <f t="array" ref="K595">_xlfn.IFS(E595&lt;=16,"Children",E595&lt;=30,"Young Adults",E595&lt;=45,"Middle-aged Adults",E595&gt;45,"Old Adults")</f>
        <v>Young Adults</v>
      </c>
    </row>
    <row r="596" spans="1:11" x14ac:dyDescent="0.45">
      <c r="A596" s="2">
        <v>692</v>
      </c>
      <c r="B596" s="2" t="s">
        <v>797</v>
      </c>
      <c r="C596" s="2" t="s">
        <v>94</v>
      </c>
      <c r="D596" s="2" t="s">
        <v>79</v>
      </c>
      <c r="E596" s="2">
        <v>24</v>
      </c>
      <c r="F596" s="2">
        <v>65</v>
      </c>
      <c r="G596" s="2">
        <v>166</v>
      </c>
      <c r="H596" s="9">
        <f t="shared" si="9"/>
        <v>23.588329220496444</v>
      </c>
      <c r="I596" s="2" t="str" cm="1">
        <f t="array" ref="I596">_xlfn.IFS(F596&gt;=100,"Over weight",F596&lt;100,"Average weight")</f>
        <v>Average weight</v>
      </c>
      <c r="J596" s="2" t="str" cm="1">
        <f t="array" ref="J596">_xlfn.IFS(G596&lt;164,"Below Average height",G596&gt;=165,"Above Average height",G596=164,"Average height")</f>
        <v>Above Average height</v>
      </c>
      <c r="K596" s="2" t="str" cm="1">
        <f t="array" ref="K596">_xlfn.IFS(E596&lt;=16,"Children",E596&lt;=30,"Young Adults",E596&lt;=45,"Middle-aged Adults",E596&gt;45,"Old Adults")</f>
        <v>Young Adults</v>
      </c>
    </row>
    <row r="597" spans="1:11" x14ac:dyDescent="0.45">
      <c r="A597" s="2">
        <v>693</v>
      </c>
      <c r="B597" s="2" t="s">
        <v>798</v>
      </c>
      <c r="C597" s="2" t="s">
        <v>85</v>
      </c>
      <c r="D597" s="2" t="s">
        <v>14</v>
      </c>
      <c r="E597" s="2">
        <v>28</v>
      </c>
      <c r="F597" s="2">
        <v>84</v>
      </c>
      <c r="G597" s="2">
        <v>178</v>
      </c>
      <c r="H597" s="9">
        <f t="shared" si="9"/>
        <v>26.511804065143288</v>
      </c>
      <c r="I597" s="2" t="str" cm="1">
        <f t="array" ref="I597">_xlfn.IFS(F597&gt;=100,"Over weight",F597&lt;100,"Average weight")</f>
        <v>Average weight</v>
      </c>
      <c r="J597" s="2" t="str" cm="1">
        <f t="array" ref="J597">_xlfn.IFS(G597&lt;164,"Below Average height",G597&gt;=165,"Above Average height",G597=164,"Average height")</f>
        <v>Above Average height</v>
      </c>
      <c r="K597" s="2" t="str" cm="1">
        <f t="array" ref="K597">_xlfn.IFS(E597&lt;=16,"Children",E597&lt;=30,"Young Adults",E597&lt;=45,"Middle-aged Adults",E597&gt;45,"Old Adults")</f>
        <v>Young Adults</v>
      </c>
    </row>
    <row r="598" spans="1:11" x14ac:dyDescent="0.45">
      <c r="A598" s="2">
        <v>694</v>
      </c>
      <c r="B598" s="2" t="s">
        <v>799</v>
      </c>
      <c r="C598" s="2" t="s">
        <v>85</v>
      </c>
      <c r="D598" s="2" t="s">
        <v>34</v>
      </c>
      <c r="E598" s="2">
        <v>19</v>
      </c>
      <c r="F598" s="2">
        <v>69</v>
      </c>
      <c r="G598" s="2">
        <v>174</v>
      </c>
      <c r="H598" s="9">
        <f t="shared" si="9"/>
        <v>22.790328973444311</v>
      </c>
      <c r="I598" s="2" t="str" cm="1">
        <f t="array" ref="I598">_xlfn.IFS(F598&gt;=100,"Over weight",F598&lt;100,"Average weight")</f>
        <v>Average weight</v>
      </c>
      <c r="J598" s="2" t="str" cm="1">
        <f t="array" ref="J598">_xlfn.IFS(G598&lt;164,"Below Average height",G598&gt;=165,"Above Average height",G598=164,"Average height")</f>
        <v>Above Average height</v>
      </c>
      <c r="K598" s="2" t="str" cm="1">
        <f t="array" ref="K598">_xlfn.IFS(E598&lt;=16,"Children",E598&lt;=30,"Young Adults",E598&lt;=45,"Middle-aged Adults",E598&gt;45,"Old Adults")</f>
        <v>Young Adults</v>
      </c>
    </row>
    <row r="599" spans="1:11" x14ac:dyDescent="0.45">
      <c r="A599" s="2">
        <v>695</v>
      </c>
      <c r="B599" s="2" t="s">
        <v>800</v>
      </c>
      <c r="C599" s="2" t="s">
        <v>95</v>
      </c>
      <c r="D599" s="2" t="s">
        <v>46</v>
      </c>
      <c r="E599" s="2">
        <v>21</v>
      </c>
      <c r="F599" s="2">
        <v>75</v>
      </c>
      <c r="G599" s="2">
        <v>173</v>
      </c>
      <c r="H599" s="9">
        <f t="shared" si="9"/>
        <v>25.059307026629689</v>
      </c>
      <c r="I599" s="2" t="str" cm="1">
        <f t="array" ref="I599">_xlfn.IFS(F599&gt;=100,"Over weight",F599&lt;100,"Average weight")</f>
        <v>Average weight</v>
      </c>
      <c r="J599" s="2" t="str" cm="1">
        <f t="array" ref="J599">_xlfn.IFS(G599&lt;164,"Below Average height",G599&gt;=165,"Above Average height",G599=164,"Average height")</f>
        <v>Above Average height</v>
      </c>
      <c r="K599" s="2" t="str" cm="1">
        <f t="array" ref="K599">_xlfn.IFS(E599&lt;=16,"Children",E599&lt;=30,"Young Adults",E599&lt;=45,"Middle-aged Adults",E599&gt;45,"Old Adults")</f>
        <v>Young Adults</v>
      </c>
    </row>
    <row r="600" spans="1:11" x14ac:dyDescent="0.45">
      <c r="A600" s="2">
        <v>696</v>
      </c>
      <c r="B600" s="2" t="s">
        <v>801</v>
      </c>
      <c r="C600" s="2" t="s">
        <v>93</v>
      </c>
      <c r="D600" s="2" t="s">
        <v>6</v>
      </c>
      <c r="E600" s="2">
        <v>31</v>
      </c>
      <c r="F600" s="2">
        <v>59</v>
      </c>
      <c r="G600" s="2">
        <v>165</v>
      </c>
      <c r="H600" s="9">
        <f t="shared" si="9"/>
        <v>21.6712580348944</v>
      </c>
      <c r="I600" s="2" t="str" cm="1">
        <f t="array" ref="I600">_xlfn.IFS(F600&gt;=100,"Over weight",F600&lt;100,"Average weight")</f>
        <v>Average weight</v>
      </c>
      <c r="J600" s="2" t="str" cm="1">
        <f t="array" ref="J600">_xlfn.IFS(G600&lt;164,"Below Average height",G600&gt;=165,"Above Average height",G600=164,"Average height")</f>
        <v>Above Average height</v>
      </c>
      <c r="K600" s="2" t="str" cm="1">
        <f t="array" ref="K600">_xlfn.IFS(E600&lt;=16,"Children",E600&lt;=30,"Young Adults",E600&lt;=45,"Middle-aged Adults",E600&gt;45,"Old Adults")</f>
        <v>Middle-aged Adults</v>
      </c>
    </row>
    <row r="601" spans="1:11" x14ac:dyDescent="0.45">
      <c r="A601" s="2">
        <v>697</v>
      </c>
      <c r="B601" s="2" t="s">
        <v>802</v>
      </c>
      <c r="C601" s="2" t="s">
        <v>100</v>
      </c>
      <c r="D601" s="2" t="s">
        <v>6</v>
      </c>
      <c r="E601" s="2">
        <v>25</v>
      </c>
      <c r="F601" s="2">
        <v>75</v>
      </c>
      <c r="G601" s="2">
        <v>179</v>
      </c>
      <c r="H601" s="9">
        <f t="shared" si="9"/>
        <v>23.40750912892856</v>
      </c>
      <c r="I601" s="2" t="str" cm="1">
        <f t="array" ref="I601">_xlfn.IFS(F601&gt;=100,"Over weight",F601&lt;100,"Average weight")</f>
        <v>Average weight</v>
      </c>
      <c r="J601" s="2" t="str" cm="1">
        <f t="array" ref="J601">_xlfn.IFS(G601&lt;164,"Below Average height",G601&gt;=165,"Above Average height",G601=164,"Average height")</f>
        <v>Above Average height</v>
      </c>
      <c r="K601" s="2" t="str" cm="1">
        <f t="array" ref="K601">_xlfn.IFS(E601&lt;=16,"Children",E601&lt;=30,"Young Adults",E601&lt;=45,"Middle-aged Adults",E601&gt;45,"Old Adults")</f>
        <v>Young Adults</v>
      </c>
    </row>
    <row r="602" spans="1:11" x14ac:dyDescent="0.45">
      <c r="A602" s="2">
        <v>698</v>
      </c>
      <c r="B602" s="2" t="s">
        <v>803</v>
      </c>
      <c r="C602" s="2" t="s">
        <v>91</v>
      </c>
      <c r="D602" s="2" t="s">
        <v>75</v>
      </c>
      <c r="E602" s="2">
        <v>25</v>
      </c>
      <c r="F602" s="2">
        <v>93</v>
      </c>
      <c r="G602" s="2">
        <v>179</v>
      </c>
      <c r="H602" s="9">
        <f t="shared" si="9"/>
        <v>29.025311319871417</v>
      </c>
      <c r="I602" s="2" t="str" cm="1">
        <f t="array" ref="I602">_xlfn.IFS(F602&gt;=100,"Over weight",F602&lt;100,"Average weight")</f>
        <v>Average weight</v>
      </c>
      <c r="J602" s="2" t="str" cm="1">
        <f t="array" ref="J602">_xlfn.IFS(G602&lt;164,"Below Average height",G602&gt;=165,"Above Average height",G602=164,"Average height")</f>
        <v>Above Average height</v>
      </c>
      <c r="K602" s="2" t="str" cm="1">
        <f t="array" ref="K602">_xlfn.IFS(E602&lt;=16,"Children",E602&lt;=30,"Young Adults",E602&lt;=45,"Middle-aged Adults",E602&gt;45,"Old Adults")</f>
        <v>Young Adults</v>
      </c>
    </row>
    <row r="603" spans="1:11" x14ac:dyDescent="0.45">
      <c r="A603" s="2">
        <v>701</v>
      </c>
      <c r="B603" s="2" t="s">
        <v>806</v>
      </c>
      <c r="C603" s="2" t="s">
        <v>95</v>
      </c>
      <c r="D603" s="2" t="s">
        <v>27</v>
      </c>
      <c r="E603" s="2">
        <v>21</v>
      </c>
      <c r="F603" s="2">
        <v>80</v>
      </c>
      <c r="G603" s="2">
        <v>175</v>
      </c>
      <c r="H603" s="9">
        <f t="shared" si="9"/>
        <v>26.122448979591837</v>
      </c>
      <c r="I603" s="2" t="str" cm="1">
        <f t="array" ref="I603">_xlfn.IFS(F603&gt;=100,"Over weight",F603&lt;100,"Average weight")</f>
        <v>Average weight</v>
      </c>
      <c r="J603" s="2" t="str" cm="1">
        <f t="array" ref="J603">_xlfn.IFS(G603&lt;164,"Below Average height",G603&gt;=165,"Above Average height",G603=164,"Average height")</f>
        <v>Above Average height</v>
      </c>
      <c r="K603" s="2" t="str" cm="1">
        <f t="array" ref="K603">_xlfn.IFS(E603&lt;=16,"Children",E603&lt;=30,"Young Adults",E603&lt;=45,"Middle-aged Adults",E603&gt;45,"Old Adults")</f>
        <v>Young Adults</v>
      </c>
    </row>
    <row r="604" spans="1:11" x14ac:dyDescent="0.45">
      <c r="A604" s="2">
        <v>702</v>
      </c>
      <c r="B604" s="2" t="s">
        <v>807</v>
      </c>
      <c r="C604" s="2" t="s">
        <v>91</v>
      </c>
      <c r="D604" s="2" t="s">
        <v>74</v>
      </c>
      <c r="E604" s="2">
        <v>25</v>
      </c>
      <c r="F604" s="2">
        <v>82</v>
      </c>
      <c r="G604" s="2">
        <v>191</v>
      </c>
      <c r="H604" s="9">
        <f t="shared" si="9"/>
        <v>22.477454017159619</v>
      </c>
      <c r="I604" s="2" t="str" cm="1">
        <f t="array" ref="I604">_xlfn.IFS(F604&gt;=100,"Over weight",F604&lt;100,"Average weight")</f>
        <v>Average weight</v>
      </c>
      <c r="J604" s="2" t="str" cm="1">
        <f t="array" ref="J604">_xlfn.IFS(G604&lt;164,"Below Average height",G604&gt;=165,"Above Average height",G604=164,"Average height")</f>
        <v>Above Average height</v>
      </c>
      <c r="K604" s="2" t="str" cm="1">
        <f t="array" ref="K604">_xlfn.IFS(E604&lt;=16,"Children",E604&lt;=30,"Young Adults",E604&lt;=45,"Middle-aged Adults",E604&gt;45,"Old Adults")</f>
        <v>Young Adults</v>
      </c>
    </row>
    <row r="605" spans="1:11" x14ac:dyDescent="0.45">
      <c r="A605" s="2">
        <v>703</v>
      </c>
      <c r="B605" s="2" t="s">
        <v>808</v>
      </c>
      <c r="C605" s="2" t="s">
        <v>87</v>
      </c>
      <c r="D605" s="2" t="s">
        <v>6</v>
      </c>
      <c r="E605" s="2">
        <v>43</v>
      </c>
      <c r="F605" s="2">
        <v>58</v>
      </c>
      <c r="G605" s="2">
        <v>172</v>
      </c>
      <c r="H605" s="9">
        <f t="shared" si="9"/>
        <v>19.605191995673341</v>
      </c>
      <c r="I605" s="2" t="str" cm="1">
        <f t="array" ref="I605">_xlfn.IFS(F605&gt;=100,"Over weight",F605&lt;100,"Average weight")</f>
        <v>Average weight</v>
      </c>
      <c r="J605" s="2" t="str" cm="1">
        <f t="array" ref="J605">_xlfn.IFS(G605&lt;164,"Below Average height",G605&gt;=165,"Above Average height",G605=164,"Average height")</f>
        <v>Above Average height</v>
      </c>
      <c r="K605" s="2" t="str" cm="1">
        <f t="array" ref="K605">_xlfn.IFS(E605&lt;=16,"Children",E605&lt;=30,"Young Adults",E605&lt;=45,"Middle-aged Adults",E605&gt;45,"Old Adults")</f>
        <v>Middle-aged Adults</v>
      </c>
    </row>
    <row r="606" spans="1:11" x14ac:dyDescent="0.45">
      <c r="A606" s="2">
        <v>704</v>
      </c>
      <c r="B606" s="2" t="s">
        <v>809</v>
      </c>
      <c r="C606" s="2" t="s">
        <v>94</v>
      </c>
      <c r="D606" s="2" t="s">
        <v>73</v>
      </c>
      <c r="E606" s="2">
        <v>24</v>
      </c>
      <c r="F606" s="2">
        <v>65</v>
      </c>
      <c r="G606" s="2">
        <v>177</v>
      </c>
      <c r="H606" s="9">
        <f t="shared" si="9"/>
        <v>20.747550193111813</v>
      </c>
      <c r="I606" s="2" t="str" cm="1">
        <f t="array" ref="I606">_xlfn.IFS(F606&gt;=100,"Over weight",F606&lt;100,"Average weight")</f>
        <v>Average weight</v>
      </c>
      <c r="J606" s="2" t="str" cm="1">
        <f t="array" ref="J606">_xlfn.IFS(G606&lt;164,"Below Average height",G606&gt;=165,"Above Average height",G606=164,"Average height")</f>
        <v>Above Average height</v>
      </c>
      <c r="K606" s="2" t="str" cm="1">
        <f t="array" ref="K606">_xlfn.IFS(E606&lt;=16,"Children",E606&lt;=30,"Young Adults",E606&lt;=45,"Middle-aged Adults",E606&gt;45,"Old Adults")</f>
        <v>Young Adults</v>
      </c>
    </row>
    <row r="607" spans="1:11" x14ac:dyDescent="0.45">
      <c r="A607" s="2">
        <v>706</v>
      </c>
      <c r="B607" s="2" t="s">
        <v>811</v>
      </c>
      <c r="C607" s="2" t="s">
        <v>88</v>
      </c>
      <c r="D607" s="2" t="s">
        <v>63</v>
      </c>
      <c r="E607" s="2">
        <v>30</v>
      </c>
      <c r="F607" s="2">
        <v>67</v>
      </c>
      <c r="G607" s="2">
        <v>178</v>
      </c>
      <c r="H607" s="9">
        <f t="shared" si="9"/>
        <v>21.146319909102385</v>
      </c>
      <c r="I607" s="2" t="str" cm="1">
        <f t="array" ref="I607">_xlfn.IFS(F607&gt;=100,"Over weight",F607&lt;100,"Average weight")</f>
        <v>Average weight</v>
      </c>
      <c r="J607" s="2" t="str" cm="1">
        <f t="array" ref="J607">_xlfn.IFS(G607&lt;164,"Below Average height",G607&gt;=165,"Above Average height",G607=164,"Average height")</f>
        <v>Above Average height</v>
      </c>
      <c r="K607" s="2" t="str" cm="1">
        <f t="array" ref="K607">_xlfn.IFS(E607&lt;=16,"Children",E607&lt;=30,"Young Adults",E607&lt;=45,"Middle-aged Adults",E607&gt;45,"Old Adults")</f>
        <v>Young Adults</v>
      </c>
    </row>
    <row r="608" spans="1:11" x14ac:dyDescent="0.45">
      <c r="A608" s="2">
        <v>708</v>
      </c>
      <c r="B608" s="2" t="s">
        <v>813</v>
      </c>
      <c r="C608" s="2" t="s">
        <v>98</v>
      </c>
      <c r="D608" s="2" t="s">
        <v>9</v>
      </c>
      <c r="E608" s="2">
        <v>29</v>
      </c>
      <c r="F608" s="2">
        <v>73</v>
      </c>
      <c r="G608" s="2">
        <v>180</v>
      </c>
      <c r="H608" s="9">
        <f t="shared" si="9"/>
        <v>22.530864197530864</v>
      </c>
      <c r="I608" s="2" t="str" cm="1">
        <f t="array" ref="I608">_xlfn.IFS(F608&gt;=100,"Over weight",F608&lt;100,"Average weight")</f>
        <v>Average weight</v>
      </c>
      <c r="J608" s="2" t="str" cm="1">
        <f t="array" ref="J608">_xlfn.IFS(G608&lt;164,"Below Average height",G608&gt;=165,"Above Average height",G608=164,"Average height")</f>
        <v>Above Average height</v>
      </c>
      <c r="K608" s="2" t="str" cm="1">
        <f t="array" ref="K608">_xlfn.IFS(E608&lt;=16,"Children",E608&lt;=30,"Young Adults",E608&lt;=45,"Middle-aged Adults",E608&gt;45,"Old Adults")</f>
        <v>Young Adults</v>
      </c>
    </row>
    <row r="609" spans="1:11" x14ac:dyDescent="0.45">
      <c r="A609" s="2">
        <v>709</v>
      </c>
      <c r="B609" s="2" t="s">
        <v>814</v>
      </c>
      <c r="C609" s="2" t="s">
        <v>89</v>
      </c>
      <c r="D609" s="2" t="s">
        <v>44</v>
      </c>
      <c r="E609" s="2">
        <v>18</v>
      </c>
      <c r="F609" s="2">
        <v>73</v>
      </c>
      <c r="G609" s="2">
        <v>181</v>
      </c>
      <c r="H609" s="9">
        <f t="shared" si="9"/>
        <v>22.282592106468055</v>
      </c>
      <c r="I609" s="2" t="str" cm="1">
        <f t="array" ref="I609">_xlfn.IFS(F609&gt;=100,"Over weight",F609&lt;100,"Average weight")</f>
        <v>Average weight</v>
      </c>
      <c r="J609" s="2" t="str" cm="1">
        <f t="array" ref="J609">_xlfn.IFS(G609&lt;164,"Below Average height",G609&gt;=165,"Above Average height",G609=164,"Average height")</f>
        <v>Above Average height</v>
      </c>
      <c r="K609" s="2" t="str" cm="1">
        <f t="array" ref="K609">_xlfn.IFS(E609&lt;=16,"Children",E609&lt;=30,"Young Adults",E609&lt;=45,"Middle-aged Adults",E609&gt;45,"Old Adults")</f>
        <v>Young Adults</v>
      </c>
    </row>
    <row r="610" spans="1:11" x14ac:dyDescent="0.45">
      <c r="A610" s="2">
        <v>711</v>
      </c>
      <c r="B610" s="2" t="s">
        <v>816</v>
      </c>
      <c r="C610" s="2" t="s">
        <v>90</v>
      </c>
      <c r="D610" s="2" t="s">
        <v>6</v>
      </c>
      <c r="E610" s="2">
        <v>29</v>
      </c>
      <c r="F610" s="2">
        <v>90</v>
      </c>
      <c r="G610" s="2">
        <v>183</v>
      </c>
      <c r="H610" s="9">
        <f t="shared" si="9"/>
        <v>26.874496103198062</v>
      </c>
      <c r="I610" s="2" t="str" cm="1">
        <f t="array" ref="I610">_xlfn.IFS(F610&gt;=100,"Over weight",F610&lt;100,"Average weight")</f>
        <v>Average weight</v>
      </c>
      <c r="J610" s="2" t="str" cm="1">
        <f t="array" ref="J610">_xlfn.IFS(G610&lt;164,"Below Average height",G610&gt;=165,"Above Average height",G610=164,"Average height")</f>
        <v>Above Average height</v>
      </c>
      <c r="K610" s="2" t="str" cm="1">
        <f t="array" ref="K610">_xlfn.IFS(E610&lt;=16,"Children",E610&lt;=30,"Young Adults",E610&lt;=45,"Middle-aged Adults",E610&gt;45,"Old Adults")</f>
        <v>Young Adults</v>
      </c>
    </row>
    <row r="611" spans="1:11" x14ac:dyDescent="0.45">
      <c r="A611" s="2">
        <v>712</v>
      </c>
      <c r="B611" s="2" t="s">
        <v>817</v>
      </c>
      <c r="C611" s="2" t="s">
        <v>87</v>
      </c>
      <c r="D611" s="2" t="s">
        <v>75</v>
      </c>
      <c r="E611" s="2">
        <v>26</v>
      </c>
      <c r="F611" s="2">
        <v>79</v>
      </c>
      <c r="G611" s="2">
        <v>188</v>
      </c>
      <c r="H611" s="9">
        <f t="shared" si="9"/>
        <v>22.351742870076958</v>
      </c>
      <c r="I611" s="2" t="str" cm="1">
        <f t="array" ref="I611">_xlfn.IFS(F611&gt;=100,"Over weight",F611&lt;100,"Average weight")</f>
        <v>Average weight</v>
      </c>
      <c r="J611" s="2" t="str" cm="1">
        <f t="array" ref="J611">_xlfn.IFS(G611&lt;164,"Below Average height",G611&gt;=165,"Above Average height",G611=164,"Average height")</f>
        <v>Above Average height</v>
      </c>
      <c r="K611" s="2" t="str" cm="1">
        <f t="array" ref="K611">_xlfn.IFS(E611&lt;=16,"Children",E611&lt;=30,"Young Adults",E611&lt;=45,"Middle-aged Adults",E611&gt;45,"Old Adults")</f>
        <v>Young Adults</v>
      </c>
    </row>
    <row r="612" spans="1:11" x14ac:dyDescent="0.45">
      <c r="A612" s="2">
        <v>714</v>
      </c>
      <c r="B612" s="2" t="s">
        <v>819</v>
      </c>
      <c r="C612" s="2" t="s">
        <v>90</v>
      </c>
      <c r="D612" s="2" t="s">
        <v>75</v>
      </c>
      <c r="E612" s="2">
        <v>25</v>
      </c>
      <c r="F612" s="2">
        <v>65</v>
      </c>
      <c r="G612" s="2">
        <v>168</v>
      </c>
      <c r="H612" s="9">
        <f t="shared" si="9"/>
        <v>23.030045351473927</v>
      </c>
      <c r="I612" s="2" t="str" cm="1">
        <f t="array" ref="I612">_xlfn.IFS(F612&gt;=100,"Over weight",F612&lt;100,"Average weight")</f>
        <v>Average weight</v>
      </c>
      <c r="J612" s="2" t="str" cm="1">
        <f t="array" ref="J612">_xlfn.IFS(G612&lt;164,"Below Average height",G612&gt;=165,"Above Average height",G612=164,"Average height")</f>
        <v>Above Average height</v>
      </c>
      <c r="K612" s="2" t="str" cm="1">
        <f t="array" ref="K612">_xlfn.IFS(E612&lt;=16,"Children",E612&lt;=30,"Young Adults",E612&lt;=45,"Middle-aged Adults",E612&gt;45,"Old Adults")</f>
        <v>Young Adults</v>
      </c>
    </row>
    <row r="613" spans="1:11" x14ac:dyDescent="0.45">
      <c r="A613" s="2">
        <v>716</v>
      </c>
      <c r="B613" s="2" t="s">
        <v>821</v>
      </c>
      <c r="C613" s="2" t="s">
        <v>89</v>
      </c>
      <c r="D613" s="2" t="s">
        <v>41</v>
      </c>
      <c r="E613" s="2">
        <v>21</v>
      </c>
      <c r="F613" s="2">
        <v>75</v>
      </c>
      <c r="G613" s="2">
        <v>174</v>
      </c>
      <c r="H613" s="9">
        <f t="shared" si="9"/>
        <v>24.772096710265558</v>
      </c>
      <c r="I613" s="2" t="str" cm="1">
        <f t="array" ref="I613">_xlfn.IFS(F613&gt;=100,"Over weight",F613&lt;100,"Average weight")</f>
        <v>Average weight</v>
      </c>
      <c r="J613" s="2" t="str" cm="1">
        <f t="array" ref="J613">_xlfn.IFS(G613&lt;164,"Below Average height",G613&gt;=165,"Above Average height",G613=164,"Average height")</f>
        <v>Above Average height</v>
      </c>
      <c r="K613" s="2" t="str" cm="1">
        <f t="array" ref="K613">_xlfn.IFS(E613&lt;=16,"Children",E613&lt;=30,"Young Adults",E613&lt;=45,"Middle-aged Adults",E613&gt;45,"Old Adults")</f>
        <v>Young Adults</v>
      </c>
    </row>
    <row r="614" spans="1:11" x14ac:dyDescent="0.45">
      <c r="A614" s="2">
        <v>717</v>
      </c>
      <c r="B614" s="2" t="s">
        <v>822</v>
      </c>
      <c r="C614" s="2" t="s">
        <v>91</v>
      </c>
      <c r="D614" s="2" t="s">
        <v>25</v>
      </c>
      <c r="E614" s="2">
        <v>30</v>
      </c>
      <c r="F614" s="2">
        <v>90</v>
      </c>
      <c r="G614" s="2">
        <v>184</v>
      </c>
      <c r="H614" s="9">
        <f t="shared" si="9"/>
        <v>26.583175803402646</v>
      </c>
      <c r="I614" s="2" t="str" cm="1">
        <f t="array" ref="I614">_xlfn.IFS(F614&gt;=100,"Over weight",F614&lt;100,"Average weight")</f>
        <v>Average weight</v>
      </c>
      <c r="J614" s="2" t="str" cm="1">
        <f t="array" ref="J614">_xlfn.IFS(G614&lt;164,"Below Average height",G614&gt;=165,"Above Average height",G614=164,"Average height")</f>
        <v>Above Average height</v>
      </c>
      <c r="K614" s="2" t="str" cm="1">
        <f t="array" ref="K614">_xlfn.IFS(E614&lt;=16,"Children",E614&lt;=30,"Young Adults",E614&lt;=45,"Middle-aged Adults",E614&gt;45,"Old Adults")</f>
        <v>Young Adults</v>
      </c>
    </row>
    <row r="615" spans="1:11" x14ac:dyDescent="0.45">
      <c r="A615" s="2">
        <v>718</v>
      </c>
      <c r="B615" s="2" t="s">
        <v>823</v>
      </c>
      <c r="C615" s="2" t="s">
        <v>92</v>
      </c>
      <c r="D615" s="2" t="s">
        <v>21</v>
      </c>
      <c r="E615" s="2">
        <v>23</v>
      </c>
      <c r="F615" s="2">
        <v>58</v>
      </c>
      <c r="G615" s="2">
        <v>173</v>
      </c>
      <c r="H615" s="9">
        <f t="shared" si="9"/>
        <v>19.379197433926961</v>
      </c>
      <c r="I615" s="2" t="str" cm="1">
        <f t="array" ref="I615">_xlfn.IFS(F615&gt;=100,"Over weight",F615&lt;100,"Average weight")</f>
        <v>Average weight</v>
      </c>
      <c r="J615" s="2" t="str" cm="1">
        <f t="array" ref="J615">_xlfn.IFS(G615&lt;164,"Below Average height",G615&gt;=165,"Above Average height",G615=164,"Average height")</f>
        <v>Above Average height</v>
      </c>
      <c r="K615" s="2" t="str" cm="1">
        <f t="array" ref="K615">_xlfn.IFS(E615&lt;=16,"Children",E615&lt;=30,"Young Adults",E615&lt;=45,"Middle-aged Adults",E615&gt;45,"Old Adults")</f>
        <v>Young Adults</v>
      </c>
    </row>
    <row r="616" spans="1:11" x14ac:dyDescent="0.45">
      <c r="A616" s="2">
        <v>719</v>
      </c>
      <c r="B616" s="2" t="s">
        <v>824</v>
      </c>
      <c r="C616" s="2" t="s">
        <v>86</v>
      </c>
      <c r="D616" s="2" t="s">
        <v>21</v>
      </c>
      <c r="E616" s="2">
        <v>22</v>
      </c>
      <c r="F616" s="2">
        <v>90</v>
      </c>
      <c r="G616" s="2">
        <v>170</v>
      </c>
      <c r="H616" s="9">
        <f t="shared" si="9"/>
        <v>31.141868512110729</v>
      </c>
      <c r="I616" s="2" t="str" cm="1">
        <f t="array" ref="I616">_xlfn.IFS(F616&gt;=100,"Over weight",F616&lt;100,"Average weight")</f>
        <v>Average weight</v>
      </c>
      <c r="J616" s="2" t="str" cm="1">
        <f t="array" ref="J616">_xlfn.IFS(G616&lt;164,"Below Average height",G616&gt;=165,"Above Average height",G616=164,"Average height")</f>
        <v>Above Average height</v>
      </c>
      <c r="K616" s="2" t="str" cm="1">
        <f t="array" ref="K616">_xlfn.IFS(E616&lt;=16,"Children",E616&lt;=30,"Young Adults",E616&lt;=45,"Middle-aged Adults",E616&gt;45,"Old Adults")</f>
        <v>Young Adults</v>
      </c>
    </row>
    <row r="617" spans="1:11" x14ac:dyDescent="0.45">
      <c r="A617" s="2">
        <v>720</v>
      </c>
      <c r="B617" s="2" t="s">
        <v>825</v>
      </c>
      <c r="C617" s="2" t="s">
        <v>88</v>
      </c>
      <c r="D617" s="2" t="s">
        <v>80</v>
      </c>
      <c r="E617" s="2">
        <v>32</v>
      </c>
      <c r="F617" s="2">
        <v>75</v>
      </c>
      <c r="G617" s="2">
        <v>183</v>
      </c>
      <c r="H617" s="9">
        <f t="shared" si="9"/>
        <v>22.395413419331717</v>
      </c>
      <c r="I617" s="2" t="str" cm="1">
        <f t="array" ref="I617">_xlfn.IFS(F617&gt;=100,"Over weight",F617&lt;100,"Average weight")</f>
        <v>Average weight</v>
      </c>
      <c r="J617" s="2" t="str" cm="1">
        <f t="array" ref="J617">_xlfn.IFS(G617&lt;164,"Below Average height",G617&gt;=165,"Above Average height",G617=164,"Average height")</f>
        <v>Above Average height</v>
      </c>
      <c r="K617" s="2" t="str" cm="1">
        <f t="array" ref="K617">_xlfn.IFS(E617&lt;=16,"Children",E617&lt;=30,"Young Adults",E617&lt;=45,"Middle-aged Adults",E617&gt;45,"Old Adults")</f>
        <v>Middle-aged Adults</v>
      </c>
    </row>
    <row r="618" spans="1:11" x14ac:dyDescent="0.45">
      <c r="A618" s="2">
        <v>721</v>
      </c>
      <c r="B618" s="2" t="s">
        <v>826</v>
      </c>
      <c r="C618" s="2" t="s">
        <v>91</v>
      </c>
      <c r="D618" s="2" t="s">
        <v>70</v>
      </c>
      <c r="E618" s="2">
        <v>24</v>
      </c>
      <c r="F618" s="2">
        <v>76</v>
      </c>
      <c r="G618" s="2">
        <v>182</v>
      </c>
      <c r="H618" s="9">
        <f t="shared" si="9"/>
        <v>22.944088878154812</v>
      </c>
      <c r="I618" s="2" t="str" cm="1">
        <f t="array" ref="I618">_xlfn.IFS(F618&gt;=100,"Over weight",F618&lt;100,"Average weight")</f>
        <v>Average weight</v>
      </c>
      <c r="J618" s="2" t="str" cm="1">
        <f t="array" ref="J618">_xlfn.IFS(G618&lt;164,"Below Average height",G618&gt;=165,"Above Average height",G618=164,"Average height")</f>
        <v>Above Average height</v>
      </c>
      <c r="K618" s="2" t="str" cm="1">
        <f t="array" ref="K618">_xlfn.IFS(E618&lt;=16,"Children",E618&lt;=30,"Young Adults",E618&lt;=45,"Middle-aged Adults",E618&gt;45,"Old Adults")</f>
        <v>Young Adults</v>
      </c>
    </row>
    <row r="619" spans="1:11" x14ac:dyDescent="0.45">
      <c r="A619" s="2">
        <v>722</v>
      </c>
      <c r="B619" s="2" t="s">
        <v>827</v>
      </c>
      <c r="C619" s="2" t="s">
        <v>95</v>
      </c>
      <c r="D619" s="2" t="s">
        <v>6</v>
      </c>
      <c r="E619" s="2">
        <v>29</v>
      </c>
      <c r="F619" s="2">
        <v>64</v>
      </c>
      <c r="G619" s="2">
        <v>165</v>
      </c>
      <c r="H619" s="9">
        <f t="shared" si="9"/>
        <v>23.507805325987146</v>
      </c>
      <c r="I619" s="2" t="str" cm="1">
        <f t="array" ref="I619">_xlfn.IFS(F619&gt;=100,"Over weight",F619&lt;100,"Average weight")</f>
        <v>Average weight</v>
      </c>
      <c r="J619" s="2" t="str" cm="1">
        <f t="array" ref="J619">_xlfn.IFS(G619&lt;164,"Below Average height",G619&gt;=165,"Above Average height",G619=164,"Average height")</f>
        <v>Above Average height</v>
      </c>
      <c r="K619" s="2" t="str" cm="1">
        <f t="array" ref="K619">_xlfn.IFS(E619&lt;=16,"Children",E619&lt;=30,"Young Adults",E619&lt;=45,"Middle-aged Adults",E619&gt;45,"Old Adults")</f>
        <v>Young Adults</v>
      </c>
    </row>
    <row r="620" spans="1:11" x14ac:dyDescent="0.45">
      <c r="A620" s="2">
        <v>723</v>
      </c>
      <c r="B620" s="2" t="s">
        <v>828</v>
      </c>
      <c r="C620" s="2" t="s">
        <v>93</v>
      </c>
      <c r="D620" s="2" t="s">
        <v>75</v>
      </c>
      <c r="E620" s="2">
        <v>31</v>
      </c>
      <c r="F620" s="2">
        <v>79</v>
      </c>
      <c r="G620" s="2">
        <v>180</v>
      </c>
      <c r="H620" s="9">
        <f t="shared" si="9"/>
        <v>24.382716049382715</v>
      </c>
      <c r="I620" s="2" t="str" cm="1">
        <f t="array" ref="I620">_xlfn.IFS(F620&gt;=100,"Over weight",F620&lt;100,"Average weight")</f>
        <v>Average weight</v>
      </c>
      <c r="J620" s="2" t="str" cm="1">
        <f t="array" ref="J620">_xlfn.IFS(G620&lt;164,"Below Average height",G620&gt;=165,"Above Average height",G620=164,"Average height")</f>
        <v>Above Average height</v>
      </c>
      <c r="K620" s="2" t="str" cm="1">
        <f t="array" ref="K620">_xlfn.IFS(E620&lt;=16,"Children",E620&lt;=30,"Young Adults",E620&lt;=45,"Middle-aged Adults",E620&gt;45,"Old Adults")</f>
        <v>Middle-aged Adults</v>
      </c>
    </row>
    <row r="621" spans="1:11" x14ac:dyDescent="0.45">
      <c r="A621" s="2">
        <v>724</v>
      </c>
      <c r="B621" s="2" t="s">
        <v>829</v>
      </c>
      <c r="C621" s="2" t="s">
        <v>100</v>
      </c>
      <c r="D621" s="2" t="s">
        <v>28</v>
      </c>
      <c r="E621" s="2">
        <v>26</v>
      </c>
      <c r="F621" s="2">
        <v>67</v>
      </c>
      <c r="G621" s="2">
        <v>169</v>
      </c>
      <c r="H621" s="9">
        <f t="shared" si="9"/>
        <v>23.458562375266975</v>
      </c>
      <c r="I621" s="2" t="str" cm="1">
        <f t="array" ref="I621">_xlfn.IFS(F621&gt;=100,"Over weight",F621&lt;100,"Average weight")</f>
        <v>Average weight</v>
      </c>
      <c r="J621" s="2" t="str" cm="1">
        <f t="array" ref="J621">_xlfn.IFS(G621&lt;164,"Below Average height",G621&gt;=165,"Above Average height",G621=164,"Average height")</f>
        <v>Above Average height</v>
      </c>
      <c r="K621" s="2" t="str" cm="1">
        <f t="array" ref="K621">_xlfn.IFS(E621&lt;=16,"Children",E621&lt;=30,"Young Adults",E621&lt;=45,"Middle-aged Adults",E621&gt;45,"Old Adults")</f>
        <v>Young Adults</v>
      </c>
    </row>
    <row r="622" spans="1:11" x14ac:dyDescent="0.45">
      <c r="A622" s="2">
        <v>726</v>
      </c>
      <c r="B622" s="2" t="s">
        <v>831</v>
      </c>
      <c r="C622" s="2" t="s">
        <v>88</v>
      </c>
      <c r="D622" s="2" t="s">
        <v>75</v>
      </c>
      <c r="E622" s="2">
        <v>30</v>
      </c>
      <c r="F622" s="2">
        <v>91</v>
      </c>
      <c r="G622" s="2">
        <v>192</v>
      </c>
      <c r="H622" s="9">
        <f t="shared" si="9"/>
        <v>24.685329861111111</v>
      </c>
      <c r="I622" s="2" t="str" cm="1">
        <f t="array" ref="I622">_xlfn.IFS(F622&gt;=100,"Over weight",F622&lt;100,"Average weight")</f>
        <v>Average weight</v>
      </c>
      <c r="J622" s="2" t="str" cm="1">
        <f t="array" ref="J622">_xlfn.IFS(G622&lt;164,"Below Average height",G622&gt;=165,"Above Average height",G622=164,"Average height")</f>
        <v>Above Average height</v>
      </c>
      <c r="K622" s="2" t="str" cm="1">
        <f t="array" ref="K622">_xlfn.IFS(E622&lt;=16,"Children",E622&lt;=30,"Young Adults",E622&lt;=45,"Middle-aged Adults",E622&gt;45,"Old Adults")</f>
        <v>Young Adults</v>
      </c>
    </row>
    <row r="623" spans="1:11" x14ac:dyDescent="0.45">
      <c r="A623" s="2">
        <v>727</v>
      </c>
      <c r="B623" s="2" t="s">
        <v>832</v>
      </c>
      <c r="C623" s="2" t="s">
        <v>93</v>
      </c>
      <c r="D623" s="2" t="s">
        <v>75</v>
      </c>
      <c r="E623" s="2">
        <v>20</v>
      </c>
      <c r="F623" s="2">
        <v>71</v>
      </c>
      <c r="G623" s="2">
        <v>174</v>
      </c>
      <c r="H623" s="9">
        <f t="shared" si="9"/>
        <v>23.450918219051392</v>
      </c>
      <c r="I623" s="2" t="str" cm="1">
        <f t="array" ref="I623">_xlfn.IFS(F623&gt;=100,"Over weight",F623&lt;100,"Average weight")</f>
        <v>Average weight</v>
      </c>
      <c r="J623" s="2" t="str" cm="1">
        <f t="array" ref="J623">_xlfn.IFS(G623&lt;164,"Below Average height",G623&gt;=165,"Above Average height",G623=164,"Average height")</f>
        <v>Above Average height</v>
      </c>
      <c r="K623" s="2" t="str" cm="1">
        <f t="array" ref="K623">_xlfn.IFS(E623&lt;=16,"Children",E623&lt;=30,"Young Adults",E623&lt;=45,"Middle-aged Adults",E623&gt;45,"Old Adults")</f>
        <v>Young Adults</v>
      </c>
    </row>
    <row r="624" spans="1:11" x14ac:dyDescent="0.45">
      <c r="A624" s="2">
        <v>729</v>
      </c>
      <c r="B624" s="2" t="s">
        <v>834</v>
      </c>
      <c r="C624" s="2" t="s">
        <v>93</v>
      </c>
      <c r="D624" s="2" t="s">
        <v>75</v>
      </c>
      <c r="E624" s="2">
        <v>24</v>
      </c>
      <c r="F624" s="2">
        <v>58</v>
      </c>
      <c r="G624" s="2">
        <v>172</v>
      </c>
      <c r="H624" s="9">
        <f t="shared" si="9"/>
        <v>19.605191995673341</v>
      </c>
      <c r="I624" s="2" t="str" cm="1">
        <f t="array" ref="I624">_xlfn.IFS(F624&gt;=100,"Over weight",F624&lt;100,"Average weight")</f>
        <v>Average weight</v>
      </c>
      <c r="J624" s="2" t="str" cm="1">
        <f t="array" ref="J624">_xlfn.IFS(G624&lt;164,"Below Average height",G624&gt;=165,"Above Average height",G624=164,"Average height")</f>
        <v>Above Average height</v>
      </c>
      <c r="K624" s="2" t="str" cm="1">
        <f t="array" ref="K624">_xlfn.IFS(E624&lt;=16,"Children",E624&lt;=30,"Young Adults",E624&lt;=45,"Middle-aged Adults",E624&gt;45,"Old Adults")</f>
        <v>Young Adults</v>
      </c>
    </row>
    <row r="625" spans="1:11" x14ac:dyDescent="0.45">
      <c r="A625" s="2">
        <v>730</v>
      </c>
      <c r="B625" s="2" t="s">
        <v>835</v>
      </c>
      <c r="C625" s="2" t="s">
        <v>98</v>
      </c>
      <c r="D625" s="2" t="s">
        <v>14</v>
      </c>
      <c r="E625" s="2">
        <v>25</v>
      </c>
      <c r="F625" s="2">
        <v>71</v>
      </c>
      <c r="G625" s="2">
        <v>175</v>
      </c>
      <c r="H625" s="9">
        <f t="shared" si="9"/>
        <v>23.183673469387756</v>
      </c>
      <c r="I625" s="2" t="str" cm="1">
        <f t="array" ref="I625">_xlfn.IFS(F625&gt;=100,"Over weight",F625&lt;100,"Average weight")</f>
        <v>Average weight</v>
      </c>
      <c r="J625" s="2" t="str" cm="1">
        <f t="array" ref="J625">_xlfn.IFS(G625&lt;164,"Below Average height",G625&gt;=165,"Above Average height",G625=164,"Average height")</f>
        <v>Above Average height</v>
      </c>
      <c r="K625" s="2" t="str" cm="1">
        <f t="array" ref="K625">_xlfn.IFS(E625&lt;=16,"Children",E625&lt;=30,"Young Adults",E625&lt;=45,"Middle-aged Adults",E625&gt;45,"Old Adults")</f>
        <v>Young Adults</v>
      </c>
    </row>
    <row r="626" spans="1:11" x14ac:dyDescent="0.45">
      <c r="A626" s="2">
        <v>731</v>
      </c>
      <c r="B626" s="2" t="s">
        <v>836</v>
      </c>
      <c r="C626" s="2" t="s">
        <v>98</v>
      </c>
      <c r="D626" s="2" t="s">
        <v>14</v>
      </c>
      <c r="E626" s="2">
        <v>23</v>
      </c>
      <c r="F626" s="2">
        <v>72</v>
      </c>
      <c r="G626" s="2">
        <v>175</v>
      </c>
      <c r="H626" s="9">
        <f t="shared" si="9"/>
        <v>23.510204081632654</v>
      </c>
      <c r="I626" s="2" t="str" cm="1">
        <f t="array" ref="I626">_xlfn.IFS(F626&gt;=100,"Over weight",F626&lt;100,"Average weight")</f>
        <v>Average weight</v>
      </c>
      <c r="J626" s="2" t="str" cm="1">
        <f t="array" ref="J626">_xlfn.IFS(G626&lt;164,"Below Average height",G626&gt;=165,"Above Average height",G626=164,"Average height")</f>
        <v>Above Average height</v>
      </c>
      <c r="K626" s="2" t="str" cm="1">
        <f t="array" ref="K626">_xlfn.IFS(E626&lt;=16,"Children",E626&lt;=30,"Young Adults",E626&lt;=45,"Middle-aged Adults",E626&gt;45,"Old Adults")</f>
        <v>Young Adults</v>
      </c>
    </row>
    <row r="627" spans="1:11" x14ac:dyDescent="0.45">
      <c r="A627" s="2">
        <v>732</v>
      </c>
      <c r="B627" s="2" t="s">
        <v>837</v>
      </c>
      <c r="C627" s="2" t="s">
        <v>93</v>
      </c>
      <c r="D627" s="2" t="s">
        <v>59</v>
      </c>
      <c r="E627" s="2">
        <v>20</v>
      </c>
      <c r="F627" s="2">
        <v>68</v>
      </c>
      <c r="G627" s="2">
        <v>178</v>
      </c>
      <c r="H627" s="9">
        <f t="shared" si="9"/>
        <v>21.461936624163616</v>
      </c>
      <c r="I627" s="2" t="str" cm="1">
        <f t="array" ref="I627">_xlfn.IFS(F627&gt;=100,"Over weight",F627&lt;100,"Average weight")</f>
        <v>Average weight</v>
      </c>
      <c r="J627" s="2" t="str" cm="1">
        <f t="array" ref="J627">_xlfn.IFS(G627&lt;164,"Below Average height",G627&gt;=165,"Above Average height",G627=164,"Average height")</f>
        <v>Above Average height</v>
      </c>
      <c r="K627" s="2" t="str" cm="1">
        <f t="array" ref="K627">_xlfn.IFS(E627&lt;=16,"Children",E627&lt;=30,"Young Adults",E627&lt;=45,"Middle-aged Adults",E627&gt;45,"Old Adults")</f>
        <v>Young Adults</v>
      </c>
    </row>
    <row r="628" spans="1:11" x14ac:dyDescent="0.45">
      <c r="A628" s="2">
        <v>733</v>
      </c>
      <c r="B628" s="2" t="s">
        <v>838</v>
      </c>
      <c r="C628" s="2" t="s">
        <v>94</v>
      </c>
      <c r="D628" s="2" t="s">
        <v>80</v>
      </c>
      <c r="E628" s="2">
        <v>22</v>
      </c>
      <c r="F628" s="2">
        <v>80</v>
      </c>
      <c r="G628" s="2">
        <v>178</v>
      </c>
      <c r="H628" s="9">
        <f t="shared" si="9"/>
        <v>25.249337204898371</v>
      </c>
      <c r="I628" s="2" t="str" cm="1">
        <f t="array" ref="I628">_xlfn.IFS(F628&gt;=100,"Over weight",F628&lt;100,"Average weight")</f>
        <v>Average weight</v>
      </c>
      <c r="J628" s="2" t="str" cm="1">
        <f t="array" ref="J628">_xlfn.IFS(G628&lt;164,"Below Average height",G628&gt;=165,"Above Average height",G628=164,"Average height")</f>
        <v>Above Average height</v>
      </c>
      <c r="K628" s="2" t="str" cm="1">
        <f t="array" ref="K628">_xlfn.IFS(E628&lt;=16,"Children",E628&lt;=30,"Young Adults",E628&lt;=45,"Middle-aged Adults",E628&gt;45,"Old Adults")</f>
        <v>Young Adults</v>
      </c>
    </row>
    <row r="629" spans="1:11" x14ac:dyDescent="0.45">
      <c r="A629" s="2">
        <v>734</v>
      </c>
      <c r="B629" s="2" t="s">
        <v>839</v>
      </c>
      <c r="C629" s="2" t="s">
        <v>95</v>
      </c>
      <c r="D629" s="2" t="s">
        <v>80</v>
      </c>
      <c r="E629" s="2">
        <v>23</v>
      </c>
      <c r="F629" s="2">
        <v>71</v>
      </c>
      <c r="G629" s="2">
        <v>170</v>
      </c>
      <c r="H629" s="9">
        <f t="shared" si="9"/>
        <v>24.567474048442911</v>
      </c>
      <c r="I629" s="2" t="str" cm="1">
        <f t="array" ref="I629">_xlfn.IFS(F629&gt;=100,"Over weight",F629&lt;100,"Average weight")</f>
        <v>Average weight</v>
      </c>
      <c r="J629" s="2" t="str" cm="1">
        <f t="array" ref="J629">_xlfn.IFS(G629&lt;164,"Below Average height",G629&gt;=165,"Above Average height",G629=164,"Average height")</f>
        <v>Above Average height</v>
      </c>
      <c r="K629" s="2" t="str" cm="1">
        <f t="array" ref="K629">_xlfn.IFS(E629&lt;=16,"Children",E629&lt;=30,"Young Adults",E629&lt;=45,"Middle-aged Adults",E629&gt;45,"Old Adults")</f>
        <v>Young Adults</v>
      </c>
    </row>
    <row r="630" spans="1:11" x14ac:dyDescent="0.45">
      <c r="A630" s="2">
        <v>735</v>
      </c>
      <c r="B630" s="2" t="s">
        <v>840</v>
      </c>
      <c r="C630" s="2" t="s">
        <v>91</v>
      </c>
      <c r="D630" s="2" t="s">
        <v>17</v>
      </c>
      <c r="E630" s="2">
        <v>19</v>
      </c>
      <c r="F630" s="2">
        <v>58</v>
      </c>
      <c r="G630" s="2">
        <v>165</v>
      </c>
      <c r="H630" s="9">
        <f t="shared" si="9"/>
        <v>21.30394857667585</v>
      </c>
      <c r="I630" s="2" t="str" cm="1">
        <f t="array" ref="I630">_xlfn.IFS(F630&gt;=100,"Over weight",F630&lt;100,"Average weight")</f>
        <v>Average weight</v>
      </c>
      <c r="J630" s="2" t="str" cm="1">
        <f t="array" ref="J630">_xlfn.IFS(G630&lt;164,"Below Average height",G630&gt;=165,"Above Average height",G630=164,"Average height")</f>
        <v>Above Average height</v>
      </c>
      <c r="K630" s="2" t="str" cm="1">
        <f t="array" ref="K630">_xlfn.IFS(E630&lt;=16,"Children",E630&lt;=30,"Young Adults",E630&lt;=45,"Middle-aged Adults",E630&gt;45,"Old Adults")</f>
        <v>Young Adults</v>
      </c>
    </row>
    <row r="631" spans="1:11" x14ac:dyDescent="0.45">
      <c r="A631" s="2">
        <v>736</v>
      </c>
      <c r="B631" s="2" t="s">
        <v>841</v>
      </c>
      <c r="C631" s="2" t="s">
        <v>98</v>
      </c>
      <c r="D631" s="2" t="s">
        <v>17</v>
      </c>
      <c r="E631" s="2">
        <v>22</v>
      </c>
      <c r="F631" s="2">
        <v>78</v>
      </c>
      <c r="G631" s="2">
        <v>183</v>
      </c>
      <c r="H631" s="9">
        <f t="shared" si="9"/>
        <v>23.291229956104985</v>
      </c>
      <c r="I631" s="2" t="str" cm="1">
        <f t="array" ref="I631">_xlfn.IFS(F631&gt;=100,"Over weight",F631&lt;100,"Average weight")</f>
        <v>Average weight</v>
      </c>
      <c r="J631" s="2" t="str" cm="1">
        <f t="array" ref="J631">_xlfn.IFS(G631&lt;164,"Below Average height",G631&gt;=165,"Above Average height",G631=164,"Average height")</f>
        <v>Above Average height</v>
      </c>
      <c r="K631" s="2" t="str" cm="1">
        <f t="array" ref="K631">_xlfn.IFS(E631&lt;=16,"Children",E631&lt;=30,"Young Adults",E631&lt;=45,"Middle-aged Adults",E631&gt;45,"Old Adults")</f>
        <v>Young Adults</v>
      </c>
    </row>
    <row r="632" spans="1:11" x14ac:dyDescent="0.45">
      <c r="A632" s="2">
        <v>737</v>
      </c>
      <c r="B632" s="2" t="s">
        <v>842</v>
      </c>
      <c r="C632" s="2" t="s">
        <v>87</v>
      </c>
      <c r="D632" s="2" t="s">
        <v>17</v>
      </c>
      <c r="E632" s="2">
        <v>26</v>
      </c>
      <c r="F632" s="2">
        <v>75</v>
      </c>
      <c r="G632" s="2">
        <v>172</v>
      </c>
      <c r="H632" s="9">
        <f t="shared" si="9"/>
        <v>25.351541373715524</v>
      </c>
      <c r="I632" s="2" t="str" cm="1">
        <f t="array" ref="I632">_xlfn.IFS(F632&gt;=100,"Over weight",F632&lt;100,"Average weight")</f>
        <v>Average weight</v>
      </c>
      <c r="J632" s="2" t="str" cm="1">
        <f t="array" ref="J632">_xlfn.IFS(G632&lt;164,"Below Average height",G632&gt;=165,"Above Average height",G632=164,"Average height")</f>
        <v>Above Average height</v>
      </c>
      <c r="K632" s="2" t="str" cm="1">
        <f t="array" ref="K632">_xlfn.IFS(E632&lt;=16,"Children",E632&lt;=30,"Young Adults",E632&lt;=45,"Middle-aged Adults",E632&gt;45,"Old Adults")</f>
        <v>Young Adults</v>
      </c>
    </row>
    <row r="633" spans="1:11" x14ac:dyDescent="0.45">
      <c r="A633" s="2">
        <v>738</v>
      </c>
      <c r="B633" s="2" t="s">
        <v>843</v>
      </c>
      <c r="C633" s="2" t="s">
        <v>98</v>
      </c>
      <c r="D633" s="2" t="s">
        <v>32</v>
      </c>
      <c r="E633" s="2">
        <v>27</v>
      </c>
      <c r="F633" s="2">
        <v>54</v>
      </c>
      <c r="G633" s="2">
        <v>175</v>
      </c>
      <c r="H633" s="9">
        <f t="shared" si="9"/>
        <v>17.632653061224488</v>
      </c>
      <c r="I633" s="2" t="str" cm="1">
        <f t="array" ref="I633">_xlfn.IFS(F633&gt;=100,"Over weight",F633&lt;100,"Average weight")</f>
        <v>Average weight</v>
      </c>
      <c r="J633" s="2" t="str" cm="1">
        <f t="array" ref="J633">_xlfn.IFS(G633&lt;164,"Below Average height",G633&gt;=165,"Above Average height",G633=164,"Average height")</f>
        <v>Above Average height</v>
      </c>
      <c r="K633" s="2" t="str" cm="1">
        <f t="array" ref="K633">_xlfn.IFS(E633&lt;=16,"Children",E633&lt;=30,"Young Adults",E633&lt;=45,"Middle-aged Adults",E633&gt;45,"Old Adults")</f>
        <v>Young Adults</v>
      </c>
    </row>
    <row r="634" spans="1:11" x14ac:dyDescent="0.45">
      <c r="A634" s="2">
        <v>739</v>
      </c>
      <c r="B634" s="2" t="s">
        <v>844</v>
      </c>
      <c r="C634" s="2" t="s">
        <v>90</v>
      </c>
      <c r="D634" s="2" t="s">
        <v>75</v>
      </c>
      <c r="E634" s="2">
        <v>27</v>
      </c>
      <c r="F634" s="2">
        <v>96</v>
      </c>
      <c r="G634" s="2">
        <v>186</v>
      </c>
      <c r="H634" s="9">
        <f t="shared" si="9"/>
        <v>27.748872702046476</v>
      </c>
      <c r="I634" s="2" t="str" cm="1">
        <f t="array" ref="I634">_xlfn.IFS(F634&gt;=100,"Over weight",F634&lt;100,"Average weight")</f>
        <v>Average weight</v>
      </c>
      <c r="J634" s="2" t="str" cm="1">
        <f t="array" ref="J634">_xlfn.IFS(G634&lt;164,"Below Average height",G634&gt;=165,"Above Average height",G634=164,"Average height")</f>
        <v>Above Average height</v>
      </c>
      <c r="K634" s="2" t="str" cm="1">
        <f t="array" ref="K634">_xlfn.IFS(E634&lt;=16,"Children",E634&lt;=30,"Young Adults",E634&lt;=45,"Middle-aged Adults",E634&gt;45,"Old Adults")</f>
        <v>Young Adults</v>
      </c>
    </row>
    <row r="635" spans="1:11" x14ac:dyDescent="0.45">
      <c r="A635" s="2">
        <v>740</v>
      </c>
      <c r="B635" s="2" t="s">
        <v>845</v>
      </c>
      <c r="C635" s="2" t="s">
        <v>91</v>
      </c>
      <c r="D635" s="2" t="s">
        <v>70</v>
      </c>
      <c r="E635" s="2">
        <v>32</v>
      </c>
      <c r="F635" s="2">
        <v>98</v>
      </c>
      <c r="G635" s="2">
        <v>193</v>
      </c>
      <c r="H635" s="9">
        <f t="shared" si="9"/>
        <v>26.309431125667803</v>
      </c>
      <c r="I635" s="2" t="str" cm="1">
        <f t="array" ref="I635">_xlfn.IFS(F635&gt;=100,"Over weight",F635&lt;100,"Average weight")</f>
        <v>Average weight</v>
      </c>
      <c r="J635" s="2" t="str" cm="1">
        <f t="array" ref="J635">_xlfn.IFS(G635&lt;164,"Below Average height",G635&gt;=165,"Above Average height",G635=164,"Average height")</f>
        <v>Above Average height</v>
      </c>
      <c r="K635" s="2" t="str" cm="1">
        <f t="array" ref="K635">_xlfn.IFS(E635&lt;=16,"Children",E635&lt;=30,"Young Adults",E635&lt;=45,"Middle-aged Adults",E635&gt;45,"Old Adults")</f>
        <v>Middle-aged Adults</v>
      </c>
    </row>
    <row r="636" spans="1:11" x14ac:dyDescent="0.45">
      <c r="A636" s="2">
        <v>742</v>
      </c>
      <c r="B636" s="2" t="s">
        <v>847</v>
      </c>
      <c r="C636" s="2" t="s">
        <v>88</v>
      </c>
      <c r="D636" s="2" t="s">
        <v>23</v>
      </c>
      <c r="E636" s="2">
        <v>24</v>
      </c>
      <c r="F636" s="2">
        <v>60</v>
      </c>
      <c r="G636" s="2">
        <v>175</v>
      </c>
      <c r="H636" s="9">
        <f t="shared" si="9"/>
        <v>19.591836734693878</v>
      </c>
      <c r="I636" s="2" t="str" cm="1">
        <f t="array" ref="I636">_xlfn.IFS(F636&gt;=100,"Over weight",F636&lt;100,"Average weight")</f>
        <v>Average weight</v>
      </c>
      <c r="J636" s="2" t="str" cm="1">
        <f t="array" ref="J636">_xlfn.IFS(G636&lt;164,"Below Average height",G636&gt;=165,"Above Average height",G636=164,"Average height")</f>
        <v>Above Average height</v>
      </c>
      <c r="K636" s="2" t="str" cm="1">
        <f t="array" ref="K636">_xlfn.IFS(E636&lt;=16,"Children",E636&lt;=30,"Young Adults",E636&lt;=45,"Middle-aged Adults",E636&gt;45,"Old Adults")</f>
        <v>Young Adults</v>
      </c>
    </row>
    <row r="637" spans="1:11" x14ac:dyDescent="0.45">
      <c r="A637" s="2">
        <v>743</v>
      </c>
      <c r="B637" s="2" t="s">
        <v>848</v>
      </c>
      <c r="C637" s="2" t="s">
        <v>85</v>
      </c>
      <c r="D637" s="2" t="s">
        <v>74</v>
      </c>
      <c r="E637" s="2">
        <v>24</v>
      </c>
      <c r="F637" s="2">
        <v>67</v>
      </c>
      <c r="G637" s="2">
        <v>173</v>
      </c>
      <c r="H637" s="9">
        <f t="shared" si="9"/>
        <v>22.386314277122523</v>
      </c>
      <c r="I637" s="2" t="str" cm="1">
        <f t="array" ref="I637">_xlfn.IFS(F637&gt;=100,"Over weight",F637&lt;100,"Average weight")</f>
        <v>Average weight</v>
      </c>
      <c r="J637" s="2" t="str" cm="1">
        <f t="array" ref="J637">_xlfn.IFS(G637&lt;164,"Below Average height",G637&gt;=165,"Above Average height",G637=164,"Average height")</f>
        <v>Above Average height</v>
      </c>
      <c r="K637" s="2" t="str" cm="1">
        <f t="array" ref="K637">_xlfn.IFS(E637&lt;=16,"Children",E637&lt;=30,"Young Adults",E637&lt;=45,"Middle-aged Adults",E637&gt;45,"Old Adults")</f>
        <v>Young Adults</v>
      </c>
    </row>
    <row r="638" spans="1:11" x14ac:dyDescent="0.45">
      <c r="A638" s="2">
        <v>744</v>
      </c>
      <c r="B638" s="2" t="s">
        <v>849</v>
      </c>
      <c r="C638" s="2" t="s">
        <v>96</v>
      </c>
      <c r="D638" s="2" t="s">
        <v>22</v>
      </c>
      <c r="E638" s="2">
        <v>34</v>
      </c>
      <c r="F638" s="2">
        <v>90</v>
      </c>
      <c r="G638" s="2">
        <v>171</v>
      </c>
      <c r="H638" s="9">
        <f t="shared" si="9"/>
        <v>30.778701138811947</v>
      </c>
      <c r="I638" s="2" t="str" cm="1">
        <f t="array" ref="I638">_xlfn.IFS(F638&gt;=100,"Over weight",F638&lt;100,"Average weight")</f>
        <v>Average weight</v>
      </c>
      <c r="J638" s="2" t="str" cm="1">
        <f t="array" ref="J638">_xlfn.IFS(G638&lt;164,"Below Average height",G638&gt;=165,"Above Average height",G638=164,"Average height")</f>
        <v>Above Average height</v>
      </c>
      <c r="K638" s="2" t="str" cm="1">
        <f t="array" ref="K638">_xlfn.IFS(E638&lt;=16,"Children",E638&lt;=30,"Young Adults",E638&lt;=45,"Middle-aged Adults",E638&gt;45,"Old Adults")</f>
        <v>Middle-aged Adults</v>
      </c>
    </row>
    <row r="639" spans="1:11" x14ac:dyDescent="0.45">
      <c r="A639" s="2">
        <v>745</v>
      </c>
      <c r="B639" s="2" t="s">
        <v>850</v>
      </c>
      <c r="C639" s="2" t="s">
        <v>89</v>
      </c>
      <c r="D639" s="2" t="s">
        <v>80</v>
      </c>
      <c r="E639" s="2">
        <v>19</v>
      </c>
      <c r="F639" s="2">
        <v>76</v>
      </c>
      <c r="G639" s="2">
        <v>183</v>
      </c>
      <c r="H639" s="9">
        <f t="shared" si="9"/>
        <v>22.694018931589476</v>
      </c>
      <c r="I639" s="2" t="str" cm="1">
        <f t="array" ref="I639">_xlfn.IFS(F639&gt;=100,"Over weight",F639&lt;100,"Average weight")</f>
        <v>Average weight</v>
      </c>
      <c r="J639" s="2" t="str" cm="1">
        <f t="array" ref="J639">_xlfn.IFS(G639&lt;164,"Below Average height",G639&gt;=165,"Above Average height",G639=164,"Average height")</f>
        <v>Above Average height</v>
      </c>
      <c r="K639" s="2" t="str" cm="1">
        <f t="array" ref="K639">_xlfn.IFS(E639&lt;=16,"Children",E639&lt;=30,"Young Adults",E639&lt;=45,"Middle-aged Adults",E639&gt;45,"Old Adults")</f>
        <v>Young Adults</v>
      </c>
    </row>
    <row r="640" spans="1:11" x14ac:dyDescent="0.45">
      <c r="A640" s="2">
        <v>746</v>
      </c>
      <c r="B640" s="2" t="s">
        <v>851</v>
      </c>
      <c r="C640" s="2" t="s">
        <v>91</v>
      </c>
      <c r="D640" s="2" t="s">
        <v>60</v>
      </c>
      <c r="E640" s="2">
        <v>31</v>
      </c>
      <c r="F640" s="2">
        <v>88</v>
      </c>
      <c r="G640" s="2">
        <v>185</v>
      </c>
      <c r="H640" s="9">
        <f t="shared" si="9"/>
        <v>25.712198685171657</v>
      </c>
      <c r="I640" s="2" t="str" cm="1">
        <f t="array" ref="I640">_xlfn.IFS(F640&gt;=100,"Over weight",F640&lt;100,"Average weight")</f>
        <v>Average weight</v>
      </c>
      <c r="J640" s="2" t="str" cm="1">
        <f t="array" ref="J640">_xlfn.IFS(G640&lt;164,"Below Average height",G640&gt;=165,"Above Average height",G640=164,"Average height")</f>
        <v>Above Average height</v>
      </c>
      <c r="K640" s="2" t="str" cm="1">
        <f t="array" ref="K640">_xlfn.IFS(E640&lt;=16,"Children",E640&lt;=30,"Young Adults",E640&lt;=45,"Middle-aged Adults",E640&gt;45,"Old Adults")</f>
        <v>Middle-aged Adults</v>
      </c>
    </row>
    <row r="641" spans="1:11" x14ac:dyDescent="0.45">
      <c r="A641" s="2">
        <v>747</v>
      </c>
      <c r="B641" s="2" t="s">
        <v>852</v>
      </c>
      <c r="C641" s="2" t="s">
        <v>92</v>
      </c>
      <c r="D641" s="2" t="s">
        <v>25</v>
      </c>
      <c r="E641" s="2">
        <v>25</v>
      </c>
      <c r="F641" s="2">
        <v>63</v>
      </c>
      <c r="G641" s="2">
        <v>180</v>
      </c>
      <c r="H641" s="9">
        <f t="shared" si="9"/>
        <v>19.444444444444443</v>
      </c>
      <c r="I641" s="2" t="str" cm="1">
        <f t="array" ref="I641">_xlfn.IFS(F641&gt;=100,"Over weight",F641&lt;100,"Average weight")</f>
        <v>Average weight</v>
      </c>
      <c r="J641" s="2" t="str" cm="1">
        <f t="array" ref="J641">_xlfn.IFS(G641&lt;164,"Below Average height",G641&gt;=165,"Above Average height",G641=164,"Average height")</f>
        <v>Above Average height</v>
      </c>
      <c r="K641" s="2" t="str" cm="1">
        <f t="array" ref="K641">_xlfn.IFS(E641&lt;=16,"Children",E641&lt;=30,"Young Adults",E641&lt;=45,"Middle-aged Adults",E641&gt;45,"Old Adults")</f>
        <v>Young Adults</v>
      </c>
    </row>
    <row r="642" spans="1:11" x14ac:dyDescent="0.45">
      <c r="A642" s="2">
        <v>749</v>
      </c>
      <c r="B642" s="2" t="s">
        <v>854</v>
      </c>
      <c r="C642" s="2" t="s">
        <v>85</v>
      </c>
      <c r="D642" s="2" t="s">
        <v>74</v>
      </c>
      <c r="E642" s="2">
        <v>24</v>
      </c>
      <c r="F642" s="2">
        <v>81</v>
      </c>
      <c r="G642" s="2">
        <v>179</v>
      </c>
      <c r="H642" s="9">
        <f t="shared" ref="H642:H705" si="10" xml:space="preserve"> F642 / (( G642/ 100) ^ 2)</f>
        <v>25.280109859242845</v>
      </c>
      <c r="I642" s="2" t="str" cm="1">
        <f t="array" ref="I642">_xlfn.IFS(F642&gt;=100,"Over weight",F642&lt;100,"Average weight")</f>
        <v>Average weight</v>
      </c>
      <c r="J642" s="2" t="str" cm="1">
        <f t="array" ref="J642">_xlfn.IFS(G642&lt;164,"Below Average height",G642&gt;=165,"Above Average height",G642=164,"Average height")</f>
        <v>Above Average height</v>
      </c>
      <c r="K642" s="2" t="str" cm="1">
        <f t="array" ref="K642">_xlfn.IFS(E642&lt;=16,"Children",E642&lt;=30,"Young Adults",E642&lt;=45,"Middle-aged Adults",E642&gt;45,"Old Adults")</f>
        <v>Young Adults</v>
      </c>
    </row>
    <row r="643" spans="1:11" x14ac:dyDescent="0.45">
      <c r="A643" s="2">
        <v>750</v>
      </c>
      <c r="B643" s="2" t="s">
        <v>855</v>
      </c>
      <c r="C643" s="2" t="s">
        <v>95</v>
      </c>
      <c r="D643" s="2" t="s">
        <v>70</v>
      </c>
      <c r="E643" s="2">
        <v>24</v>
      </c>
      <c r="F643" s="2">
        <v>90</v>
      </c>
      <c r="G643" s="2">
        <v>180</v>
      </c>
      <c r="H643" s="9">
        <f t="shared" si="10"/>
        <v>27.777777777777775</v>
      </c>
      <c r="I643" s="2" t="str" cm="1">
        <f t="array" ref="I643">_xlfn.IFS(F643&gt;=100,"Over weight",F643&lt;100,"Average weight")</f>
        <v>Average weight</v>
      </c>
      <c r="J643" s="2" t="str" cm="1">
        <f t="array" ref="J643">_xlfn.IFS(G643&lt;164,"Below Average height",G643&gt;=165,"Above Average height",G643=164,"Average height")</f>
        <v>Above Average height</v>
      </c>
      <c r="K643" s="2" t="str" cm="1">
        <f t="array" ref="K643">_xlfn.IFS(E643&lt;=16,"Children",E643&lt;=30,"Young Adults",E643&lt;=45,"Middle-aged Adults",E643&gt;45,"Old Adults")</f>
        <v>Young Adults</v>
      </c>
    </row>
    <row r="644" spans="1:11" x14ac:dyDescent="0.45">
      <c r="A644" s="2">
        <v>752</v>
      </c>
      <c r="B644" s="2" t="s">
        <v>857</v>
      </c>
      <c r="C644" s="2" t="s">
        <v>94</v>
      </c>
      <c r="D644" s="2" t="s">
        <v>14</v>
      </c>
      <c r="E644" s="2">
        <v>21</v>
      </c>
      <c r="F644" s="2">
        <v>75</v>
      </c>
      <c r="G644" s="2">
        <v>184</v>
      </c>
      <c r="H644" s="9">
        <f t="shared" si="10"/>
        <v>22.152646502835537</v>
      </c>
      <c r="I644" s="2" t="str" cm="1">
        <f t="array" ref="I644">_xlfn.IFS(F644&gt;=100,"Over weight",F644&lt;100,"Average weight")</f>
        <v>Average weight</v>
      </c>
      <c r="J644" s="2" t="str" cm="1">
        <f t="array" ref="J644">_xlfn.IFS(G644&lt;164,"Below Average height",G644&gt;=165,"Above Average height",G644=164,"Average height")</f>
        <v>Above Average height</v>
      </c>
      <c r="K644" s="2" t="str" cm="1">
        <f t="array" ref="K644">_xlfn.IFS(E644&lt;=16,"Children",E644&lt;=30,"Young Adults",E644&lt;=45,"Middle-aged Adults",E644&gt;45,"Old Adults")</f>
        <v>Young Adults</v>
      </c>
    </row>
    <row r="645" spans="1:11" x14ac:dyDescent="0.45">
      <c r="A645" s="2">
        <v>753</v>
      </c>
      <c r="B645" s="2" t="s">
        <v>858</v>
      </c>
      <c r="C645" s="2" t="s">
        <v>90</v>
      </c>
      <c r="D645" s="2" t="s">
        <v>5</v>
      </c>
      <c r="E645" s="2">
        <v>28</v>
      </c>
      <c r="F645" s="2">
        <v>102</v>
      </c>
      <c r="G645" s="2">
        <v>183</v>
      </c>
      <c r="H645" s="9">
        <f t="shared" si="10"/>
        <v>30.457762250291136</v>
      </c>
      <c r="I645" s="2" t="str" cm="1">
        <f t="array" ref="I645">_xlfn.IFS(F645&gt;=100,"Over weight",F645&lt;100,"Average weight")</f>
        <v>Over weight</v>
      </c>
      <c r="J645" s="2" t="str" cm="1">
        <f t="array" ref="J645">_xlfn.IFS(G645&lt;164,"Below Average height",G645&gt;=165,"Above Average height",G645=164,"Average height")</f>
        <v>Above Average height</v>
      </c>
      <c r="K645" s="2" t="str" cm="1">
        <f t="array" ref="K645">_xlfn.IFS(E645&lt;=16,"Children",E645&lt;=30,"Young Adults",E645&lt;=45,"Middle-aged Adults",E645&gt;45,"Old Adults")</f>
        <v>Young Adults</v>
      </c>
    </row>
    <row r="646" spans="1:11" x14ac:dyDescent="0.45">
      <c r="A646" s="2">
        <v>754</v>
      </c>
      <c r="B646" s="2" t="s">
        <v>859</v>
      </c>
      <c r="C646" s="2" t="s">
        <v>95</v>
      </c>
      <c r="D646" s="2" t="s">
        <v>39</v>
      </c>
      <c r="E646" s="2">
        <v>38</v>
      </c>
      <c r="F646" s="2">
        <v>74</v>
      </c>
      <c r="G646" s="2">
        <v>178</v>
      </c>
      <c r="H646" s="9">
        <f t="shared" si="10"/>
        <v>23.355636914530994</v>
      </c>
      <c r="I646" s="2" t="str" cm="1">
        <f t="array" ref="I646">_xlfn.IFS(F646&gt;=100,"Over weight",F646&lt;100,"Average weight")</f>
        <v>Average weight</v>
      </c>
      <c r="J646" s="2" t="str" cm="1">
        <f t="array" ref="J646">_xlfn.IFS(G646&lt;164,"Below Average height",G646&gt;=165,"Above Average height",G646=164,"Average height")</f>
        <v>Above Average height</v>
      </c>
      <c r="K646" s="2" t="str" cm="1">
        <f t="array" ref="K646">_xlfn.IFS(E646&lt;=16,"Children",E646&lt;=30,"Young Adults",E646&lt;=45,"Middle-aged Adults",E646&gt;45,"Old Adults")</f>
        <v>Middle-aged Adults</v>
      </c>
    </row>
    <row r="647" spans="1:11" x14ac:dyDescent="0.45">
      <c r="A647" s="2">
        <v>760</v>
      </c>
      <c r="B647" s="2" t="s">
        <v>865</v>
      </c>
      <c r="C647" s="2" t="s">
        <v>87</v>
      </c>
      <c r="D647" s="2" t="s">
        <v>25</v>
      </c>
      <c r="E647" s="2">
        <v>31</v>
      </c>
      <c r="F647" s="2">
        <v>108</v>
      </c>
      <c r="G647" s="2">
        <v>188</v>
      </c>
      <c r="H647" s="9">
        <f t="shared" si="10"/>
        <v>30.556813037573566</v>
      </c>
      <c r="I647" s="2" t="str" cm="1">
        <f t="array" ref="I647">_xlfn.IFS(F647&gt;=100,"Over weight",F647&lt;100,"Average weight")</f>
        <v>Over weight</v>
      </c>
      <c r="J647" s="2" t="str" cm="1">
        <f t="array" ref="J647">_xlfn.IFS(G647&lt;164,"Below Average height",G647&gt;=165,"Above Average height",G647=164,"Average height")</f>
        <v>Above Average height</v>
      </c>
      <c r="K647" s="2" t="str" cm="1">
        <f t="array" ref="K647">_xlfn.IFS(E647&lt;=16,"Children",E647&lt;=30,"Young Adults",E647&lt;=45,"Middle-aged Adults",E647&gt;45,"Old Adults")</f>
        <v>Middle-aged Adults</v>
      </c>
    </row>
    <row r="648" spans="1:11" x14ac:dyDescent="0.45">
      <c r="A648" s="2">
        <v>762</v>
      </c>
      <c r="B648" s="2" t="s">
        <v>867</v>
      </c>
      <c r="C648" s="2" t="s">
        <v>96</v>
      </c>
      <c r="D648" s="2" t="s">
        <v>75</v>
      </c>
      <c r="E648" s="2">
        <v>25</v>
      </c>
      <c r="F648" s="2">
        <v>75</v>
      </c>
      <c r="G648" s="2">
        <v>187</v>
      </c>
      <c r="H648" s="9">
        <f t="shared" si="10"/>
        <v>21.447567845806283</v>
      </c>
      <c r="I648" s="2" t="str" cm="1">
        <f t="array" ref="I648">_xlfn.IFS(F648&gt;=100,"Over weight",F648&lt;100,"Average weight")</f>
        <v>Average weight</v>
      </c>
      <c r="J648" s="2" t="str" cm="1">
        <f t="array" ref="J648">_xlfn.IFS(G648&lt;164,"Below Average height",G648&gt;=165,"Above Average height",G648=164,"Average height")</f>
        <v>Above Average height</v>
      </c>
      <c r="K648" s="2" t="str" cm="1">
        <f t="array" ref="K648">_xlfn.IFS(E648&lt;=16,"Children",E648&lt;=30,"Young Adults",E648&lt;=45,"Middle-aged Adults",E648&gt;45,"Old Adults")</f>
        <v>Young Adults</v>
      </c>
    </row>
    <row r="649" spans="1:11" x14ac:dyDescent="0.45">
      <c r="A649" s="2">
        <v>763</v>
      </c>
      <c r="B649" s="2" t="s">
        <v>868</v>
      </c>
      <c r="C649" s="2" t="s">
        <v>88</v>
      </c>
      <c r="D649" s="2" t="s">
        <v>28</v>
      </c>
      <c r="E649" s="2">
        <v>30</v>
      </c>
      <c r="F649" s="2">
        <v>56</v>
      </c>
      <c r="G649" s="2">
        <v>170</v>
      </c>
      <c r="H649" s="9">
        <f t="shared" si="10"/>
        <v>19.377162629757787</v>
      </c>
      <c r="I649" s="2" t="str" cm="1">
        <f t="array" ref="I649">_xlfn.IFS(F649&gt;=100,"Over weight",F649&lt;100,"Average weight")</f>
        <v>Average weight</v>
      </c>
      <c r="J649" s="2" t="str" cm="1">
        <f t="array" ref="J649">_xlfn.IFS(G649&lt;164,"Below Average height",G649&gt;=165,"Above Average height",G649=164,"Average height")</f>
        <v>Above Average height</v>
      </c>
      <c r="K649" s="2" t="str" cm="1">
        <f t="array" ref="K649">_xlfn.IFS(E649&lt;=16,"Children",E649&lt;=30,"Young Adults",E649&lt;=45,"Middle-aged Adults",E649&gt;45,"Old Adults")</f>
        <v>Young Adults</v>
      </c>
    </row>
    <row r="650" spans="1:11" x14ac:dyDescent="0.45">
      <c r="A650" s="2">
        <v>764</v>
      </c>
      <c r="B650" s="2" t="s">
        <v>869</v>
      </c>
      <c r="C650" s="2" t="s">
        <v>92</v>
      </c>
      <c r="D650" s="2" t="s">
        <v>25</v>
      </c>
      <c r="E650" s="2">
        <v>28</v>
      </c>
      <c r="F650" s="2">
        <v>64</v>
      </c>
      <c r="G650" s="2">
        <v>177</v>
      </c>
      <c r="H650" s="9">
        <f t="shared" si="10"/>
        <v>20.428357113217785</v>
      </c>
      <c r="I650" s="2" t="str" cm="1">
        <f t="array" ref="I650">_xlfn.IFS(F650&gt;=100,"Over weight",F650&lt;100,"Average weight")</f>
        <v>Average weight</v>
      </c>
      <c r="J650" s="2" t="str" cm="1">
        <f t="array" ref="J650">_xlfn.IFS(G650&lt;164,"Below Average height",G650&gt;=165,"Above Average height",G650=164,"Average height")</f>
        <v>Above Average height</v>
      </c>
      <c r="K650" s="2" t="str" cm="1">
        <f t="array" ref="K650">_xlfn.IFS(E650&lt;=16,"Children",E650&lt;=30,"Young Adults",E650&lt;=45,"Middle-aged Adults",E650&gt;45,"Old Adults")</f>
        <v>Young Adults</v>
      </c>
    </row>
    <row r="651" spans="1:11" x14ac:dyDescent="0.45">
      <c r="A651" s="2">
        <v>766</v>
      </c>
      <c r="B651" s="2" t="s">
        <v>871</v>
      </c>
      <c r="C651" s="2" t="s">
        <v>91</v>
      </c>
      <c r="D651" s="2" t="s">
        <v>21</v>
      </c>
      <c r="E651" s="2">
        <v>28</v>
      </c>
      <c r="F651" s="2">
        <v>82</v>
      </c>
      <c r="G651" s="2">
        <v>184</v>
      </c>
      <c r="H651" s="9">
        <f t="shared" si="10"/>
        <v>24.220226843100189</v>
      </c>
      <c r="I651" s="2" t="str" cm="1">
        <f t="array" ref="I651">_xlfn.IFS(F651&gt;=100,"Over weight",F651&lt;100,"Average weight")</f>
        <v>Average weight</v>
      </c>
      <c r="J651" s="2" t="str" cm="1">
        <f t="array" ref="J651">_xlfn.IFS(G651&lt;164,"Below Average height",G651&gt;=165,"Above Average height",G651=164,"Average height")</f>
        <v>Above Average height</v>
      </c>
      <c r="K651" s="2" t="str" cm="1">
        <f t="array" ref="K651">_xlfn.IFS(E651&lt;=16,"Children",E651&lt;=30,"Young Adults",E651&lt;=45,"Middle-aged Adults",E651&gt;45,"Old Adults")</f>
        <v>Young Adults</v>
      </c>
    </row>
    <row r="652" spans="1:11" x14ac:dyDescent="0.45">
      <c r="A652" s="2">
        <v>767</v>
      </c>
      <c r="B652" s="2" t="s">
        <v>872</v>
      </c>
      <c r="C652" s="2" t="s">
        <v>86</v>
      </c>
      <c r="D652" s="2" t="s">
        <v>14</v>
      </c>
      <c r="E652" s="2">
        <v>26</v>
      </c>
      <c r="F652" s="2">
        <v>75</v>
      </c>
      <c r="G652" s="2">
        <v>180</v>
      </c>
      <c r="H652" s="9">
        <f t="shared" si="10"/>
        <v>23.148148148148145</v>
      </c>
      <c r="I652" s="2" t="str" cm="1">
        <f t="array" ref="I652">_xlfn.IFS(F652&gt;=100,"Over weight",F652&lt;100,"Average weight")</f>
        <v>Average weight</v>
      </c>
      <c r="J652" s="2" t="str" cm="1">
        <f t="array" ref="J652">_xlfn.IFS(G652&lt;164,"Below Average height",G652&gt;=165,"Above Average height",G652=164,"Average height")</f>
        <v>Above Average height</v>
      </c>
      <c r="K652" s="2" t="str" cm="1">
        <f t="array" ref="K652">_xlfn.IFS(E652&lt;=16,"Children",E652&lt;=30,"Young Adults",E652&lt;=45,"Middle-aged Adults",E652&gt;45,"Old Adults")</f>
        <v>Young Adults</v>
      </c>
    </row>
    <row r="653" spans="1:11" x14ac:dyDescent="0.45">
      <c r="A653" s="2">
        <v>768</v>
      </c>
      <c r="B653" s="2" t="s">
        <v>873</v>
      </c>
      <c r="C653" s="2" t="s">
        <v>98</v>
      </c>
      <c r="D653" s="2" t="s">
        <v>5</v>
      </c>
      <c r="E653" s="2">
        <v>23</v>
      </c>
      <c r="F653" s="2">
        <v>71</v>
      </c>
      <c r="G653" s="2">
        <v>178</v>
      </c>
      <c r="H653" s="9">
        <f t="shared" si="10"/>
        <v>22.408786769347305</v>
      </c>
      <c r="I653" s="2" t="str" cm="1">
        <f t="array" ref="I653">_xlfn.IFS(F653&gt;=100,"Over weight",F653&lt;100,"Average weight")</f>
        <v>Average weight</v>
      </c>
      <c r="J653" s="2" t="str" cm="1">
        <f t="array" ref="J653">_xlfn.IFS(G653&lt;164,"Below Average height",G653&gt;=165,"Above Average height",G653=164,"Average height")</f>
        <v>Above Average height</v>
      </c>
      <c r="K653" s="2" t="str" cm="1">
        <f t="array" ref="K653">_xlfn.IFS(E653&lt;=16,"Children",E653&lt;=30,"Young Adults",E653&lt;=45,"Middle-aged Adults",E653&gt;45,"Old Adults")</f>
        <v>Young Adults</v>
      </c>
    </row>
    <row r="654" spans="1:11" x14ac:dyDescent="0.45">
      <c r="A654" s="2">
        <v>769</v>
      </c>
      <c r="B654" s="2" t="s">
        <v>874</v>
      </c>
      <c r="C654" s="2" t="s">
        <v>95</v>
      </c>
      <c r="D654" s="2" t="s">
        <v>79</v>
      </c>
      <c r="E654" s="2">
        <v>24</v>
      </c>
      <c r="F654" s="2">
        <v>79</v>
      </c>
      <c r="G654" s="2">
        <v>182</v>
      </c>
      <c r="H654" s="9">
        <f t="shared" si="10"/>
        <v>23.849776597029344</v>
      </c>
      <c r="I654" s="2" t="str" cm="1">
        <f t="array" ref="I654">_xlfn.IFS(F654&gt;=100,"Over weight",F654&lt;100,"Average weight")</f>
        <v>Average weight</v>
      </c>
      <c r="J654" s="2" t="str" cm="1">
        <f t="array" ref="J654">_xlfn.IFS(G654&lt;164,"Below Average height",G654&gt;=165,"Above Average height",G654=164,"Average height")</f>
        <v>Above Average height</v>
      </c>
      <c r="K654" s="2" t="str" cm="1">
        <f t="array" ref="K654">_xlfn.IFS(E654&lt;=16,"Children",E654&lt;=30,"Young Adults",E654&lt;=45,"Middle-aged Adults",E654&gt;45,"Old Adults")</f>
        <v>Young Adults</v>
      </c>
    </row>
    <row r="655" spans="1:11" x14ac:dyDescent="0.45">
      <c r="A655" s="2">
        <v>770</v>
      </c>
      <c r="B655" s="2" t="s">
        <v>875</v>
      </c>
      <c r="C655" s="2" t="s">
        <v>87</v>
      </c>
      <c r="D655" s="2" t="s">
        <v>14</v>
      </c>
      <c r="E655" s="2">
        <v>36</v>
      </c>
      <c r="F655" s="2">
        <v>100</v>
      </c>
      <c r="G655" s="2">
        <v>193</v>
      </c>
      <c r="H655" s="9">
        <f t="shared" si="10"/>
        <v>26.846358291497758</v>
      </c>
      <c r="I655" s="2" t="str" cm="1">
        <f t="array" ref="I655">_xlfn.IFS(F655&gt;=100,"Over weight",F655&lt;100,"Average weight")</f>
        <v>Over weight</v>
      </c>
      <c r="J655" s="2" t="str" cm="1">
        <f t="array" ref="J655">_xlfn.IFS(G655&lt;164,"Below Average height",G655&gt;=165,"Above Average height",G655=164,"Average height")</f>
        <v>Above Average height</v>
      </c>
      <c r="K655" s="2" t="str" cm="1">
        <f t="array" ref="K655">_xlfn.IFS(E655&lt;=16,"Children",E655&lt;=30,"Young Adults",E655&lt;=45,"Middle-aged Adults",E655&gt;45,"Old Adults")</f>
        <v>Middle-aged Adults</v>
      </c>
    </row>
    <row r="656" spans="1:11" x14ac:dyDescent="0.45">
      <c r="A656" s="2">
        <v>771</v>
      </c>
      <c r="B656" s="2" t="s">
        <v>876</v>
      </c>
      <c r="C656" s="2" t="s">
        <v>93</v>
      </c>
      <c r="D656" s="2" t="s">
        <v>5</v>
      </c>
      <c r="E656" s="2">
        <v>33</v>
      </c>
      <c r="F656" s="2">
        <v>90</v>
      </c>
      <c r="G656" s="2">
        <v>184</v>
      </c>
      <c r="H656" s="9">
        <f t="shared" si="10"/>
        <v>26.583175803402646</v>
      </c>
      <c r="I656" s="2" t="str" cm="1">
        <f t="array" ref="I656">_xlfn.IFS(F656&gt;=100,"Over weight",F656&lt;100,"Average weight")</f>
        <v>Average weight</v>
      </c>
      <c r="J656" s="2" t="str" cm="1">
        <f t="array" ref="J656">_xlfn.IFS(G656&lt;164,"Below Average height",G656&gt;=165,"Above Average height",G656=164,"Average height")</f>
        <v>Above Average height</v>
      </c>
      <c r="K656" s="2" t="str" cm="1">
        <f t="array" ref="K656">_xlfn.IFS(E656&lt;=16,"Children",E656&lt;=30,"Young Adults",E656&lt;=45,"Middle-aged Adults",E656&gt;45,"Old Adults")</f>
        <v>Middle-aged Adults</v>
      </c>
    </row>
    <row r="657" spans="1:11" x14ac:dyDescent="0.45">
      <c r="A657" s="2">
        <v>772</v>
      </c>
      <c r="B657" s="2" t="s">
        <v>877</v>
      </c>
      <c r="C657" s="2" t="s">
        <v>91</v>
      </c>
      <c r="D657" s="2" t="s">
        <v>14</v>
      </c>
      <c r="E657" s="2">
        <v>29</v>
      </c>
      <c r="F657" s="2">
        <v>98</v>
      </c>
      <c r="G657" s="2">
        <v>191</v>
      </c>
      <c r="H657" s="9">
        <f t="shared" si="10"/>
        <v>26.863298703434666</v>
      </c>
      <c r="I657" s="2" t="str" cm="1">
        <f t="array" ref="I657">_xlfn.IFS(F657&gt;=100,"Over weight",F657&lt;100,"Average weight")</f>
        <v>Average weight</v>
      </c>
      <c r="J657" s="2" t="str" cm="1">
        <f t="array" ref="J657">_xlfn.IFS(G657&lt;164,"Below Average height",G657&gt;=165,"Above Average height",G657=164,"Average height")</f>
        <v>Above Average height</v>
      </c>
      <c r="K657" s="2" t="str" cm="1">
        <f t="array" ref="K657">_xlfn.IFS(E657&lt;=16,"Children",E657&lt;=30,"Young Adults",E657&lt;=45,"Middle-aged Adults",E657&gt;45,"Old Adults")</f>
        <v>Young Adults</v>
      </c>
    </row>
    <row r="658" spans="1:11" x14ac:dyDescent="0.45">
      <c r="A658" s="2">
        <v>773</v>
      </c>
      <c r="B658" s="2" t="s">
        <v>878</v>
      </c>
      <c r="C658" s="2" t="s">
        <v>96</v>
      </c>
      <c r="D658" s="2" t="s">
        <v>14</v>
      </c>
      <c r="E658" s="2">
        <v>26</v>
      </c>
      <c r="F658" s="2">
        <v>81</v>
      </c>
      <c r="G658" s="2">
        <v>180</v>
      </c>
      <c r="H658" s="9">
        <f t="shared" si="10"/>
        <v>25</v>
      </c>
      <c r="I658" s="2" t="str" cm="1">
        <f t="array" ref="I658">_xlfn.IFS(F658&gt;=100,"Over weight",F658&lt;100,"Average weight")</f>
        <v>Average weight</v>
      </c>
      <c r="J658" s="2" t="str" cm="1">
        <f t="array" ref="J658">_xlfn.IFS(G658&lt;164,"Below Average height",G658&gt;=165,"Above Average height",G658=164,"Average height")</f>
        <v>Above Average height</v>
      </c>
      <c r="K658" s="2" t="str" cm="1">
        <f t="array" ref="K658">_xlfn.IFS(E658&lt;=16,"Children",E658&lt;=30,"Young Adults",E658&lt;=45,"Middle-aged Adults",E658&gt;45,"Old Adults")</f>
        <v>Young Adults</v>
      </c>
    </row>
    <row r="659" spans="1:11" x14ac:dyDescent="0.45">
      <c r="A659" s="2">
        <v>774</v>
      </c>
      <c r="B659" s="2" t="s">
        <v>879</v>
      </c>
      <c r="C659" s="2" t="s">
        <v>91</v>
      </c>
      <c r="D659" s="2" t="s">
        <v>28</v>
      </c>
      <c r="E659" s="2">
        <v>32</v>
      </c>
      <c r="F659" s="2">
        <v>92</v>
      </c>
      <c r="G659" s="2">
        <v>187</v>
      </c>
      <c r="H659" s="9">
        <f t="shared" si="10"/>
        <v>26.309016557522373</v>
      </c>
      <c r="I659" s="2" t="str" cm="1">
        <f t="array" ref="I659">_xlfn.IFS(F659&gt;=100,"Over weight",F659&lt;100,"Average weight")</f>
        <v>Average weight</v>
      </c>
      <c r="J659" s="2" t="str" cm="1">
        <f t="array" ref="J659">_xlfn.IFS(G659&lt;164,"Below Average height",G659&gt;=165,"Above Average height",G659=164,"Average height")</f>
        <v>Above Average height</v>
      </c>
      <c r="K659" s="2" t="str" cm="1">
        <f t="array" ref="K659">_xlfn.IFS(E659&lt;=16,"Children",E659&lt;=30,"Young Adults",E659&lt;=45,"Middle-aged Adults",E659&gt;45,"Old Adults")</f>
        <v>Middle-aged Adults</v>
      </c>
    </row>
    <row r="660" spans="1:11" x14ac:dyDescent="0.45">
      <c r="A660" s="2">
        <v>775</v>
      </c>
      <c r="B660" s="2" t="s">
        <v>880</v>
      </c>
      <c r="C660" s="2" t="s">
        <v>86</v>
      </c>
      <c r="D660" s="2" t="s">
        <v>28</v>
      </c>
      <c r="E660" s="2">
        <v>16</v>
      </c>
      <c r="F660" s="2">
        <v>81</v>
      </c>
      <c r="G660" s="2">
        <v>170</v>
      </c>
      <c r="H660" s="9">
        <f t="shared" si="10"/>
        <v>28.027681660899656</v>
      </c>
      <c r="I660" s="2" t="str" cm="1">
        <f t="array" ref="I660">_xlfn.IFS(F660&gt;=100,"Over weight",F660&lt;100,"Average weight")</f>
        <v>Average weight</v>
      </c>
      <c r="J660" s="2" t="str" cm="1">
        <f t="array" ref="J660">_xlfn.IFS(G660&lt;164,"Below Average height",G660&gt;=165,"Above Average height",G660=164,"Average height")</f>
        <v>Above Average height</v>
      </c>
      <c r="K660" s="2" t="str" cm="1">
        <f t="array" ref="K660">_xlfn.IFS(E660&lt;=16,"Children",E660&lt;=30,"Young Adults",E660&lt;=45,"Middle-aged Adults",E660&gt;45,"Old Adults")</f>
        <v>Children</v>
      </c>
    </row>
    <row r="661" spans="1:11" x14ac:dyDescent="0.45">
      <c r="A661" s="2">
        <v>776</v>
      </c>
      <c r="B661" s="2" t="s">
        <v>881</v>
      </c>
      <c r="C661" s="2" t="s">
        <v>89</v>
      </c>
      <c r="D661" s="2" t="s">
        <v>80</v>
      </c>
      <c r="E661" s="2">
        <v>32</v>
      </c>
      <c r="F661" s="2">
        <v>78</v>
      </c>
      <c r="G661" s="2">
        <v>180</v>
      </c>
      <c r="H661" s="9">
        <f t="shared" si="10"/>
        <v>24.074074074074073</v>
      </c>
      <c r="I661" s="2" t="str" cm="1">
        <f t="array" ref="I661">_xlfn.IFS(F661&gt;=100,"Over weight",F661&lt;100,"Average weight")</f>
        <v>Average weight</v>
      </c>
      <c r="J661" s="2" t="str" cm="1">
        <f t="array" ref="J661">_xlfn.IFS(G661&lt;164,"Below Average height",G661&gt;=165,"Above Average height",G661=164,"Average height")</f>
        <v>Above Average height</v>
      </c>
      <c r="K661" s="2" t="str" cm="1">
        <f t="array" ref="K661">_xlfn.IFS(E661&lt;=16,"Children",E661&lt;=30,"Young Adults",E661&lt;=45,"Middle-aged Adults",E661&gt;45,"Old Adults")</f>
        <v>Middle-aged Adults</v>
      </c>
    </row>
    <row r="662" spans="1:11" x14ac:dyDescent="0.45">
      <c r="A662" s="2">
        <v>777</v>
      </c>
      <c r="B662" s="2" t="s">
        <v>882</v>
      </c>
      <c r="C662" s="2" t="s">
        <v>85</v>
      </c>
      <c r="D662" s="2" t="s">
        <v>39</v>
      </c>
      <c r="E662" s="2">
        <v>27</v>
      </c>
      <c r="F662" s="2">
        <v>85</v>
      </c>
      <c r="G662" s="2">
        <v>184</v>
      </c>
      <c r="H662" s="9">
        <f t="shared" si="10"/>
        <v>25.10633270321361</v>
      </c>
      <c r="I662" s="2" t="str" cm="1">
        <f t="array" ref="I662">_xlfn.IFS(F662&gt;=100,"Over weight",F662&lt;100,"Average weight")</f>
        <v>Average weight</v>
      </c>
      <c r="J662" s="2" t="str" cm="1">
        <f t="array" ref="J662">_xlfn.IFS(G662&lt;164,"Below Average height",G662&gt;=165,"Above Average height",G662=164,"Average height")</f>
        <v>Above Average height</v>
      </c>
      <c r="K662" s="2" t="str" cm="1">
        <f t="array" ref="K662">_xlfn.IFS(E662&lt;=16,"Children",E662&lt;=30,"Young Adults",E662&lt;=45,"Middle-aged Adults",E662&gt;45,"Old Adults")</f>
        <v>Young Adults</v>
      </c>
    </row>
    <row r="663" spans="1:11" x14ac:dyDescent="0.45">
      <c r="A663" s="2">
        <v>778</v>
      </c>
      <c r="B663" s="2" t="s">
        <v>883</v>
      </c>
      <c r="C663" s="2" t="s">
        <v>97</v>
      </c>
      <c r="D663" s="2" t="s">
        <v>75</v>
      </c>
      <c r="E663" s="2">
        <v>29</v>
      </c>
      <c r="F663" s="2">
        <v>66</v>
      </c>
      <c r="G663" s="2">
        <v>176</v>
      </c>
      <c r="H663" s="9">
        <f t="shared" si="10"/>
        <v>21.306818181818183</v>
      </c>
      <c r="I663" s="2" t="str" cm="1">
        <f t="array" ref="I663">_xlfn.IFS(F663&gt;=100,"Over weight",F663&lt;100,"Average weight")</f>
        <v>Average weight</v>
      </c>
      <c r="J663" s="2" t="str" cm="1">
        <f t="array" ref="J663">_xlfn.IFS(G663&lt;164,"Below Average height",G663&gt;=165,"Above Average height",G663=164,"Average height")</f>
        <v>Above Average height</v>
      </c>
      <c r="K663" s="2" t="str" cm="1">
        <f t="array" ref="K663">_xlfn.IFS(E663&lt;=16,"Children",E663&lt;=30,"Young Adults",E663&lt;=45,"Middle-aged Adults",E663&gt;45,"Old Adults")</f>
        <v>Young Adults</v>
      </c>
    </row>
    <row r="664" spans="1:11" x14ac:dyDescent="0.45">
      <c r="A664" s="2">
        <v>779</v>
      </c>
      <c r="B664" s="2" t="s">
        <v>884</v>
      </c>
      <c r="C664" s="2" t="s">
        <v>91</v>
      </c>
      <c r="D664" s="2" t="s">
        <v>14</v>
      </c>
      <c r="E664" s="2">
        <v>32</v>
      </c>
      <c r="F664" s="2">
        <v>63</v>
      </c>
      <c r="G664" s="2">
        <v>165</v>
      </c>
      <c r="H664" s="9">
        <f t="shared" si="10"/>
        <v>23.140495867768596</v>
      </c>
      <c r="I664" s="2" t="str" cm="1">
        <f t="array" ref="I664">_xlfn.IFS(F664&gt;=100,"Over weight",F664&lt;100,"Average weight")</f>
        <v>Average weight</v>
      </c>
      <c r="J664" s="2" t="str" cm="1">
        <f t="array" ref="J664">_xlfn.IFS(G664&lt;164,"Below Average height",G664&gt;=165,"Above Average height",G664=164,"Average height")</f>
        <v>Above Average height</v>
      </c>
      <c r="K664" s="2" t="str" cm="1">
        <f t="array" ref="K664">_xlfn.IFS(E664&lt;=16,"Children",E664&lt;=30,"Young Adults",E664&lt;=45,"Middle-aged Adults",E664&gt;45,"Old Adults")</f>
        <v>Middle-aged Adults</v>
      </c>
    </row>
    <row r="665" spans="1:11" x14ac:dyDescent="0.45">
      <c r="A665" s="2">
        <v>780</v>
      </c>
      <c r="B665" s="2" t="s">
        <v>885</v>
      </c>
      <c r="C665" s="2" t="s">
        <v>90</v>
      </c>
      <c r="D665" s="2" t="s">
        <v>75</v>
      </c>
      <c r="E665" s="2">
        <v>32</v>
      </c>
      <c r="F665" s="2">
        <v>103</v>
      </c>
      <c r="G665" s="2">
        <v>183</v>
      </c>
      <c r="H665" s="9">
        <f t="shared" si="10"/>
        <v>30.756367762548894</v>
      </c>
      <c r="I665" s="2" t="str" cm="1">
        <f t="array" ref="I665">_xlfn.IFS(F665&gt;=100,"Over weight",F665&lt;100,"Average weight")</f>
        <v>Over weight</v>
      </c>
      <c r="J665" s="2" t="str" cm="1">
        <f t="array" ref="J665">_xlfn.IFS(G665&lt;164,"Below Average height",G665&gt;=165,"Above Average height",G665=164,"Average height")</f>
        <v>Above Average height</v>
      </c>
      <c r="K665" s="2" t="str" cm="1">
        <f t="array" ref="K665">_xlfn.IFS(E665&lt;=16,"Children",E665&lt;=30,"Young Adults",E665&lt;=45,"Middle-aged Adults",E665&gt;45,"Old Adults")</f>
        <v>Middle-aged Adults</v>
      </c>
    </row>
    <row r="666" spans="1:11" x14ac:dyDescent="0.45">
      <c r="A666" s="2">
        <v>781</v>
      </c>
      <c r="B666" s="2" t="s">
        <v>886</v>
      </c>
      <c r="C666" s="2" t="s">
        <v>98</v>
      </c>
      <c r="D666" s="2" t="s">
        <v>33</v>
      </c>
      <c r="E666" s="2">
        <v>21</v>
      </c>
      <c r="F666" s="2">
        <v>62</v>
      </c>
      <c r="G666" s="2">
        <v>169</v>
      </c>
      <c r="H666" s="9">
        <f t="shared" si="10"/>
        <v>21.707923392038097</v>
      </c>
      <c r="I666" s="2" t="str" cm="1">
        <f t="array" ref="I666">_xlfn.IFS(F666&gt;=100,"Over weight",F666&lt;100,"Average weight")</f>
        <v>Average weight</v>
      </c>
      <c r="J666" s="2" t="str" cm="1">
        <f t="array" ref="J666">_xlfn.IFS(G666&lt;164,"Below Average height",G666&gt;=165,"Above Average height",G666=164,"Average height")</f>
        <v>Above Average height</v>
      </c>
      <c r="K666" s="2" t="str" cm="1">
        <f t="array" ref="K666">_xlfn.IFS(E666&lt;=16,"Children",E666&lt;=30,"Young Adults",E666&lt;=45,"Middle-aged Adults",E666&gt;45,"Old Adults")</f>
        <v>Young Adults</v>
      </c>
    </row>
    <row r="667" spans="1:11" x14ac:dyDescent="0.45">
      <c r="A667" s="2">
        <v>782</v>
      </c>
      <c r="B667" s="2" t="s">
        <v>887</v>
      </c>
      <c r="C667" s="2" t="s">
        <v>94</v>
      </c>
      <c r="D667" s="2" t="s">
        <v>25</v>
      </c>
      <c r="E667" s="2">
        <v>26</v>
      </c>
      <c r="F667" s="2">
        <v>61</v>
      </c>
      <c r="G667" s="2">
        <v>174</v>
      </c>
      <c r="H667" s="9">
        <f t="shared" si="10"/>
        <v>20.147971991015986</v>
      </c>
      <c r="I667" s="2" t="str" cm="1">
        <f t="array" ref="I667">_xlfn.IFS(F667&gt;=100,"Over weight",F667&lt;100,"Average weight")</f>
        <v>Average weight</v>
      </c>
      <c r="J667" s="2" t="str" cm="1">
        <f t="array" ref="J667">_xlfn.IFS(G667&lt;164,"Below Average height",G667&gt;=165,"Above Average height",G667=164,"Average height")</f>
        <v>Above Average height</v>
      </c>
      <c r="K667" s="2" t="str" cm="1">
        <f t="array" ref="K667">_xlfn.IFS(E667&lt;=16,"Children",E667&lt;=30,"Young Adults",E667&lt;=45,"Middle-aged Adults",E667&gt;45,"Old Adults")</f>
        <v>Young Adults</v>
      </c>
    </row>
    <row r="668" spans="1:11" x14ac:dyDescent="0.45">
      <c r="A668" s="2">
        <v>784</v>
      </c>
      <c r="B668" s="2" t="s">
        <v>889</v>
      </c>
      <c r="C668" s="2" t="s">
        <v>96</v>
      </c>
      <c r="D668" s="2" t="s">
        <v>28</v>
      </c>
      <c r="E668" s="2">
        <v>17</v>
      </c>
      <c r="F668" s="2">
        <v>81</v>
      </c>
      <c r="G668" s="2">
        <v>168</v>
      </c>
      <c r="H668" s="9">
        <f t="shared" si="10"/>
        <v>28.698979591836739</v>
      </c>
      <c r="I668" s="2" t="str" cm="1">
        <f t="array" ref="I668">_xlfn.IFS(F668&gt;=100,"Over weight",F668&lt;100,"Average weight")</f>
        <v>Average weight</v>
      </c>
      <c r="J668" s="2" t="str" cm="1">
        <f t="array" ref="J668">_xlfn.IFS(G668&lt;164,"Below Average height",G668&gt;=165,"Above Average height",G668=164,"Average height")</f>
        <v>Above Average height</v>
      </c>
      <c r="K668" s="2" t="str" cm="1">
        <f t="array" ref="K668">_xlfn.IFS(E668&lt;=16,"Children",E668&lt;=30,"Young Adults",E668&lt;=45,"Middle-aged Adults",E668&gt;45,"Old Adults")</f>
        <v>Young Adults</v>
      </c>
    </row>
    <row r="669" spans="1:11" x14ac:dyDescent="0.45">
      <c r="A669" s="2">
        <v>785</v>
      </c>
      <c r="B669" s="2" t="s">
        <v>890</v>
      </c>
      <c r="C669" s="2" t="s">
        <v>91</v>
      </c>
      <c r="D669" s="2" t="s">
        <v>21</v>
      </c>
      <c r="E669" s="2">
        <v>31</v>
      </c>
      <c r="F669" s="2">
        <v>98</v>
      </c>
      <c r="G669" s="2">
        <v>191</v>
      </c>
      <c r="H669" s="9">
        <f t="shared" si="10"/>
        <v>26.863298703434666</v>
      </c>
      <c r="I669" s="2" t="str" cm="1">
        <f t="array" ref="I669">_xlfn.IFS(F669&gt;=100,"Over weight",F669&lt;100,"Average weight")</f>
        <v>Average weight</v>
      </c>
      <c r="J669" s="2" t="str" cm="1">
        <f t="array" ref="J669">_xlfn.IFS(G669&lt;164,"Below Average height",G669&gt;=165,"Above Average height",G669=164,"Average height")</f>
        <v>Above Average height</v>
      </c>
      <c r="K669" s="2" t="str" cm="1">
        <f t="array" ref="K669">_xlfn.IFS(E669&lt;=16,"Children",E669&lt;=30,"Young Adults",E669&lt;=45,"Middle-aged Adults",E669&gt;45,"Old Adults")</f>
        <v>Middle-aged Adults</v>
      </c>
    </row>
    <row r="670" spans="1:11" x14ac:dyDescent="0.45">
      <c r="A670" s="2">
        <v>786</v>
      </c>
      <c r="B670" s="2" t="s">
        <v>891</v>
      </c>
      <c r="C670" s="2" t="s">
        <v>85</v>
      </c>
      <c r="D670" s="2" t="s">
        <v>14</v>
      </c>
      <c r="E670" s="2">
        <v>24</v>
      </c>
      <c r="F670" s="2">
        <v>90</v>
      </c>
      <c r="G670" s="2">
        <v>180</v>
      </c>
      <c r="H670" s="9">
        <f t="shared" si="10"/>
        <v>27.777777777777775</v>
      </c>
      <c r="I670" s="2" t="str" cm="1">
        <f t="array" ref="I670">_xlfn.IFS(F670&gt;=100,"Over weight",F670&lt;100,"Average weight")</f>
        <v>Average weight</v>
      </c>
      <c r="J670" s="2" t="str" cm="1">
        <f t="array" ref="J670">_xlfn.IFS(G670&lt;164,"Below Average height",G670&gt;=165,"Above Average height",G670=164,"Average height")</f>
        <v>Above Average height</v>
      </c>
      <c r="K670" s="2" t="str" cm="1">
        <f t="array" ref="K670">_xlfn.IFS(E670&lt;=16,"Children",E670&lt;=30,"Young Adults",E670&lt;=45,"Middle-aged Adults",E670&gt;45,"Old Adults")</f>
        <v>Young Adults</v>
      </c>
    </row>
    <row r="671" spans="1:11" x14ac:dyDescent="0.45">
      <c r="A671" s="2">
        <v>787</v>
      </c>
      <c r="B671" s="2" t="s">
        <v>892</v>
      </c>
      <c r="C671" s="2" t="s">
        <v>91</v>
      </c>
      <c r="D671" s="2" t="s">
        <v>25</v>
      </c>
      <c r="E671" s="2">
        <v>23</v>
      </c>
      <c r="F671" s="2">
        <v>68</v>
      </c>
      <c r="G671" s="2">
        <v>170</v>
      </c>
      <c r="H671" s="9">
        <f t="shared" si="10"/>
        <v>23.529411764705884</v>
      </c>
      <c r="I671" s="2" t="str" cm="1">
        <f t="array" ref="I671">_xlfn.IFS(F671&gt;=100,"Over weight",F671&lt;100,"Average weight")</f>
        <v>Average weight</v>
      </c>
      <c r="J671" s="2" t="str" cm="1">
        <f t="array" ref="J671">_xlfn.IFS(G671&lt;164,"Below Average height",G671&gt;=165,"Above Average height",G671=164,"Average height")</f>
        <v>Above Average height</v>
      </c>
      <c r="K671" s="2" t="str" cm="1">
        <f t="array" ref="K671">_xlfn.IFS(E671&lt;=16,"Children",E671&lt;=30,"Young Adults",E671&lt;=45,"Middle-aged Adults",E671&gt;45,"Old Adults")</f>
        <v>Young Adults</v>
      </c>
    </row>
    <row r="672" spans="1:11" x14ac:dyDescent="0.45">
      <c r="A672" s="2">
        <v>788</v>
      </c>
      <c r="B672" s="2" t="s">
        <v>893</v>
      </c>
      <c r="C672" s="2" t="s">
        <v>94</v>
      </c>
      <c r="D672" s="2" t="s">
        <v>74</v>
      </c>
      <c r="E672" s="2">
        <v>24</v>
      </c>
      <c r="F672" s="2">
        <v>75</v>
      </c>
      <c r="G672" s="2">
        <v>183</v>
      </c>
      <c r="H672" s="9">
        <f t="shared" si="10"/>
        <v>22.395413419331717</v>
      </c>
      <c r="I672" s="2" t="str" cm="1">
        <f t="array" ref="I672">_xlfn.IFS(F672&gt;=100,"Over weight",F672&lt;100,"Average weight")</f>
        <v>Average weight</v>
      </c>
      <c r="J672" s="2" t="str" cm="1">
        <f t="array" ref="J672">_xlfn.IFS(G672&lt;164,"Below Average height",G672&gt;=165,"Above Average height",G672=164,"Average height")</f>
        <v>Above Average height</v>
      </c>
      <c r="K672" s="2" t="str" cm="1">
        <f t="array" ref="K672">_xlfn.IFS(E672&lt;=16,"Children",E672&lt;=30,"Young Adults",E672&lt;=45,"Middle-aged Adults",E672&gt;45,"Old Adults")</f>
        <v>Young Adults</v>
      </c>
    </row>
    <row r="673" spans="1:11" x14ac:dyDescent="0.45">
      <c r="A673" s="2">
        <v>790</v>
      </c>
      <c r="B673" s="2" t="s">
        <v>895</v>
      </c>
      <c r="C673" s="2" t="s">
        <v>96</v>
      </c>
      <c r="D673" s="2" t="s">
        <v>28</v>
      </c>
      <c r="E673" s="2">
        <v>35</v>
      </c>
      <c r="F673" s="2">
        <v>81</v>
      </c>
      <c r="G673" s="2">
        <v>179</v>
      </c>
      <c r="H673" s="9">
        <f t="shared" si="10"/>
        <v>25.280109859242845</v>
      </c>
      <c r="I673" s="2" t="str" cm="1">
        <f t="array" ref="I673">_xlfn.IFS(F673&gt;=100,"Over weight",F673&lt;100,"Average weight")</f>
        <v>Average weight</v>
      </c>
      <c r="J673" s="2" t="str" cm="1">
        <f t="array" ref="J673">_xlfn.IFS(G673&lt;164,"Below Average height",G673&gt;=165,"Above Average height",G673=164,"Average height")</f>
        <v>Above Average height</v>
      </c>
      <c r="K673" s="2" t="str" cm="1">
        <f t="array" ref="K673">_xlfn.IFS(E673&lt;=16,"Children",E673&lt;=30,"Young Adults",E673&lt;=45,"Middle-aged Adults",E673&gt;45,"Old Adults")</f>
        <v>Middle-aged Adults</v>
      </c>
    </row>
    <row r="674" spans="1:11" x14ac:dyDescent="0.45">
      <c r="A674" s="2">
        <v>791</v>
      </c>
      <c r="B674" s="2" t="s">
        <v>896</v>
      </c>
      <c r="C674" s="2" t="s">
        <v>85</v>
      </c>
      <c r="D674" s="2" t="s">
        <v>6</v>
      </c>
      <c r="E674" s="2">
        <v>31</v>
      </c>
      <c r="F674" s="2">
        <v>81</v>
      </c>
      <c r="G674" s="2">
        <v>181</v>
      </c>
      <c r="H674" s="9">
        <f t="shared" si="10"/>
        <v>24.724520008546747</v>
      </c>
      <c r="I674" s="2" t="str" cm="1">
        <f t="array" ref="I674">_xlfn.IFS(F674&gt;=100,"Over weight",F674&lt;100,"Average weight")</f>
        <v>Average weight</v>
      </c>
      <c r="J674" s="2" t="str" cm="1">
        <f t="array" ref="J674">_xlfn.IFS(G674&lt;164,"Below Average height",G674&gt;=165,"Above Average height",G674=164,"Average height")</f>
        <v>Above Average height</v>
      </c>
      <c r="K674" s="2" t="str" cm="1">
        <f t="array" ref="K674">_xlfn.IFS(E674&lt;=16,"Children",E674&lt;=30,"Young Adults",E674&lt;=45,"Middle-aged Adults",E674&gt;45,"Old Adults")</f>
        <v>Middle-aged Adults</v>
      </c>
    </row>
    <row r="675" spans="1:11" x14ac:dyDescent="0.45">
      <c r="A675" s="2">
        <v>792</v>
      </c>
      <c r="B675" s="2" t="s">
        <v>897</v>
      </c>
      <c r="C675" s="2" t="s">
        <v>91</v>
      </c>
      <c r="D675" s="2" t="s">
        <v>70</v>
      </c>
      <c r="E675" s="2">
        <v>19</v>
      </c>
      <c r="F675" s="2">
        <v>65</v>
      </c>
      <c r="G675" s="2">
        <v>174</v>
      </c>
      <c r="H675" s="9">
        <f t="shared" si="10"/>
        <v>21.469150482230148</v>
      </c>
      <c r="I675" s="2" t="str" cm="1">
        <f t="array" ref="I675">_xlfn.IFS(F675&gt;=100,"Over weight",F675&lt;100,"Average weight")</f>
        <v>Average weight</v>
      </c>
      <c r="J675" s="2" t="str" cm="1">
        <f t="array" ref="J675">_xlfn.IFS(G675&lt;164,"Below Average height",G675&gt;=165,"Above Average height",G675=164,"Average height")</f>
        <v>Above Average height</v>
      </c>
      <c r="K675" s="2" t="str" cm="1">
        <f t="array" ref="K675">_xlfn.IFS(E675&lt;=16,"Children",E675&lt;=30,"Young Adults",E675&lt;=45,"Middle-aged Adults",E675&gt;45,"Old Adults")</f>
        <v>Young Adults</v>
      </c>
    </row>
    <row r="676" spans="1:11" x14ac:dyDescent="0.45">
      <c r="A676" s="2">
        <v>793</v>
      </c>
      <c r="B676" s="2" t="s">
        <v>898</v>
      </c>
      <c r="C676" s="2" t="s">
        <v>93</v>
      </c>
      <c r="D676" s="2" t="s">
        <v>73</v>
      </c>
      <c r="E676" s="2">
        <v>18</v>
      </c>
      <c r="F676" s="2">
        <v>72</v>
      </c>
      <c r="G676" s="2">
        <v>184</v>
      </c>
      <c r="H676" s="9">
        <f t="shared" si="10"/>
        <v>21.266540642722116</v>
      </c>
      <c r="I676" s="2" t="str" cm="1">
        <f t="array" ref="I676">_xlfn.IFS(F676&gt;=100,"Over weight",F676&lt;100,"Average weight")</f>
        <v>Average weight</v>
      </c>
      <c r="J676" s="2" t="str" cm="1">
        <f t="array" ref="J676">_xlfn.IFS(G676&lt;164,"Below Average height",G676&gt;=165,"Above Average height",G676=164,"Average height")</f>
        <v>Above Average height</v>
      </c>
      <c r="K676" s="2" t="str" cm="1">
        <f t="array" ref="K676">_xlfn.IFS(E676&lt;=16,"Children",E676&lt;=30,"Young Adults",E676&lt;=45,"Middle-aged Adults",E676&gt;45,"Old Adults")</f>
        <v>Young Adults</v>
      </c>
    </row>
    <row r="677" spans="1:11" x14ac:dyDescent="0.45">
      <c r="A677" s="2">
        <v>794</v>
      </c>
      <c r="B677" s="2" t="s">
        <v>899</v>
      </c>
      <c r="C677" s="2" t="s">
        <v>98</v>
      </c>
      <c r="D677" s="2" t="s">
        <v>28</v>
      </c>
      <c r="E677" s="2">
        <v>24</v>
      </c>
      <c r="F677" s="2">
        <v>67</v>
      </c>
      <c r="G677" s="2">
        <v>173</v>
      </c>
      <c r="H677" s="9">
        <f t="shared" si="10"/>
        <v>22.386314277122523</v>
      </c>
      <c r="I677" s="2" t="str" cm="1">
        <f t="array" ref="I677">_xlfn.IFS(F677&gt;=100,"Over weight",F677&lt;100,"Average weight")</f>
        <v>Average weight</v>
      </c>
      <c r="J677" s="2" t="str" cm="1">
        <f t="array" ref="J677">_xlfn.IFS(G677&lt;164,"Below Average height",G677&gt;=165,"Above Average height",G677=164,"Average height")</f>
        <v>Above Average height</v>
      </c>
      <c r="K677" s="2" t="str" cm="1">
        <f t="array" ref="K677">_xlfn.IFS(E677&lt;=16,"Children",E677&lt;=30,"Young Adults",E677&lt;=45,"Middle-aged Adults",E677&gt;45,"Old Adults")</f>
        <v>Young Adults</v>
      </c>
    </row>
    <row r="678" spans="1:11" x14ac:dyDescent="0.45">
      <c r="A678" s="2">
        <v>796</v>
      </c>
      <c r="B678" s="2" t="s">
        <v>901</v>
      </c>
      <c r="C678" s="2" t="s">
        <v>97</v>
      </c>
      <c r="D678" s="2" t="s">
        <v>28</v>
      </c>
      <c r="E678" s="2">
        <v>31</v>
      </c>
      <c r="F678" s="2">
        <v>65</v>
      </c>
      <c r="G678" s="2">
        <v>180</v>
      </c>
      <c r="H678" s="9">
        <f t="shared" si="10"/>
        <v>20.061728395061728</v>
      </c>
      <c r="I678" s="2" t="str" cm="1">
        <f t="array" ref="I678">_xlfn.IFS(F678&gt;=100,"Over weight",F678&lt;100,"Average weight")</f>
        <v>Average weight</v>
      </c>
      <c r="J678" s="2" t="str" cm="1">
        <f t="array" ref="J678">_xlfn.IFS(G678&lt;164,"Below Average height",G678&gt;=165,"Above Average height",G678=164,"Average height")</f>
        <v>Above Average height</v>
      </c>
      <c r="K678" s="2" t="str" cm="1">
        <f t="array" ref="K678">_xlfn.IFS(E678&lt;=16,"Children",E678&lt;=30,"Young Adults",E678&lt;=45,"Middle-aged Adults",E678&gt;45,"Old Adults")</f>
        <v>Middle-aged Adults</v>
      </c>
    </row>
    <row r="679" spans="1:11" x14ac:dyDescent="0.45">
      <c r="A679" s="2">
        <v>797</v>
      </c>
      <c r="B679" s="2" t="s">
        <v>902</v>
      </c>
      <c r="C679" s="2" t="s">
        <v>98</v>
      </c>
      <c r="D679" s="2" t="s">
        <v>28</v>
      </c>
      <c r="E679" s="2">
        <v>30</v>
      </c>
      <c r="F679" s="2">
        <v>78</v>
      </c>
      <c r="G679" s="2">
        <v>178</v>
      </c>
      <c r="H679" s="9">
        <f t="shared" si="10"/>
        <v>24.618103774775911</v>
      </c>
      <c r="I679" s="2" t="str" cm="1">
        <f t="array" ref="I679">_xlfn.IFS(F679&gt;=100,"Over weight",F679&lt;100,"Average weight")</f>
        <v>Average weight</v>
      </c>
      <c r="J679" s="2" t="str" cm="1">
        <f t="array" ref="J679">_xlfn.IFS(G679&lt;164,"Below Average height",G679&gt;=165,"Above Average height",G679=164,"Average height")</f>
        <v>Above Average height</v>
      </c>
      <c r="K679" s="2" t="str" cm="1">
        <f t="array" ref="K679">_xlfn.IFS(E679&lt;=16,"Children",E679&lt;=30,"Young Adults",E679&lt;=45,"Middle-aged Adults",E679&gt;45,"Old Adults")</f>
        <v>Young Adults</v>
      </c>
    </row>
    <row r="680" spans="1:11" x14ac:dyDescent="0.45">
      <c r="A680" s="2">
        <v>798</v>
      </c>
      <c r="B680" s="2" t="s">
        <v>903</v>
      </c>
      <c r="C680" s="2" t="s">
        <v>93</v>
      </c>
      <c r="D680" s="2" t="s">
        <v>5</v>
      </c>
      <c r="E680" s="2">
        <v>24</v>
      </c>
      <c r="F680" s="2">
        <v>55</v>
      </c>
      <c r="G680" s="2">
        <v>165</v>
      </c>
      <c r="H680" s="9">
        <f t="shared" si="10"/>
        <v>20.202020202020204</v>
      </c>
      <c r="I680" s="2" t="str" cm="1">
        <f t="array" ref="I680">_xlfn.IFS(F680&gt;=100,"Over weight",F680&lt;100,"Average weight")</f>
        <v>Average weight</v>
      </c>
      <c r="J680" s="2" t="str" cm="1">
        <f t="array" ref="J680">_xlfn.IFS(G680&lt;164,"Below Average height",G680&gt;=165,"Above Average height",G680=164,"Average height")</f>
        <v>Above Average height</v>
      </c>
      <c r="K680" s="2" t="str" cm="1">
        <f t="array" ref="K680">_xlfn.IFS(E680&lt;=16,"Children",E680&lt;=30,"Young Adults",E680&lt;=45,"Middle-aged Adults",E680&gt;45,"Old Adults")</f>
        <v>Young Adults</v>
      </c>
    </row>
    <row r="681" spans="1:11" x14ac:dyDescent="0.45">
      <c r="A681" s="2">
        <v>801</v>
      </c>
      <c r="B681" s="2" t="s">
        <v>906</v>
      </c>
      <c r="C681" s="2" t="s">
        <v>92</v>
      </c>
      <c r="D681" s="2" t="s">
        <v>60</v>
      </c>
      <c r="E681" s="2">
        <v>22</v>
      </c>
      <c r="F681" s="2">
        <v>81</v>
      </c>
      <c r="G681" s="2">
        <v>179</v>
      </c>
      <c r="H681" s="9">
        <f t="shared" si="10"/>
        <v>25.280109859242845</v>
      </c>
      <c r="I681" s="2" t="str" cm="1">
        <f t="array" ref="I681">_xlfn.IFS(F681&gt;=100,"Over weight",F681&lt;100,"Average weight")</f>
        <v>Average weight</v>
      </c>
      <c r="J681" s="2" t="str" cm="1">
        <f t="array" ref="J681">_xlfn.IFS(G681&lt;164,"Below Average height",G681&gt;=165,"Above Average height",G681=164,"Average height")</f>
        <v>Above Average height</v>
      </c>
      <c r="K681" s="2" t="str" cm="1">
        <f t="array" ref="K681">_xlfn.IFS(E681&lt;=16,"Children",E681&lt;=30,"Young Adults",E681&lt;=45,"Middle-aged Adults",E681&gt;45,"Old Adults")</f>
        <v>Young Adults</v>
      </c>
    </row>
    <row r="682" spans="1:11" x14ac:dyDescent="0.45">
      <c r="A682" s="2">
        <v>802</v>
      </c>
      <c r="B682" s="2" t="s">
        <v>907</v>
      </c>
      <c r="C682" s="2" t="s">
        <v>91</v>
      </c>
      <c r="D682" s="2" t="s">
        <v>75</v>
      </c>
      <c r="E682" s="2">
        <v>28</v>
      </c>
      <c r="F682" s="2">
        <v>87</v>
      </c>
      <c r="G682" s="2">
        <v>187</v>
      </c>
      <c r="H682" s="9">
        <f t="shared" si="10"/>
        <v>24.879178701135288</v>
      </c>
      <c r="I682" s="2" t="str" cm="1">
        <f t="array" ref="I682">_xlfn.IFS(F682&gt;=100,"Over weight",F682&lt;100,"Average weight")</f>
        <v>Average weight</v>
      </c>
      <c r="J682" s="2" t="str" cm="1">
        <f t="array" ref="J682">_xlfn.IFS(G682&lt;164,"Below Average height",G682&gt;=165,"Above Average height",G682=164,"Average height")</f>
        <v>Above Average height</v>
      </c>
      <c r="K682" s="2" t="str" cm="1">
        <f t="array" ref="K682">_xlfn.IFS(E682&lt;=16,"Children",E682&lt;=30,"Young Adults",E682&lt;=45,"Middle-aged Adults",E682&gt;45,"Old Adults")</f>
        <v>Young Adults</v>
      </c>
    </row>
    <row r="683" spans="1:11" x14ac:dyDescent="0.45">
      <c r="A683" s="2">
        <v>804</v>
      </c>
      <c r="B683" s="2" t="s">
        <v>909</v>
      </c>
      <c r="C683" s="2" t="s">
        <v>89</v>
      </c>
      <c r="D683" s="2" t="s">
        <v>41</v>
      </c>
      <c r="E683" s="2">
        <v>27</v>
      </c>
      <c r="F683" s="2">
        <v>62</v>
      </c>
      <c r="G683" s="2">
        <v>168</v>
      </c>
      <c r="H683" s="9">
        <f t="shared" si="10"/>
        <v>21.9671201814059</v>
      </c>
      <c r="I683" s="2" t="str" cm="1">
        <f t="array" ref="I683">_xlfn.IFS(F683&gt;=100,"Over weight",F683&lt;100,"Average weight")</f>
        <v>Average weight</v>
      </c>
      <c r="J683" s="2" t="str" cm="1">
        <f t="array" ref="J683">_xlfn.IFS(G683&lt;164,"Below Average height",G683&gt;=165,"Above Average height",G683=164,"Average height")</f>
        <v>Above Average height</v>
      </c>
      <c r="K683" s="2" t="str" cm="1">
        <f t="array" ref="K683">_xlfn.IFS(E683&lt;=16,"Children",E683&lt;=30,"Young Adults",E683&lt;=45,"Middle-aged Adults",E683&gt;45,"Old Adults")</f>
        <v>Young Adults</v>
      </c>
    </row>
    <row r="684" spans="1:11" x14ac:dyDescent="0.45">
      <c r="A684" s="2">
        <v>805</v>
      </c>
      <c r="B684" s="2" t="s">
        <v>910</v>
      </c>
      <c r="C684" s="2" t="s">
        <v>85</v>
      </c>
      <c r="D684" s="2" t="s">
        <v>6</v>
      </c>
      <c r="E684" s="2">
        <v>20</v>
      </c>
      <c r="F684" s="2">
        <v>73</v>
      </c>
      <c r="G684" s="2">
        <v>173</v>
      </c>
      <c r="H684" s="9">
        <f t="shared" si="10"/>
        <v>24.391058839252899</v>
      </c>
      <c r="I684" s="2" t="str" cm="1">
        <f t="array" ref="I684">_xlfn.IFS(F684&gt;=100,"Over weight",F684&lt;100,"Average weight")</f>
        <v>Average weight</v>
      </c>
      <c r="J684" s="2" t="str" cm="1">
        <f t="array" ref="J684">_xlfn.IFS(G684&lt;164,"Below Average height",G684&gt;=165,"Above Average height",G684=164,"Average height")</f>
        <v>Above Average height</v>
      </c>
      <c r="K684" s="2" t="str" cm="1">
        <f t="array" ref="K684">_xlfn.IFS(E684&lt;=16,"Children",E684&lt;=30,"Young Adults",E684&lt;=45,"Middle-aged Adults",E684&gt;45,"Old Adults")</f>
        <v>Young Adults</v>
      </c>
    </row>
    <row r="685" spans="1:11" x14ac:dyDescent="0.45">
      <c r="A685" s="2">
        <v>807</v>
      </c>
      <c r="B685" s="2" t="s">
        <v>912</v>
      </c>
      <c r="C685" s="2" t="s">
        <v>92</v>
      </c>
      <c r="D685" s="2" t="s">
        <v>21</v>
      </c>
      <c r="E685" s="2">
        <v>25</v>
      </c>
      <c r="F685" s="2">
        <v>62</v>
      </c>
      <c r="G685" s="2">
        <v>181</v>
      </c>
      <c r="H685" s="9">
        <f t="shared" si="10"/>
        <v>18.924941241109856</v>
      </c>
      <c r="I685" s="2" t="str" cm="1">
        <f t="array" ref="I685">_xlfn.IFS(F685&gt;=100,"Over weight",F685&lt;100,"Average weight")</f>
        <v>Average weight</v>
      </c>
      <c r="J685" s="2" t="str" cm="1">
        <f t="array" ref="J685">_xlfn.IFS(G685&lt;164,"Below Average height",G685&gt;=165,"Above Average height",G685=164,"Average height")</f>
        <v>Above Average height</v>
      </c>
      <c r="K685" s="2" t="str" cm="1">
        <f t="array" ref="K685">_xlfn.IFS(E685&lt;=16,"Children",E685&lt;=30,"Young Adults",E685&lt;=45,"Middle-aged Adults",E685&gt;45,"Old Adults")</f>
        <v>Young Adults</v>
      </c>
    </row>
    <row r="686" spans="1:11" x14ac:dyDescent="0.45">
      <c r="A686" s="2">
        <v>808</v>
      </c>
      <c r="B686" s="2" t="s">
        <v>913</v>
      </c>
      <c r="C686" s="2" t="s">
        <v>100</v>
      </c>
      <c r="D686" s="2" t="s">
        <v>5</v>
      </c>
      <c r="E686" s="2">
        <v>27</v>
      </c>
      <c r="F686" s="2">
        <v>61</v>
      </c>
      <c r="G686" s="2">
        <v>172</v>
      </c>
      <c r="H686" s="9">
        <f t="shared" si="10"/>
        <v>20.61925365062196</v>
      </c>
      <c r="I686" s="2" t="str" cm="1">
        <f t="array" ref="I686">_xlfn.IFS(F686&gt;=100,"Over weight",F686&lt;100,"Average weight")</f>
        <v>Average weight</v>
      </c>
      <c r="J686" s="2" t="str" cm="1">
        <f t="array" ref="J686">_xlfn.IFS(G686&lt;164,"Below Average height",G686&gt;=165,"Above Average height",G686=164,"Average height")</f>
        <v>Above Average height</v>
      </c>
      <c r="K686" s="2" t="str" cm="1">
        <f t="array" ref="K686">_xlfn.IFS(E686&lt;=16,"Children",E686&lt;=30,"Young Adults",E686&lt;=45,"Middle-aged Adults",E686&gt;45,"Old Adults")</f>
        <v>Young Adults</v>
      </c>
    </row>
    <row r="687" spans="1:11" x14ac:dyDescent="0.45">
      <c r="A687" s="2">
        <v>809</v>
      </c>
      <c r="B687" s="2" t="s">
        <v>914</v>
      </c>
      <c r="C687" s="2" t="s">
        <v>95</v>
      </c>
      <c r="D687" s="2" t="s">
        <v>75</v>
      </c>
      <c r="E687" s="2">
        <v>29</v>
      </c>
      <c r="F687" s="2">
        <v>85</v>
      </c>
      <c r="G687" s="2">
        <v>170</v>
      </c>
      <c r="H687" s="9">
        <f t="shared" si="10"/>
        <v>29.411764705882355</v>
      </c>
      <c r="I687" s="2" t="str" cm="1">
        <f t="array" ref="I687">_xlfn.IFS(F687&gt;=100,"Over weight",F687&lt;100,"Average weight")</f>
        <v>Average weight</v>
      </c>
      <c r="J687" s="2" t="str" cm="1">
        <f t="array" ref="J687">_xlfn.IFS(G687&lt;164,"Below Average height",G687&gt;=165,"Above Average height",G687=164,"Average height")</f>
        <v>Above Average height</v>
      </c>
      <c r="K687" s="2" t="str" cm="1">
        <f t="array" ref="K687">_xlfn.IFS(E687&lt;=16,"Children",E687&lt;=30,"Young Adults",E687&lt;=45,"Middle-aged Adults",E687&gt;45,"Old Adults")</f>
        <v>Young Adults</v>
      </c>
    </row>
    <row r="688" spans="1:11" x14ac:dyDescent="0.45">
      <c r="A688" s="2">
        <v>810</v>
      </c>
      <c r="B688" s="2" t="s">
        <v>915</v>
      </c>
      <c r="C688" s="2" t="s">
        <v>96</v>
      </c>
      <c r="D688" s="2" t="s">
        <v>28</v>
      </c>
      <c r="E688" s="2">
        <v>39</v>
      </c>
      <c r="F688" s="2">
        <v>81</v>
      </c>
      <c r="G688" s="2">
        <v>180</v>
      </c>
      <c r="H688" s="9">
        <f t="shared" si="10"/>
        <v>25</v>
      </c>
      <c r="I688" s="2" t="str" cm="1">
        <f t="array" ref="I688">_xlfn.IFS(F688&gt;=100,"Over weight",F688&lt;100,"Average weight")</f>
        <v>Average weight</v>
      </c>
      <c r="J688" s="2" t="str" cm="1">
        <f t="array" ref="J688">_xlfn.IFS(G688&lt;164,"Below Average height",G688&gt;=165,"Above Average height",G688=164,"Average height")</f>
        <v>Above Average height</v>
      </c>
      <c r="K688" s="2" t="str" cm="1">
        <f t="array" ref="K688">_xlfn.IFS(E688&lt;=16,"Children",E688&lt;=30,"Young Adults",E688&lt;=45,"Middle-aged Adults",E688&gt;45,"Old Adults")</f>
        <v>Middle-aged Adults</v>
      </c>
    </row>
    <row r="689" spans="1:11" x14ac:dyDescent="0.45">
      <c r="A689" s="2">
        <v>813</v>
      </c>
      <c r="B689" s="2" t="s">
        <v>918</v>
      </c>
      <c r="C689" s="2" t="s">
        <v>90</v>
      </c>
      <c r="D689" s="2" t="s">
        <v>37</v>
      </c>
      <c r="E689" s="2">
        <v>26</v>
      </c>
      <c r="F689" s="2">
        <v>75</v>
      </c>
      <c r="G689" s="2">
        <v>194</v>
      </c>
      <c r="H689" s="9">
        <f t="shared" si="10"/>
        <v>19.927728770326283</v>
      </c>
      <c r="I689" s="2" t="str" cm="1">
        <f t="array" ref="I689">_xlfn.IFS(F689&gt;=100,"Over weight",F689&lt;100,"Average weight")</f>
        <v>Average weight</v>
      </c>
      <c r="J689" s="2" t="str" cm="1">
        <f t="array" ref="J689">_xlfn.IFS(G689&lt;164,"Below Average height",G689&gt;=165,"Above Average height",G689=164,"Average height")</f>
        <v>Above Average height</v>
      </c>
      <c r="K689" s="2" t="str" cm="1">
        <f t="array" ref="K689">_xlfn.IFS(E689&lt;=16,"Children",E689&lt;=30,"Young Adults",E689&lt;=45,"Middle-aged Adults",E689&gt;45,"Old Adults")</f>
        <v>Young Adults</v>
      </c>
    </row>
    <row r="690" spans="1:11" x14ac:dyDescent="0.45">
      <c r="A690" s="2">
        <v>814</v>
      </c>
      <c r="B690" s="2" t="s">
        <v>919</v>
      </c>
      <c r="C690" s="2" t="s">
        <v>87</v>
      </c>
      <c r="D690" s="2" t="s">
        <v>75</v>
      </c>
      <c r="E690" s="2">
        <v>31</v>
      </c>
      <c r="F690" s="2">
        <v>83</v>
      </c>
      <c r="G690" s="2">
        <v>176</v>
      </c>
      <c r="H690" s="9">
        <f t="shared" si="10"/>
        <v>26.794938016528928</v>
      </c>
      <c r="I690" s="2" t="str" cm="1">
        <f t="array" ref="I690">_xlfn.IFS(F690&gt;=100,"Over weight",F690&lt;100,"Average weight")</f>
        <v>Average weight</v>
      </c>
      <c r="J690" s="2" t="str" cm="1">
        <f t="array" ref="J690">_xlfn.IFS(G690&lt;164,"Below Average height",G690&gt;=165,"Above Average height",G690=164,"Average height")</f>
        <v>Above Average height</v>
      </c>
      <c r="K690" s="2" t="str" cm="1">
        <f t="array" ref="K690">_xlfn.IFS(E690&lt;=16,"Children",E690&lt;=30,"Young Adults",E690&lt;=45,"Middle-aged Adults",E690&gt;45,"Old Adults")</f>
        <v>Middle-aged Adults</v>
      </c>
    </row>
    <row r="691" spans="1:11" x14ac:dyDescent="0.45">
      <c r="A691" s="2">
        <v>815</v>
      </c>
      <c r="B691" s="2" t="s">
        <v>920</v>
      </c>
      <c r="C691" s="2" t="s">
        <v>94</v>
      </c>
      <c r="D691" s="2" t="s">
        <v>39</v>
      </c>
      <c r="E691" s="2">
        <v>26</v>
      </c>
      <c r="F691" s="2">
        <v>71</v>
      </c>
      <c r="G691" s="2">
        <v>179</v>
      </c>
      <c r="H691" s="9">
        <f t="shared" si="10"/>
        <v>22.15910864205237</v>
      </c>
      <c r="I691" s="2" t="str" cm="1">
        <f t="array" ref="I691">_xlfn.IFS(F691&gt;=100,"Over weight",F691&lt;100,"Average weight")</f>
        <v>Average weight</v>
      </c>
      <c r="J691" s="2" t="str" cm="1">
        <f t="array" ref="J691">_xlfn.IFS(G691&lt;164,"Below Average height",G691&gt;=165,"Above Average height",G691=164,"Average height")</f>
        <v>Above Average height</v>
      </c>
      <c r="K691" s="2" t="str" cm="1">
        <f t="array" ref="K691">_xlfn.IFS(E691&lt;=16,"Children",E691&lt;=30,"Young Adults",E691&lt;=45,"Middle-aged Adults",E691&gt;45,"Old Adults")</f>
        <v>Young Adults</v>
      </c>
    </row>
    <row r="692" spans="1:11" x14ac:dyDescent="0.45">
      <c r="A692" s="2">
        <v>816</v>
      </c>
      <c r="B692" s="2" t="s">
        <v>921</v>
      </c>
      <c r="C692" s="2" t="s">
        <v>88</v>
      </c>
      <c r="D692" s="2" t="s">
        <v>39</v>
      </c>
      <c r="E692" s="2">
        <v>20</v>
      </c>
      <c r="F692" s="2">
        <v>67</v>
      </c>
      <c r="G692" s="2">
        <v>175</v>
      </c>
      <c r="H692" s="9">
        <f t="shared" si="10"/>
        <v>21.877551020408163</v>
      </c>
      <c r="I692" s="2" t="str" cm="1">
        <f t="array" ref="I692">_xlfn.IFS(F692&gt;=100,"Over weight",F692&lt;100,"Average weight")</f>
        <v>Average weight</v>
      </c>
      <c r="J692" s="2" t="str" cm="1">
        <f t="array" ref="J692">_xlfn.IFS(G692&lt;164,"Below Average height",G692&gt;=165,"Above Average height",G692=164,"Average height")</f>
        <v>Above Average height</v>
      </c>
      <c r="K692" s="2" t="str" cm="1">
        <f t="array" ref="K692">_xlfn.IFS(E692&lt;=16,"Children",E692&lt;=30,"Young Adults",E692&lt;=45,"Middle-aged Adults",E692&gt;45,"Old Adults")</f>
        <v>Young Adults</v>
      </c>
    </row>
    <row r="693" spans="1:11" x14ac:dyDescent="0.45">
      <c r="A693" s="2">
        <v>817</v>
      </c>
      <c r="B693" s="2" t="s">
        <v>922</v>
      </c>
      <c r="C693" s="2" t="s">
        <v>85</v>
      </c>
      <c r="D693" s="2" t="s">
        <v>75</v>
      </c>
      <c r="E693" s="2">
        <v>32</v>
      </c>
      <c r="F693" s="2">
        <v>90</v>
      </c>
      <c r="G693" s="2">
        <v>180</v>
      </c>
      <c r="H693" s="9">
        <f t="shared" si="10"/>
        <v>27.777777777777775</v>
      </c>
      <c r="I693" s="2" t="str" cm="1">
        <f t="array" ref="I693">_xlfn.IFS(F693&gt;=100,"Over weight",F693&lt;100,"Average weight")</f>
        <v>Average weight</v>
      </c>
      <c r="J693" s="2" t="str" cm="1">
        <f t="array" ref="J693">_xlfn.IFS(G693&lt;164,"Below Average height",G693&gt;=165,"Above Average height",G693=164,"Average height")</f>
        <v>Above Average height</v>
      </c>
      <c r="K693" s="2" t="str" cm="1">
        <f t="array" ref="K693">_xlfn.IFS(E693&lt;=16,"Children",E693&lt;=30,"Young Adults",E693&lt;=45,"Middle-aged Adults",E693&gt;45,"Old Adults")</f>
        <v>Middle-aged Adults</v>
      </c>
    </row>
    <row r="694" spans="1:11" x14ac:dyDescent="0.45">
      <c r="A694" s="2">
        <v>818</v>
      </c>
      <c r="B694" s="2" t="s">
        <v>923</v>
      </c>
      <c r="C694" s="2" t="s">
        <v>86</v>
      </c>
      <c r="D694" s="2" t="s">
        <v>33</v>
      </c>
      <c r="E694" s="2">
        <v>24</v>
      </c>
      <c r="F694" s="2">
        <v>81</v>
      </c>
      <c r="G694" s="2">
        <v>172</v>
      </c>
      <c r="H694" s="9">
        <f t="shared" si="10"/>
        <v>27.379664683612766</v>
      </c>
      <c r="I694" s="2" t="str" cm="1">
        <f t="array" ref="I694">_xlfn.IFS(F694&gt;=100,"Over weight",F694&lt;100,"Average weight")</f>
        <v>Average weight</v>
      </c>
      <c r="J694" s="2" t="str" cm="1">
        <f t="array" ref="J694">_xlfn.IFS(G694&lt;164,"Below Average height",G694&gt;=165,"Above Average height",G694=164,"Average height")</f>
        <v>Above Average height</v>
      </c>
      <c r="K694" s="2" t="str" cm="1">
        <f t="array" ref="K694">_xlfn.IFS(E694&lt;=16,"Children",E694&lt;=30,"Young Adults",E694&lt;=45,"Middle-aged Adults",E694&gt;45,"Old Adults")</f>
        <v>Young Adults</v>
      </c>
    </row>
    <row r="695" spans="1:11" x14ac:dyDescent="0.45">
      <c r="A695" s="2">
        <v>819</v>
      </c>
      <c r="B695" s="2" t="s">
        <v>924</v>
      </c>
      <c r="C695" s="2" t="s">
        <v>88</v>
      </c>
      <c r="D695" s="2" t="s">
        <v>74</v>
      </c>
      <c r="E695" s="2">
        <v>23</v>
      </c>
      <c r="F695" s="2">
        <v>59</v>
      </c>
      <c r="G695" s="2">
        <v>165</v>
      </c>
      <c r="H695" s="9">
        <f t="shared" si="10"/>
        <v>21.6712580348944</v>
      </c>
      <c r="I695" s="2" t="str" cm="1">
        <f t="array" ref="I695">_xlfn.IFS(F695&gt;=100,"Over weight",F695&lt;100,"Average weight")</f>
        <v>Average weight</v>
      </c>
      <c r="J695" s="2" t="str" cm="1">
        <f t="array" ref="J695">_xlfn.IFS(G695&lt;164,"Below Average height",G695&gt;=165,"Above Average height",G695=164,"Average height")</f>
        <v>Above Average height</v>
      </c>
      <c r="K695" s="2" t="str" cm="1">
        <f t="array" ref="K695">_xlfn.IFS(E695&lt;=16,"Children",E695&lt;=30,"Young Adults",E695&lt;=45,"Middle-aged Adults",E695&gt;45,"Old Adults")</f>
        <v>Young Adults</v>
      </c>
    </row>
    <row r="696" spans="1:11" x14ac:dyDescent="0.45">
      <c r="A696" s="2">
        <v>820</v>
      </c>
      <c r="B696" s="2" t="s">
        <v>925</v>
      </c>
      <c r="C696" s="2" t="s">
        <v>94</v>
      </c>
      <c r="D696" s="2" t="s">
        <v>65</v>
      </c>
      <c r="E696" s="2">
        <v>18</v>
      </c>
      <c r="F696" s="2">
        <v>70</v>
      </c>
      <c r="G696" s="2">
        <v>172</v>
      </c>
      <c r="H696" s="9">
        <f t="shared" si="10"/>
        <v>23.661438615467823</v>
      </c>
      <c r="I696" s="2" t="str" cm="1">
        <f t="array" ref="I696">_xlfn.IFS(F696&gt;=100,"Over weight",F696&lt;100,"Average weight")</f>
        <v>Average weight</v>
      </c>
      <c r="J696" s="2" t="str" cm="1">
        <f t="array" ref="J696">_xlfn.IFS(G696&lt;164,"Below Average height",G696&gt;=165,"Above Average height",G696=164,"Average height")</f>
        <v>Above Average height</v>
      </c>
      <c r="K696" s="2" t="str" cm="1">
        <f t="array" ref="K696">_xlfn.IFS(E696&lt;=16,"Children",E696&lt;=30,"Young Adults",E696&lt;=45,"Middle-aged Adults",E696&gt;45,"Old Adults")</f>
        <v>Young Adults</v>
      </c>
    </row>
    <row r="697" spans="1:11" x14ac:dyDescent="0.45">
      <c r="A697" s="2">
        <v>821</v>
      </c>
      <c r="B697" s="2" t="s">
        <v>926</v>
      </c>
      <c r="C697" s="2" t="s">
        <v>90</v>
      </c>
      <c r="D697" s="2" t="s">
        <v>80</v>
      </c>
      <c r="E697" s="2">
        <v>29</v>
      </c>
      <c r="F697" s="2">
        <v>100</v>
      </c>
      <c r="G697" s="2">
        <v>178</v>
      </c>
      <c r="H697" s="9">
        <f t="shared" si="10"/>
        <v>31.561671506122963</v>
      </c>
      <c r="I697" s="2" t="str" cm="1">
        <f t="array" ref="I697">_xlfn.IFS(F697&gt;=100,"Over weight",F697&lt;100,"Average weight")</f>
        <v>Over weight</v>
      </c>
      <c r="J697" s="2" t="str" cm="1">
        <f t="array" ref="J697">_xlfn.IFS(G697&lt;164,"Below Average height",G697&gt;=165,"Above Average height",G697=164,"Average height")</f>
        <v>Above Average height</v>
      </c>
      <c r="K697" s="2" t="str" cm="1">
        <f t="array" ref="K697">_xlfn.IFS(E697&lt;=16,"Children",E697&lt;=30,"Young Adults",E697&lt;=45,"Middle-aged Adults",E697&gt;45,"Old Adults")</f>
        <v>Young Adults</v>
      </c>
    </row>
    <row r="698" spans="1:11" x14ac:dyDescent="0.45">
      <c r="A698" s="2">
        <v>822</v>
      </c>
      <c r="B698" s="2" t="s">
        <v>927</v>
      </c>
      <c r="C698" s="2" t="s">
        <v>93</v>
      </c>
      <c r="D698" s="2" t="s">
        <v>80</v>
      </c>
      <c r="E698" s="2">
        <v>31</v>
      </c>
      <c r="F698" s="2">
        <v>88</v>
      </c>
      <c r="G698" s="2">
        <v>178</v>
      </c>
      <c r="H698" s="9">
        <f t="shared" si="10"/>
        <v>27.774270925388208</v>
      </c>
      <c r="I698" s="2" t="str" cm="1">
        <f t="array" ref="I698">_xlfn.IFS(F698&gt;=100,"Over weight",F698&lt;100,"Average weight")</f>
        <v>Average weight</v>
      </c>
      <c r="J698" s="2" t="str" cm="1">
        <f t="array" ref="J698">_xlfn.IFS(G698&lt;164,"Below Average height",G698&gt;=165,"Above Average height",G698=164,"Average height")</f>
        <v>Above Average height</v>
      </c>
      <c r="K698" s="2" t="str" cm="1">
        <f t="array" ref="K698">_xlfn.IFS(E698&lt;=16,"Children",E698&lt;=30,"Young Adults",E698&lt;=45,"Middle-aged Adults",E698&gt;45,"Old Adults")</f>
        <v>Middle-aged Adults</v>
      </c>
    </row>
    <row r="699" spans="1:11" x14ac:dyDescent="0.45">
      <c r="A699" s="2">
        <v>823</v>
      </c>
      <c r="B699" s="2" t="s">
        <v>928</v>
      </c>
      <c r="C699" s="2" t="s">
        <v>97</v>
      </c>
      <c r="D699" s="2" t="s">
        <v>75</v>
      </c>
      <c r="E699" s="2">
        <v>25</v>
      </c>
      <c r="F699" s="2">
        <v>74</v>
      </c>
      <c r="G699" s="2">
        <v>185</v>
      </c>
      <c r="H699" s="9">
        <f t="shared" si="10"/>
        <v>21.621621621621621</v>
      </c>
      <c r="I699" s="2" t="str" cm="1">
        <f t="array" ref="I699">_xlfn.IFS(F699&gt;=100,"Over weight",F699&lt;100,"Average weight")</f>
        <v>Average weight</v>
      </c>
      <c r="J699" s="2" t="str" cm="1">
        <f t="array" ref="J699">_xlfn.IFS(G699&lt;164,"Below Average height",G699&gt;=165,"Above Average height",G699=164,"Average height")</f>
        <v>Above Average height</v>
      </c>
      <c r="K699" s="2" t="str" cm="1">
        <f t="array" ref="K699">_xlfn.IFS(E699&lt;=16,"Children",E699&lt;=30,"Young Adults",E699&lt;=45,"Middle-aged Adults",E699&gt;45,"Old Adults")</f>
        <v>Young Adults</v>
      </c>
    </row>
    <row r="700" spans="1:11" x14ac:dyDescent="0.45">
      <c r="A700" s="2">
        <v>824</v>
      </c>
      <c r="B700" s="2" t="s">
        <v>929</v>
      </c>
      <c r="C700" s="2" t="s">
        <v>100</v>
      </c>
      <c r="D700" s="2" t="s">
        <v>14</v>
      </c>
      <c r="E700" s="2">
        <v>29</v>
      </c>
      <c r="F700" s="2">
        <v>58</v>
      </c>
      <c r="G700" s="2">
        <v>167</v>
      </c>
      <c r="H700" s="9">
        <f t="shared" si="10"/>
        <v>20.796729893506402</v>
      </c>
      <c r="I700" s="2" t="str" cm="1">
        <f t="array" ref="I700">_xlfn.IFS(F700&gt;=100,"Over weight",F700&lt;100,"Average weight")</f>
        <v>Average weight</v>
      </c>
      <c r="J700" s="2" t="str" cm="1">
        <f t="array" ref="J700">_xlfn.IFS(G700&lt;164,"Below Average height",G700&gt;=165,"Above Average height",G700=164,"Average height")</f>
        <v>Above Average height</v>
      </c>
      <c r="K700" s="2" t="str" cm="1">
        <f t="array" ref="K700">_xlfn.IFS(E700&lt;=16,"Children",E700&lt;=30,"Young Adults",E700&lt;=45,"Middle-aged Adults",E700&gt;45,"Old Adults")</f>
        <v>Young Adults</v>
      </c>
    </row>
    <row r="701" spans="1:11" x14ac:dyDescent="0.45">
      <c r="A701" s="2">
        <v>825</v>
      </c>
      <c r="B701" s="2" t="s">
        <v>930</v>
      </c>
      <c r="C701" s="2" t="s">
        <v>91</v>
      </c>
      <c r="D701" s="2" t="s">
        <v>74</v>
      </c>
      <c r="E701" s="2">
        <v>22</v>
      </c>
      <c r="F701" s="2">
        <v>65</v>
      </c>
      <c r="G701" s="2">
        <v>173</v>
      </c>
      <c r="H701" s="9">
        <f t="shared" si="10"/>
        <v>21.718066089745729</v>
      </c>
      <c r="I701" s="2" t="str" cm="1">
        <f t="array" ref="I701">_xlfn.IFS(F701&gt;=100,"Over weight",F701&lt;100,"Average weight")</f>
        <v>Average weight</v>
      </c>
      <c r="J701" s="2" t="str" cm="1">
        <f t="array" ref="J701">_xlfn.IFS(G701&lt;164,"Below Average height",G701&gt;=165,"Above Average height",G701=164,"Average height")</f>
        <v>Above Average height</v>
      </c>
      <c r="K701" s="2" t="str" cm="1">
        <f t="array" ref="K701">_xlfn.IFS(E701&lt;=16,"Children",E701&lt;=30,"Young Adults",E701&lt;=45,"Middle-aged Adults",E701&gt;45,"Old Adults")</f>
        <v>Young Adults</v>
      </c>
    </row>
    <row r="702" spans="1:11" x14ac:dyDescent="0.45">
      <c r="A702" s="2">
        <v>826</v>
      </c>
      <c r="B702" s="2" t="s">
        <v>931</v>
      </c>
      <c r="C702" s="2" t="s">
        <v>87</v>
      </c>
      <c r="D702" s="2" t="s">
        <v>74</v>
      </c>
      <c r="E702" s="2">
        <v>22</v>
      </c>
      <c r="F702" s="2">
        <v>75</v>
      </c>
      <c r="G702" s="2">
        <v>184</v>
      </c>
      <c r="H702" s="9">
        <f t="shared" si="10"/>
        <v>22.152646502835537</v>
      </c>
      <c r="I702" s="2" t="str" cm="1">
        <f t="array" ref="I702">_xlfn.IFS(F702&gt;=100,"Over weight",F702&lt;100,"Average weight")</f>
        <v>Average weight</v>
      </c>
      <c r="J702" s="2" t="str" cm="1">
        <f t="array" ref="J702">_xlfn.IFS(G702&lt;164,"Below Average height",G702&gt;=165,"Above Average height",G702=164,"Average height")</f>
        <v>Above Average height</v>
      </c>
      <c r="K702" s="2" t="str" cm="1">
        <f t="array" ref="K702">_xlfn.IFS(E702&lt;=16,"Children",E702&lt;=30,"Young Adults",E702&lt;=45,"Middle-aged Adults",E702&gt;45,"Old Adults")</f>
        <v>Young Adults</v>
      </c>
    </row>
    <row r="703" spans="1:11" x14ac:dyDescent="0.45">
      <c r="A703" s="2">
        <v>827</v>
      </c>
      <c r="B703" s="2" t="s">
        <v>932</v>
      </c>
      <c r="C703" s="2" t="s">
        <v>91</v>
      </c>
      <c r="D703" s="2" t="s">
        <v>74</v>
      </c>
      <c r="E703" s="2">
        <v>37</v>
      </c>
      <c r="F703" s="2">
        <v>95</v>
      </c>
      <c r="G703" s="2">
        <v>183</v>
      </c>
      <c r="H703" s="9">
        <f t="shared" si="10"/>
        <v>28.367523664486843</v>
      </c>
      <c r="I703" s="2" t="str" cm="1">
        <f t="array" ref="I703">_xlfn.IFS(F703&gt;=100,"Over weight",F703&lt;100,"Average weight")</f>
        <v>Average weight</v>
      </c>
      <c r="J703" s="2" t="str" cm="1">
        <f t="array" ref="J703">_xlfn.IFS(G703&lt;164,"Below Average height",G703&gt;=165,"Above Average height",G703=164,"Average height")</f>
        <v>Above Average height</v>
      </c>
      <c r="K703" s="2" t="str" cm="1">
        <f t="array" ref="K703">_xlfn.IFS(E703&lt;=16,"Children",E703&lt;=30,"Young Adults",E703&lt;=45,"Middle-aged Adults",E703&gt;45,"Old Adults")</f>
        <v>Middle-aged Adults</v>
      </c>
    </row>
    <row r="704" spans="1:11" x14ac:dyDescent="0.45">
      <c r="A704" s="2">
        <v>828</v>
      </c>
      <c r="B704" s="2" t="s">
        <v>933</v>
      </c>
      <c r="C704" s="2" t="s">
        <v>91</v>
      </c>
      <c r="D704" s="2" t="s">
        <v>60</v>
      </c>
      <c r="E704" s="2">
        <v>22</v>
      </c>
      <c r="F704" s="2">
        <v>90</v>
      </c>
      <c r="G704" s="2">
        <v>180</v>
      </c>
      <c r="H704" s="9">
        <f t="shared" si="10"/>
        <v>27.777777777777775</v>
      </c>
      <c r="I704" s="2" t="str" cm="1">
        <f t="array" ref="I704">_xlfn.IFS(F704&gt;=100,"Over weight",F704&lt;100,"Average weight")</f>
        <v>Average weight</v>
      </c>
      <c r="J704" s="2" t="str" cm="1">
        <f t="array" ref="J704">_xlfn.IFS(G704&lt;164,"Below Average height",G704&gt;=165,"Above Average height",G704=164,"Average height")</f>
        <v>Above Average height</v>
      </c>
      <c r="K704" s="2" t="str" cm="1">
        <f t="array" ref="K704">_xlfn.IFS(E704&lt;=16,"Children",E704&lt;=30,"Young Adults",E704&lt;=45,"Middle-aged Adults",E704&gt;45,"Old Adults")</f>
        <v>Young Adults</v>
      </c>
    </row>
    <row r="705" spans="1:11" x14ac:dyDescent="0.45">
      <c r="A705" s="2">
        <v>829</v>
      </c>
      <c r="B705" s="2" t="s">
        <v>934</v>
      </c>
      <c r="C705" s="2" t="s">
        <v>91</v>
      </c>
      <c r="D705" s="2" t="s">
        <v>74</v>
      </c>
      <c r="E705" s="2">
        <v>30</v>
      </c>
      <c r="F705" s="2">
        <v>82</v>
      </c>
      <c r="G705" s="2">
        <v>179</v>
      </c>
      <c r="H705" s="9">
        <f t="shared" si="10"/>
        <v>25.592209980961893</v>
      </c>
      <c r="I705" s="2" t="str" cm="1">
        <f t="array" ref="I705">_xlfn.IFS(F705&gt;=100,"Over weight",F705&lt;100,"Average weight")</f>
        <v>Average weight</v>
      </c>
      <c r="J705" s="2" t="str" cm="1">
        <f t="array" ref="J705">_xlfn.IFS(G705&lt;164,"Below Average height",G705&gt;=165,"Above Average height",G705=164,"Average height")</f>
        <v>Above Average height</v>
      </c>
      <c r="K705" s="2" t="str" cm="1">
        <f t="array" ref="K705">_xlfn.IFS(E705&lt;=16,"Children",E705&lt;=30,"Young Adults",E705&lt;=45,"Middle-aged Adults",E705&gt;45,"Old Adults")</f>
        <v>Young Adults</v>
      </c>
    </row>
    <row r="706" spans="1:11" x14ac:dyDescent="0.45">
      <c r="A706" s="2">
        <v>830</v>
      </c>
      <c r="B706" s="2" t="s">
        <v>935</v>
      </c>
      <c r="C706" s="2" t="s">
        <v>91</v>
      </c>
      <c r="D706" s="2" t="s">
        <v>60</v>
      </c>
      <c r="E706" s="2">
        <v>25</v>
      </c>
      <c r="F706" s="2">
        <v>89</v>
      </c>
      <c r="G706" s="2">
        <v>186</v>
      </c>
      <c r="H706" s="9">
        <f t="shared" ref="H706:H769" si="11" xml:space="preserve"> F706 / (( G706/ 100) ^ 2)</f>
        <v>25.725517400855587</v>
      </c>
      <c r="I706" s="2" t="str" cm="1">
        <f t="array" ref="I706">_xlfn.IFS(F706&gt;=100,"Over weight",F706&lt;100,"Average weight")</f>
        <v>Average weight</v>
      </c>
      <c r="J706" s="2" t="str" cm="1">
        <f t="array" ref="J706">_xlfn.IFS(G706&lt;164,"Below Average height",G706&gt;=165,"Above Average height",G706=164,"Average height")</f>
        <v>Above Average height</v>
      </c>
      <c r="K706" s="2" t="str" cm="1">
        <f t="array" ref="K706">_xlfn.IFS(E706&lt;=16,"Children",E706&lt;=30,"Young Adults",E706&lt;=45,"Middle-aged Adults",E706&gt;45,"Old Adults")</f>
        <v>Young Adults</v>
      </c>
    </row>
    <row r="707" spans="1:11" x14ac:dyDescent="0.45">
      <c r="A707" s="2">
        <v>832</v>
      </c>
      <c r="B707" s="2" t="s">
        <v>937</v>
      </c>
      <c r="C707" s="2" t="s">
        <v>91</v>
      </c>
      <c r="D707" s="2" t="s">
        <v>28</v>
      </c>
      <c r="E707" s="2">
        <v>21</v>
      </c>
      <c r="F707" s="2">
        <v>95</v>
      </c>
      <c r="G707" s="2">
        <v>191</v>
      </c>
      <c r="H707" s="9">
        <f t="shared" si="11"/>
        <v>26.040952824758094</v>
      </c>
      <c r="I707" s="2" t="str" cm="1">
        <f t="array" ref="I707">_xlfn.IFS(F707&gt;=100,"Over weight",F707&lt;100,"Average weight")</f>
        <v>Average weight</v>
      </c>
      <c r="J707" s="2" t="str" cm="1">
        <f t="array" ref="J707">_xlfn.IFS(G707&lt;164,"Below Average height",G707&gt;=165,"Above Average height",G707=164,"Average height")</f>
        <v>Above Average height</v>
      </c>
      <c r="K707" s="2" t="str" cm="1">
        <f t="array" ref="K707">_xlfn.IFS(E707&lt;=16,"Children",E707&lt;=30,"Young Adults",E707&lt;=45,"Middle-aged Adults",E707&gt;45,"Old Adults")</f>
        <v>Young Adults</v>
      </c>
    </row>
    <row r="708" spans="1:11" x14ac:dyDescent="0.45">
      <c r="A708" s="2">
        <v>833</v>
      </c>
      <c r="B708" s="2" t="s">
        <v>938</v>
      </c>
      <c r="C708" s="2" t="s">
        <v>90</v>
      </c>
      <c r="D708" s="2" t="s">
        <v>28</v>
      </c>
      <c r="E708" s="2">
        <v>33</v>
      </c>
      <c r="F708" s="2">
        <v>96</v>
      </c>
      <c r="G708" s="2">
        <v>185</v>
      </c>
      <c r="H708" s="9">
        <f t="shared" si="11"/>
        <v>28.049671292914532</v>
      </c>
      <c r="I708" s="2" t="str" cm="1">
        <f t="array" ref="I708">_xlfn.IFS(F708&gt;=100,"Over weight",F708&lt;100,"Average weight")</f>
        <v>Average weight</v>
      </c>
      <c r="J708" s="2" t="str" cm="1">
        <f t="array" ref="J708">_xlfn.IFS(G708&lt;164,"Below Average height",G708&gt;=165,"Above Average height",G708=164,"Average height")</f>
        <v>Above Average height</v>
      </c>
      <c r="K708" s="2" t="str" cm="1">
        <f t="array" ref="K708">_xlfn.IFS(E708&lt;=16,"Children",E708&lt;=30,"Young Adults",E708&lt;=45,"Middle-aged Adults",E708&gt;45,"Old Adults")</f>
        <v>Middle-aged Adults</v>
      </c>
    </row>
    <row r="709" spans="1:11" x14ac:dyDescent="0.45">
      <c r="A709" s="2">
        <v>834</v>
      </c>
      <c r="B709" s="2" t="s">
        <v>939</v>
      </c>
      <c r="C709" s="2" t="s">
        <v>91</v>
      </c>
      <c r="D709" s="2" t="s">
        <v>74</v>
      </c>
      <c r="E709" s="2">
        <v>23</v>
      </c>
      <c r="F709" s="2">
        <v>84</v>
      </c>
      <c r="G709" s="2">
        <v>180</v>
      </c>
      <c r="H709" s="9">
        <f t="shared" si="11"/>
        <v>25.925925925925924</v>
      </c>
      <c r="I709" s="2" t="str" cm="1">
        <f t="array" ref="I709">_xlfn.IFS(F709&gt;=100,"Over weight",F709&lt;100,"Average weight")</f>
        <v>Average weight</v>
      </c>
      <c r="J709" s="2" t="str" cm="1">
        <f t="array" ref="J709">_xlfn.IFS(G709&lt;164,"Below Average height",G709&gt;=165,"Above Average height",G709=164,"Average height")</f>
        <v>Above Average height</v>
      </c>
      <c r="K709" s="2" t="str" cm="1">
        <f t="array" ref="K709">_xlfn.IFS(E709&lt;=16,"Children",E709&lt;=30,"Young Adults",E709&lt;=45,"Middle-aged Adults",E709&gt;45,"Old Adults")</f>
        <v>Young Adults</v>
      </c>
    </row>
    <row r="710" spans="1:11" x14ac:dyDescent="0.45">
      <c r="A710" s="2">
        <v>835</v>
      </c>
      <c r="B710" s="2" t="s">
        <v>940</v>
      </c>
      <c r="C710" s="2" t="s">
        <v>85</v>
      </c>
      <c r="D710" s="2" t="s">
        <v>66</v>
      </c>
      <c r="E710" s="2">
        <v>25</v>
      </c>
      <c r="F710" s="2">
        <v>80</v>
      </c>
      <c r="G710" s="2">
        <v>180</v>
      </c>
      <c r="H710" s="9">
        <f t="shared" si="11"/>
        <v>24.691358024691358</v>
      </c>
      <c r="I710" s="2" t="str" cm="1">
        <f t="array" ref="I710">_xlfn.IFS(F710&gt;=100,"Over weight",F710&lt;100,"Average weight")</f>
        <v>Average weight</v>
      </c>
      <c r="J710" s="2" t="str" cm="1">
        <f t="array" ref="J710">_xlfn.IFS(G710&lt;164,"Below Average height",G710&gt;=165,"Above Average height",G710=164,"Average height")</f>
        <v>Above Average height</v>
      </c>
      <c r="K710" s="2" t="str" cm="1">
        <f t="array" ref="K710">_xlfn.IFS(E710&lt;=16,"Children",E710&lt;=30,"Young Adults",E710&lt;=45,"Middle-aged Adults",E710&gt;45,"Old Adults")</f>
        <v>Young Adults</v>
      </c>
    </row>
    <row r="711" spans="1:11" x14ac:dyDescent="0.45">
      <c r="A711" s="2">
        <v>836</v>
      </c>
      <c r="B711" s="2" t="s">
        <v>941</v>
      </c>
      <c r="C711" s="2" t="s">
        <v>91</v>
      </c>
      <c r="D711" s="2" t="s">
        <v>28</v>
      </c>
      <c r="E711" s="2">
        <v>24</v>
      </c>
      <c r="F711" s="2">
        <v>85</v>
      </c>
      <c r="G711" s="2">
        <v>185</v>
      </c>
      <c r="H711" s="9">
        <f t="shared" si="11"/>
        <v>24.835646457268076</v>
      </c>
      <c r="I711" s="2" t="str" cm="1">
        <f t="array" ref="I711">_xlfn.IFS(F711&gt;=100,"Over weight",F711&lt;100,"Average weight")</f>
        <v>Average weight</v>
      </c>
      <c r="J711" s="2" t="str" cm="1">
        <f t="array" ref="J711">_xlfn.IFS(G711&lt;164,"Below Average height",G711&gt;=165,"Above Average height",G711=164,"Average height")</f>
        <v>Above Average height</v>
      </c>
      <c r="K711" s="2" t="str" cm="1">
        <f t="array" ref="K711">_xlfn.IFS(E711&lt;=16,"Children",E711&lt;=30,"Young Adults",E711&lt;=45,"Middle-aged Adults",E711&gt;45,"Old Adults")</f>
        <v>Young Adults</v>
      </c>
    </row>
    <row r="712" spans="1:11" x14ac:dyDescent="0.45">
      <c r="A712" s="2">
        <v>837</v>
      </c>
      <c r="B712" s="2" t="s">
        <v>942</v>
      </c>
      <c r="C712" s="2" t="s">
        <v>91</v>
      </c>
      <c r="D712" s="2" t="s">
        <v>70</v>
      </c>
      <c r="E712" s="2">
        <v>28</v>
      </c>
      <c r="F712" s="2">
        <v>100</v>
      </c>
      <c r="G712" s="2">
        <v>187</v>
      </c>
      <c r="H712" s="9">
        <f t="shared" si="11"/>
        <v>28.596757127741711</v>
      </c>
      <c r="I712" s="2" t="str" cm="1">
        <f t="array" ref="I712">_xlfn.IFS(F712&gt;=100,"Over weight",F712&lt;100,"Average weight")</f>
        <v>Over weight</v>
      </c>
      <c r="J712" s="2" t="str" cm="1">
        <f t="array" ref="J712">_xlfn.IFS(G712&lt;164,"Below Average height",G712&gt;=165,"Above Average height",G712=164,"Average height")</f>
        <v>Above Average height</v>
      </c>
      <c r="K712" s="2" t="str" cm="1">
        <f t="array" ref="K712">_xlfn.IFS(E712&lt;=16,"Children",E712&lt;=30,"Young Adults",E712&lt;=45,"Middle-aged Adults",E712&gt;45,"Old Adults")</f>
        <v>Young Adults</v>
      </c>
    </row>
    <row r="713" spans="1:11" x14ac:dyDescent="0.45">
      <c r="A713" s="2">
        <v>838</v>
      </c>
      <c r="B713" s="2" t="s">
        <v>943</v>
      </c>
      <c r="C713" s="2" t="s">
        <v>91</v>
      </c>
      <c r="D713" s="2" t="s">
        <v>70</v>
      </c>
      <c r="E713" s="2">
        <v>31</v>
      </c>
      <c r="F713" s="2">
        <v>90</v>
      </c>
      <c r="G713" s="2">
        <v>185</v>
      </c>
      <c r="H713" s="9">
        <f t="shared" si="11"/>
        <v>26.296566837107374</v>
      </c>
      <c r="I713" s="2" t="str" cm="1">
        <f t="array" ref="I713">_xlfn.IFS(F713&gt;=100,"Over weight",F713&lt;100,"Average weight")</f>
        <v>Average weight</v>
      </c>
      <c r="J713" s="2" t="str" cm="1">
        <f t="array" ref="J713">_xlfn.IFS(G713&lt;164,"Below Average height",G713&gt;=165,"Above Average height",G713=164,"Average height")</f>
        <v>Above Average height</v>
      </c>
      <c r="K713" s="2" t="str" cm="1">
        <f t="array" ref="K713">_xlfn.IFS(E713&lt;=16,"Children",E713&lt;=30,"Young Adults",E713&lt;=45,"Middle-aged Adults",E713&gt;45,"Old Adults")</f>
        <v>Middle-aged Adults</v>
      </c>
    </row>
    <row r="714" spans="1:11" x14ac:dyDescent="0.45">
      <c r="A714" s="2">
        <v>839</v>
      </c>
      <c r="B714" s="2" t="s">
        <v>944</v>
      </c>
      <c r="C714" s="2" t="s">
        <v>91</v>
      </c>
      <c r="D714" s="2" t="s">
        <v>25</v>
      </c>
      <c r="E714" s="2">
        <v>22</v>
      </c>
      <c r="F714" s="2">
        <v>61</v>
      </c>
      <c r="G714" s="2">
        <v>169</v>
      </c>
      <c r="H714" s="9">
        <f t="shared" si="11"/>
        <v>21.357795595392322</v>
      </c>
      <c r="I714" s="2" t="str" cm="1">
        <f t="array" ref="I714">_xlfn.IFS(F714&gt;=100,"Over weight",F714&lt;100,"Average weight")</f>
        <v>Average weight</v>
      </c>
      <c r="J714" s="2" t="str" cm="1">
        <f t="array" ref="J714">_xlfn.IFS(G714&lt;164,"Below Average height",G714&gt;=165,"Above Average height",G714=164,"Average height")</f>
        <v>Above Average height</v>
      </c>
      <c r="K714" s="2" t="str" cm="1">
        <f t="array" ref="K714">_xlfn.IFS(E714&lt;=16,"Children",E714&lt;=30,"Young Adults",E714&lt;=45,"Middle-aged Adults",E714&gt;45,"Old Adults")</f>
        <v>Young Adults</v>
      </c>
    </row>
    <row r="715" spans="1:11" x14ac:dyDescent="0.45">
      <c r="A715" s="2">
        <v>841</v>
      </c>
      <c r="B715" s="2" t="s">
        <v>946</v>
      </c>
      <c r="C715" s="2" t="s">
        <v>91</v>
      </c>
      <c r="D715" s="2" t="s">
        <v>17</v>
      </c>
      <c r="E715" s="2">
        <v>21</v>
      </c>
      <c r="F715" s="2">
        <v>72</v>
      </c>
      <c r="G715" s="2">
        <v>172</v>
      </c>
      <c r="H715" s="9">
        <f t="shared" si="11"/>
        <v>24.337479718766904</v>
      </c>
      <c r="I715" s="2" t="str" cm="1">
        <f t="array" ref="I715">_xlfn.IFS(F715&gt;=100,"Over weight",F715&lt;100,"Average weight")</f>
        <v>Average weight</v>
      </c>
      <c r="J715" s="2" t="str" cm="1">
        <f t="array" ref="J715">_xlfn.IFS(G715&lt;164,"Below Average height",G715&gt;=165,"Above Average height",G715=164,"Average height")</f>
        <v>Above Average height</v>
      </c>
      <c r="K715" s="2" t="str" cm="1">
        <f t="array" ref="K715">_xlfn.IFS(E715&lt;=16,"Children",E715&lt;=30,"Young Adults",E715&lt;=45,"Middle-aged Adults",E715&gt;45,"Old Adults")</f>
        <v>Young Adults</v>
      </c>
    </row>
    <row r="716" spans="1:11" x14ac:dyDescent="0.45">
      <c r="A716" s="2">
        <v>842</v>
      </c>
      <c r="B716" s="2" t="s">
        <v>947</v>
      </c>
      <c r="C716" s="2" t="s">
        <v>86</v>
      </c>
      <c r="D716" s="2" t="s">
        <v>17</v>
      </c>
      <c r="E716" s="2">
        <v>23</v>
      </c>
      <c r="F716" s="2">
        <v>78</v>
      </c>
      <c r="G716" s="2">
        <v>165</v>
      </c>
      <c r="H716" s="9">
        <f t="shared" si="11"/>
        <v>28.650137741046834</v>
      </c>
      <c r="I716" s="2" t="str" cm="1">
        <f t="array" ref="I716">_xlfn.IFS(F716&gt;=100,"Over weight",F716&lt;100,"Average weight")</f>
        <v>Average weight</v>
      </c>
      <c r="J716" s="2" t="str" cm="1">
        <f t="array" ref="J716">_xlfn.IFS(G716&lt;164,"Below Average height",G716&gt;=165,"Above Average height",G716=164,"Average height")</f>
        <v>Above Average height</v>
      </c>
      <c r="K716" s="2" t="str" cm="1">
        <f t="array" ref="K716">_xlfn.IFS(E716&lt;=16,"Children",E716&lt;=30,"Young Adults",E716&lt;=45,"Middle-aged Adults",E716&gt;45,"Old Adults")</f>
        <v>Young Adults</v>
      </c>
    </row>
    <row r="717" spans="1:11" x14ac:dyDescent="0.45">
      <c r="A717" s="2">
        <v>843</v>
      </c>
      <c r="B717" s="2" t="s">
        <v>948</v>
      </c>
      <c r="C717" s="2" t="s">
        <v>100</v>
      </c>
      <c r="D717" s="2" t="s">
        <v>28</v>
      </c>
      <c r="E717" s="2">
        <v>26</v>
      </c>
      <c r="F717" s="2">
        <v>62</v>
      </c>
      <c r="G717" s="2">
        <v>171</v>
      </c>
      <c r="H717" s="9">
        <f t="shared" si="11"/>
        <v>21.203105228959341</v>
      </c>
      <c r="I717" s="2" t="str" cm="1">
        <f t="array" ref="I717">_xlfn.IFS(F717&gt;=100,"Over weight",F717&lt;100,"Average weight")</f>
        <v>Average weight</v>
      </c>
      <c r="J717" s="2" t="str" cm="1">
        <f t="array" ref="J717">_xlfn.IFS(G717&lt;164,"Below Average height",G717&gt;=165,"Above Average height",G717=164,"Average height")</f>
        <v>Above Average height</v>
      </c>
      <c r="K717" s="2" t="str" cm="1">
        <f t="array" ref="K717">_xlfn.IFS(E717&lt;=16,"Children",E717&lt;=30,"Young Adults",E717&lt;=45,"Middle-aged Adults",E717&gt;45,"Old Adults")</f>
        <v>Young Adults</v>
      </c>
    </row>
    <row r="718" spans="1:11" x14ac:dyDescent="0.45">
      <c r="A718" s="2">
        <v>844</v>
      </c>
      <c r="B718" s="2" t="s">
        <v>949</v>
      </c>
      <c r="C718" s="2" t="s">
        <v>85</v>
      </c>
      <c r="D718" s="2" t="s">
        <v>14</v>
      </c>
      <c r="E718" s="2">
        <v>28</v>
      </c>
      <c r="F718" s="2">
        <v>90</v>
      </c>
      <c r="G718" s="2">
        <v>183</v>
      </c>
      <c r="H718" s="9">
        <f t="shared" si="11"/>
        <v>26.874496103198062</v>
      </c>
      <c r="I718" s="2" t="str" cm="1">
        <f t="array" ref="I718">_xlfn.IFS(F718&gt;=100,"Over weight",F718&lt;100,"Average weight")</f>
        <v>Average weight</v>
      </c>
      <c r="J718" s="2" t="str" cm="1">
        <f t="array" ref="J718">_xlfn.IFS(G718&lt;164,"Below Average height",G718&gt;=165,"Above Average height",G718=164,"Average height")</f>
        <v>Above Average height</v>
      </c>
      <c r="K718" s="2" t="str" cm="1">
        <f t="array" ref="K718">_xlfn.IFS(E718&lt;=16,"Children",E718&lt;=30,"Young Adults",E718&lt;=45,"Middle-aged Adults",E718&gt;45,"Old Adults")</f>
        <v>Young Adults</v>
      </c>
    </row>
    <row r="719" spans="1:11" x14ac:dyDescent="0.45">
      <c r="A719" s="2">
        <v>845</v>
      </c>
      <c r="B719" s="2" t="s">
        <v>950</v>
      </c>
      <c r="C719" s="2" t="s">
        <v>95</v>
      </c>
      <c r="D719" s="2" t="s">
        <v>28</v>
      </c>
      <c r="E719" s="2">
        <v>26</v>
      </c>
      <c r="F719" s="2">
        <v>77</v>
      </c>
      <c r="G719" s="2">
        <v>178</v>
      </c>
      <c r="H719" s="9">
        <f t="shared" si="11"/>
        <v>24.302487059714682</v>
      </c>
      <c r="I719" s="2" t="str" cm="1">
        <f t="array" ref="I719">_xlfn.IFS(F719&gt;=100,"Over weight",F719&lt;100,"Average weight")</f>
        <v>Average weight</v>
      </c>
      <c r="J719" s="2" t="str" cm="1">
        <f t="array" ref="J719">_xlfn.IFS(G719&lt;164,"Below Average height",G719&gt;=165,"Above Average height",G719=164,"Average height")</f>
        <v>Above Average height</v>
      </c>
      <c r="K719" s="2" t="str" cm="1">
        <f t="array" ref="K719">_xlfn.IFS(E719&lt;=16,"Children",E719&lt;=30,"Young Adults",E719&lt;=45,"Middle-aged Adults",E719&gt;45,"Old Adults")</f>
        <v>Young Adults</v>
      </c>
    </row>
    <row r="720" spans="1:11" x14ac:dyDescent="0.45">
      <c r="A720" s="2">
        <v>846</v>
      </c>
      <c r="B720" s="2" t="s">
        <v>951</v>
      </c>
      <c r="C720" s="2" t="s">
        <v>97</v>
      </c>
      <c r="D720" s="2" t="s">
        <v>75</v>
      </c>
      <c r="E720" s="2">
        <v>22</v>
      </c>
      <c r="F720" s="2">
        <v>70</v>
      </c>
      <c r="G720" s="2">
        <v>186</v>
      </c>
      <c r="H720" s="9">
        <f t="shared" si="11"/>
        <v>20.233553011908889</v>
      </c>
      <c r="I720" s="2" t="str" cm="1">
        <f t="array" ref="I720">_xlfn.IFS(F720&gt;=100,"Over weight",F720&lt;100,"Average weight")</f>
        <v>Average weight</v>
      </c>
      <c r="J720" s="2" t="str" cm="1">
        <f t="array" ref="J720">_xlfn.IFS(G720&lt;164,"Below Average height",G720&gt;=165,"Above Average height",G720=164,"Average height")</f>
        <v>Above Average height</v>
      </c>
      <c r="K720" s="2" t="str" cm="1">
        <f t="array" ref="K720">_xlfn.IFS(E720&lt;=16,"Children",E720&lt;=30,"Young Adults",E720&lt;=45,"Middle-aged Adults",E720&gt;45,"Old Adults")</f>
        <v>Young Adults</v>
      </c>
    </row>
    <row r="721" spans="1:11" x14ac:dyDescent="0.45">
      <c r="A721" s="2">
        <v>847</v>
      </c>
      <c r="B721" s="2" t="s">
        <v>952</v>
      </c>
      <c r="C721" s="2" t="s">
        <v>89</v>
      </c>
      <c r="D721" s="2" t="s">
        <v>14</v>
      </c>
      <c r="E721" s="2">
        <v>37</v>
      </c>
      <c r="F721" s="2">
        <v>71</v>
      </c>
      <c r="G721" s="2">
        <v>176</v>
      </c>
      <c r="H721" s="9">
        <f t="shared" si="11"/>
        <v>22.920971074380166</v>
      </c>
      <c r="I721" s="2" t="str" cm="1">
        <f t="array" ref="I721">_xlfn.IFS(F721&gt;=100,"Over weight",F721&lt;100,"Average weight")</f>
        <v>Average weight</v>
      </c>
      <c r="J721" s="2" t="str" cm="1">
        <f t="array" ref="J721">_xlfn.IFS(G721&lt;164,"Below Average height",G721&gt;=165,"Above Average height",G721=164,"Average height")</f>
        <v>Above Average height</v>
      </c>
      <c r="K721" s="2" t="str" cm="1">
        <f t="array" ref="K721">_xlfn.IFS(E721&lt;=16,"Children",E721&lt;=30,"Young Adults",E721&lt;=45,"Middle-aged Adults",E721&gt;45,"Old Adults")</f>
        <v>Middle-aged Adults</v>
      </c>
    </row>
    <row r="722" spans="1:11" x14ac:dyDescent="0.45">
      <c r="A722" s="2">
        <v>849</v>
      </c>
      <c r="B722" s="2" t="s">
        <v>954</v>
      </c>
      <c r="C722" s="2" t="s">
        <v>92</v>
      </c>
      <c r="D722" s="2" t="s">
        <v>63</v>
      </c>
      <c r="E722" s="2">
        <v>23</v>
      </c>
      <c r="F722" s="2">
        <v>57</v>
      </c>
      <c r="G722" s="2">
        <v>174</v>
      </c>
      <c r="H722" s="9">
        <f t="shared" si="11"/>
        <v>18.826793499801823</v>
      </c>
      <c r="I722" s="2" t="str" cm="1">
        <f t="array" ref="I722">_xlfn.IFS(F722&gt;=100,"Over weight",F722&lt;100,"Average weight")</f>
        <v>Average weight</v>
      </c>
      <c r="J722" s="2" t="str" cm="1">
        <f t="array" ref="J722">_xlfn.IFS(G722&lt;164,"Below Average height",G722&gt;=165,"Above Average height",G722=164,"Average height")</f>
        <v>Above Average height</v>
      </c>
      <c r="K722" s="2" t="str" cm="1">
        <f t="array" ref="K722">_xlfn.IFS(E722&lt;=16,"Children",E722&lt;=30,"Young Adults",E722&lt;=45,"Middle-aged Adults",E722&gt;45,"Old Adults")</f>
        <v>Young Adults</v>
      </c>
    </row>
    <row r="723" spans="1:11" x14ac:dyDescent="0.45">
      <c r="A723" s="2">
        <v>850</v>
      </c>
      <c r="B723" s="2" t="s">
        <v>955</v>
      </c>
      <c r="C723" s="2" t="s">
        <v>90</v>
      </c>
      <c r="D723" s="2" t="s">
        <v>14</v>
      </c>
      <c r="E723" s="2">
        <v>24</v>
      </c>
      <c r="F723" s="2">
        <v>77</v>
      </c>
      <c r="G723" s="2">
        <v>170</v>
      </c>
      <c r="H723" s="9">
        <f t="shared" si="11"/>
        <v>26.643598615916957</v>
      </c>
      <c r="I723" s="2" t="str" cm="1">
        <f t="array" ref="I723">_xlfn.IFS(F723&gt;=100,"Over weight",F723&lt;100,"Average weight")</f>
        <v>Average weight</v>
      </c>
      <c r="J723" s="2" t="str" cm="1">
        <f t="array" ref="J723">_xlfn.IFS(G723&lt;164,"Below Average height",G723&gt;=165,"Above Average height",G723=164,"Average height")</f>
        <v>Above Average height</v>
      </c>
      <c r="K723" s="2" t="str" cm="1">
        <f t="array" ref="K723">_xlfn.IFS(E723&lt;=16,"Children",E723&lt;=30,"Young Adults",E723&lt;=45,"Middle-aged Adults",E723&gt;45,"Old Adults")</f>
        <v>Young Adults</v>
      </c>
    </row>
    <row r="724" spans="1:11" x14ac:dyDescent="0.45">
      <c r="A724" s="2">
        <v>852</v>
      </c>
      <c r="B724" s="2" t="s">
        <v>957</v>
      </c>
      <c r="C724" s="2" t="s">
        <v>88</v>
      </c>
      <c r="D724" s="2" t="s">
        <v>70</v>
      </c>
      <c r="E724" s="2">
        <v>32</v>
      </c>
      <c r="F724" s="2">
        <v>68</v>
      </c>
      <c r="G724" s="2">
        <v>172</v>
      </c>
      <c r="H724" s="9">
        <f t="shared" si="11"/>
        <v>22.985397512168742</v>
      </c>
      <c r="I724" s="2" t="str" cm="1">
        <f t="array" ref="I724">_xlfn.IFS(F724&gt;=100,"Over weight",F724&lt;100,"Average weight")</f>
        <v>Average weight</v>
      </c>
      <c r="J724" s="2" t="str" cm="1">
        <f t="array" ref="J724">_xlfn.IFS(G724&lt;164,"Below Average height",G724&gt;=165,"Above Average height",G724=164,"Average height")</f>
        <v>Above Average height</v>
      </c>
      <c r="K724" s="2" t="str" cm="1">
        <f t="array" ref="K724">_xlfn.IFS(E724&lt;=16,"Children",E724&lt;=30,"Young Adults",E724&lt;=45,"Middle-aged Adults",E724&gt;45,"Old Adults")</f>
        <v>Middle-aged Adults</v>
      </c>
    </row>
    <row r="725" spans="1:11" x14ac:dyDescent="0.45">
      <c r="A725" s="2">
        <v>853</v>
      </c>
      <c r="B725" s="2" t="s">
        <v>958</v>
      </c>
      <c r="C725" s="2" t="s">
        <v>97</v>
      </c>
      <c r="D725" s="2" t="s">
        <v>75</v>
      </c>
      <c r="E725" s="2">
        <v>26</v>
      </c>
      <c r="F725" s="2">
        <v>65</v>
      </c>
      <c r="G725" s="2">
        <v>180</v>
      </c>
      <c r="H725" s="9">
        <f t="shared" si="11"/>
        <v>20.061728395061728</v>
      </c>
      <c r="I725" s="2" t="str" cm="1">
        <f t="array" ref="I725">_xlfn.IFS(F725&gt;=100,"Over weight",F725&lt;100,"Average weight")</f>
        <v>Average weight</v>
      </c>
      <c r="J725" s="2" t="str" cm="1">
        <f t="array" ref="J725">_xlfn.IFS(G725&lt;164,"Below Average height",G725&gt;=165,"Above Average height",G725=164,"Average height")</f>
        <v>Above Average height</v>
      </c>
      <c r="K725" s="2" t="str" cm="1">
        <f t="array" ref="K725">_xlfn.IFS(E725&lt;=16,"Children",E725&lt;=30,"Young Adults",E725&lt;=45,"Middle-aged Adults",E725&gt;45,"Old Adults")</f>
        <v>Young Adults</v>
      </c>
    </row>
    <row r="726" spans="1:11" x14ac:dyDescent="0.45">
      <c r="A726" s="2">
        <v>854</v>
      </c>
      <c r="B726" s="2" t="s">
        <v>959</v>
      </c>
      <c r="C726" s="2" t="s">
        <v>87</v>
      </c>
      <c r="D726" s="2" t="s">
        <v>8</v>
      </c>
      <c r="E726" s="2">
        <v>17</v>
      </c>
      <c r="F726" s="2">
        <v>56</v>
      </c>
      <c r="G726" s="2">
        <v>165</v>
      </c>
      <c r="H726" s="9">
        <f t="shared" si="11"/>
        <v>20.569329660238754</v>
      </c>
      <c r="I726" s="2" t="str" cm="1">
        <f t="array" ref="I726">_xlfn.IFS(F726&gt;=100,"Over weight",F726&lt;100,"Average weight")</f>
        <v>Average weight</v>
      </c>
      <c r="J726" s="2" t="str" cm="1">
        <f t="array" ref="J726">_xlfn.IFS(G726&lt;164,"Below Average height",G726&gt;=165,"Above Average height",G726=164,"Average height")</f>
        <v>Above Average height</v>
      </c>
      <c r="K726" s="2" t="str" cm="1">
        <f t="array" ref="K726">_xlfn.IFS(E726&lt;=16,"Children",E726&lt;=30,"Young Adults",E726&lt;=45,"Middle-aged Adults",E726&gt;45,"Old Adults")</f>
        <v>Young Adults</v>
      </c>
    </row>
    <row r="727" spans="1:11" x14ac:dyDescent="0.45">
      <c r="A727" s="2">
        <v>857</v>
      </c>
      <c r="B727" s="2" t="s">
        <v>962</v>
      </c>
      <c r="C727" s="2" t="s">
        <v>95</v>
      </c>
      <c r="D727" s="2" t="s">
        <v>21</v>
      </c>
      <c r="E727" s="2">
        <v>25</v>
      </c>
      <c r="F727" s="2">
        <v>80</v>
      </c>
      <c r="G727" s="2">
        <v>180</v>
      </c>
      <c r="H727" s="9">
        <f t="shared" si="11"/>
        <v>24.691358024691358</v>
      </c>
      <c r="I727" s="2" t="str" cm="1">
        <f t="array" ref="I727">_xlfn.IFS(F727&gt;=100,"Over weight",F727&lt;100,"Average weight")</f>
        <v>Average weight</v>
      </c>
      <c r="J727" s="2" t="str" cm="1">
        <f t="array" ref="J727">_xlfn.IFS(G727&lt;164,"Below Average height",G727&gt;=165,"Above Average height",G727=164,"Average height")</f>
        <v>Above Average height</v>
      </c>
      <c r="K727" s="2" t="str" cm="1">
        <f t="array" ref="K727">_xlfn.IFS(E727&lt;=16,"Children",E727&lt;=30,"Young Adults",E727&lt;=45,"Middle-aged Adults",E727&gt;45,"Old Adults")</f>
        <v>Young Adults</v>
      </c>
    </row>
    <row r="728" spans="1:11" x14ac:dyDescent="0.45">
      <c r="A728" s="2">
        <v>858</v>
      </c>
      <c r="B728" s="2" t="s">
        <v>963</v>
      </c>
      <c r="C728" s="2" t="s">
        <v>95</v>
      </c>
      <c r="D728" s="2" t="s">
        <v>21</v>
      </c>
      <c r="E728" s="2">
        <v>23</v>
      </c>
      <c r="F728" s="2">
        <v>82</v>
      </c>
      <c r="G728" s="2">
        <v>189</v>
      </c>
      <c r="H728" s="9">
        <f t="shared" si="11"/>
        <v>22.955684331345708</v>
      </c>
      <c r="I728" s="2" t="str" cm="1">
        <f t="array" ref="I728">_xlfn.IFS(F728&gt;=100,"Over weight",F728&lt;100,"Average weight")</f>
        <v>Average weight</v>
      </c>
      <c r="J728" s="2" t="str" cm="1">
        <f t="array" ref="J728">_xlfn.IFS(G728&lt;164,"Below Average height",G728&gt;=165,"Above Average height",G728=164,"Average height")</f>
        <v>Above Average height</v>
      </c>
      <c r="K728" s="2" t="str" cm="1">
        <f t="array" ref="K728">_xlfn.IFS(E728&lt;=16,"Children",E728&lt;=30,"Young Adults",E728&lt;=45,"Middle-aged Adults",E728&gt;45,"Old Adults")</f>
        <v>Young Adults</v>
      </c>
    </row>
    <row r="729" spans="1:11" x14ac:dyDescent="0.45">
      <c r="A729" s="2">
        <v>859</v>
      </c>
      <c r="B729" s="2" t="s">
        <v>964</v>
      </c>
      <c r="C729" s="2" t="s">
        <v>94</v>
      </c>
      <c r="D729" s="2" t="s">
        <v>50</v>
      </c>
      <c r="E729" s="2">
        <v>25</v>
      </c>
      <c r="F729" s="2">
        <v>65</v>
      </c>
      <c r="G729" s="2">
        <v>175</v>
      </c>
      <c r="H729" s="9">
        <f t="shared" si="11"/>
        <v>21.224489795918366</v>
      </c>
      <c r="I729" s="2" t="str" cm="1">
        <f t="array" ref="I729">_xlfn.IFS(F729&gt;=100,"Over weight",F729&lt;100,"Average weight")</f>
        <v>Average weight</v>
      </c>
      <c r="J729" s="2" t="str" cm="1">
        <f t="array" ref="J729">_xlfn.IFS(G729&lt;164,"Below Average height",G729&gt;=165,"Above Average height",G729=164,"Average height")</f>
        <v>Above Average height</v>
      </c>
      <c r="K729" s="2" t="str" cm="1">
        <f t="array" ref="K729">_xlfn.IFS(E729&lt;=16,"Children",E729&lt;=30,"Young Adults",E729&lt;=45,"Middle-aged Adults",E729&gt;45,"Old Adults")</f>
        <v>Young Adults</v>
      </c>
    </row>
    <row r="730" spans="1:11" x14ac:dyDescent="0.45">
      <c r="A730" s="2">
        <v>860</v>
      </c>
      <c r="B730" s="2" t="s">
        <v>965</v>
      </c>
      <c r="C730" s="2" t="s">
        <v>95</v>
      </c>
      <c r="D730" s="2" t="s">
        <v>65</v>
      </c>
      <c r="E730" s="2">
        <v>21</v>
      </c>
      <c r="F730" s="2">
        <v>90</v>
      </c>
      <c r="G730" s="2">
        <v>192</v>
      </c>
      <c r="H730" s="9">
        <f t="shared" si="11"/>
        <v>24.4140625</v>
      </c>
      <c r="I730" s="2" t="str" cm="1">
        <f t="array" ref="I730">_xlfn.IFS(F730&gt;=100,"Over weight",F730&lt;100,"Average weight")</f>
        <v>Average weight</v>
      </c>
      <c r="J730" s="2" t="str" cm="1">
        <f t="array" ref="J730">_xlfn.IFS(G730&lt;164,"Below Average height",G730&gt;=165,"Above Average height",G730=164,"Average height")</f>
        <v>Above Average height</v>
      </c>
      <c r="K730" s="2" t="str" cm="1">
        <f t="array" ref="K730">_xlfn.IFS(E730&lt;=16,"Children",E730&lt;=30,"Young Adults",E730&lt;=45,"Middle-aged Adults",E730&gt;45,"Old Adults")</f>
        <v>Young Adults</v>
      </c>
    </row>
    <row r="731" spans="1:11" x14ac:dyDescent="0.45">
      <c r="A731" s="2">
        <v>861</v>
      </c>
      <c r="B731" s="2" t="s">
        <v>966</v>
      </c>
      <c r="C731" s="2" t="s">
        <v>91</v>
      </c>
      <c r="D731" s="2" t="s">
        <v>14</v>
      </c>
      <c r="E731" s="2">
        <v>32</v>
      </c>
      <c r="F731" s="2">
        <v>94</v>
      </c>
      <c r="G731" s="2">
        <v>186</v>
      </c>
      <c r="H731" s="9">
        <f t="shared" si="11"/>
        <v>27.170771187420506</v>
      </c>
      <c r="I731" s="2" t="str" cm="1">
        <f t="array" ref="I731">_xlfn.IFS(F731&gt;=100,"Over weight",F731&lt;100,"Average weight")</f>
        <v>Average weight</v>
      </c>
      <c r="J731" s="2" t="str" cm="1">
        <f t="array" ref="J731">_xlfn.IFS(G731&lt;164,"Below Average height",G731&gt;=165,"Above Average height",G731=164,"Average height")</f>
        <v>Above Average height</v>
      </c>
      <c r="K731" s="2" t="str" cm="1">
        <f t="array" ref="K731">_xlfn.IFS(E731&lt;=16,"Children",E731&lt;=30,"Young Adults",E731&lt;=45,"Middle-aged Adults",E731&gt;45,"Old Adults")</f>
        <v>Middle-aged Adults</v>
      </c>
    </row>
    <row r="732" spans="1:11" x14ac:dyDescent="0.45">
      <c r="A732" s="2">
        <v>862</v>
      </c>
      <c r="B732" s="2" t="s">
        <v>967</v>
      </c>
      <c r="C732" s="2" t="s">
        <v>85</v>
      </c>
      <c r="D732" s="2" t="s">
        <v>69</v>
      </c>
      <c r="E732" s="2">
        <v>19</v>
      </c>
      <c r="F732" s="2">
        <v>73</v>
      </c>
      <c r="G732" s="2">
        <v>176</v>
      </c>
      <c r="H732" s="9">
        <f t="shared" si="11"/>
        <v>23.566632231404959</v>
      </c>
      <c r="I732" s="2" t="str" cm="1">
        <f t="array" ref="I732">_xlfn.IFS(F732&gt;=100,"Over weight",F732&lt;100,"Average weight")</f>
        <v>Average weight</v>
      </c>
      <c r="J732" s="2" t="str" cm="1">
        <f t="array" ref="J732">_xlfn.IFS(G732&lt;164,"Below Average height",G732&gt;=165,"Above Average height",G732=164,"Average height")</f>
        <v>Above Average height</v>
      </c>
      <c r="K732" s="2" t="str" cm="1">
        <f t="array" ref="K732">_xlfn.IFS(E732&lt;=16,"Children",E732&lt;=30,"Young Adults",E732&lt;=45,"Middle-aged Adults",E732&gt;45,"Old Adults")</f>
        <v>Young Adults</v>
      </c>
    </row>
    <row r="733" spans="1:11" x14ac:dyDescent="0.45">
      <c r="A733" s="2">
        <v>863</v>
      </c>
      <c r="B733" s="2" t="s">
        <v>968</v>
      </c>
      <c r="C733" s="2" t="s">
        <v>89</v>
      </c>
      <c r="D733" s="2" t="s">
        <v>28</v>
      </c>
      <c r="E733" s="2">
        <v>24</v>
      </c>
      <c r="F733" s="2">
        <v>88</v>
      </c>
      <c r="G733" s="2">
        <v>187</v>
      </c>
      <c r="H733" s="9">
        <f t="shared" si="11"/>
        <v>25.165146272412706</v>
      </c>
      <c r="I733" s="2" t="str" cm="1">
        <f t="array" ref="I733">_xlfn.IFS(F733&gt;=100,"Over weight",F733&lt;100,"Average weight")</f>
        <v>Average weight</v>
      </c>
      <c r="J733" s="2" t="str" cm="1">
        <f t="array" ref="J733">_xlfn.IFS(G733&lt;164,"Below Average height",G733&gt;=165,"Above Average height",G733=164,"Average height")</f>
        <v>Above Average height</v>
      </c>
      <c r="K733" s="2" t="str" cm="1">
        <f t="array" ref="K733">_xlfn.IFS(E733&lt;=16,"Children",E733&lt;=30,"Young Adults",E733&lt;=45,"Middle-aged Adults",E733&gt;45,"Old Adults")</f>
        <v>Young Adults</v>
      </c>
    </row>
    <row r="734" spans="1:11" x14ac:dyDescent="0.45">
      <c r="A734" s="2">
        <v>864</v>
      </c>
      <c r="B734" s="2" t="s">
        <v>969</v>
      </c>
      <c r="C734" s="2" t="s">
        <v>95</v>
      </c>
      <c r="D734" s="2" t="s">
        <v>13</v>
      </c>
      <c r="E734" s="2">
        <v>25</v>
      </c>
      <c r="F734" s="2">
        <v>87</v>
      </c>
      <c r="G734" s="2">
        <v>185</v>
      </c>
      <c r="H734" s="9">
        <f t="shared" si="11"/>
        <v>25.420014609203797</v>
      </c>
      <c r="I734" s="2" t="str" cm="1">
        <f t="array" ref="I734">_xlfn.IFS(F734&gt;=100,"Over weight",F734&lt;100,"Average weight")</f>
        <v>Average weight</v>
      </c>
      <c r="J734" s="2" t="str" cm="1">
        <f t="array" ref="J734">_xlfn.IFS(G734&lt;164,"Below Average height",G734&gt;=165,"Above Average height",G734=164,"Average height")</f>
        <v>Above Average height</v>
      </c>
      <c r="K734" s="2" t="str" cm="1">
        <f t="array" ref="K734">_xlfn.IFS(E734&lt;=16,"Children",E734&lt;=30,"Young Adults",E734&lt;=45,"Middle-aged Adults",E734&gt;45,"Old Adults")</f>
        <v>Young Adults</v>
      </c>
    </row>
    <row r="735" spans="1:11" x14ac:dyDescent="0.45">
      <c r="A735" s="2">
        <v>865</v>
      </c>
      <c r="B735" s="2" t="s">
        <v>970</v>
      </c>
      <c r="C735" s="2" t="s">
        <v>88</v>
      </c>
      <c r="D735" s="2" t="s">
        <v>13</v>
      </c>
      <c r="E735" s="2">
        <v>22</v>
      </c>
      <c r="F735" s="2">
        <v>73</v>
      </c>
      <c r="G735" s="2">
        <v>183</v>
      </c>
      <c r="H735" s="9">
        <f t="shared" si="11"/>
        <v>21.798202394816204</v>
      </c>
      <c r="I735" s="2" t="str" cm="1">
        <f t="array" ref="I735">_xlfn.IFS(F735&gt;=100,"Over weight",F735&lt;100,"Average weight")</f>
        <v>Average weight</v>
      </c>
      <c r="J735" s="2" t="str" cm="1">
        <f t="array" ref="J735">_xlfn.IFS(G735&lt;164,"Below Average height",G735&gt;=165,"Above Average height",G735=164,"Average height")</f>
        <v>Above Average height</v>
      </c>
      <c r="K735" s="2" t="str" cm="1">
        <f t="array" ref="K735">_xlfn.IFS(E735&lt;=16,"Children",E735&lt;=30,"Young Adults",E735&lt;=45,"Middle-aged Adults",E735&gt;45,"Old Adults")</f>
        <v>Young Adults</v>
      </c>
    </row>
    <row r="736" spans="1:11" x14ac:dyDescent="0.45">
      <c r="A736" s="2">
        <v>866</v>
      </c>
      <c r="B736" s="2" t="s">
        <v>971</v>
      </c>
      <c r="C736" s="2" t="s">
        <v>87</v>
      </c>
      <c r="D736" s="2" t="s">
        <v>74</v>
      </c>
      <c r="E736" s="2">
        <v>40</v>
      </c>
      <c r="F736" s="2">
        <v>93</v>
      </c>
      <c r="G736" s="2">
        <v>176</v>
      </c>
      <c r="H736" s="9">
        <f t="shared" si="11"/>
        <v>30.023243801652892</v>
      </c>
      <c r="I736" s="2" t="str" cm="1">
        <f t="array" ref="I736">_xlfn.IFS(F736&gt;=100,"Over weight",F736&lt;100,"Average weight")</f>
        <v>Average weight</v>
      </c>
      <c r="J736" s="2" t="str" cm="1">
        <f t="array" ref="J736">_xlfn.IFS(G736&lt;164,"Below Average height",G736&gt;=165,"Above Average height",G736=164,"Average height")</f>
        <v>Above Average height</v>
      </c>
      <c r="K736" s="2" t="str" cm="1">
        <f t="array" ref="K736">_xlfn.IFS(E736&lt;=16,"Children",E736&lt;=30,"Young Adults",E736&lt;=45,"Middle-aged Adults",E736&gt;45,"Old Adults")</f>
        <v>Middle-aged Adults</v>
      </c>
    </row>
    <row r="737" spans="1:11" x14ac:dyDescent="0.45">
      <c r="A737" s="2">
        <v>867</v>
      </c>
      <c r="B737" s="2" t="s">
        <v>972</v>
      </c>
      <c r="C737" s="2" t="s">
        <v>87</v>
      </c>
      <c r="D737" s="2" t="s">
        <v>74</v>
      </c>
      <c r="E737" s="2">
        <v>40</v>
      </c>
      <c r="F737" s="2">
        <v>70</v>
      </c>
      <c r="G737" s="2">
        <v>171</v>
      </c>
      <c r="H737" s="9">
        <f t="shared" si="11"/>
        <v>23.938989774631512</v>
      </c>
      <c r="I737" s="2" t="str" cm="1">
        <f t="array" ref="I737">_xlfn.IFS(F737&gt;=100,"Over weight",F737&lt;100,"Average weight")</f>
        <v>Average weight</v>
      </c>
      <c r="J737" s="2" t="str" cm="1">
        <f t="array" ref="J737">_xlfn.IFS(G737&lt;164,"Below Average height",G737&gt;=165,"Above Average height",G737=164,"Average height")</f>
        <v>Above Average height</v>
      </c>
      <c r="K737" s="2" t="str" cm="1">
        <f t="array" ref="K737">_xlfn.IFS(E737&lt;=16,"Children",E737&lt;=30,"Young Adults",E737&lt;=45,"Middle-aged Adults",E737&gt;45,"Old Adults")</f>
        <v>Middle-aged Adults</v>
      </c>
    </row>
    <row r="738" spans="1:11" x14ac:dyDescent="0.45">
      <c r="A738" s="2">
        <v>869</v>
      </c>
      <c r="B738" s="2" t="s">
        <v>974</v>
      </c>
      <c r="C738" s="2" t="s">
        <v>85</v>
      </c>
      <c r="D738" s="2" t="s">
        <v>52</v>
      </c>
      <c r="E738" s="2">
        <v>35</v>
      </c>
      <c r="F738" s="2">
        <v>76</v>
      </c>
      <c r="G738" s="2">
        <v>182</v>
      </c>
      <c r="H738" s="9">
        <f t="shared" si="11"/>
        <v>22.944088878154812</v>
      </c>
      <c r="I738" s="2" t="str" cm="1">
        <f t="array" ref="I738">_xlfn.IFS(F738&gt;=100,"Over weight",F738&lt;100,"Average weight")</f>
        <v>Average weight</v>
      </c>
      <c r="J738" s="2" t="str" cm="1">
        <f t="array" ref="J738">_xlfn.IFS(G738&lt;164,"Below Average height",G738&gt;=165,"Above Average height",G738=164,"Average height")</f>
        <v>Above Average height</v>
      </c>
      <c r="K738" s="2" t="str" cm="1">
        <f t="array" ref="K738">_xlfn.IFS(E738&lt;=16,"Children",E738&lt;=30,"Young Adults",E738&lt;=45,"Middle-aged Adults",E738&gt;45,"Old Adults")</f>
        <v>Middle-aged Adults</v>
      </c>
    </row>
    <row r="739" spans="1:11" x14ac:dyDescent="0.45">
      <c r="A739" s="2">
        <v>870</v>
      </c>
      <c r="B739" s="2" t="s">
        <v>975</v>
      </c>
      <c r="C739" s="2" t="s">
        <v>91</v>
      </c>
      <c r="D739" s="2" t="s">
        <v>25</v>
      </c>
      <c r="E739" s="2">
        <v>27</v>
      </c>
      <c r="F739" s="2">
        <v>96</v>
      </c>
      <c r="G739" s="2">
        <v>183</v>
      </c>
      <c r="H739" s="9">
        <f t="shared" si="11"/>
        <v>28.666129176744597</v>
      </c>
      <c r="I739" s="2" t="str" cm="1">
        <f t="array" ref="I739">_xlfn.IFS(F739&gt;=100,"Over weight",F739&lt;100,"Average weight")</f>
        <v>Average weight</v>
      </c>
      <c r="J739" s="2" t="str" cm="1">
        <f t="array" ref="J739">_xlfn.IFS(G739&lt;164,"Below Average height",G739&gt;=165,"Above Average height",G739=164,"Average height")</f>
        <v>Above Average height</v>
      </c>
      <c r="K739" s="2" t="str" cm="1">
        <f t="array" ref="K739">_xlfn.IFS(E739&lt;=16,"Children",E739&lt;=30,"Young Adults",E739&lt;=45,"Middle-aged Adults",E739&gt;45,"Old Adults")</f>
        <v>Young Adults</v>
      </c>
    </row>
    <row r="740" spans="1:11" x14ac:dyDescent="0.45">
      <c r="A740" s="2">
        <v>871</v>
      </c>
      <c r="B740" s="2" t="s">
        <v>976</v>
      </c>
      <c r="C740" s="2" t="s">
        <v>88</v>
      </c>
      <c r="D740" s="2" t="s">
        <v>14</v>
      </c>
      <c r="E740" s="2">
        <v>24</v>
      </c>
      <c r="F740" s="2">
        <v>56</v>
      </c>
      <c r="G740" s="2">
        <v>167</v>
      </c>
      <c r="H740" s="9">
        <f t="shared" si="11"/>
        <v>20.07960127648894</v>
      </c>
      <c r="I740" s="2" t="str" cm="1">
        <f t="array" ref="I740">_xlfn.IFS(F740&gt;=100,"Over weight",F740&lt;100,"Average weight")</f>
        <v>Average weight</v>
      </c>
      <c r="J740" s="2" t="str" cm="1">
        <f t="array" ref="J740">_xlfn.IFS(G740&lt;164,"Below Average height",G740&gt;=165,"Above Average height",G740=164,"Average height")</f>
        <v>Above Average height</v>
      </c>
      <c r="K740" s="2" t="str" cm="1">
        <f t="array" ref="K740">_xlfn.IFS(E740&lt;=16,"Children",E740&lt;=30,"Young Adults",E740&lt;=45,"Middle-aged Adults",E740&gt;45,"Old Adults")</f>
        <v>Young Adults</v>
      </c>
    </row>
    <row r="741" spans="1:11" x14ac:dyDescent="0.45">
      <c r="A741" s="2">
        <v>872</v>
      </c>
      <c r="B741" s="2" t="s">
        <v>977</v>
      </c>
      <c r="C741" s="2" t="s">
        <v>94</v>
      </c>
      <c r="D741" s="2" t="s">
        <v>74</v>
      </c>
      <c r="E741" s="2">
        <v>24</v>
      </c>
      <c r="F741" s="2">
        <v>68</v>
      </c>
      <c r="G741" s="2">
        <v>174</v>
      </c>
      <c r="H741" s="9">
        <f t="shared" si="11"/>
        <v>22.460034350640772</v>
      </c>
      <c r="I741" s="2" t="str" cm="1">
        <f t="array" ref="I741">_xlfn.IFS(F741&gt;=100,"Over weight",F741&lt;100,"Average weight")</f>
        <v>Average weight</v>
      </c>
      <c r="J741" s="2" t="str" cm="1">
        <f t="array" ref="J741">_xlfn.IFS(G741&lt;164,"Below Average height",G741&gt;=165,"Above Average height",G741=164,"Average height")</f>
        <v>Above Average height</v>
      </c>
      <c r="K741" s="2" t="str" cm="1">
        <f t="array" ref="K741">_xlfn.IFS(E741&lt;=16,"Children",E741&lt;=30,"Young Adults",E741&lt;=45,"Middle-aged Adults",E741&gt;45,"Old Adults")</f>
        <v>Young Adults</v>
      </c>
    </row>
    <row r="742" spans="1:11" x14ac:dyDescent="0.45">
      <c r="A742" s="2">
        <v>873</v>
      </c>
      <c r="B742" s="2" t="s">
        <v>978</v>
      </c>
      <c r="C742" s="2" t="s">
        <v>85</v>
      </c>
      <c r="D742" s="2" t="s">
        <v>39</v>
      </c>
      <c r="E742" s="2">
        <v>25</v>
      </c>
      <c r="F742" s="2">
        <v>89</v>
      </c>
      <c r="G742" s="2">
        <v>186</v>
      </c>
      <c r="H742" s="9">
        <f t="shared" si="11"/>
        <v>25.725517400855587</v>
      </c>
      <c r="I742" s="2" t="str" cm="1">
        <f t="array" ref="I742">_xlfn.IFS(F742&gt;=100,"Over weight",F742&lt;100,"Average weight")</f>
        <v>Average weight</v>
      </c>
      <c r="J742" s="2" t="str" cm="1">
        <f t="array" ref="J742">_xlfn.IFS(G742&lt;164,"Below Average height",G742&gt;=165,"Above Average height",G742=164,"Average height")</f>
        <v>Above Average height</v>
      </c>
      <c r="K742" s="2" t="str" cm="1">
        <f t="array" ref="K742">_xlfn.IFS(E742&lt;=16,"Children",E742&lt;=30,"Young Adults",E742&lt;=45,"Middle-aged Adults",E742&gt;45,"Old Adults")</f>
        <v>Young Adults</v>
      </c>
    </row>
    <row r="743" spans="1:11" x14ac:dyDescent="0.45">
      <c r="A743" s="2">
        <v>874</v>
      </c>
      <c r="B743" s="2" t="s">
        <v>979</v>
      </c>
      <c r="C743" s="2" t="s">
        <v>89</v>
      </c>
      <c r="D743" s="2" t="s">
        <v>39</v>
      </c>
      <c r="E743" s="2">
        <v>34</v>
      </c>
      <c r="F743" s="2">
        <v>80</v>
      </c>
      <c r="G743" s="2">
        <v>185</v>
      </c>
      <c r="H743" s="9">
        <f t="shared" si="11"/>
        <v>23.374726077428779</v>
      </c>
      <c r="I743" s="2" t="str" cm="1">
        <f t="array" ref="I743">_xlfn.IFS(F743&gt;=100,"Over weight",F743&lt;100,"Average weight")</f>
        <v>Average weight</v>
      </c>
      <c r="J743" s="2" t="str" cm="1">
        <f t="array" ref="J743">_xlfn.IFS(G743&lt;164,"Below Average height",G743&gt;=165,"Above Average height",G743=164,"Average height")</f>
        <v>Above Average height</v>
      </c>
      <c r="K743" s="2" t="str" cm="1">
        <f t="array" ref="K743">_xlfn.IFS(E743&lt;=16,"Children",E743&lt;=30,"Young Adults",E743&lt;=45,"Middle-aged Adults",E743&gt;45,"Old Adults")</f>
        <v>Middle-aged Adults</v>
      </c>
    </row>
    <row r="744" spans="1:11" x14ac:dyDescent="0.45">
      <c r="A744" s="2">
        <v>875</v>
      </c>
      <c r="B744" s="2" t="s">
        <v>980</v>
      </c>
      <c r="C744" s="2" t="s">
        <v>92</v>
      </c>
      <c r="D744" s="2" t="s">
        <v>66</v>
      </c>
      <c r="E744" s="2">
        <v>25</v>
      </c>
      <c r="F744" s="2">
        <v>60</v>
      </c>
      <c r="G744" s="2">
        <v>177</v>
      </c>
      <c r="H744" s="9">
        <f t="shared" si="11"/>
        <v>19.151584793641671</v>
      </c>
      <c r="I744" s="2" t="str" cm="1">
        <f t="array" ref="I744">_xlfn.IFS(F744&gt;=100,"Over weight",F744&lt;100,"Average weight")</f>
        <v>Average weight</v>
      </c>
      <c r="J744" s="2" t="str" cm="1">
        <f t="array" ref="J744">_xlfn.IFS(G744&lt;164,"Below Average height",G744&gt;=165,"Above Average height",G744=164,"Average height")</f>
        <v>Above Average height</v>
      </c>
      <c r="K744" s="2" t="str" cm="1">
        <f t="array" ref="K744">_xlfn.IFS(E744&lt;=16,"Children",E744&lt;=30,"Young Adults",E744&lt;=45,"Middle-aged Adults",E744&gt;45,"Old Adults")</f>
        <v>Young Adults</v>
      </c>
    </row>
    <row r="745" spans="1:11" x14ac:dyDescent="0.45">
      <c r="A745" s="2">
        <v>876</v>
      </c>
      <c r="B745" s="2" t="s">
        <v>981</v>
      </c>
      <c r="C745" s="2" t="s">
        <v>89</v>
      </c>
      <c r="D745" s="2" t="s">
        <v>14</v>
      </c>
      <c r="E745" s="2">
        <v>36</v>
      </c>
      <c r="F745" s="2">
        <v>79</v>
      </c>
      <c r="G745" s="2">
        <v>181</v>
      </c>
      <c r="H745" s="9">
        <f t="shared" si="11"/>
        <v>24.114038033027075</v>
      </c>
      <c r="I745" s="2" t="str" cm="1">
        <f t="array" ref="I745">_xlfn.IFS(F745&gt;=100,"Over weight",F745&lt;100,"Average weight")</f>
        <v>Average weight</v>
      </c>
      <c r="J745" s="2" t="str" cm="1">
        <f t="array" ref="J745">_xlfn.IFS(G745&lt;164,"Below Average height",G745&gt;=165,"Above Average height",G745=164,"Average height")</f>
        <v>Above Average height</v>
      </c>
      <c r="K745" s="2" t="str" cm="1">
        <f t="array" ref="K745">_xlfn.IFS(E745&lt;=16,"Children",E745&lt;=30,"Young Adults",E745&lt;=45,"Middle-aged Adults",E745&gt;45,"Old Adults")</f>
        <v>Middle-aged Adults</v>
      </c>
    </row>
    <row r="746" spans="1:11" x14ac:dyDescent="0.45">
      <c r="A746" s="2">
        <v>877</v>
      </c>
      <c r="B746" s="2" t="s">
        <v>982</v>
      </c>
      <c r="C746" s="2" t="s">
        <v>91</v>
      </c>
      <c r="D746" s="2" t="s">
        <v>14</v>
      </c>
      <c r="E746" s="2">
        <v>21</v>
      </c>
      <c r="F746" s="2">
        <v>78</v>
      </c>
      <c r="G746" s="2">
        <v>170</v>
      </c>
      <c r="H746" s="9">
        <f t="shared" si="11"/>
        <v>26.989619377162633</v>
      </c>
      <c r="I746" s="2" t="str" cm="1">
        <f t="array" ref="I746">_xlfn.IFS(F746&gt;=100,"Over weight",F746&lt;100,"Average weight")</f>
        <v>Average weight</v>
      </c>
      <c r="J746" s="2" t="str" cm="1">
        <f t="array" ref="J746">_xlfn.IFS(G746&lt;164,"Below Average height",G746&gt;=165,"Above Average height",G746=164,"Average height")</f>
        <v>Above Average height</v>
      </c>
      <c r="K746" s="2" t="str" cm="1">
        <f t="array" ref="K746">_xlfn.IFS(E746&lt;=16,"Children",E746&lt;=30,"Young Adults",E746&lt;=45,"Middle-aged Adults",E746&gt;45,"Old Adults")</f>
        <v>Young Adults</v>
      </c>
    </row>
    <row r="747" spans="1:11" x14ac:dyDescent="0.45">
      <c r="A747" s="2">
        <v>878</v>
      </c>
      <c r="B747" s="2" t="s">
        <v>983</v>
      </c>
      <c r="C747" s="2" t="s">
        <v>88</v>
      </c>
      <c r="D747" s="2" t="s">
        <v>41</v>
      </c>
      <c r="E747" s="2">
        <v>33</v>
      </c>
      <c r="F747" s="2">
        <v>68</v>
      </c>
      <c r="G747" s="2">
        <v>170</v>
      </c>
      <c r="H747" s="9">
        <f t="shared" si="11"/>
        <v>23.529411764705884</v>
      </c>
      <c r="I747" s="2" t="str" cm="1">
        <f t="array" ref="I747">_xlfn.IFS(F747&gt;=100,"Over weight",F747&lt;100,"Average weight")</f>
        <v>Average weight</v>
      </c>
      <c r="J747" s="2" t="str" cm="1">
        <f t="array" ref="J747">_xlfn.IFS(G747&lt;164,"Below Average height",G747&gt;=165,"Above Average height",G747=164,"Average height")</f>
        <v>Above Average height</v>
      </c>
      <c r="K747" s="2" t="str" cm="1">
        <f t="array" ref="K747">_xlfn.IFS(E747&lt;=16,"Children",E747&lt;=30,"Young Adults",E747&lt;=45,"Middle-aged Adults",E747&gt;45,"Old Adults")</f>
        <v>Middle-aged Adults</v>
      </c>
    </row>
    <row r="748" spans="1:11" x14ac:dyDescent="0.45">
      <c r="A748" s="2">
        <v>879</v>
      </c>
      <c r="B748" s="2" t="s">
        <v>984</v>
      </c>
      <c r="C748" s="2" t="s">
        <v>96</v>
      </c>
      <c r="D748" s="2" t="s">
        <v>80</v>
      </c>
      <c r="E748" s="2">
        <v>26</v>
      </c>
      <c r="F748" s="2">
        <v>78</v>
      </c>
      <c r="G748" s="2">
        <v>173</v>
      </c>
      <c r="H748" s="9">
        <f t="shared" si="11"/>
        <v>26.061679307694877</v>
      </c>
      <c r="I748" s="2" t="str" cm="1">
        <f t="array" ref="I748">_xlfn.IFS(F748&gt;=100,"Over weight",F748&lt;100,"Average weight")</f>
        <v>Average weight</v>
      </c>
      <c r="J748" s="2" t="str" cm="1">
        <f t="array" ref="J748">_xlfn.IFS(G748&lt;164,"Below Average height",G748&gt;=165,"Above Average height",G748=164,"Average height")</f>
        <v>Above Average height</v>
      </c>
      <c r="K748" s="2" t="str" cm="1">
        <f t="array" ref="K748">_xlfn.IFS(E748&lt;=16,"Children",E748&lt;=30,"Young Adults",E748&lt;=45,"Middle-aged Adults",E748&gt;45,"Old Adults")</f>
        <v>Young Adults</v>
      </c>
    </row>
    <row r="749" spans="1:11" x14ac:dyDescent="0.45">
      <c r="A749" s="2">
        <v>880</v>
      </c>
      <c r="B749" s="2" t="s">
        <v>985</v>
      </c>
      <c r="C749" s="2" t="s">
        <v>93</v>
      </c>
      <c r="D749" s="2" t="s">
        <v>75</v>
      </c>
      <c r="E749" s="2">
        <v>29</v>
      </c>
      <c r="F749" s="2">
        <v>83</v>
      </c>
      <c r="G749" s="2">
        <v>177</v>
      </c>
      <c r="H749" s="9">
        <f t="shared" si="11"/>
        <v>26.493025631204315</v>
      </c>
      <c r="I749" s="2" t="str" cm="1">
        <f t="array" ref="I749">_xlfn.IFS(F749&gt;=100,"Over weight",F749&lt;100,"Average weight")</f>
        <v>Average weight</v>
      </c>
      <c r="J749" s="2" t="str" cm="1">
        <f t="array" ref="J749">_xlfn.IFS(G749&lt;164,"Below Average height",G749&gt;=165,"Above Average height",G749=164,"Average height")</f>
        <v>Above Average height</v>
      </c>
      <c r="K749" s="2" t="str" cm="1">
        <f t="array" ref="K749">_xlfn.IFS(E749&lt;=16,"Children",E749&lt;=30,"Young Adults",E749&lt;=45,"Middle-aged Adults",E749&gt;45,"Old Adults")</f>
        <v>Young Adults</v>
      </c>
    </row>
    <row r="750" spans="1:11" x14ac:dyDescent="0.45">
      <c r="A750" s="2">
        <v>882</v>
      </c>
      <c r="B750" s="2" t="s">
        <v>987</v>
      </c>
      <c r="C750" s="2" t="s">
        <v>96</v>
      </c>
      <c r="D750" s="2" t="s">
        <v>41</v>
      </c>
      <c r="E750" s="2">
        <v>31</v>
      </c>
      <c r="F750" s="2">
        <v>78</v>
      </c>
      <c r="G750" s="2">
        <v>166</v>
      </c>
      <c r="H750" s="9">
        <f t="shared" si="11"/>
        <v>28.305995064595734</v>
      </c>
      <c r="I750" s="2" t="str" cm="1">
        <f t="array" ref="I750">_xlfn.IFS(F750&gt;=100,"Over weight",F750&lt;100,"Average weight")</f>
        <v>Average weight</v>
      </c>
      <c r="J750" s="2" t="str" cm="1">
        <f t="array" ref="J750">_xlfn.IFS(G750&lt;164,"Below Average height",G750&gt;=165,"Above Average height",G750=164,"Average height")</f>
        <v>Above Average height</v>
      </c>
      <c r="K750" s="2" t="str" cm="1">
        <f t="array" ref="K750">_xlfn.IFS(E750&lt;=16,"Children",E750&lt;=30,"Young Adults",E750&lt;=45,"Middle-aged Adults",E750&gt;45,"Old Adults")</f>
        <v>Middle-aged Adults</v>
      </c>
    </row>
    <row r="751" spans="1:11" x14ac:dyDescent="0.45">
      <c r="A751" s="2">
        <v>883</v>
      </c>
      <c r="B751" s="2" t="s">
        <v>988</v>
      </c>
      <c r="C751" s="2" t="s">
        <v>89</v>
      </c>
      <c r="D751" s="2" t="s">
        <v>41</v>
      </c>
      <c r="E751" s="2">
        <v>23</v>
      </c>
      <c r="F751" s="2">
        <v>67</v>
      </c>
      <c r="G751" s="2">
        <v>167</v>
      </c>
      <c r="H751" s="9">
        <f t="shared" si="11"/>
        <v>24.023808670084982</v>
      </c>
      <c r="I751" s="2" t="str" cm="1">
        <f t="array" ref="I751">_xlfn.IFS(F751&gt;=100,"Over weight",F751&lt;100,"Average weight")</f>
        <v>Average weight</v>
      </c>
      <c r="J751" s="2" t="str" cm="1">
        <f t="array" ref="J751">_xlfn.IFS(G751&lt;164,"Below Average height",G751&gt;=165,"Above Average height",G751=164,"Average height")</f>
        <v>Above Average height</v>
      </c>
      <c r="K751" s="2" t="str" cm="1">
        <f t="array" ref="K751">_xlfn.IFS(E751&lt;=16,"Children",E751&lt;=30,"Young Adults",E751&lt;=45,"Middle-aged Adults",E751&gt;45,"Old Adults")</f>
        <v>Young Adults</v>
      </c>
    </row>
    <row r="752" spans="1:11" x14ac:dyDescent="0.45">
      <c r="A752" s="2">
        <v>884</v>
      </c>
      <c r="B752" s="2" t="s">
        <v>989</v>
      </c>
      <c r="C752" s="2" t="s">
        <v>87</v>
      </c>
      <c r="D752" s="2" t="s">
        <v>75</v>
      </c>
      <c r="E752" s="2">
        <v>25</v>
      </c>
      <c r="F752" s="2">
        <v>75</v>
      </c>
      <c r="G752" s="2">
        <v>178</v>
      </c>
      <c r="H752" s="9">
        <f t="shared" si="11"/>
        <v>23.671253629592222</v>
      </c>
      <c r="I752" s="2" t="str" cm="1">
        <f t="array" ref="I752">_xlfn.IFS(F752&gt;=100,"Over weight",F752&lt;100,"Average weight")</f>
        <v>Average weight</v>
      </c>
      <c r="J752" s="2" t="str" cm="1">
        <f t="array" ref="J752">_xlfn.IFS(G752&lt;164,"Below Average height",G752&gt;=165,"Above Average height",G752=164,"Average height")</f>
        <v>Above Average height</v>
      </c>
      <c r="K752" s="2" t="str" cm="1">
        <f t="array" ref="K752">_xlfn.IFS(E752&lt;=16,"Children",E752&lt;=30,"Young Adults",E752&lt;=45,"Middle-aged Adults",E752&gt;45,"Old Adults")</f>
        <v>Young Adults</v>
      </c>
    </row>
    <row r="753" spans="1:11" x14ac:dyDescent="0.45">
      <c r="A753" s="2">
        <v>885</v>
      </c>
      <c r="B753" s="2" t="s">
        <v>990</v>
      </c>
      <c r="C753" s="2" t="s">
        <v>90</v>
      </c>
      <c r="D753" s="2" t="s">
        <v>65</v>
      </c>
      <c r="E753" s="2">
        <v>27</v>
      </c>
      <c r="F753" s="2">
        <v>88</v>
      </c>
      <c r="G753" s="2">
        <v>184</v>
      </c>
      <c r="H753" s="9">
        <f t="shared" si="11"/>
        <v>25.992438563327031</v>
      </c>
      <c r="I753" s="2" t="str" cm="1">
        <f t="array" ref="I753">_xlfn.IFS(F753&gt;=100,"Over weight",F753&lt;100,"Average weight")</f>
        <v>Average weight</v>
      </c>
      <c r="J753" s="2" t="str" cm="1">
        <f t="array" ref="J753">_xlfn.IFS(G753&lt;164,"Below Average height",G753&gt;=165,"Above Average height",G753=164,"Average height")</f>
        <v>Above Average height</v>
      </c>
      <c r="K753" s="2" t="str" cm="1">
        <f t="array" ref="K753">_xlfn.IFS(E753&lt;=16,"Children",E753&lt;=30,"Young Adults",E753&lt;=45,"Middle-aged Adults",E753&gt;45,"Old Adults")</f>
        <v>Young Adults</v>
      </c>
    </row>
    <row r="754" spans="1:11" x14ac:dyDescent="0.45">
      <c r="A754" s="2">
        <v>887</v>
      </c>
      <c r="B754" s="2" t="s">
        <v>992</v>
      </c>
      <c r="C754" s="2" t="s">
        <v>92</v>
      </c>
      <c r="D754" s="2" t="s">
        <v>41</v>
      </c>
      <c r="E754" s="2">
        <v>24</v>
      </c>
      <c r="F754" s="2">
        <v>56</v>
      </c>
      <c r="G754" s="2">
        <v>172</v>
      </c>
      <c r="H754" s="9">
        <f t="shared" si="11"/>
        <v>18.92915089237426</v>
      </c>
      <c r="I754" s="2" t="str" cm="1">
        <f t="array" ref="I754">_xlfn.IFS(F754&gt;=100,"Over weight",F754&lt;100,"Average weight")</f>
        <v>Average weight</v>
      </c>
      <c r="J754" s="2" t="str" cm="1">
        <f t="array" ref="J754">_xlfn.IFS(G754&lt;164,"Below Average height",G754&gt;=165,"Above Average height",G754=164,"Average height")</f>
        <v>Above Average height</v>
      </c>
      <c r="K754" s="2" t="str" cm="1">
        <f t="array" ref="K754">_xlfn.IFS(E754&lt;=16,"Children",E754&lt;=30,"Young Adults",E754&lt;=45,"Middle-aged Adults",E754&gt;45,"Old Adults")</f>
        <v>Young Adults</v>
      </c>
    </row>
    <row r="755" spans="1:11" x14ac:dyDescent="0.45">
      <c r="A755" s="2">
        <v>889</v>
      </c>
      <c r="B755" s="2" t="s">
        <v>994</v>
      </c>
      <c r="C755" s="2" t="s">
        <v>94</v>
      </c>
      <c r="D755" s="2" t="s">
        <v>8</v>
      </c>
      <c r="E755" s="2">
        <v>29</v>
      </c>
      <c r="F755" s="2">
        <v>69</v>
      </c>
      <c r="G755" s="2">
        <v>173</v>
      </c>
      <c r="H755" s="9">
        <f t="shared" si="11"/>
        <v>23.054562464499313</v>
      </c>
      <c r="I755" s="2" t="str" cm="1">
        <f t="array" ref="I755">_xlfn.IFS(F755&gt;=100,"Over weight",F755&lt;100,"Average weight")</f>
        <v>Average weight</v>
      </c>
      <c r="J755" s="2" t="str" cm="1">
        <f t="array" ref="J755">_xlfn.IFS(G755&lt;164,"Below Average height",G755&gt;=165,"Above Average height",G755=164,"Average height")</f>
        <v>Above Average height</v>
      </c>
      <c r="K755" s="2" t="str" cm="1">
        <f t="array" ref="K755">_xlfn.IFS(E755&lt;=16,"Children",E755&lt;=30,"Young Adults",E755&lt;=45,"Middle-aged Adults",E755&gt;45,"Old Adults")</f>
        <v>Young Adults</v>
      </c>
    </row>
    <row r="756" spans="1:11" x14ac:dyDescent="0.45">
      <c r="A756" s="2">
        <v>890</v>
      </c>
      <c r="B756" s="2" t="s">
        <v>995</v>
      </c>
      <c r="C756" s="2" t="s">
        <v>95</v>
      </c>
      <c r="D756" s="2" t="s">
        <v>66</v>
      </c>
      <c r="E756" s="2">
        <v>18</v>
      </c>
      <c r="F756" s="2">
        <v>61</v>
      </c>
      <c r="G756" s="2">
        <v>174</v>
      </c>
      <c r="H756" s="9">
        <f t="shared" si="11"/>
        <v>20.147971991015986</v>
      </c>
      <c r="I756" s="2" t="str" cm="1">
        <f t="array" ref="I756">_xlfn.IFS(F756&gt;=100,"Over weight",F756&lt;100,"Average weight")</f>
        <v>Average weight</v>
      </c>
      <c r="J756" s="2" t="str" cm="1">
        <f t="array" ref="J756">_xlfn.IFS(G756&lt;164,"Below Average height",G756&gt;=165,"Above Average height",G756=164,"Average height")</f>
        <v>Above Average height</v>
      </c>
      <c r="K756" s="2" t="str" cm="1">
        <f t="array" ref="K756">_xlfn.IFS(E756&lt;=16,"Children",E756&lt;=30,"Young Adults",E756&lt;=45,"Middle-aged Adults",E756&gt;45,"Old Adults")</f>
        <v>Young Adults</v>
      </c>
    </row>
    <row r="757" spans="1:11" x14ac:dyDescent="0.45">
      <c r="A757" s="2">
        <v>891</v>
      </c>
      <c r="B757" s="2" t="s">
        <v>996</v>
      </c>
      <c r="C757" s="2" t="s">
        <v>98</v>
      </c>
      <c r="D757" s="2" t="s">
        <v>30</v>
      </c>
      <c r="E757" s="2">
        <v>26</v>
      </c>
      <c r="F757" s="2">
        <v>73</v>
      </c>
      <c r="G757" s="2">
        <v>174</v>
      </c>
      <c r="H757" s="9">
        <f t="shared" si="11"/>
        <v>24.111507464658473</v>
      </c>
      <c r="I757" s="2" t="str" cm="1">
        <f t="array" ref="I757">_xlfn.IFS(F757&gt;=100,"Over weight",F757&lt;100,"Average weight")</f>
        <v>Average weight</v>
      </c>
      <c r="J757" s="2" t="str" cm="1">
        <f t="array" ref="J757">_xlfn.IFS(G757&lt;164,"Below Average height",G757&gt;=165,"Above Average height",G757=164,"Average height")</f>
        <v>Above Average height</v>
      </c>
      <c r="K757" s="2" t="str" cm="1">
        <f t="array" ref="K757">_xlfn.IFS(E757&lt;=16,"Children",E757&lt;=30,"Young Adults",E757&lt;=45,"Middle-aged Adults",E757&gt;45,"Old Adults")</f>
        <v>Young Adults</v>
      </c>
    </row>
    <row r="758" spans="1:11" x14ac:dyDescent="0.45">
      <c r="A758" s="2">
        <v>892</v>
      </c>
      <c r="B758" s="2" t="s">
        <v>997</v>
      </c>
      <c r="C758" s="2" t="s">
        <v>90</v>
      </c>
      <c r="D758" s="2" t="s">
        <v>30</v>
      </c>
      <c r="E758" s="2">
        <v>32</v>
      </c>
      <c r="F758" s="2">
        <v>100</v>
      </c>
      <c r="G758" s="2">
        <v>183</v>
      </c>
      <c r="H758" s="9">
        <f t="shared" si="11"/>
        <v>29.860551225775623</v>
      </c>
      <c r="I758" s="2" t="str" cm="1">
        <f t="array" ref="I758">_xlfn.IFS(F758&gt;=100,"Over weight",F758&lt;100,"Average weight")</f>
        <v>Over weight</v>
      </c>
      <c r="J758" s="2" t="str" cm="1">
        <f t="array" ref="J758">_xlfn.IFS(G758&lt;164,"Below Average height",G758&gt;=165,"Above Average height",G758=164,"Average height")</f>
        <v>Above Average height</v>
      </c>
      <c r="K758" s="2" t="str" cm="1">
        <f t="array" ref="K758">_xlfn.IFS(E758&lt;=16,"Children",E758&lt;=30,"Young Adults",E758&lt;=45,"Middle-aged Adults",E758&gt;45,"Old Adults")</f>
        <v>Middle-aged Adults</v>
      </c>
    </row>
    <row r="759" spans="1:11" x14ac:dyDescent="0.45">
      <c r="A759" s="2">
        <v>893</v>
      </c>
      <c r="B759" s="2" t="s">
        <v>998</v>
      </c>
      <c r="C759" s="2" t="s">
        <v>88</v>
      </c>
      <c r="D759" s="2" t="s">
        <v>30</v>
      </c>
      <c r="E759" s="2">
        <v>29</v>
      </c>
      <c r="F759" s="2">
        <v>71</v>
      </c>
      <c r="G759" s="2">
        <v>172</v>
      </c>
      <c r="H759" s="9">
        <f t="shared" si="11"/>
        <v>23.999459167117362</v>
      </c>
      <c r="I759" s="2" t="str" cm="1">
        <f t="array" ref="I759">_xlfn.IFS(F759&gt;=100,"Over weight",F759&lt;100,"Average weight")</f>
        <v>Average weight</v>
      </c>
      <c r="J759" s="2" t="str" cm="1">
        <f t="array" ref="J759">_xlfn.IFS(G759&lt;164,"Below Average height",G759&gt;=165,"Above Average height",G759=164,"Average height")</f>
        <v>Above Average height</v>
      </c>
      <c r="K759" s="2" t="str" cm="1">
        <f t="array" ref="K759">_xlfn.IFS(E759&lt;=16,"Children",E759&lt;=30,"Young Adults",E759&lt;=45,"Middle-aged Adults",E759&gt;45,"Old Adults")</f>
        <v>Young Adults</v>
      </c>
    </row>
    <row r="760" spans="1:11" x14ac:dyDescent="0.45">
      <c r="A760" s="2">
        <v>894</v>
      </c>
      <c r="B760" s="2" t="s">
        <v>999</v>
      </c>
      <c r="C760" s="2" t="s">
        <v>93</v>
      </c>
      <c r="D760" s="2" t="s">
        <v>80</v>
      </c>
      <c r="E760" s="2">
        <v>24</v>
      </c>
      <c r="F760" s="2">
        <v>66</v>
      </c>
      <c r="G760" s="2">
        <v>168</v>
      </c>
      <c r="H760" s="9">
        <f t="shared" si="11"/>
        <v>23.384353741496604</v>
      </c>
      <c r="I760" s="2" t="str" cm="1">
        <f t="array" ref="I760">_xlfn.IFS(F760&gt;=100,"Over weight",F760&lt;100,"Average weight")</f>
        <v>Average weight</v>
      </c>
      <c r="J760" s="2" t="str" cm="1">
        <f t="array" ref="J760">_xlfn.IFS(G760&lt;164,"Below Average height",G760&gt;=165,"Above Average height",G760=164,"Average height")</f>
        <v>Above Average height</v>
      </c>
      <c r="K760" s="2" t="str" cm="1">
        <f t="array" ref="K760">_xlfn.IFS(E760&lt;=16,"Children",E760&lt;=30,"Young Adults",E760&lt;=45,"Middle-aged Adults",E760&gt;45,"Old Adults")</f>
        <v>Young Adults</v>
      </c>
    </row>
    <row r="761" spans="1:11" x14ac:dyDescent="0.45">
      <c r="A761" s="2">
        <v>895</v>
      </c>
      <c r="B761" s="2" t="s">
        <v>1000</v>
      </c>
      <c r="C761" s="2" t="s">
        <v>92</v>
      </c>
      <c r="D761" s="2" t="s">
        <v>60</v>
      </c>
      <c r="E761" s="2">
        <v>24</v>
      </c>
      <c r="F761" s="2">
        <v>78</v>
      </c>
      <c r="G761" s="2">
        <v>174</v>
      </c>
      <c r="H761" s="9">
        <f t="shared" si="11"/>
        <v>25.762980578676178</v>
      </c>
      <c r="I761" s="2" t="str" cm="1">
        <f t="array" ref="I761">_xlfn.IFS(F761&gt;=100,"Over weight",F761&lt;100,"Average weight")</f>
        <v>Average weight</v>
      </c>
      <c r="J761" s="2" t="str" cm="1">
        <f t="array" ref="J761">_xlfn.IFS(G761&lt;164,"Below Average height",G761&gt;=165,"Above Average height",G761=164,"Average height")</f>
        <v>Above Average height</v>
      </c>
      <c r="K761" s="2" t="str" cm="1">
        <f t="array" ref="K761">_xlfn.IFS(E761&lt;=16,"Children",E761&lt;=30,"Young Adults",E761&lt;=45,"Middle-aged Adults",E761&gt;45,"Old Adults")</f>
        <v>Young Adults</v>
      </c>
    </row>
    <row r="762" spans="1:11" x14ac:dyDescent="0.45">
      <c r="A762" s="2">
        <v>897</v>
      </c>
      <c r="B762" s="2" t="s">
        <v>1002</v>
      </c>
      <c r="C762" s="2" t="s">
        <v>85</v>
      </c>
      <c r="D762" s="2" t="s">
        <v>26</v>
      </c>
      <c r="E762" s="2">
        <v>31</v>
      </c>
      <c r="F762" s="2">
        <v>69</v>
      </c>
      <c r="G762" s="2">
        <v>176</v>
      </c>
      <c r="H762" s="9">
        <f t="shared" si="11"/>
        <v>22.275309917355372</v>
      </c>
      <c r="I762" s="2" t="str" cm="1">
        <f t="array" ref="I762">_xlfn.IFS(F762&gt;=100,"Over weight",F762&lt;100,"Average weight")</f>
        <v>Average weight</v>
      </c>
      <c r="J762" s="2" t="str" cm="1">
        <f t="array" ref="J762">_xlfn.IFS(G762&lt;164,"Below Average height",G762&gt;=165,"Above Average height",G762=164,"Average height")</f>
        <v>Above Average height</v>
      </c>
      <c r="K762" s="2" t="str" cm="1">
        <f t="array" ref="K762">_xlfn.IFS(E762&lt;=16,"Children",E762&lt;=30,"Young Adults",E762&lt;=45,"Middle-aged Adults",E762&gt;45,"Old Adults")</f>
        <v>Middle-aged Adults</v>
      </c>
    </row>
    <row r="763" spans="1:11" x14ac:dyDescent="0.45">
      <c r="A763" s="2">
        <v>898</v>
      </c>
      <c r="B763" s="2" t="s">
        <v>1003</v>
      </c>
      <c r="C763" s="2" t="s">
        <v>85</v>
      </c>
      <c r="D763" s="2" t="s">
        <v>74</v>
      </c>
      <c r="E763" s="2">
        <v>40</v>
      </c>
      <c r="F763" s="2">
        <v>87</v>
      </c>
      <c r="G763" s="2">
        <v>181</v>
      </c>
      <c r="H763" s="9">
        <f t="shared" si="11"/>
        <v>26.555965935105768</v>
      </c>
      <c r="I763" s="2" t="str" cm="1">
        <f t="array" ref="I763">_xlfn.IFS(F763&gt;=100,"Over weight",F763&lt;100,"Average weight")</f>
        <v>Average weight</v>
      </c>
      <c r="J763" s="2" t="str" cm="1">
        <f t="array" ref="J763">_xlfn.IFS(G763&lt;164,"Below Average height",G763&gt;=165,"Above Average height",G763=164,"Average height")</f>
        <v>Above Average height</v>
      </c>
      <c r="K763" s="2" t="str" cm="1">
        <f t="array" ref="K763">_xlfn.IFS(E763&lt;=16,"Children",E763&lt;=30,"Young Adults",E763&lt;=45,"Middle-aged Adults",E763&gt;45,"Old Adults")</f>
        <v>Middle-aged Adults</v>
      </c>
    </row>
    <row r="764" spans="1:11" x14ac:dyDescent="0.45">
      <c r="A764" s="2">
        <v>899</v>
      </c>
      <c r="B764" s="2" t="s">
        <v>1004</v>
      </c>
      <c r="C764" s="2" t="s">
        <v>90</v>
      </c>
      <c r="D764" s="2" t="s">
        <v>70</v>
      </c>
      <c r="E764" s="2">
        <v>40</v>
      </c>
      <c r="F764" s="2">
        <v>103</v>
      </c>
      <c r="G764" s="2">
        <v>179</v>
      </c>
      <c r="H764" s="9">
        <f t="shared" si="11"/>
        <v>32.146312537061888</v>
      </c>
      <c r="I764" s="2" t="str" cm="1">
        <f t="array" ref="I764">_xlfn.IFS(F764&gt;=100,"Over weight",F764&lt;100,"Average weight")</f>
        <v>Over weight</v>
      </c>
      <c r="J764" s="2" t="str" cm="1">
        <f t="array" ref="J764">_xlfn.IFS(G764&lt;164,"Below Average height",G764&gt;=165,"Above Average height",G764=164,"Average height")</f>
        <v>Above Average height</v>
      </c>
      <c r="K764" s="2" t="str" cm="1">
        <f t="array" ref="K764">_xlfn.IFS(E764&lt;=16,"Children",E764&lt;=30,"Young Adults",E764&lt;=45,"Middle-aged Adults",E764&gt;45,"Old Adults")</f>
        <v>Middle-aged Adults</v>
      </c>
    </row>
    <row r="765" spans="1:11" x14ac:dyDescent="0.45">
      <c r="A765" s="2">
        <v>900</v>
      </c>
      <c r="B765" s="2" t="s">
        <v>1005</v>
      </c>
      <c r="C765" s="2" t="s">
        <v>91</v>
      </c>
      <c r="D765" s="2" t="s">
        <v>21</v>
      </c>
      <c r="E765" s="2">
        <v>37</v>
      </c>
      <c r="F765" s="2">
        <v>104</v>
      </c>
      <c r="G765" s="2">
        <v>189</v>
      </c>
      <c r="H765" s="9">
        <f t="shared" si="11"/>
        <v>29.114526469023826</v>
      </c>
      <c r="I765" s="2" t="str" cm="1">
        <f t="array" ref="I765">_xlfn.IFS(F765&gt;=100,"Over weight",F765&lt;100,"Average weight")</f>
        <v>Over weight</v>
      </c>
      <c r="J765" s="2" t="str" cm="1">
        <f t="array" ref="J765">_xlfn.IFS(G765&lt;164,"Below Average height",G765&gt;=165,"Above Average height",G765=164,"Average height")</f>
        <v>Above Average height</v>
      </c>
      <c r="K765" s="2" t="str" cm="1">
        <f t="array" ref="K765">_xlfn.IFS(E765&lt;=16,"Children",E765&lt;=30,"Young Adults",E765&lt;=45,"Middle-aged Adults",E765&gt;45,"Old Adults")</f>
        <v>Middle-aged Adults</v>
      </c>
    </row>
    <row r="766" spans="1:11" x14ac:dyDescent="0.45">
      <c r="A766" s="2">
        <v>901</v>
      </c>
      <c r="B766" s="2" t="s">
        <v>1006</v>
      </c>
      <c r="C766" s="2" t="s">
        <v>94</v>
      </c>
      <c r="D766" s="2" t="s">
        <v>79</v>
      </c>
      <c r="E766" s="2">
        <v>29</v>
      </c>
      <c r="F766" s="2">
        <v>53</v>
      </c>
      <c r="G766" s="2">
        <v>168</v>
      </c>
      <c r="H766" s="9">
        <f t="shared" si="11"/>
        <v>18.778344671201818</v>
      </c>
      <c r="I766" s="2" t="str" cm="1">
        <f t="array" ref="I766">_xlfn.IFS(F766&gt;=100,"Over weight",F766&lt;100,"Average weight")</f>
        <v>Average weight</v>
      </c>
      <c r="J766" s="2" t="str" cm="1">
        <f t="array" ref="J766">_xlfn.IFS(G766&lt;164,"Below Average height",G766&gt;=165,"Above Average height",G766=164,"Average height")</f>
        <v>Above Average height</v>
      </c>
      <c r="K766" s="2" t="str" cm="1">
        <f t="array" ref="K766">_xlfn.IFS(E766&lt;=16,"Children",E766&lt;=30,"Young Adults",E766&lt;=45,"Middle-aged Adults",E766&gt;45,"Old Adults")</f>
        <v>Young Adults</v>
      </c>
    </row>
    <row r="767" spans="1:11" x14ac:dyDescent="0.45">
      <c r="A767" s="2">
        <v>902</v>
      </c>
      <c r="B767" s="2" t="s">
        <v>1007</v>
      </c>
      <c r="C767" s="2" t="s">
        <v>91</v>
      </c>
      <c r="D767" s="2" t="s">
        <v>60</v>
      </c>
      <c r="E767" s="2">
        <v>39</v>
      </c>
      <c r="F767" s="2">
        <v>85</v>
      </c>
      <c r="G767" s="2">
        <v>173</v>
      </c>
      <c r="H767" s="9">
        <f t="shared" si="11"/>
        <v>28.400547963513649</v>
      </c>
      <c r="I767" s="2" t="str" cm="1">
        <f t="array" ref="I767">_xlfn.IFS(F767&gt;=100,"Over weight",F767&lt;100,"Average weight")</f>
        <v>Average weight</v>
      </c>
      <c r="J767" s="2" t="str" cm="1">
        <f t="array" ref="J767">_xlfn.IFS(G767&lt;164,"Below Average height",G767&gt;=165,"Above Average height",G767=164,"Average height")</f>
        <v>Above Average height</v>
      </c>
      <c r="K767" s="2" t="str" cm="1">
        <f t="array" ref="K767">_xlfn.IFS(E767&lt;=16,"Children",E767&lt;=30,"Young Adults",E767&lt;=45,"Middle-aged Adults",E767&gt;45,"Old Adults")</f>
        <v>Middle-aged Adults</v>
      </c>
    </row>
    <row r="768" spans="1:11" x14ac:dyDescent="0.45">
      <c r="A768" s="2">
        <v>903</v>
      </c>
      <c r="B768" s="2" t="s">
        <v>1008</v>
      </c>
      <c r="C768" s="2" t="s">
        <v>94</v>
      </c>
      <c r="D768" s="2" t="s">
        <v>21</v>
      </c>
      <c r="E768" s="2">
        <v>23</v>
      </c>
      <c r="F768" s="2">
        <v>75</v>
      </c>
      <c r="G768" s="2">
        <v>185</v>
      </c>
      <c r="H768" s="9">
        <f t="shared" si="11"/>
        <v>21.913805697589478</v>
      </c>
      <c r="I768" s="2" t="str" cm="1">
        <f t="array" ref="I768">_xlfn.IFS(F768&gt;=100,"Over weight",F768&lt;100,"Average weight")</f>
        <v>Average weight</v>
      </c>
      <c r="J768" s="2" t="str" cm="1">
        <f t="array" ref="J768">_xlfn.IFS(G768&lt;164,"Below Average height",G768&gt;=165,"Above Average height",G768=164,"Average height")</f>
        <v>Above Average height</v>
      </c>
      <c r="K768" s="2" t="str" cm="1">
        <f t="array" ref="K768">_xlfn.IFS(E768&lt;=16,"Children",E768&lt;=30,"Young Adults",E768&lt;=45,"Middle-aged Adults",E768&gt;45,"Old Adults")</f>
        <v>Young Adults</v>
      </c>
    </row>
    <row r="769" spans="1:11" x14ac:dyDescent="0.45">
      <c r="A769" s="2">
        <v>904</v>
      </c>
      <c r="B769" s="2" t="s">
        <v>1009</v>
      </c>
      <c r="C769" s="2" t="s">
        <v>93</v>
      </c>
      <c r="D769" s="2" t="s">
        <v>5</v>
      </c>
      <c r="E769" s="2">
        <v>15</v>
      </c>
      <c r="F769" s="2">
        <v>52</v>
      </c>
      <c r="G769" s="2">
        <v>173</v>
      </c>
      <c r="H769" s="9">
        <f t="shared" si="11"/>
        <v>17.374452871796585</v>
      </c>
      <c r="I769" s="2" t="str" cm="1">
        <f t="array" ref="I769">_xlfn.IFS(F769&gt;=100,"Over weight",F769&lt;100,"Average weight")</f>
        <v>Average weight</v>
      </c>
      <c r="J769" s="2" t="str" cm="1">
        <f t="array" ref="J769">_xlfn.IFS(G769&lt;164,"Below Average height",G769&gt;=165,"Above Average height",G769=164,"Average height")</f>
        <v>Above Average height</v>
      </c>
      <c r="K769" s="2" t="str" cm="1">
        <f t="array" ref="K769">_xlfn.IFS(E769&lt;=16,"Children",E769&lt;=30,"Young Adults",E769&lt;=45,"Middle-aged Adults",E769&gt;45,"Old Adults")</f>
        <v>Children</v>
      </c>
    </row>
    <row r="770" spans="1:11" x14ac:dyDescent="0.45">
      <c r="A770" s="2">
        <v>906</v>
      </c>
      <c r="B770" s="2" t="s">
        <v>1011</v>
      </c>
      <c r="C770" s="2" t="s">
        <v>92</v>
      </c>
      <c r="D770" s="2" t="s">
        <v>21</v>
      </c>
      <c r="E770" s="2">
        <v>31</v>
      </c>
      <c r="F770" s="2">
        <v>60</v>
      </c>
      <c r="G770" s="2">
        <v>179</v>
      </c>
      <c r="H770" s="9">
        <f t="shared" ref="H770:H833" si="12" xml:space="preserve"> F770 / (( G770/ 100) ^ 2)</f>
        <v>18.726007303142847</v>
      </c>
      <c r="I770" s="2" t="str" cm="1">
        <f t="array" ref="I770">_xlfn.IFS(F770&gt;=100,"Over weight",F770&lt;100,"Average weight")</f>
        <v>Average weight</v>
      </c>
      <c r="J770" s="2" t="str" cm="1">
        <f t="array" ref="J770">_xlfn.IFS(G770&lt;164,"Below Average height",G770&gt;=165,"Above Average height",G770=164,"Average height")</f>
        <v>Above Average height</v>
      </c>
      <c r="K770" s="2" t="str" cm="1">
        <f t="array" ref="K770">_xlfn.IFS(E770&lt;=16,"Children",E770&lt;=30,"Young Adults",E770&lt;=45,"Middle-aged Adults",E770&gt;45,"Old Adults")</f>
        <v>Middle-aged Adults</v>
      </c>
    </row>
    <row r="771" spans="1:11" x14ac:dyDescent="0.45">
      <c r="A771" s="2">
        <v>908</v>
      </c>
      <c r="B771" s="2" t="s">
        <v>1013</v>
      </c>
      <c r="C771" s="2" t="s">
        <v>85</v>
      </c>
      <c r="D771" s="2" t="s">
        <v>75</v>
      </c>
      <c r="E771" s="2">
        <v>23</v>
      </c>
      <c r="F771" s="2">
        <v>86</v>
      </c>
      <c r="G771" s="2">
        <v>185</v>
      </c>
      <c r="H771" s="9">
        <f t="shared" si="12"/>
        <v>25.127830533235937</v>
      </c>
      <c r="I771" s="2" t="str" cm="1">
        <f t="array" ref="I771">_xlfn.IFS(F771&gt;=100,"Over weight",F771&lt;100,"Average weight")</f>
        <v>Average weight</v>
      </c>
      <c r="J771" s="2" t="str" cm="1">
        <f t="array" ref="J771">_xlfn.IFS(G771&lt;164,"Below Average height",G771&gt;=165,"Above Average height",G771=164,"Average height")</f>
        <v>Above Average height</v>
      </c>
      <c r="K771" s="2" t="str" cm="1">
        <f t="array" ref="K771">_xlfn.IFS(E771&lt;=16,"Children",E771&lt;=30,"Young Adults",E771&lt;=45,"Middle-aged Adults",E771&gt;45,"Old Adults")</f>
        <v>Young Adults</v>
      </c>
    </row>
    <row r="772" spans="1:11" x14ac:dyDescent="0.45">
      <c r="A772" s="2">
        <v>909</v>
      </c>
      <c r="B772" s="2" t="s">
        <v>1014</v>
      </c>
      <c r="C772" s="2" t="s">
        <v>90</v>
      </c>
      <c r="D772" s="2" t="s">
        <v>58</v>
      </c>
      <c r="E772" s="2">
        <v>28</v>
      </c>
      <c r="F772" s="2">
        <v>105</v>
      </c>
      <c r="G772" s="2">
        <v>199</v>
      </c>
      <c r="H772" s="9">
        <f t="shared" si="12"/>
        <v>26.514481957526325</v>
      </c>
      <c r="I772" s="2" t="str" cm="1">
        <f t="array" ref="I772">_xlfn.IFS(F772&gt;=100,"Over weight",F772&lt;100,"Average weight")</f>
        <v>Over weight</v>
      </c>
      <c r="J772" s="2" t="str" cm="1">
        <f t="array" ref="J772">_xlfn.IFS(G772&lt;164,"Below Average height",G772&gt;=165,"Above Average height",G772=164,"Average height")</f>
        <v>Above Average height</v>
      </c>
      <c r="K772" s="2" t="str" cm="1">
        <f t="array" ref="K772">_xlfn.IFS(E772&lt;=16,"Children",E772&lt;=30,"Young Adults",E772&lt;=45,"Middle-aged Adults",E772&gt;45,"Old Adults")</f>
        <v>Young Adults</v>
      </c>
    </row>
    <row r="773" spans="1:11" x14ac:dyDescent="0.45">
      <c r="A773" s="2">
        <v>910</v>
      </c>
      <c r="B773" s="2" t="s">
        <v>1015</v>
      </c>
      <c r="C773" s="2" t="s">
        <v>85</v>
      </c>
      <c r="D773" s="2" t="s">
        <v>60</v>
      </c>
      <c r="E773" s="2">
        <v>24</v>
      </c>
      <c r="F773" s="2">
        <v>78</v>
      </c>
      <c r="G773" s="2">
        <v>189</v>
      </c>
      <c r="H773" s="9">
        <f t="shared" si="12"/>
        <v>21.835894851767868</v>
      </c>
      <c r="I773" s="2" t="str" cm="1">
        <f t="array" ref="I773">_xlfn.IFS(F773&gt;=100,"Over weight",F773&lt;100,"Average weight")</f>
        <v>Average weight</v>
      </c>
      <c r="J773" s="2" t="str" cm="1">
        <f t="array" ref="J773">_xlfn.IFS(G773&lt;164,"Below Average height",G773&gt;=165,"Above Average height",G773=164,"Average height")</f>
        <v>Above Average height</v>
      </c>
      <c r="K773" s="2" t="str" cm="1">
        <f t="array" ref="K773">_xlfn.IFS(E773&lt;=16,"Children",E773&lt;=30,"Young Adults",E773&lt;=45,"Middle-aged Adults",E773&gt;45,"Old Adults")</f>
        <v>Young Adults</v>
      </c>
    </row>
    <row r="774" spans="1:11" x14ac:dyDescent="0.45">
      <c r="A774" s="2">
        <v>911</v>
      </c>
      <c r="B774" s="2" t="s">
        <v>1016</v>
      </c>
      <c r="C774" s="2" t="s">
        <v>85</v>
      </c>
      <c r="D774" s="2" t="s">
        <v>14</v>
      </c>
      <c r="E774" s="2">
        <v>29</v>
      </c>
      <c r="F774" s="2">
        <v>64</v>
      </c>
      <c r="G774" s="2">
        <v>168</v>
      </c>
      <c r="H774" s="9">
        <f t="shared" si="12"/>
        <v>22.67573696145125</v>
      </c>
      <c r="I774" s="2" t="str" cm="1">
        <f t="array" ref="I774">_xlfn.IFS(F774&gt;=100,"Over weight",F774&lt;100,"Average weight")</f>
        <v>Average weight</v>
      </c>
      <c r="J774" s="2" t="str" cm="1">
        <f t="array" ref="J774">_xlfn.IFS(G774&lt;164,"Below Average height",G774&gt;=165,"Above Average height",G774=164,"Average height")</f>
        <v>Above Average height</v>
      </c>
      <c r="K774" s="2" t="str" cm="1">
        <f t="array" ref="K774">_xlfn.IFS(E774&lt;=16,"Children",E774&lt;=30,"Young Adults",E774&lt;=45,"Middle-aged Adults",E774&gt;45,"Old Adults")</f>
        <v>Young Adults</v>
      </c>
    </row>
    <row r="775" spans="1:11" x14ac:dyDescent="0.45">
      <c r="A775" s="2">
        <v>912</v>
      </c>
      <c r="B775" s="2" t="s">
        <v>1017</v>
      </c>
      <c r="C775" s="2" t="s">
        <v>85</v>
      </c>
      <c r="D775" s="2" t="s">
        <v>14</v>
      </c>
      <c r="E775" s="2">
        <v>27</v>
      </c>
      <c r="F775" s="2">
        <v>88</v>
      </c>
      <c r="G775" s="2">
        <v>183</v>
      </c>
      <c r="H775" s="9">
        <f t="shared" si="12"/>
        <v>26.277285078682549</v>
      </c>
      <c r="I775" s="2" t="str" cm="1">
        <f t="array" ref="I775">_xlfn.IFS(F775&gt;=100,"Over weight",F775&lt;100,"Average weight")</f>
        <v>Average weight</v>
      </c>
      <c r="J775" s="2" t="str" cm="1">
        <f t="array" ref="J775">_xlfn.IFS(G775&lt;164,"Below Average height",G775&gt;=165,"Above Average height",G775=164,"Average height")</f>
        <v>Above Average height</v>
      </c>
      <c r="K775" s="2" t="str" cm="1">
        <f t="array" ref="K775">_xlfn.IFS(E775&lt;=16,"Children",E775&lt;=30,"Young Adults",E775&lt;=45,"Middle-aged Adults",E775&gt;45,"Old Adults")</f>
        <v>Young Adults</v>
      </c>
    </row>
    <row r="776" spans="1:11" x14ac:dyDescent="0.45">
      <c r="A776" s="2">
        <v>913</v>
      </c>
      <c r="B776" s="2" t="s">
        <v>1018</v>
      </c>
      <c r="C776" s="2" t="s">
        <v>86</v>
      </c>
      <c r="D776" s="2" t="s">
        <v>27</v>
      </c>
      <c r="E776" s="2">
        <v>22</v>
      </c>
      <c r="F776" s="2">
        <v>78</v>
      </c>
      <c r="G776" s="2">
        <v>184</v>
      </c>
      <c r="H776" s="9">
        <f t="shared" si="12"/>
        <v>23.038752362948959</v>
      </c>
      <c r="I776" s="2" t="str" cm="1">
        <f t="array" ref="I776">_xlfn.IFS(F776&gt;=100,"Over weight",F776&lt;100,"Average weight")</f>
        <v>Average weight</v>
      </c>
      <c r="J776" s="2" t="str" cm="1">
        <f t="array" ref="J776">_xlfn.IFS(G776&lt;164,"Below Average height",G776&gt;=165,"Above Average height",G776=164,"Average height")</f>
        <v>Above Average height</v>
      </c>
      <c r="K776" s="2" t="str" cm="1">
        <f t="array" ref="K776">_xlfn.IFS(E776&lt;=16,"Children",E776&lt;=30,"Young Adults",E776&lt;=45,"Middle-aged Adults",E776&gt;45,"Old Adults")</f>
        <v>Young Adults</v>
      </c>
    </row>
    <row r="777" spans="1:11" x14ac:dyDescent="0.45">
      <c r="A777" s="2">
        <v>914</v>
      </c>
      <c r="B777" s="2" t="s">
        <v>1019</v>
      </c>
      <c r="C777" s="2" t="s">
        <v>85</v>
      </c>
      <c r="D777" s="2" t="s">
        <v>73</v>
      </c>
      <c r="E777" s="2">
        <v>19</v>
      </c>
      <c r="F777" s="2">
        <v>56</v>
      </c>
      <c r="G777" s="2">
        <v>168</v>
      </c>
      <c r="H777" s="9">
        <f t="shared" si="12"/>
        <v>19.841269841269845</v>
      </c>
      <c r="I777" s="2" t="str" cm="1">
        <f t="array" ref="I777">_xlfn.IFS(F777&gt;=100,"Over weight",F777&lt;100,"Average weight")</f>
        <v>Average weight</v>
      </c>
      <c r="J777" s="2" t="str" cm="1">
        <f t="array" ref="J777">_xlfn.IFS(G777&lt;164,"Below Average height",G777&gt;=165,"Above Average height",G777=164,"Average height")</f>
        <v>Above Average height</v>
      </c>
      <c r="K777" s="2" t="str" cm="1">
        <f t="array" ref="K777">_xlfn.IFS(E777&lt;=16,"Children",E777&lt;=30,"Young Adults",E777&lt;=45,"Middle-aged Adults",E777&gt;45,"Old Adults")</f>
        <v>Young Adults</v>
      </c>
    </row>
    <row r="778" spans="1:11" x14ac:dyDescent="0.45">
      <c r="A778" s="2">
        <v>917</v>
      </c>
      <c r="B778" s="2" t="s">
        <v>1022</v>
      </c>
      <c r="C778" s="2" t="s">
        <v>94</v>
      </c>
      <c r="D778" s="2" t="s">
        <v>25</v>
      </c>
      <c r="E778" s="2">
        <v>28</v>
      </c>
      <c r="F778" s="2">
        <v>69</v>
      </c>
      <c r="G778" s="2">
        <v>174</v>
      </c>
      <c r="H778" s="9">
        <f t="shared" si="12"/>
        <v>22.790328973444311</v>
      </c>
      <c r="I778" s="2" t="str" cm="1">
        <f t="array" ref="I778">_xlfn.IFS(F778&gt;=100,"Over weight",F778&lt;100,"Average weight")</f>
        <v>Average weight</v>
      </c>
      <c r="J778" s="2" t="str" cm="1">
        <f t="array" ref="J778">_xlfn.IFS(G778&lt;164,"Below Average height",G778&gt;=165,"Above Average height",G778=164,"Average height")</f>
        <v>Above Average height</v>
      </c>
      <c r="K778" s="2" t="str" cm="1">
        <f t="array" ref="K778">_xlfn.IFS(E778&lt;=16,"Children",E778&lt;=30,"Young Adults",E778&lt;=45,"Middle-aged Adults",E778&gt;45,"Old Adults")</f>
        <v>Young Adults</v>
      </c>
    </row>
    <row r="779" spans="1:11" x14ac:dyDescent="0.45">
      <c r="A779" s="2">
        <v>918</v>
      </c>
      <c r="B779" s="2" t="s">
        <v>1023</v>
      </c>
      <c r="C779" s="2" t="s">
        <v>98</v>
      </c>
      <c r="D779" s="2" t="s">
        <v>63</v>
      </c>
      <c r="E779" s="2">
        <v>23</v>
      </c>
      <c r="F779" s="2">
        <v>69</v>
      </c>
      <c r="G779" s="2">
        <v>177</v>
      </c>
      <c r="H779" s="9">
        <f t="shared" si="12"/>
        <v>22.024322512687924</v>
      </c>
      <c r="I779" s="2" t="str" cm="1">
        <f t="array" ref="I779">_xlfn.IFS(F779&gt;=100,"Over weight",F779&lt;100,"Average weight")</f>
        <v>Average weight</v>
      </c>
      <c r="J779" s="2" t="str" cm="1">
        <f t="array" ref="J779">_xlfn.IFS(G779&lt;164,"Below Average height",G779&gt;=165,"Above Average height",G779=164,"Average height")</f>
        <v>Above Average height</v>
      </c>
      <c r="K779" s="2" t="str" cm="1">
        <f t="array" ref="K779">_xlfn.IFS(E779&lt;=16,"Children",E779&lt;=30,"Young Adults",E779&lt;=45,"Middle-aged Adults",E779&gt;45,"Old Adults")</f>
        <v>Young Adults</v>
      </c>
    </row>
    <row r="780" spans="1:11" x14ac:dyDescent="0.45">
      <c r="A780" s="2">
        <v>919</v>
      </c>
      <c r="B780" s="2" t="s">
        <v>1024</v>
      </c>
      <c r="C780" s="2" t="s">
        <v>88</v>
      </c>
      <c r="D780" s="2" t="s">
        <v>26</v>
      </c>
      <c r="E780" s="2">
        <v>24</v>
      </c>
      <c r="F780" s="2">
        <v>70</v>
      </c>
      <c r="G780" s="2">
        <v>180</v>
      </c>
      <c r="H780" s="9">
        <f t="shared" si="12"/>
        <v>21.604938271604937</v>
      </c>
      <c r="I780" s="2" t="str" cm="1">
        <f t="array" ref="I780">_xlfn.IFS(F780&gt;=100,"Over weight",F780&lt;100,"Average weight")</f>
        <v>Average weight</v>
      </c>
      <c r="J780" s="2" t="str" cm="1">
        <f t="array" ref="J780">_xlfn.IFS(G780&lt;164,"Below Average height",G780&gt;=165,"Above Average height",G780=164,"Average height")</f>
        <v>Above Average height</v>
      </c>
      <c r="K780" s="2" t="str" cm="1">
        <f t="array" ref="K780">_xlfn.IFS(E780&lt;=16,"Children",E780&lt;=30,"Young Adults",E780&lt;=45,"Middle-aged Adults",E780&gt;45,"Old Adults")</f>
        <v>Young Adults</v>
      </c>
    </row>
    <row r="781" spans="1:11" x14ac:dyDescent="0.45">
      <c r="A781" s="2">
        <v>920</v>
      </c>
      <c r="B781" s="2" t="s">
        <v>1025</v>
      </c>
      <c r="C781" s="2" t="s">
        <v>98</v>
      </c>
      <c r="D781" s="2" t="s">
        <v>80</v>
      </c>
      <c r="E781" s="2">
        <v>27</v>
      </c>
      <c r="F781" s="2">
        <v>75</v>
      </c>
      <c r="G781" s="2">
        <v>185</v>
      </c>
      <c r="H781" s="9">
        <f t="shared" si="12"/>
        <v>21.913805697589478</v>
      </c>
      <c r="I781" s="2" t="str" cm="1">
        <f t="array" ref="I781">_xlfn.IFS(F781&gt;=100,"Over weight",F781&lt;100,"Average weight")</f>
        <v>Average weight</v>
      </c>
      <c r="J781" s="2" t="str" cm="1">
        <f t="array" ref="J781">_xlfn.IFS(G781&lt;164,"Below Average height",G781&gt;=165,"Above Average height",G781=164,"Average height")</f>
        <v>Above Average height</v>
      </c>
      <c r="K781" s="2" t="str" cm="1">
        <f t="array" ref="K781">_xlfn.IFS(E781&lt;=16,"Children",E781&lt;=30,"Young Adults",E781&lt;=45,"Middle-aged Adults",E781&gt;45,"Old Adults")</f>
        <v>Young Adults</v>
      </c>
    </row>
    <row r="782" spans="1:11" x14ac:dyDescent="0.45">
      <c r="A782" s="2">
        <v>921</v>
      </c>
      <c r="B782" s="2" t="s">
        <v>1026</v>
      </c>
      <c r="C782" s="2" t="s">
        <v>85</v>
      </c>
      <c r="D782" s="2" t="s">
        <v>71</v>
      </c>
      <c r="E782" s="2">
        <v>25</v>
      </c>
      <c r="F782" s="2">
        <v>83</v>
      </c>
      <c r="G782" s="2">
        <v>181</v>
      </c>
      <c r="H782" s="9">
        <f t="shared" si="12"/>
        <v>25.33500198406642</v>
      </c>
      <c r="I782" s="2" t="str" cm="1">
        <f t="array" ref="I782">_xlfn.IFS(F782&gt;=100,"Over weight",F782&lt;100,"Average weight")</f>
        <v>Average weight</v>
      </c>
      <c r="J782" s="2" t="str" cm="1">
        <f t="array" ref="J782">_xlfn.IFS(G782&lt;164,"Below Average height",G782&gt;=165,"Above Average height",G782=164,"Average height")</f>
        <v>Above Average height</v>
      </c>
      <c r="K782" s="2" t="str" cm="1">
        <f t="array" ref="K782">_xlfn.IFS(E782&lt;=16,"Children",E782&lt;=30,"Young Adults",E782&lt;=45,"Middle-aged Adults",E782&gt;45,"Old Adults")</f>
        <v>Young Adults</v>
      </c>
    </row>
    <row r="783" spans="1:11" x14ac:dyDescent="0.45">
      <c r="A783" s="2">
        <v>922</v>
      </c>
      <c r="B783" s="2" t="s">
        <v>1027</v>
      </c>
      <c r="C783" s="2" t="s">
        <v>98</v>
      </c>
      <c r="D783" s="2" t="s">
        <v>14</v>
      </c>
      <c r="E783" s="2">
        <v>25</v>
      </c>
      <c r="F783" s="2">
        <v>81</v>
      </c>
      <c r="G783" s="2">
        <v>189</v>
      </c>
      <c r="H783" s="9">
        <f t="shared" si="12"/>
        <v>22.67573696145125</v>
      </c>
      <c r="I783" s="2" t="str" cm="1">
        <f t="array" ref="I783">_xlfn.IFS(F783&gt;=100,"Over weight",F783&lt;100,"Average weight")</f>
        <v>Average weight</v>
      </c>
      <c r="J783" s="2" t="str" cm="1">
        <f t="array" ref="J783">_xlfn.IFS(G783&lt;164,"Below Average height",G783&gt;=165,"Above Average height",G783=164,"Average height")</f>
        <v>Above Average height</v>
      </c>
      <c r="K783" s="2" t="str" cm="1">
        <f t="array" ref="K783">_xlfn.IFS(E783&lt;=16,"Children",E783&lt;=30,"Young Adults",E783&lt;=45,"Middle-aged Adults",E783&gt;45,"Old Adults")</f>
        <v>Young Adults</v>
      </c>
    </row>
    <row r="784" spans="1:11" x14ac:dyDescent="0.45">
      <c r="A784" s="2">
        <v>923</v>
      </c>
      <c r="B784" s="2" t="s">
        <v>1028</v>
      </c>
      <c r="C784" s="2" t="s">
        <v>91</v>
      </c>
      <c r="D784" s="2" t="s">
        <v>75</v>
      </c>
      <c r="E784" s="2">
        <v>33</v>
      </c>
      <c r="F784" s="2">
        <v>83</v>
      </c>
      <c r="G784" s="2">
        <v>180</v>
      </c>
      <c r="H784" s="9">
        <f t="shared" si="12"/>
        <v>25.617283950617281</v>
      </c>
      <c r="I784" s="2" t="str" cm="1">
        <f t="array" ref="I784">_xlfn.IFS(F784&gt;=100,"Over weight",F784&lt;100,"Average weight")</f>
        <v>Average weight</v>
      </c>
      <c r="J784" s="2" t="str" cm="1">
        <f t="array" ref="J784">_xlfn.IFS(G784&lt;164,"Below Average height",G784&gt;=165,"Above Average height",G784=164,"Average height")</f>
        <v>Above Average height</v>
      </c>
      <c r="K784" s="2" t="str" cm="1">
        <f t="array" ref="K784">_xlfn.IFS(E784&lt;=16,"Children",E784&lt;=30,"Young Adults",E784&lt;=45,"Middle-aged Adults",E784&gt;45,"Old Adults")</f>
        <v>Middle-aged Adults</v>
      </c>
    </row>
    <row r="785" spans="1:11" x14ac:dyDescent="0.45">
      <c r="A785" s="2">
        <v>924</v>
      </c>
      <c r="B785" s="2" t="s">
        <v>1029</v>
      </c>
      <c r="C785" s="2" t="s">
        <v>93</v>
      </c>
      <c r="D785" s="2" t="s">
        <v>13</v>
      </c>
      <c r="E785" s="2">
        <v>22</v>
      </c>
      <c r="F785" s="2">
        <v>60</v>
      </c>
      <c r="G785" s="2">
        <v>167</v>
      </c>
      <c r="H785" s="9">
        <f t="shared" si="12"/>
        <v>21.513858510523864</v>
      </c>
      <c r="I785" s="2" t="str" cm="1">
        <f t="array" ref="I785">_xlfn.IFS(F785&gt;=100,"Over weight",F785&lt;100,"Average weight")</f>
        <v>Average weight</v>
      </c>
      <c r="J785" s="2" t="str" cm="1">
        <f t="array" ref="J785">_xlfn.IFS(G785&lt;164,"Below Average height",G785&gt;=165,"Above Average height",G785=164,"Average height")</f>
        <v>Above Average height</v>
      </c>
      <c r="K785" s="2" t="str" cm="1">
        <f t="array" ref="K785">_xlfn.IFS(E785&lt;=16,"Children",E785&lt;=30,"Young Adults",E785&lt;=45,"Middle-aged Adults",E785&gt;45,"Old Adults")</f>
        <v>Young Adults</v>
      </c>
    </row>
    <row r="786" spans="1:11" x14ac:dyDescent="0.45">
      <c r="A786" s="2">
        <v>925</v>
      </c>
      <c r="B786" s="2" t="s">
        <v>1030</v>
      </c>
      <c r="C786" s="2" t="s">
        <v>85</v>
      </c>
      <c r="D786" s="2" t="s">
        <v>19</v>
      </c>
      <c r="E786" s="2">
        <v>23</v>
      </c>
      <c r="F786" s="2">
        <v>60</v>
      </c>
      <c r="G786" s="2">
        <v>166</v>
      </c>
      <c r="H786" s="9">
        <f t="shared" si="12"/>
        <v>21.773842357381334</v>
      </c>
      <c r="I786" s="2" t="str" cm="1">
        <f t="array" ref="I786">_xlfn.IFS(F786&gt;=100,"Over weight",F786&lt;100,"Average weight")</f>
        <v>Average weight</v>
      </c>
      <c r="J786" s="2" t="str" cm="1">
        <f t="array" ref="J786">_xlfn.IFS(G786&lt;164,"Below Average height",G786&gt;=165,"Above Average height",G786=164,"Average height")</f>
        <v>Above Average height</v>
      </c>
      <c r="K786" s="2" t="str" cm="1">
        <f t="array" ref="K786">_xlfn.IFS(E786&lt;=16,"Children",E786&lt;=30,"Young Adults",E786&lt;=45,"Middle-aged Adults",E786&gt;45,"Old Adults")</f>
        <v>Young Adults</v>
      </c>
    </row>
    <row r="787" spans="1:11" x14ac:dyDescent="0.45">
      <c r="A787" s="2">
        <v>926</v>
      </c>
      <c r="B787" s="2" t="s">
        <v>1031</v>
      </c>
      <c r="C787" s="2" t="s">
        <v>96</v>
      </c>
      <c r="D787" s="2" t="s">
        <v>22</v>
      </c>
      <c r="E787" s="2">
        <v>36</v>
      </c>
      <c r="F787" s="2">
        <v>55</v>
      </c>
      <c r="G787" s="2">
        <v>169</v>
      </c>
      <c r="H787" s="9">
        <f t="shared" si="12"/>
        <v>19.257028815517668</v>
      </c>
      <c r="I787" s="2" t="str" cm="1">
        <f t="array" ref="I787">_xlfn.IFS(F787&gt;=100,"Over weight",F787&lt;100,"Average weight")</f>
        <v>Average weight</v>
      </c>
      <c r="J787" s="2" t="str" cm="1">
        <f t="array" ref="J787">_xlfn.IFS(G787&lt;164,"Below Average height",G787&gt;=165,"Above Average height",G787=164,"Average height")</f>
        <v>Above Average height</v>
      </c>
      <c r="K787" s="2" t="str" cm="1">
        <f t="array" ref="K787">_xlfn.IFS(E787&lt;=16,"Children",E787&lt;=30,"Young Adults",E787&lt;=45,"Middle-aged Adults",E787&gt;45,"Old Adults")</f>
        <v>Middle-aged Adults</v>
      </c>
    </row>
    <row r="788" spans="1:11" x14ac:dyDescent="0.45">
      <c r="A788" s="2">
        <v>927</v>
      </c>
      <c r="B788" s="2" t="s">
        <v>1032</v>
      </c>
      <c r="C788" s="2" t="s">
        <v>96</v>
      </c>
      <c r="D788" s="2" t="s">
        <v>22</v>
      </c>
      <c r="E788" s="2">
        <v>34</v>
      </c>
      <c r="F788" s="2">
        <v>55</v>
      </c>
      <c r="G788" s="2">
        <v>175</v>
      </c>
      <c r="H788" s="9">
        <f t="shared" si="12"/>
        <v>17.959183673469386</v>
      </c>
      <c r="I788" s="2" t="str" cm="1">
        <f t="array" ref="I788">_xlfn.IFS(F788&gt;=100,"Over weight",F788&lt;100,"Average weight")</f>
        <v>Average weight</v>
      </c>
      <c r="J788" s="2" t="str" cm="1">
        <f t="array" ref="J788">_xlfn.IFS(G788&lt;164,"Below Average height",G788&gt;=165,"Above Average height",G788=164,"Average height")</f>
        <v>Above Average height</v>
      </c>
      <c r="K788" s="2" t="str" cm="1">
        <f t="array" ref="K788">_xlfn.IFS(E788&lt;=16,"Children",E788&lt;=30,"Young Adults",E788&lt;=45,"Middle-aged Adults",E788&gt;45,"Old Adults")</f>
        <v>Middle-aged Adults</v>
      </c>
    </row>
    <row r="789" spans="1:11" x14ac:dyDescent="0.45">
      <c r="A789" s="2">
        <v>928</v>
      </c>
      <c r="B789" s="2" t="s">
        <v>1033</v>
      </c>
      <c r="C789" s="2" t="s">
        <v>96</v>
      </c>
      <c r="D789" s="2" t="s">
        <v>22</v>
      </c>
      <c r="E789" s="2">
        <v>27</v>
      </c>
      <c r="F789" s="2">
        <v>55</v>
      </c>
      <c r="G789" s="2">
        <v>184</v>
      </c>
      <c r="H789" s="9">
        <f t="shared" si="12"/>
        <v>16.245274102079396</v>
      </c>
      <c r="I789" s="2" t="str" cm="1">
        <f t="array" ref="I789">_xlfn.IFS(F789&gt;=100,"Over weight",F789&lt;100,"Average weight")</f>
        <v>Average weight</v>
      </c>
      <c r="J789" s="2" t="str" cm="1">
        <f t="array" ref="J789">_xlfn.IFS(G789&lt;164,"Below Average height",G789&gt;=165,"Above Average height",G789=164,"Average height")</f>
        <v>Above Average height</v>
      </c>
      <c r="K789" s="2" t="str" cm="1">
        <f t="array" ref="K789">_xlfn.IFS(E789&lt;=16,"Children",E789&lt;=30,"Young Adults",E789&lt;=45,"Middle-aged Adults",E789&gt;45,"Old Adults")</f>
        <v>Young Adults</v>
      </c>
    </row>
    <row r="790" spans="1:11" x14ac:dyDescent="0.45">
      <c r="A790" s="2">
        <v>929</v>
      </c>
      <c r="B790" s="2" t="s">
        <v>1034</v>
      </c>
      <c r="C790" s="2" t="s">
        <v>85</v>
      </c>
      <c r="D790" s="2" t="s">
        <v>71</v>
      </c>
      <c r="E790" s="2">
        <v>31</v>
      </c>
      <c r="F790" s="2">
        <v>90</v>
      </c>
      <c r="G790" s="2">
        <v>186</v>
      </c>
      <c r="H790" s="9">
        <f t="shared" si="12"/>
        <v>26.014568158168572</v>
      </c>
      <c r="I790" s="2" t="str" cm="1">
        <f t="array" ref="I790">_xlfn.IFS(F790&gt;=100,"Over weight",F790&lt;100,"Average weight")</f>
        <v>Average weight</v>
      </c>
      <c r="J790" s="2" t="str" cm="1">
        <f t="array" ref="J790">_xlfn.IFS(G790&lt;164,"Below Average height",G790&gt;=165,"Above Average height",G790=164,"Average height")</f>
        <v>Above Average height</v>
      </c>
      <c r="K790" s="2" t="str" cm="1">
        <f t="array" ref="K790">_xlfn.IFS(E790&lt;=16,"Children",E790&lt;=30,"Young Adults",E790&lt;=45,"Middle-aged Adults",E790&gt;45,"Old Adults")</f>
        <v>Middle-aged Adults</v>
      </c>
    </row>
    <row r="791" spans="1:11" x14ac:dyDescent="0.45">
      <c r="A791" s="2">
        <v>930</v>
      </c>
      <c r="B791" s="2" t="s">
        <v>1035</v>
      </c>
      <c r="C791" s="2" t="s">
        <v>93</v>
      </c>
      <c r="D791" s="2" t="s">
        <v>80</v>
      </c>
      <c r="E791" s="2">
        <v>32</v>
      </c>
      <c r="F791" s="2">
        <v>88</v>
      </c>
      <c r="G791" s="2">
        <v>175</v>
      </c>
      <c r="H791" s="9">
        <f t="shared" si="12"/>
        <v>28.73469387755102</v>
      </c>
      <c r="I791" s="2" t="str" cm="1">
        <f t="array" ref="I791">_xlfn.IFS(F791&gt;=100,"Over weight",F791&lt;100,"Average weight")</f>
        <v>Average weight</v>
      </c>
      <c r="J791" s="2" t="str" cm="1">
        <f t="array" ref="J791">_xlfn.IFS(G791&lt;164,"Below Average height",G791&gt;=165,"Above Average height",G791=164,"Average height")</f>
        <v>Above Average height</v>
      </c>
      <c r="K791" s="2" t="str" cm="1">
        <f t="array" ref="K791">_xlfn.IFS(E791&lt;=16,"Children",E791&lt;=30,"Young Adults",E791&lt;=45,"Middle-aged Adults",E791&gt;45,"Old Adults")</f>
        <v>Middle-aged Adults</v>
      </c>
    </row>
    <row r="792" spans="1:11" x14ac:dyDescent="0.45">
      <c r="A792" s="2">
        <v>931</v>
      </c>
      <c r="B792" s="2" t="s">
        <v>1036</v>
      </c>
      <c r="C792" s="2" t="s">
        <v>94</v>
      </c>
      <c r="D792" s="2" t="s">
        <v>14</v>
      </c>
      <c r="E792" s="2">
        <v>32</v>
      </c>
      <c r="F792" s="2">
        <v>72</v>
      </c>
      <c r="G792" s="2">
        <v>181</v>
      </c>
      <c r="H792" s="9">
        <f t="shared" si="12"/>
        <v>21.977351118708221</v>
      </c>
      <c r="I792" s="2" t="str" cm="1">
        <f t="array" ref="I792">_xlfn.IFS(F792&gt;=100,"Over weight",F792&lt;100,"Average weight")</f>
        <v>Average weight</v>
      </c>
      <c r="J792" s="2" t="str" cm="1">
        <f t="array" ref="J792">_xlfn.IFS(G792&lt;164,"Below Average height",G792&gt;=165,"Above Average height",G792=164,"Average height")</f>
        <v>Above Average height</v>
      </c>
      <c r="K792" s="2" t="str" cm="1">
        <f t="array" ref="K792">_xlfn.IFS(E792&lt;=16,"Children",E792&lt;=30,"Young Adults",E792&lt;=45,"Middle-aged Adults",E792&gt;45,"Old Adults")</f>
        <v>Middle-aged Adults</v>
      </c>
    </row>
    <row r="793" spans="1:11" x14ac:dyDescent="0.45">
      <c r="A793" s="2">
        <v>934</v>
      </c>
      <c r="B793" s="2" t="s">
        <v>1039</v>
      </c>
      <c r="C793" s="2" t="s">
        <v>87</v>
      </c>
      <c r="D793" s="2" t="s">
        <v>17</v>
      </c>
      <c r="E793" s="2">
        <v>18</v>
      </c>
      <c r="F793" s="2">
        <v>65</v>
      </c>
      <c r="G793" s="2">
        <v>174</v>
      </c>
      <c r="H793" s="9">
        <f t="shared" si="12"/>
        <v>21.469150482230148</v>
      </c>
      <c r="I793" s="2" t="str" cm="1">
        <f t="array" ref="I793">_xlfn.IFS(F793&gt;=100,"Over weight",F793&lt;100,"Average weight")</f>
        <v>Average weight</v>
      </c>
      <c r="J793" s="2" t="str" cm="1">
        <f t="array" ref="J793">_xlfn.IFS(G793&lt;164,"Below Average height",G793&gt;=165,"Above Average height",G793=164,"Average height")</f>
        <v>Above Average height</v>
      </c>
      <c r="K793" s="2" t="str" cm="1">
        <f t="array" ref="K793">_xlfn.IFS(E793&lt;=16,"Children",E793&lt;=30,"Young Adults",E793&lt;=45,"Middle-aged Adults",E793&gt;45,"Old Adults")</f>
        <v>Young Adults</v>
      </c>
    </row>
    <row r="794" spans="1:11" x14ac:dyDescent="0.45">
      <c r="A794" s="2">
        <v>935</v>
      </c>
      <c r="B794" s="2" t="s">
        <v>1040</v>
      </c>
      <c r="C794" s="2" t="s">
        <v>91</v>
      </c>
      <c r="D794" s="2" t="s">
        <v>17</v>
      </c>
      <c r="E794" s="2">
        <v>21</v>
      </c>
      <c r="F794" s="2">
        <v>75</v>
      </c>
      <c r="G794" s="2">
        <v>174</v>
      </c>
      <c r="H794" s="9">
        <f t="shared" si="12"/>
        <v>24.772096710265558</v>
      </c>
      <c r="I794" s="2" t="str" cm="1">
        <f t="array" ref="I794">_xlfn.IFS(F794&gt;=100,"Over weight",F794&lt;100,"Average weight")</f>
        <v>Average weight</v>
      </c>
      <c r="J794" s="2" t="str" cm="1">
        <f t="array" ref="J794">_xlfn.IFS(G794&lt;164,"Below Average height",G794&gt;=165,"Above Average height",G794=164,"Average height")</f>
        <v>Above Average height</v>
      </c>
      <c r="K794" s="2" t="str" cm="1">
        <f t="array" ref="K794">_xlfn.IFS(E794&lt;=16,"Children",E794&lt;=30,"Young Adults",E794&lt;=45,"Middle-aged Adults",E794&gt;45,"Old Adults")</f>
        <v>Young Adults</v>
      </c>
    </row>
    <row r="795" spans="1:11" x14ac:dyDescent="0.45">
      <c r="A795" s="2">
        <v>936</v>
      </c>
      <c r="B795" s="2" t="s">
        <v>1041</v>
      </c>
      <c r="C795" s="2" t="s">
        <v>91</v>
      </c>
      <c r="D795" s="2" t="s">
        <v>17</v>
      </c>
      <c r="E795" s="2">
        <v>27</v>
      </c>
      <c r="F795" s="2">
        <v>56</v>
      </c>
      <c r="G795" s="2">
        <v>166</v>
      </c>
      <c r="H795" s="9">
        <f t="shared" si="12"/>
        <v>20.322252866889244</v>
      </c>
      <c r="I795" s="2" t="str" cm="1">
        <f t="array" ref="I795">_xlfn.IFS(F795&gt;=100,"Over weight",F795&lt;100,"Average weight")</f>
        <v>Average weight</v>
      </c>
      <c r="J795" s="2" t="str" cm="1">
        <f t="array" ref="J795">_xlfn.IFS(G795&lt;164,"Below Average height",G795&gt;=165,"Above Average height",G795=164,"Average height")</f>
        <v>Above Average height</v>
      </c>
      <c r="K795" s="2" t="str" cm="1">
        <f t="array" ref="K795">_xlfn.IFS(E795&lt;=16,"Children",E795&lt;=30,"Young Adults",E795&lt;=45,"Middle-aged Adults",E795&gt;45,"Old Adults")</f>
        <v>Young Adults</v>
      </c>
    </row>
    <row r="796" spans="1:11" x14ac:dyDescent="0.45">
      <c r="A796" s="2">
        <v>937</v>
      </c>
      <c r="B796" s="2" t="s">
        <v>1042</v>
      </c>
      <c r="C796" s="2" t="s">
        <v>89</v>
      </c>
      <c r="D796" s="2" t="s">
        <v>17</v>
      </c>
      <c r="E796" s="2">
        <v>24</v>
      </c>
      <c r="F796" s="2">
        <v>68</v>
      </c>
      <c r="G796" s="2">
        <v>175</v>
      </c>
      <c r="H796" s="9">
        <f t="shared" si="12"/>
        <v>22.204081632653061</v>
      </c>
      <c r="I796" s="2" t="str" cm="1">
        <f t="array" ref="I796">_xlfn.IFS(F796&gt;=100,"Over weight",F796&lt;100,"Average weight")</f>
        <v>Average weight</v>
      </c>
      <c r="J796" s="2" t="str" cm="1">
        <f t="array" ref="J796">_xlfn.IFS(G796&lt;164,"Below Average height",G796&gt;=165,"Above Average height",G796=164,"Average height")</f>
        <v>Above Average height</v>
      </c>
      <c r="K796" s="2" t="str" cm="1">
        <f t="array" ref="K796">_xlfn.IFS(E796&lt;=16,"Children",E796&lt;=30,"Young Adults",E796&lt;=45,"Middle-aged Adults",E796&gt;45,"Old Adults")</f>
        <v>Young Adults</v>
      </c>
    </row>
    <row r="797" spans="1:11" x14ac:dyDescent="0.45">
      <c r="A797" s="2">
        <v>938</v>
      </c>
      <c r="B797" s="2" t="s">
        <v>1043</v>
      </c>
      <c r="C797" s="2" t="s">
        <v>95</v>
      </c>
      <c r="D797" s="2" t="s">
        <v>21</v>
      </c>
      <c r="E797" s="2">
        <v>19</v>
      </c>
      <c r="F797" s="2">
        <v>84</v>
      </c>
      <c r="G797" s="2">
        <v>190</v>
      </c>
      <c r="H797" s="9">
        <f t="shared" si="12"/>
        <v>23.26869806094183</v>
      </c>
      <c r="I797" s="2" t="str" cm="1">
        <f t="array" ref="I797">_xlfn.IFS(F797&gt;=100,"Over weight",F797&lt;100,"Average weight")</f>
        <v>Average weight</v>
      </c>
      <c r="J797" s="2" t="str" cm="1">
        <f t="array" ref="J797">_xlfn.IFS(G797&lt;164,"Below Average height",G797&gt;=165,"Above Average height",G797=164,"Average height")</f>
        <v>Above Average height</v>
      </c>
      <c r="K797" s="2" t="str" cm="1">
        <f t="array" ref="K797">_xlfn.IFS(E797&lt;=16,"Children",E797&lt;=30,"Young Adults",E797&lt;=45,"Middle-aged Adults",E797&gt;45,"Old Adults")</f>
        <v>Young Adults</v>
      </c>
    </row>
    <row r="798" spans="1:11" x14ac:dyDescent="0.45">
      <c r="A798" s="2">
        <v>939</v>
      </c>
      <c r="B798" s="2" t="s">
        <v>1044</v>
      </c>
      <c r="C798" s="2" t="s">
        <v>85</v>
      </c>
      <c r="D798" s="2" t="s">
        <v>80</v>
      </c>
      <c r="E798" s="2">
        <v>25</v>
      </c>
      <c r="F798" s="2">
        <v>88</v>
      </c>
      <c r="G798" s="2">
        <v>180</v>
      </c>
      <c r="H798" s="9">
        <f t="shared" si="12"/>
        <v>27.160493827160494</v>
      </c>
      <c r="I798" s="2" t="str" cm="1">
        <f t="array" ref="I798">_xlfn.IFS(F798&gt;=100,"Over weight",F798&lt;100,"Average weight")</f>
        <v>Average weight</v>
      </c>
      <c r="J798" s="2" t="str" cm="1">
        <f t="array" ref="J798">_xlfn.IFS(G798&lt;164,"Below Average height",G798&gt;=165,"Above Average height",G798=164,"Average height")</f>
        <v>Above Average height</v>
      </c>
      <c r="K798" s="2" t="str" cm="1">
        <f t="array" ref="K798">_xlfn.IFS(E798&lt;=16,"Children",E798&lt;=30,"Young Adults",E798&lt;=45,"Middle-aged Adults",E798&gt;45,"Old Adults")</f>
        <v>Young Adults</v>
      </c>
    </row>
    <row r="799" spans="1:11" x14ac:dyDescent="0.45">
      <c r="A799" s="2">
        <v>940</v>
      </c>
      <c r="B799" s="2" t="s">
        <v>1045</v>
      </c>
      <c r="C799" s="2" t="s">
        <v>93</v>
      </c>
      <c r="D799" s="2" t="s">
        <v>63</v>
      </c>
      <c r="E799" s="2">
        <v>27</v>
      </c>
      <c r="F799" s="2">
        <v>80</v>
      </c>
      <c r="G799" s="2">
        <v>177</v>
      </c>
      <c r="H799" s="9">
        <f t="shared" si="12"/>
        <v>25.535446391522228</v>
      </c>
      <c r="I799" s="2" t="str" cm="1">
        <f t="array" ref="I799">_xlfn.IFS(F799&gt;=100,"Over weight",F799&lt;100,"Average weight")</f>
        <v>Average weight</v>
      </c>
      <c r="J799" s="2" t="str" cm="1">
        <f t="array" ref="J799">_xlfn.IFS(G799&lt;164,"Below Average height",G799&gt;=165,"Above Average height",G799=164,"Average height")</f>
        <v>Above Average height</v>
      </c>
      <c r="K799" s="2" t="str" cm="1">
        <f t="array" ref="K799">_xlfn.IFS(E799&lt;=16,"Children",E799&lt;=30,"Young Adults",E799&lt;=45,"Middle-aged Adults",E799&gt;45,"Old Adults")</f>
        <v>Young Adults</v>
      </c>
    </row>
    <row r="800" spans="1:11" x14ac:dyDescent="0.45">
      <c r="A800" s="2">
        <v>941</v>
      </c>
      <c r="B800" s="2" t="s">
        <v>1046</v>
      </c>
      <c r="C800" s="2" t="s">
        <v>94</v>
      </c>
      <c r="D800" s="2" t="s">
        <v>74</v>
      </c>
      <c r="E800" s="2">
        <v>24</v>
      </c>
      <c r="F800" s="2">
        <v>79</v>
      </c>
      <c r="G800" s="2">
        <v>178</v>
      </c>
      <c r="H800" s="9">
        <f t="shared" si="12"/>
        <v>24.933720489837143</v>
      </c>
      <c r="I800" s="2" t="str" cm="1">
        <f t="array" ref="I800">_xlfn.IFS(F800&gt;=100,"Over weight",F800&lt;100,"Average weight")</f>
        <v>Average weight</v>
      </c>
      <c r="J800" s="2" t="str" cm="1">
        <f t="array" ref="J800">_xlfn.IFS(G800&lt;164,"Below Average height",G800&gt;=165,"Above Average height",G800=164,"Average height")</f>
        <v>Above Average height</v>
      </c>
      <c r="K800" s="2" t="str" cm="1">
        <f t="array" ref="K800">_xlfn.IFS(E800&lt;=16,"Children",E800&lt;=30,"Young Adults",E800&lt;=45,"Middle-aged Adults",E800&gt;45,"Old Adults")</f>
        <v>Young Adults</v>
      </c>
    </row>
    <row r="801" spans="1:11" x14ac:dyDescent="0.45">
      <c r="A801" s="2">
        <v>942</v>
      </c>
      <c r="B801" s="2" t="s">
        <v>1047</v>
      </c>
      <c r="C801" s="2" t="s">
        <v>93</v>
      </c>
      <c r="D801" s="2" t="s">
        <v>28</v>
      </c>
      <c r="E801" s="2">
        <v>22</v>
      </c>
      <c r="F801" s="2">
        <v>63</v>
      </c>
      <c r="G801" s="2">
        <v>173</v>
      </c>
      <c r="H801" s="9">
        <f t="shared" si="12"/>
        <v>21.04981790236894</v>
      </c>
      <c r="I801" s="2" t="str" cm="1">
        <f t="array" ref="I801">_xlfn.IFS(F801&gt;=100,"Over weight",F801&lt;100,"Average weight")</f>
        <v>Average weight</v>
      </c>
      <c r="J801" s="2" t="str" cm="1">
        <f t="array" ref="J801">_xlfn.IFS(G801&lt;164,"Below Average height",G801&gt;=165,"Above Average height",G801=164,"Average height")</f>
        <v>Above Average height</v>
      </c>
      <c r="K801" s="2" t="str" cm="1">
        <f t="array" ref="K801">_xlfn.IFS(E801&lt;=16,"Children",E801&lt;=30,"Young Adults",E801&lt;=45,"Middle-aged Adults",E801&gt;45,"Old Adults")</f>
        <v>Young Adults</v>
      </c>
    </row>
    <row r="802" spans="1:11" x14ac:dyDescent="0.45">
      <c r="A802" s="2">
        <v>943</v>
      </c>
      <c r="B802" s="2" t="s">
        <v>1048</v>
      </c>
      <c r="C802" s="2" t="s">
        <v>91</v>
      </c>
      <c r="D802" s="2" t="s">
        <v>74</v>
      </c>
      <c r="E802" s="2">
        <v>36</v>
      </c>
      <c r="F802" s="2">
        <v>82</v>
      </c>
      <c r="G802" s="2">
        <v>178</v>
      </c>
      <c r="H802" s="9">
        <f t="shared" si="12"/>
        <v>25.880570635020831</v>
      </c>
      <c r="I802" s="2" t="str" cm="1">
        <f t="array" ref="I802">_xlfn.IFS(F802&gt;=100,"Over weight",F802&lt;100,"Average weight")</f>
        <v>Average weight</v>
      </c>
      <c r="J802" s="2" t="str" cm="1">
        <f t="array" ref="J802">_xlfn.IFS(G802&lt;164,"Below Average height",G802&gt;=165,"Above Average height",G802=164,"Average height")</f>
        <v>Above Average height</v>
      </c>
      <c r="K802" s="2" t="str" cm="1">
        <f t="array" ref="K802">_xlfn.IFS(E802&lt;=16,"Children",E802&lt;=30,"Young Adults",E802&lt;=45,"Middle-aged Adults",E802&gt;45,"Old Adults")</f>
        <v>Middle-aged Adults</v>
      </c>
    </row>
    <row r="803" spans="1:11" x14ac:dyDescent="0.45">
      <c r="A803" s="2">
        <v>944</v>
      </c>
      <c r="B803" s="2" t="s">
        <v>1049</v>
      </c>
      <c r="C803" s="2" t="s">
        <v>94</v>
      </c>
      <c r="D803" s="2" t="s">
        <v>74</v>
      </c>
      <c r="E803" s="2">
        <v>26</v>
      </c>
      <c r="F803" s="2">
        <v>67</v>
      </c>
      <c r="G803" s="2">
        <v>170</v>
      </c>
      <c r="H803" s="9">
        <f t="shared" si="12"/>
        <v>23.183391003460208</v>
      </c>
      <c r="I803" s="2" t="str" cm="1">
        <f t="array" ref="I803">_xlfn.IFS(F803&gt;=100,"Over weight",F803&lt;100,"Average weight")</f>
        <v>Average weight</v>
      </c>
      <c r="J803" s="2" t="str" cm="1">
        <f t="array" ref="J803">_xlfn.IFS(G803&lt;164,"Below Average height",G803&gt;=165,"Above Average height",G803=164,"Average height")</f>
        <v>Above Average height</v>
      </c>
      <c r="K803" s="2" t="str" cm="1">
        <f t="array" ref="K803">_xlfn.IFS(E803&lt;=16,"Children",E803&lt;=30,"Young Adults",E803&lt;=45,"Middle-aged Adults",E803&gt;45,"Old Adults")</f>
        <v>Young Adults</v>
      </c>
    </row>
    <row r="804" spans="1:11" x14ac:dyDescent="0.45">
      <c r="A804" s="2">
        <v>945</v>
      </c>
      <c r="B804" s="2" t="s">
        <v>1050</v>
      </c>
      <c r="C804" s="2" t="s">
        <v>94</v>
      </c>
      <c r="D804" s="2" t="s">
        <v>60</v>
      </c>
      <c r="E804" s="2">
        <v>21</v>
      </c>
      <c r="F804" s="2">
        <v>55</v>
      </c>
      <c r="G804" s="2">
        <v>189</v>
      </c>
      <c r="H804" s="9">
        <f t="shared" si="12"/>
        <v>15.397105344195293</v>
      </c>
      <c r="I804" s="2" t="str" cm="1">
        <f t="array" ref="I804">_xlfn.IFS(F804&gt;=100,"Over weight",F804&lt;100,"Average weight")</f>
        <v>Average weight</v>
      </c>
      <c r="J804" s="2" t="str" cm="1">
        <f t="array" ref="J804">_xlfn.IFS(G804&lt;164,"Below Average height",G804&gt;=165,"Above Average height",G804=164,"Average height")</f>
        <v>Above Average height</v>
      </c>
      <c r="K804" s="2" t="str" cm="1">
        <f t="array" ref="K804">_xlfn.IFS(E804&lt;=16,"Children",E804&lt;=30,"Young Adults",E804&lt;=45,"Middle-aged Adults",E804&gt;45,"Old Adults")</f>
        <v>Young Adults</v>
      </c>
    </row>
    <row r="805" spans="1:11" x14ac:dyDescent="0.45">
      <c r="A805" s="2">
        <v>946</v>
      </c>
      <c r="B805" s="2" t="s">
        <v>1051</v>
      </c>
      <c r="C805" s="2" t="s">
        <v>92</v>
      </c>
      <c r="D805" s="2" t="s">
        <v>80</v>
      </c>
      <c r="E805" s="2">
        <v>20</v>
      </c>
      <c r="F805" s="2">
        <v>73</v>
      </c>
      <c r="G805" s="2">
        <v>189</v>
      </c>
      <c r="H805" s="9">
        <f t="shared" si="12"/>
        <v>20.436158002295571</v>
      </c>
      <c r="I805" s="2" t="str" cm="1">
        <f t="array" ref="I805">_xlfn.IFS(F805&gt;=100,"Over weight",F805&lt;100,"Average weight")</f>
        <v>Average weight</v>
      </c>
      <c r="J805" s="2" t="str" cm="1">
        <f t="array" ref="J805">_xlfn.IFS(G805&lt;164,"Below Average height",G805&gt;=165,"Above Average height",G805=164,"Average height")</f>
        <v>Above Average height</v>
      </c>
      <c r="K805" s="2" t="str" cm="1">
        <f t="array" ref="K805">_xlfn.IFS(E805&lt;=16,"Children",E805&lt;=30,"Young Adults",E805&lt;=45,"Middle-aged Adults",E805&gt;45,"Old Adults")</f>
        <v>Young Adults</v>
      </c>
    </row>
    <row r="806" spans="1:11" x14ac:dyDescent="0.45">
      <c r="A806" s="2">
        <v>947</v>
      </c>
      <c r="B806" s="2" t="s">
        <v>1052</v>
      </c>
      <c r="C806" s="2" t="s">
        <v>91</v>
      </c>
      <c r="D806" s="2" t="s">
        <v>80</v>
      </c>
      <c r="E806" s="2">
        <v>21</v>
      </c>
      <c r="F806" s="2">
        <v>107</v>
      </c>
      <c r="G806" s="2">
        <v>193</v>
      </c>
      <c r="H806" s="9">
        <f t="shared" si="12"/>
        <v>28.725603371902601</v>
      </c>
      <c r="I806" s="2" t="str" cm="1">
        <f t="array" ref="I806">_xlfn.IFS(F806&gt;=100,"Over weight",F806&lt;100,"Average weight")</f>
        <v>Over weight</v>
      </c>
      <c r="J806" s="2" t="str" cm="1">
        <f t="array" ref="J806">_xlfn.IFS(G806&lt;164,"Below Average height",G806&gt;=165,"Above Average height",G806=164,"Average height")</f>
        <v>Above Average height</v>
      </c>
      <c r="K806" s="2" t="str" cm="1">
        <f t="array" ref="K806">_xlfn.IFS(E806&lt;=16,"Children",E806&lt;=30,"Young Adults",E806&lt;=45,"Middle-aged Adults",E806&gt;45,"Old Adults")</f>
        <v>Young Adults</v>
      </c>
    </row>
    <row r="807" spans="1:11" x14ac:dyDescent="0.45">
      <c r="A807" s="2">
        <v>948</v>
      </c>
      <c r="B807" s="2" t="s">
        <v>1053</v>
      </c>
      <c r="C807" s="2" t="s">
        <v>88</v>
      </c>
      <c r="D807" s="2" t="s">
        <v>80</v>
      </c>
      <c r="E807" s="2">
        <v>28</v>
      </c>
      <c r="F807" s="2">
        <v>61</v>
      </c>
      <c r="G807" s="2">
        <v>165</v>
      </c>
      <c r="H807" s="9">
        <f t="shared" si="12"/>
        <v>22.4058769513315</v>
      </c>
      <c r="I807" s="2" t="str" cm="1">
        <f t="array" ref="I807">_xlfn.IFS(F807&gt;=100,"Over weight",F807&lt;100,"Average weight")</f>
        <v>Average weight</v>
      </c>
      <c r="J807" s="2" t="str" cm="1">
        <f t="array" ref="J807">_xlfn.IFS(G807&lt;164,"Below Average height",G807&gt;=165,"Above Average height",G807=164,"Average height")</f>
        <v>Above Average height</v>
      </c>
      <c r="K807" s="2" t="str" cm="1">
        <f t="array" ref="K807">_xlfn.IFS(E807&lt;=16,"Children",E807&lt;=30,"Young Adults",E807&lt;=45,"Middle-aged Adults",E807&gt;45,"Old Adults")</f>
        <v>Young Adults</v>
      </c>
    </row>
    <row r="808" spans="1:11" x14ac:dyDescent="0.45">
      <c r="A808" s="2">
        <v>949</v>
      </c>
      <c r="B808" s="2" t="s">
        <v>1054</v>
      </c>
      <c r="C808" s="2" t="s">
        <v>91</v>
      </c>
      <c r="D808" s="2" t="s">
        <v>80</v>
      </c>
      <c r="E808" s="2">
        <v>23</v>
      </c>
      <c r="F808" s="2">
        <v>99</v>
      </c>
      <c r="G808" s="2">
        <v>183</v>
      </c>
      <c r="H808" s="9">
        <f t="shared" si="12"/>
        <v>29.561945713517868</v>
      </c>
      <c r="I808" s="2" t="str" cm="1">
        <f t="array" ref="I808">_xlfn.IFS(F808&gt;=100,"Over weight",F808&lt;100,"Average weight")</f>
        <v>Average weight</v>
      </c>
      <c r="J808" s="2" t="str" cm="1">
        <f t="array" ref="J808">_xlfn.IFS(G808&lt;164,"Below Average height",G808&gt;=165,"Above Average height",G808=164,"Average height")</f>
        <v>Above Average height</v>
      </c>
      <c r="K808" s="2" t="str" cm="1">
        <f t="array" ref="K808">_xlfn.IFS(E808&lt;=16,"Children",E808&lt;=30,"Young Adults",E808&lt;=45,"Middle-aged Adults",E808&gt;45,"Old Adults")</f>
        <v>Young Adults</v>
      </c>
    </row>
    <row r="809" spans="1:11" x14ac:dyDescent="0.45">
      <c r="A809" s="2">
        <v>950</v>
      </c>
      <c r="B809" s="2" t="s">
        <v>1055</v>
      </c>
      <c r="C809" s="2" t="s">
        <v>94</v>
      </c>
      <c r="D809" s="2" t="s">
        <v>60</v>
      </c>
      <c r="E809" s="2">
        <v>25</v>
      </c>
      <c r="F809" s="2">
        <v>55</v>
      </c>
      <c r="G809" s="2">
        <v>189</v>
      </c>
      <c r="H809" s="9">
        <f t="shared" si="12"/>
        <v>15.397105344195293</v>
      </c>
      <c r="I809" s="2" t="str" cm="1">
        <f t="array" ref="I809">_xlfn.IFS(F809&gt;=100,"Over weight",F809&lt;100,"Average weight")</f>
        <v>Average weight</v>
      </c>
      <c r="J809" s="2" t="str" cm="1">
        <f t="array" ref="J809">_xlfn.IFS(G809&lt;164,"Below Average height",G809&gt;=165,"Above Average height",G809=164,"Average height")</f>
        <v>Above Average height</v>
      </c>
      <c r="K809" s="2" t="str" cm="1">
        <f t="array" ref="K809">_xlfn.IFS(E809&lt;=16,"Children",E809&lt;=30,"Young Adults",E809&lt;=45,"Middle-aged Adults",E809&gt;45,"Old Adults")</f>
        <v>Young Adults</v>
      </c>
    </row>
    <row r="810" spans="1:11" x14ac:dyDescent="0.45">
      <c r="A810" s="2">
        <v>951</v>
      </c>
      <c r="B810" s="2" t="s">
        <v>1056</v>
      </c>
      <c r="C810" s="2" t="s">
        <v>91</v>
      </c>
      <c r="D810" s="2" t="s">
        <v>14</v>
      </c>
      <c r="E810" s="2">
        <v>20</v>
      </c>
      <c r="F810" s="2">
        <v>61</v>
      </c>
      <c r="G810" s="2">
        <v>170</v>
      </c>
      <c r="H810" s="9">
        <f t="shared" si="12"/>
        <v>21.107266435986162</v>
      </c>
      <c r="I810" s="2" t="str" cm="1">
        <f t="array" ref="I810">_xlfn.IFS(F810&gt;=100,"Over weight",F810&lt;100,"Average weight")</f>
        <v>Average weight</v>
      </c>
      <c r="J810" s="2" t="str" cm="1">
        <f t="array" ref="J810">_xlfn.IFS(G810&lt;164,"Below Average height",G810&gt;=165,"Above Average height",G810=164,"Average height")</f>
        <v>Above Average height</v>
      </c>
      <c r="K810" s="2" t="str" cm="1">
        <f t="array" ref="K810">_xlfn.IFS(E810&lt;=16,"Children",E810&lt;=30,"Young Adults",E810&lt;=45,"Middle-aged Adults",E810&gt;45,"Old Adults")</f>
        <v>Young Adults</v>
      </c>
    </row>
    <row r="811" spans="1:11" x14ac:dyDescent="0.45">
      <c r="A811" s="2">
        <v>952</v>
      </c>
      <c r="B811" s="2" t="s">
        <v>1057</v>
      </c>
      <c r="C811" s="2" t="s">
        <v>91</v>
      </c>
      <c r="D811" s="2" t="s">
        <v>25</v>
      </c>
      <c r="E811" s="2">
        <v>31</v>
      </c>
      <c r="F811" s="2">
        <v>92</v>
      </c>
      <c r="G811" s="2">
        <v>188</v>
      </c>
      <c r="H811" s="9">
        <f t="shared" si="12"/>
        <v>26.029877772747852</v>
      </c>
      <c r="I811" s="2" t="str" cm="1">
        <f t="array" ref="I811">_xlfn.IFS(F811&gt;=100,"Over weight",F811&lt;100,"Average weight")</f>
        <v>Average weight</v>
      </c>
      <c r="J811" s="2" t="str" cm="1">
        <f t="array" ref="J811">_xlfn.IFS(G811&lt;164,"Below Average height",G811&gt;=165,"Above Average height",G811=164,"Average height")</f>
        <v>Above Average height</v>
      </c>
      <c r="K811" s="2" t="str" cm="1">
        <f t="array" ref="K811">_xlfn.IFS(E811&lt;=16,"Children",E811&lt;=30,"Young Adults",E811&lt;=45,"Middle-aged Adults",E811&gt;45,"Old Adults")</f>
        <v>Middle-aged Adults</v>
      </c>
    </row>
    <row r="812" spans="1:11" x14ac:dyDescent="0.45">
      <c r="A812" s="2">
        <v>953</v>
      </c>
      <c r="B812" s="2" t="s">
        <v>1058</v>
      </c>
      <c r="C812" s="2" t="s">
        <v>94</v>
      </c>
      <c r="D812" s="2" t="s">
        <v>14</v>
      </c>
      <c r="E812" s="2">
        <v>24</v>
      </c>
      <c r="F812" s="2">
        <v>55</v>
      </c>
      <c r="G812" s="2">
        <v>167</v>
      </c>
      <c r="H812" s="9">
        <f t="shared" si="12"/>
        <v>19.721036967980208</v>
      </c>
      <c r="I812" s="2" t="str" cm="1">
        <f t="array" ref="I812">_xlfn.IFS(F812&gt;=100,"Over weight",F812&lt;100,"Average weight")</f>
        <v>Average weight</v>
      </c>
      <c r="J812" s="2" t="str" cm="1">
        <f t="array" ref="J812">_xlfn.IFS(G812&lt;164,"Below Average height",G812&gt;=165,"Above Average height",G812=164,"Average height")</f>
        <v>Above Average height</v>
      </c>
      <c r="K812" s="2" t="str" cm="1">
        <f t="array" ref="K812">_xlfn.IFS(E812&lt;=16,"Children",E812&lt;=30,"Young Adults",E812&lt;=45,"Middle-aged Adults",E812&gt;45,"Old Adults")</f>
        <v>Young Adults</v>
      </c>
    </row>
    <row r="813" spans="1:11" x14ac:dyDescent="0.45">
      <c r="A813" s="2">
        <v>954</v>
      </c>
      <c r="B813" s="2" t="s">
        <v>1059</v>
      </c>
      <c r="C813" s="2" t="s">
        <v>94</v>
      </c>
      <c r="D813" s="2" t="s">
        <v>26</v>
      </c>
      <c r="E813" s="2">
        <v>34</v>
      </c>
      <c r="F813" s="2">
        <v>65</v>
      </c>
      <c r="G813" s="2">
        <v>175</v>
      </c>
      <c r="H813" s="9">
        <f t="shared" si="12"/>
        <v>21.224489795918366</v>
      </c>
      <c r="I813" s="2" t="str" cm="1">
        <f t="array" ref="I813">_xlfn.IFS(F813&gt;=100,"Over weight",F813&lt;100,"Average weight")</f>
        <v>Average weight</v>
      </c>
      <c r="J813" s="2" t="str" cm="1">
        <f t="array" ref="J813">_xlfn.IFS(G813&lt;164,"Below Average height",G813&gt;=165,"Above Average height",G813=164,"Average height")</f>
        <v>Above Average height</v>
      </c>
      <c r="K813" s="2" t="str" cm="1">
        <f t="array" ref="K813">_xlfn.IFS(E813&lt;=16,"Children",E813&lt;=30,"Young Adults",E813&lt;=45,"Middle-aged Adults",E813&gt;45,"Old Adults")</f>
        <v>Middle-aged Adults</v>
      </c>
    </row>
    <row r="814" spans="1:11" x14ac:dyDescent="0.45">
      <c r="A814" s="2">
        <v>955</v>
      </c>
      <c r="B814" s="2" t="s">
        <v>1060</v>
      </c>
      <c r="C814" s="2" t="s">
        <v>88</v>
      </c>
      <c r="D814" s="2" t="s">
        <v>74</v>
      </c>
      <c r="E814" s="2">
        <v>25</v>
      </c>
      <c r="F814" s="2">
        <v>59</v>
      </c>
      <c r="G814" s="2">
        <v>172</v>
      </c>
      <c r="H814" s="9">
        <f t="shared" si="12"/>
        <v>19.943212547322879</v>
      </c>
      <c r="I814" s="2" t="str" cm="1">
        <f t="array" ref="I814">_xlfn.IFS(F814&gt;=100,"Over weight",F814&lt;100,"Average weight")</f>
        <v>Average weight</v>
      </c>
      <c r="J814" s="2" t="str" cm="1">
        <f t="array" ref="J814">_xlfn.IFS(G814&lt;164,"Below Average height",G814&gt;=165,"Above Average height",G814=164,"Average height")</f>
        <v>Above Average height</v>
      </c>
      <c r="K814" s="2" t="str" cm="1">
        <f t="array" ref="K814">_xlfn.IFS(E814&lt;=16,"Children",E814&lt;=30,"Young Adults",E814&lt;=45,"Middle-aged Adults",E814&gt;45,"Old Adults")</f>
        <v>Young Adults</v>
      </c>
    </row>
    <row r="815" spans="1:11" x14ac:dyDescent="0.45">
      <c r="A815" s="2">
        <v>956</v>
      </c>
      <c r="B815" s="2" t="s">
        <v>1061</v>
      </c>
      <c r="C815" s="2" t="s">
        <v>88</v>
      </c>
      <c r="D815" s="2" t="s">
        <v>74</v>
      </c>
      <c r="E815" s="2">
        <v>27</v>
      </c>
      <c r="F815" s="2">
        <v>70</v>
      </c>
      <c r="G815" s="2">
        <v>178</v>
      </c>
      <c r="H815" s="9">
        <f t="shared" si="12"/>
        <v>22.093170054286073</v>
      </c>
      <c r="I815" s="2" t="str" cm="1">
        <f t="array" ref="I815">_xlfn.IFS(F815&gt;=100,"Over weight",F815&lt;100,"Average weight")</f>
        <v>Average weight</v>
      </c>
      <c r="J815" s="2" t="str" cm="1">
        <f t="array" ref="J815">_xlfn.IFS(G815&lt;164,"Below Average height",G815&gt;=165,"Above Average height",G815=164,"Average height")</f>
        <v>Above Average height</v>
      </c>
      <c r="K815" s="2" t="str" cm="1">
        <f t="array" ref="K815">_xlfn.IFS(E815&lt;=16,"Children",E815&lt;=30,"Young Adults",E815&lt;=45,"Middle-aged Adults",E815&gt;45,"Old Adults")</f>
        <v>Young Adults</v>
      </c>
    </row>
    <row r="816" spans="1:11" x14ac:dyDescent="0.45">
      <c r="A816" s="2">
        <v>957</v>
      </c>
      <c r="B816" s="2" t="s">
        <v>1062</v>
      </c>
      <c r="C816" s="2" t="s">
        <v>96</v>
      </c>
      <c r="D816" s="2" t="s">
        <v>80</v>
      </c>
      <c r="E816" s="2">
        <v>29</v>
      </c>
      <c r="F816" s="2">
        <v>55</v>
      </c>
      <c r="G816" s="2">
        <v>165</v>
      </c>
      <c r="H816" s="9">
        <f t="shared" si="12"/>
        <v>20.202020202020204</v>
      </c>
      <c r="I816" s="2" t="str" cm="1">
        <f t="array" ref="I816">_xlfn.IFS(F816&gt;=100,"Over weight",F816&lt;100,"Average weight")</f>
        <v>Average weight</v>
      </c>
      <c r="J816" s="2" t="str" cm="1">
        <f t="array" ref="J816">_xlfn.IFS(G816&lt;164,"Below Average height",G816&gt;=165,"Above Average height",G816=164,"Average height")</f>
        <v>Above Average height</v>
      </c>
      <c r="K816" s="2" t="str" cm="1">
        <f t="array" ref="K816">_xlfn.IFS(E816&lt;=16,"Children",E816&lt;=30,"Young Adults",E816&lt;=45,"Middle-aged Adults",E816&gt;45,"Old Adults")</f>
        <v>Young Adults</v>
      </c>
    </row>
    <row r="817" spans="1:11" x14ac:dyDescent="0.45">
      <c r="A817" s="2">
        <v>958</v>
      </c>
      <c r="B817" s="2" t="s">
        <v>1063</v>
      </c>
      <c r="C817" s="2" t="s">
        <v>91</v>
      </c>
      <c r="D817" s="2" t="s">
        <v>74</v>
      </c>
      <c r="E817" s="2">
        <v>18</v>
      </c>
      <c r="F817" s="2">
        <v>70</v>
      </c>
      <c r="G817" s="2">
        <v>170</v>
      </c>
      <c r="H817" s="9">
        <f t="shared" si="12"/>
        <v>24.221453287197235</v>
      </c>
      <c r="I817" s="2" t="str" cm="1">
        <f t="array" ref="I817">_xlfn.IFS(F817&gt;=100,"Over weight",F817&lt;100,"Average weight")</f>
        <v>Average weight</v>
      </c>
      <c r="J817" s="2" t="str" cm="1">
        <f t="array" ref="J817">_xlfn.IFS(G817&lt;164,"Below Average height",G817&gt;=165,"Above Average height",G817=164,"Average height")</f>
        <v>Above Average height</v>
      </c>
      <c r="K817" s="2" t="str" cm="1">
        <f t="array" ref="K817">_xlfn.IFS(E817&lt;=16,"Children",E817&lt;=30,"Young Adults",E817&lt;=45,"Middle-aged Adults",E817&gt;45,"Old Adults")</f>
        <v>Young Adults</v>
      </c>
    </row>
    <row r="818" spans="1:11" x14ac:dyDescent="0.45">
      <c r="A818" s="2">
        <v>960</v>
      </c>
      <c r="B818" s="2" t="s">
        <v>1065</v>
      </c>
      <c r="C818" s="2" t="s">
        <v>86</v>
      </c>
      <c r="D818" s="2" t="s">
        <v>26</v>
      </c>
      <c r="E818" s="2">
        <v>25</v>
      </c>
      <c r="F818" s="2">
        <v>55</v>
      </c>
      <c r="G818" s="2">
        <v>179</v>
      </c>
      <c r="H818" s="9">
        <f t="shared" si="12"/>
        <v>17.165506694547613</v>
      </c>
      <c r="I818" s="2" t="str" cm="1">
        <f t="array" ref="I818">_xlfn.IFS(F818&gt;=100,"Over weight",F818&lt;100,"Average weight")</f>
        <v>Average weight</v>
      </c>
      <c r="J818" s="2" t="str" cm="1">
        <f t="array" ref="J818">_xlfn.IFS(G818&lt;164,"Below Average height",G818&gt;=165,"Above Average height",G818=164,"Average height")</f>
        <v>Above Average height</v>
      </c>
      <c r="K818" s="2" t="str" cm="1">
        <f t="array" ref="K818">_xlfn.IFS(E818&lt;=16,"Children",E818&lt;=30,"Young Adults",E818&lt;=45,"Middle-aged Adults",E818&gt;45,"Old Adults")</f>
        <v>Young Adults</v>
      </c>
    </row>
    <row r="819" spans="1:11" x14ac:dyDescent="0.45">
      <c r="A819" s="2">
        <v>961</v>
      </c>
      <c r="B819" s="2" t="s">
        <v>1066</v>
      </c>
      <c r="C819" s="2" t="s">
        <v>95</v>
      </c>
      <c r="D819" s="2" t="s">
        <v>80</v>
      </c>
      <c r="E819" s="2">
        <v>24</v>
      </c>
      <c r="F819" s="2">
        <v>73</v>
      </c>
      <c r="G819" s="2">
        <v>170</v>
      </c>
      <c r="H819" s="9">
        <f t="shared" si="12"/>
        <v>25.259515570934258</v>
      </c>
      <c r="I819" s="2" t="str" cm="1">
        <f t="array" ref="I819">_xlfn.IFS(F819&gt;=100,"Over weight",F819&lt;100,"Average weight")</f>
        <v>Average weight</v>
      </c>
      <c r="J819" s="2" t="str" cm="1">
        <f t="array" ref="J819">_xlfn.IFS(G819&lt;164,"Below Average height",G819&gt;=165,"Above Average height",G819=164,"Average height")</f>
        <v>Above Average height</v>
      </c>
      <c r="K819" s="2" t="str" cm="1">
        <f t="array" ref="K819">_xlfn.IFS(E819&lt;=16,"Children",E819&lt;=30,"Young Adults",E819&lt;=45,"Middle-aged Adults",E819&gt;45,"Old Adults")</f>
        <v>Young Adults</v>
      </c>
    </row>
    <row r="820" spans="1:11" x14ac:dyDescent="0.45">
      <c r="A820" s="2">
        <v>962</v>
      </c>
      <c r="B820" s="2" t="s">
        <v>1067</v>
      </c>
      <c r="C820" s="2" t="s">
        <v>85</v>
      </c>
      <c r="D820" s="2" t="s">
        <v>2</v>
      </c>
      <c r="E820" s="2">
        <v>18</v>
      </c>
      <c r="F820" s="2">
        <v>70</v>
      </c>
      <c r="G820" s="2">
        <v>172</v>
      </c>
      <c r="H820" s="9">
        <f t="shared" si="12"/>
        <v>23.661438615467823</v>
      </c>
      <c r="I820" s="2" t="str" cm="1">
        <f t="array" ref="I820">_xlfn.IFS(F820&gt;=100,"Over weight",F820&lt;100,"Average weight")</f>
        <v>Average weight</v>
      </c>
      <c r="J820" s="2" t="str" cm="1">
        <f t="array" ref="J820">_xlfn.IFS(G820&lt;164,"Below Average height",G820&gt;=165,"Above Average height",G820=164,"Average height")</f>
        <v>Above Average height</v>
      </c>
      <c r="K820" s="2" t="str" cm="1">
        <f t="array" ref="K820">_xlfn.IFS(E820&lt;=16,"Children",E820&lt;=30,"Young Adults",E820&lt;=45,"Middle-aged Adults",E820&gt;45,"Old Adults")</f>
        <v>Young Adults</v>
      </c>
    </row>
    <row r="821" spans="1:11" x14ac:dyDescent="0.45">
      <c r="A821" s="2">
        <v>963</v>
      </c>
      <c r="B821" s="2" t="s">
        <v>1068</v>
      </c>
      <c r="C821" s="2" t="s">
        <v>85</v>
      </c>
      <c r="D821" s="2" t="s">
        <v>44</v>
      </c>
      <c r="E821" s="2">
        <v>21</v>
      </c>
      <c r="F821" s="2">
        <v>74</v>
      </c>
      <c r="G821" s="2">
        <v>180</v>
      </c>
      <c r="H821" s="9">
        <f t="shared" si="12"/>
        <v>22.839506172839506</v>
      </c>
      <c r="I821" s="2" t="str" cm="1">
        <f t="array" ref="I821">_xlfn.IFS(F821&gt;=100,"Over weight",F821&lt;100,"Average weight")</f>
        <v>Average weight</v>
      </c>
      <c r="J821" s="2" t="str" cm="1">
        <f t="array" ref="J821">_xlfn.IFS(G821&lt;164,"Below Average height",G821&gt;=165,"Above Average height",G821=164,"Average height")</f>
        <v>Above Average height</v>
      </c>
      <c r="K821" s="2" t="str" cm="1">
        <f t="array" ref="K821">_xlfn.IFS(E821&lt;=16,"Children",E821&lt;=30,"Young Adults",E821&lt;=45,"Middle-aged Adults",E821&gt;45,"Old Adults")</f>
        <v>Young Adults</v>
      </c>
    </row>
    <row r="822" spans="1:11" x14ac:dyDescent="0.45">
      <c r="A822" s="2">
        <v>964</v>
      </c>
      <c r="B822" s="2" t="s">
        <v>1069</v>
      </c>
      <c r="C822" s="2" t="s">
        <v>91</v>
      </c>
      <c r="D822" s="2" t="s">
        <v>70</v>
      </c>
      <c r="E822" s="2">
        <v>26</v>
      </c>
      <c r="F822" s="2">
        <v>110</v>
      </c>
      <c r="G822" s="2">
        <v>195</v>
      </c>
      <c r="H822" s="9">
        <f t="shared" si="12"/>
        <v>28.928336620644316</v>
      </c>
      <c r="I822" s="2" t="str" cm="1">
        <f t="array" ref="I822">_xlfn.IFS(F822&gt;=100,"Over weight",F822&lt;100,"Average weight")</f>
        <v>Over weight</v>
      </c>
      <c r="J822" s="2" t="str" cm="1">
        <f t="array" ref="J822">_xlfn.IFS(G822&lt;164,"Below Average height",G822&gt;=165,"Above Average height",G822=164,"Average height")</f>
        <v>Above Average height</v>
      </c>
      <c r="K822" s="2" t="str" cm="1">
        <f t="array" ref="K822">_xlfn.IFS(E822&lt;=16,"Children",E822&lt;=30,"Young Adults",E822&lt;=45,"Middle-aged Adults",E822&gt;45,"Old Adults")</f>
        <v>Young Adults</v>
      </c>
    </row>
    <row r="823" spans="1:11" x14ac:dyDescent="0.45">
      <c r="A823" s="2">
        <v>965</v>
      </c>
      <c r="B823" s="2" t="s">
        <v>1070</v>
      </c>
      <c r="C823" s="2" t="s">
        <v>91</v>
      </c>
      <c r="D823" s="2" t="s">
        <v>70</v>
      </c>
      <c r="E823" s="2">
        <v>22</v>
      </c>
      <c r="F823" s="2">
        <v>66</v>
      </c>
      <c r="G823" s="2">
        <v>170</v>
      </c>
      <c r="H823" s="9">
        <f t="shared" si="12"/>
        <v>22.837370242214536</v>
      </c>
      <c r="I823" s="2" t="str" cm="1">
        <f t="array" ref="I823">_xlfn.IFS(F823&gt;=100,"Over weight",F823&lt;100,"Average weight")</f>
        <v>Average weight</v>
      </c>
      <c r="J823" s="2" t="str" cm="1">
        <f t="array" ref="J823">_xlfn.IFS(G823&lt;164,"Below Average height",G823&gt;=165,"Above Average height",G823=164,"Average height")</f>
        <v>Above Average height</v>
      </c>
      <c r="K823" s="2" t="str" cm="1">
        <f t="array" ref="K823">_xlfn.IFS(E823&lt;=16,"Children",E823&lt;=30,"Young Adults",E823&lt;=45,"Middle-aged Adults",E823&gt;45,"Old Adults")</f>
        <v>Young Adults</v>
      </c>
    </row>
    <row r="824" spans="1:11" x14ac:dyDescent="0.45">
      <c r="A824" s="2">
        <v>968</v>
      </c>
      <c r="B824" s="2" t="s">
        <v>1073</v>
      </c>
      <c r="C824" s="2" t="s">
        <v>95</v>
      </c>
      <c r="D824" s="2" t="s">
        <v>66</v>
      </c>
      <c r="E824" s="2">
        <v>24</v>
      </c>
      <c r="F824" s="2">
        <v>79</v>
      </c>
      <c r="G824" s="2">
        <v>184</v>
      </c>
      <c r="H824" s="9">
        <f t="shared" si="12"/>
        <v>23.334120982986768</v>
      </c>
      <c r="I824" s="2" t="str" cm="1">
        <f t="array" ref="I824">_xlfn.IFS(F824&gt;=100,"Over weight",F824&lt;100,"Average weight")</f>
        <v>Average weight</v>
      </c>
      <c r="J824" s="2" t="str" cm="1">
        <f t="array" ref="J824">_xlfn.IFS(G824&lt;164,"Below Average height",G824&gt;=165,"Above Average height",G824=164,"Average height")</f>
        <v>Above Average height</v>
      </c>
      <c r="K824" s="2" t="str" cm="1">
        <f t="array" ref="K824">_xlfn.IFS(E824&lt;=16,"Children",E824&lt;=30,"Young Adults",E824&lt;=45,"Middle-aged Adults",E824&gt;45,"Old Adults")</f>
        <v>Young Adults</v>
      </c>
    </row>
    <row r="825" spans="1:11" x14ac:dyDescent="0.45">
      <c r="A825" s="2">
        <v>969</v>
      </c>
      <c r="B825" s="2" t="s">
        <v>1074</v>
      </c>
      <c r="C825" s="2" t="s">
        <v>95</v>
      </c>
      <c r="D825" s="2" t="s">
        <v>35</v>
      </c>
      <c r="E825" s="2">
        <v>28</v>
      </c>
      <c r="F825" s="2">
        <v>85</v>
      </c>
      <c r="G825" s="2">
        <v>183</v>
      </c>
      <c r="H825" s="9">
        <f t="shared" si="12"/>
        <v>25.381468541909282</v>
      </c>
      <c r="I825" s="2" t="str" cm="1">
        <f t="array" ref="I825">_xlfn.IFS(F825&gt;=100,"Over weight",F825&lt;100,"Average weight")</f>
        <v>Average weight</v>
      </c>
      <c r="J825" s="2" t="str" cm="1">
        <f t="array" ref="J825">_xlfn.IFS(G825&lt;164,"Below Average height",G825&gt;=165,"Above Average height",G825=164,"Average height")</f>
        <v>Above Average height</v>
      </c>
      <c r="K825" s="2" t="str" cm="1">
        <f t="array" ref="K825">_xlfn.IFS(E825&lt;=16,"Children",E825&lt;=30,"Young Adults",E825&lt;=45,"Middle-aged Adults",E825&gt;45,"Old Adults")</f>
        <v>Young Adults</v>
      </c>
    </row>
    <row r="826" spans="1:11" x14ac:dyDescent="0.45">
      <c r="A826" s="2">
        <v>970</v>
      </c>
      <c r="B826" s="2" t="s">
        <v>1075</v>
      </c>
      <c r="C826" s="2" t="s">
        <v>91</v>
      </c>
      <c r="D826" s="2" t="s">
        <v>21</v>
      </c>
      <c r="E826" s="2">
        <v>31</v>
      </c>
      <c r="F826" s="2">
        <v>85</v>
      </c>
      <c r="G826" s="2">
        <v>187</v>
      </c>
      <c r="H826" s="9">
        <f t="shared" si="12"/>
        <v>24.307243558580453</v>
      </c>
      <c r="I826" s="2" t="str" cm="1">
        <f t="array" ref="I826">_xlfn.IFS(F826&gt;=100,"Over weight",F826&lt;100,"Average weight")</f>
        <v>Average weight</v>
      </c>
      <c r="J826" s="2" t="str" cm="1">
        <f t="array" ref="J826">_xlfn.IFS(G826&lt;164,"Below Average height",G826&gt;=165,"Above Average height",G826=164,"Average height")</f>
        <v>Above Average height</v>
      </c>
      <c r="K826" s="2" t="str" cm="1">
        <f t="array" ref="K826">_xlfn.IFS(E826&lt;=16,"Children",E826&lt;=30,"Young Adults",E826&lt;=45,"Middle-aged Adults",E826&gt;45,"Old Adults")</f>
        <v>Middle-aged Adults</v>
      </c>
    </row>
    <row r="827" spans="1:11" x14ac:dyDescent="0.45">
      <c r="A827" s="2">
        <v>971</v>
      </c>
      <c r="B827" s="2" t="s">
        <v>1076</v>
      </c>
      <c r="C827" s="2" t="s">
        <v>88</v>
      </c>
      <c r="D827" s="2" t="s">
        <v>23</v>
      </c>
      <c r="E827" s="2">
        <v>23</v>
      </c>
      <c r="F827" s="2">
        <v>66</v>
      </c>
      <c r="G827" s="2">
        <v>178</v>
      </c>
      <c r="H827" s="9">
        <f t="shared" si="12"/>
        <v>20.830703194041156</v>
      </c>
      <c r="I827" s="2" t="str" cm="1">
        <f t="array" ref="I827">_xlfn.IFS(F827&gt;=100,"Over weight",F827&lt;100,"Average weight")</f>
        <v>Average weight</v>
      </c>
      <c r="J827" s="2" t="str" cm="1">
        <f t="array" ref="J827">_xlfn.IFS(G827&lt;164,"Below Average height",G827&gt;=165,"Above Average height",G827=164,"Average height")</f>
        <v>Above Average height</v>
      </c>
      <c r="K827" s="2" t="str" cm="1">
        <f t="array" ref="K827">_xlfn.IFS(E827&lt;=16,"Children",E827&lt;=30,"Young Adults",E827&lt;=45,"Middle-aged Adults",E827&gt;45,"Old Adults")</f>
        <v>Young Adults</v>
      </c>
    </row>
    <row r="828" spans="1:11" x14ac:dyDescent="0.45">
      <c r="A828" s="2">
        <v>972</v>
      </c>
      <c r="B828" s="2" t="s">
        <v>1077</v>
      </c>
      <c r="C828" s="2" t="s">
        <v>85</v>
      </c>
      <c r="D828" s="2" t="s">
        <v>36</v>
      </c>
      <c r="E828" s="2">
        <v>21</v>
      </c>
      <c r="F828" s="2">
        <v>60</v>
      </c>
      <c r="G828" s="2">
        <v>168</v>
      </c>
      <c r="H828" s="9">
        <f t="shared" si="12"/>
        <v>21.258503401360546</v>
      </c>
      <c r="I828" s="2" t="str" cm="1">
        <f t="array" ref="I828">_xlfn.IFS(F828&gt;=100,"Over weight",F828&lt;100,"Average weight")</f>
        <v>Average weight</v>
      </c>
      <c r="J828" s="2" t="str" cm="1">
        <f t="array" ref="J828">_xlfn.IFS(G828&lt;164,"Below Average height",G828&gt;=165,"Above Average height",G828=164,"Average height")</f>
        <v>Above Average height</v>
      </c>
      <c r="K828" s="2" t="str" cm="1">
        <f t="array" ref="K828">_xlfn.IFS(E828&lt;=16,"Children",E828&lt;=30,"Young Adults",E828&lt;=45,"Middle-aged Adults",E828&gt;45,"Old Adults")</f>
        <v>Young Adults</v>
      </c>
    </row>
    <row r="829" spans="1:11" x14ac:dyDescent="0.45">
      <c r="A829" s="2">
        <v>974</v>
      </c>
      <c r="B829" s="2" t="s">
        <v>1079</v>
      </c>
      <c r="C829" s="2" t="s">
        <v>91</v>
      </c>
      <c r="D829" s="2" t="s">
        <v>66</v>
      </c>
      <c r="E829" s="2">
        <v>29</v>
      </c>
      <c r="F829" s="2">
        <v>96</v>
      </c>
      <c r="G829" s="2">
        <v>189</v>
      </c>
      <c r="H829" s="9">
        <f t="shared" si="12"/>
        <v>26.874947509868147</v>
      </c>
      <c r="I829" s="2" t="str" cm="1">
        <f t="array" ref="I829">_xlfn.IFS(F829&gt;=100,"Over weight",F829&lt;100,"Average weight")</f>
        <v>Average weight</v>
      </c>
      <c r="J829" s="2" t="str" cm="1">
        <f t="array" ref="J829">_xlfn.IFS(G829&lt;164,"Below Average height",G829&gt;=165,"Above Average height",G829=164,"Average height")</f>
        <v>Above Average height</v>
      </c>
      <c r="K829" s="2" t="str" cm="1">
        <f t="array" ref="K829">_xlfn.IFS(E829&lt;=16,"Children",E829&lt;=30,"Young Adults",E829&lt;=45,"Middle-aged Adults",E829&gt;45,"Old Adults")</f>
        <v>Young Adults</v>
      </c>
    </row>
    <row r="830" spans="1:11" x14ac:dyDescent="0.45">
      <c r="A830" s="2">
        <v>975</v>
      </c>
      <c r="B830" s="2" t="s">
        <v>1080</v>
      </c>
      <c r="C830" s="2" t="s">
        <v>88</v>
      </c>
      <c r="D830" s="2" t="s">
        <v>70</v>
      </c>
      <c r="E830" s="2">
        <v>28</v>
      </c>
      <c r="F830" s="2">
        <v>56</v>
      </c>
      <c r="G830" s="2">
        <v>170</v>
      </c>
      <c r="H830" s="9">
        <f t="shared" si="12"/>
        <v>19.377162629757787</v>
      </c>
      <c r="I830" s="2" t="str" cm="1">
        <f t="array" ref="I830">_xlfn.IFS(F830&gt;=100,"Over weight",F830&lt;100,"Average weight")</f>
        <v>Average weight</v>
      </c>
      <c r="J830" s="2" t="str" cm="1">
        <f t="array" ref="J830">_xlfn.IFS(G830&lt;164,"Below Average height",G830&gt;=165,"Above Average height",G830=164,"Average height")</f>
        <v>Above Average height</v>
      </c>
      <c r="K830" s="2" t="str" cm="1">
        <f t="array" ref="K830">_xlfn.IFS(E830&lt;=16,"Children",E830&lt;=30,"Young Adults",E830&lt;=45,"Middle-aged Adults",E830&gt;45,"Old Adults")</f>
        <v>Young Adults</v>
      </c>
    </row>
    <row r="831" spans="1:11" x14ac:dyDescent="0.45">
      <c r="A831" s="2">
        <v>977</v>
      </c>
      <c r="B831" s="2" t="s">
        <v>1082</v>
      </c>
      <c r="C831" s="2" t="s">
        <v>95</v>
      </c>
      <c r="D831" s="2" t="s">
        <v>46</v>
      </c>
      <c r="E831" s="2">
        <v>21</v>
      </c>
      <c r="F831" s="2">
        <v>76</v>
      </c>
      <c r="G831" s="2">
        <v>170</v>
      </c>
      <c r="H831" s="9">
        <f t="shared" si="12"/>
        <v>26.297577854671282</v>
      </c>
      <c r="I831" s="2" t="str" cm="1">
        <f t="array" ref="I831">_xlfn.IFS(F831&gt;=100,"Over weight",F831&lt;100,"Average weight")</f>
        <v>Average weight</v>
      </c>
      <c r="J831" s="2" t="str" cm="1">
        <f t="array" ref="J831">_xlfn.IFS(G831&lt;164,"Below Average height",G831&gt;=165,"Above Average height",G831=164,"Average height")</f>
        <v>Above Average height</v>
      </c>
      <c r="K831" s="2" t="str" cm="1">
        <f t="array" ref="K831">_xlfn.IFS(E831&lt;=16,"Children",E831&lt;=30,"Young Adults",E831&lt;=45,"Middle-aged Adults",E831&gt;45,"Old Adults")</f>
        <v>Young Adults</v>
      </c>
    </row>
    <row r="832" spans="1:11" x14ac:dyDescent="0.45">
      <c r="A832" s="2">
        <v>978</v>
      </c>
      <c r="B832" s="2" t="s">
        <v>1083</v>
      </c>
      <c r="C832" s="2" t="s">
        <v>91</v>
      </c>
      <c r="D832" s="2" t="s">
        <v>8</v>
      </c>
      <c r="E832" s="2">
        <v>32</v>
      </c>
      <c r="F832" s="2">
        <v>84</v>
      </c>
      <c r="G832" s="2">
        <v>178</v>
      </c>
      <c r="H832" s="9">
        <f t="shared" si="12"/>
        <v>26.511804065143288</v>
      </c>
      <c r="I832" s="2" t="str" cm="1">
        <f t="array" ref="I832">_xlfn.IFS(F832&gt;=100,"Over weight",F832&lt;100,"Average weight")</f>
        <v>Average weight</v>
      </c>
      <c r="J832" s="2" t="str" cm="1">
        <f t="array" ref="J832">_xlfn.IFS(G832&lt;164,"Below Average height",G832&gt;=165,"Above Average height",G832=164,"Average height")</f>
        <v>Above Average height</v>
      </c>
      <c r="K832" s="2" t="str" cm="1">
        <f t="array" ref="K832">_xlfn.IFS(E832&lt;=16,"Children",E832&lt;=30,"Young Adults",E832&lt;=45,"Middle-aged Adults",E832&gt;45,"Old Adults")</f>
        <v>Middle-aged Adults</v>
      </c>
    </row>
    <row r="833" spans="1:11" x14ac:dyDescent="0.45">
      <c r="A833" s="2">
        <v>979</v>
      </c>
      <c r="B833" s="2" t="s">
        <v>1084</v>
      </c>
      <c r="C833" s="2" t="s">
        <v>85</v>
      </c>
      <c r="D833" s="2" t="s">
        <v>75</v>
      </c>
      <c r="E833" s="2">
        <v>23</v>
      </c>
      <c r="F833" s="2">
        <v>76</v>
      </c>
      <c r="G833" s="2">
        <v>179</v>
      </c>
      <c r="H833" s="9">
        <f t="shared" si="12"/>
        <v>23.719609250647608</v>
      </c>
      <c r="I833" s="2" t="str" cm="1">
        <f t="array" ref="I833">_xlfn.IFS(F833&gt;=100,"Over weight",F833&lt;100,"Average weight")</f>
        <v>Average weight</v>
      </c>
      <c r="J833" s="2" t="str" cm="1">
        <f t="array" ref="J833">_xlfn.IFS(G833&lt;164,"Below Average height",G833&gt;=165,"Above Average height",G833=164,"Average height")</f>
        <v>Above Average height</v>
      </c>
      <c r="K833" s="2" t="str" cm="1">
        <f t="array" ref="K833">_xlfn.IFS(E833&lt;=16,"Children",E833&lt;=30,"Young Adults",E833&lt;=45,"Middle-aged Adults",E833&gt;45,"Old Adults")</f>
        <v>Young Adults</v>
      </c>
    </row>
    <row r="834" spans="1:11" x14ac:dyDescent="0.45">
      <c r="A834" s="2">
        <v>980</v>
      </c>
      <c r="B834" s="2" t="s">
        <v>1085</v>
      </c>
      <c r="C834" s="2" t="s">
        <v>90</v>
      </c>
      <c r="D834" s="2" t="s">
        <v>58</v>
      </c>
      <c r="E834" s="2">
        <v>26</v>
      </c>
      <c r="F834" s="2">
        <v>74</v>
      </c>
      <c r="G834" s="2">
        <v>178</v>
      </c>
      <c r="H834" s="9">
        <f t="shared" ref="H834:H897" si="13" xml:space="preserve"> F834 / (( G834/ 100) ^ 2)</f>
        <v>23.355636914530994</v>
      </c>
      <c r="I834" s="2" t="str" cm="1">
        <f t="array" ref="I834">_xlfn.IFS(F834&gt;=100,"Over weight",F834&lt;100,"Average weight")</f>
        <v>Average weight</v>
      </c>
      <c r="J834" s="2" t="str" cm="1">
        <f t="array" ref="J834">_xlfn.IFS(G834&lt;164,"Below Average height",G834&gt;=165,"Above Average height",G834=164,"Average height")</f>
        <v>Above Average height</v>
      </c>
      <c r="K834" s="2" t="str" cm="1">
        <f t="array" ref="K834">_xlfn.IFS(E834&lt;=16,"Children",E834&lt;=30,"Young Adults",E834&lt;=45,"Middle-aged Adults",E834&gt;45,"Old Adults")</f>
        <v>Young Adults</v>
      </c>
    </row>
    <row r="835" spans="1:11" x14ac:dyDescent="0.45">
      <c r="A835" s="2">
        <v>981</v>
      </c>
      <c r="B835" s="2" t="s">
        <v>1086</v>
      </c>
      <c r="C835" s="2" t="s">
        <v>91</v>
      </c>
      <c r="D835" s="2" t="s">
        <v>80</v>
      </c>
      <c r="E835" s="2">
        <v>21</v>
      </c>
      <c r="F835" s="2">
        <v>81</v>
      </c>
      <c r="G835" s="2">
        <v>178</v>
      </c>
      <c r="H835" s="9">
        <f t="shared" si="13"/>
        <v>25.564953919959599</v>
      </c>
      <c r="I835" s="2" t="str" cm="1">
        <f t="array" ref="I835">_xlfn.IFS(F835&gt;=100,"Over weight",F835&lt;100,"Average weight")</f>
        <v>Average weight</v>
      </c>
      <c r="J835" s="2" t="str" cm="1">
        <f t="array" ref="J835">_xlfn.IFS(G835&lt;164,"Below Average height",G835&gt;=165,"Above Average height",G835=164,"Average height")</f>
        <v>Above Average height</v>
      </c>
      <c r="K835" s="2" t="str" cm="1">
        <f t="array" ref="K835">_xlfn.IFS(E835&lt;=16,"Children",E835&lt;=30,"Young Adults",E835&lt;=45,"Middle-aged Adults",E835&gt;45,"Old Adults")</f>
        <v>Young Adults</v>
      </c>
    </row>
    <row r="836" spans="1:11" x14ac:dyDescent="0.45">
      <c r="A836" s="2">
        <v>982</v>
      </c>
      <c r="B836" s="2" t="s">
        <v>1087</v>
      </c>
      <c r="C836" s="2" t="s">
        <v>90</v>
      </c>
      <c r="D836" s="2" t="s">
        <v>44</v>
      </c>
      <c r="E836" s="2">
        <v>36</v>
      </c>
      <c r="F836" s="2">
        <v>95</v>
      </c>
      <c r="G836" s="2">
        <v>180</v>
      </c>
      <c r="H836" s="9">
        <f t="shared" si="13"/>
        <v>29.320987654320987</v>
      </c>
      <c r="I836" s="2" t="str" cm="1">
        <f t="array" ref="I836">_xlfn.IFS(F836&gt;=100,"Over weight",F836&lt;100,"Average weight")</f>
        <v>Average weight</v>
      </c>
      <c r="J836" s="2" t="str" cm="1">
        <f t="array" ref="J836">_xlfn.IFS(G836&lt;164,"Below Average height",G836&gt;=165,"Above Average height",G836=164,"Average height")</f>
        <v>Above Average height</v>
      </c>
      <c r="K836" s="2" t="str" cm="1">
        <f t="array" ref="K836">_xlfn.IFS(E836&lt;=16,"Children",E836&lt;=30,"Young Adults",E836&lt;=45,"Middle-aged Adults",E836&gt;45,"Old Adults")</f>
        <v>Middle-aged Adults</v>
      </c>
    </row>
    <row r="837" spans="1:11" x14ac:dyDescent="0.45">
      <c r="A837" s="2">
        <v>983</v>
      </c>
      <c r="B837" s="2" t="s">
        <v>1088</v>
      </c>
      <c r="C837" s="2" t="s">
        <v>91</v>
      </c>
      <c r="D837" s="2" t="s">
        <v>25</v>
      </c>
      <c r="E837" s="2">
        <v>31</v>
      </c>
      <c r="F837" s="2">
        <v>80</v>
      </c>
      <c r="G837" s="2">
        <v>177</v>
      </c>
      <c r="H837" s="9">
        <f t="shared" si="13"/>
        <v>25.535446391522228</v>
      </c>
      <c r="I837" s="2" t="str" cm="1">
        <f t="array" ref="I837">_xlfn.IFS(F837&gt;=100,"Over weight",F837&lt;100,"Average weight")</f>
        <v>Average weight</v>
      </c>
      <c r="J837" s="2" t="str" cm="1">
        <f t="array" ref="J837">_xlfn.IFS(G837&lt;164,"Below Average height",G837&gt;=165,"Above Average height",G837=164,"Average height")</f>
        <v>Above Average height</v>
      </c>
      <c r="K837" s="2" t="str" cm="1">
        <f t="array" ref="K837">_xlfn.IFS(E837&lt;=16,"Children",E837&lt;=30,"Young Adults",E837&lt;=45,"Middle-aged Adults",E837&gt;45,"Old Adults")</f>
        <v>Middle-aged Adults</v>
      </c>
    </row>
    <row r="838" spans="1:11" x14ac:dyDescent="0.45">
      <c r="A838" s="2">
        <v>984</v>
      </c>
      <c r="B838" s="2" t="s">
        <v>1089</v>
      </c>
      <c r="C838" s="2" t="s">
        <v>96</v>
      </c>
      <c r="D838" s="2" t="s">
        <v>28</v>
      </c>
      <c r="E838" s="2">
        <v>42</v>
      </c>
      <c r="F838" s="2">
        <v>84</v>
      </c>
      <c r="G838" s="2">
        <v>185</v>
      </c>
      <c r="H838" s="9">
        <f t="shared" si="13"/>
        <v>24.543462381300216</v>
      </c>
      <c r="I838" s="2" t="str" cm="1">
        <f t="array" ref="I838">_xlfn.IFS(F838&gt;=100,"Over weight",F838&lt;100,"Average weight")</f>
        <v>Average weight</v>
      </c>
      <c r="J838" s="2" t="str" cm="1">
        <f t="array" ref="J838">_xlfn.IFS(G838&lt;164,"Below Average height",G838&gt;=165,"Above Average height",G838=164,"Average height")</f>
        <v>Above Average height</v>
      </c>
      <c r="K838" s="2" t="str" cm="1">
        <f t="array" ref="K838">_xlfn.IFS(E838&lt;=16,"Children",E838&lt;=30,"Young Adults",E838&lt;=45,"Middle-aged Adults",E838&gt;45,"Old Adults")</f>
        <v>Middle-aged Adults</v>
      </c>
    </row>
    <row r="839" spans="1:11" x14ac:dyDescent="0.45">
      <c r="A839" s="2">
        <v>985</v>
      </c>
      <c r="B839" s="2" t="s">
        <v>1090</v>
      </c>
      <c r="C839" s="2" t="s">
        <v>91</v>
      </c>
      <c r="D839" s="2" t="s">
        <v>66</v>
      </c>
      <c r="E839" s="2">
        <v>25</v>
      </c>
      <c r="F839" s="2">
        <v>74</v>
      </c>
      <c r="G839" s="2">
        <v>166</v>
      </c>
      <c r="H839" s="9">
        <f t="shared" si="13"/>
        <v>26.854405574103644</v>
      </c>
      <c r="I839" s="2" t="str" cm="1">
        <f t="array" ref="I839">_xlfn.IFS(F839&gt;=100,"Over weight",F839&lt;100,"Average weight")</f>
        <v>Average weight</v>
      </c>
      <c r="J839" s="2" t="str" cm="1">
        <f t="array" ref="J839">_xlfn.IFS(G839&lt;164,"Below Average height",G839&gt;=165,"Above Average height",G839=164,"Average height")</f>
        <v>Above Average height</v>
      </c>
      <c r="K839" s="2" t="str" cm="1">
        <f t="array" ref="K839">_xlfn.IFS(E839&lt;=16,"Children",E839&lt;=30,"Young Adults",E839&lt;=45,"Middle-aged Adults",E839&gt;45,"Old Adults")</f>
        <v>Young Adults</v>
      </c>
    </row>
    <row r="840" spans="1:11" x14ac:dyDescent="0.45">
      <c r="A840" s="2">
        <v>986</v>
      </c>
      <c r="B840" s="2" t="s">
        <v>1091</v>
      </c>
      <c r="C840" s="2" t="s">
        <v>91</v>
      </c>
      <c r="D840" s="2" t="s">
        <v>70</v>
      </c>
      <c r="E840" s="2">
        <v>26</v>
      </c>
      <c r="F840" s="2">
        <v>65</v>
      </c>
      <c r="G840" s="2">
        <v>171</v>
      </c>
      <c r="H840" s="9">
        <f t="shared" si="13"/>
        <v>22.229061933586404</v>
      </c>
      <c r="I840" s="2" t="str" cm="1">
        <f t="array" ref="I840">_xlfn.IFS(F840&gt;=100,"Over weight",F840&lt;100,"Average weight")</f>
        <v>Average weight</v>
      </c>
      <c r="J840" s="2" t="str" cm="1">
        <f t="array" ref="J840">_xlfn.IFS(G840&lt;164,"Below Average height",G840&gt;=165,"Above Average height",G840=164,"Average height")</f>
        <v>Above Average height</v>
      </c>
      <c r="K840" s="2" t="str" cm="1">
        <f t="array" ref="K840">_xlfn.IFS(E840&lt;=16,"Children",E840&lt;=30,"Young Adults",E840&lt;=45,"Middle-aged Adults",E840&gt;45,"Old Adults")</f>
        <v>Young Adults</v>
      </c>
    </row>
    <row r="841" spans="1:11" x14ac:dyDescent="0.45">
      <c r="A841" s="2">
        <v>987</v>
      </c>
      <c r="B841" s="2" t="s">
        <v>1092</v>
      </c>
      <c r="C841" s="2" t="s">
        <v>86</v>
      </c>
      <c r="D841" s="2" t="s">
        <v>78</v>
      </c>
      <c r="E841" s="2">
        <v>24</v>
      </c>
      <c r="F841" s="2">
        <v>84</v>
      </c>
      <c r="G841" s="2">
        <v>165</v>
      </c>
      <c r="H841" s="9">
        <f t="shared" si="13"/>
        <v>30.853994490358129</v>
      </c>
      <c r="I841" s="2" t="str" cm="1">
        <f t="array" ref="I841">_xlfn.IFS(F841&gt;=100,"Over weight",F841&lt;100,"Average weight")</f>
        <v>Average weight</v>
      </c>
      <c r="J841" s="2" t="str" cm="1">
        <f t="array" ref="J841">_xlfn.IFS(G841&lt;164,"Below Average height",G841&gt;=165,"Above Average height",G841=164,"Average height")</f>
        <v>Above Average height</v>
      </c>
      <c r="K841" s="2" t="str" cm="1">
        <f t="array" ref="K841">_xlfn.IFS(E841&lt;=16,"Children",E841&lt;=30,"Young Adults",E841&lt;=45,"Middle-aged Adults",E841&gt;45,"Old Adults")</f>
        <v>Young Adults</v>
      </c>
    </row>
    <row r="842" spans="1:11" x14ac:dyDescent="0.45">
      <c r="A842" s="2">
        <v>988</v>
      </c>
      <c r="B842" s="2" t="s">
        <v>1093</v>
      </c>
      <c r="C842" s="2" t="s">
        <v>91</v>
      </c>
      <c r="D842" s="2" t="s">
        <v>70</v>
      </c>
      <c r="E842" s="2">
        <v>21</v>
      </c>
      <c r="F842" s="2">
        <v>66</v>
      </c>
      <c r="G842" s="2">
        <v>174</v>
      </c>
      <c r="H842" s="9">
        <f t="shared" si="13"/>
        <v>21.799445105033691</v>
      </c>
      <c r="I842" s="2" t="str" cm="1">
        <f t="array" ref="I842">_xlfn.IFS(F842&gt;=100,"Over weight",F842&lt;100,"Average weight")</f>
        <v>Average weight</v>
      </c>
      <c r="J842" s="2" t="str" cm="1">
        <f t="array" ref="J842">_xlfn.IFS(G842&lt;164,"Below Average height",G842&gt;=165,"Above Average height",G842=164,"Average height")</f>
        <v>Above Average height</v>
      </c>
      <c r="K842" s="2" t="str" cm="1">
        <f t="array" ref="K842">_xlfn.IFS(E842&lt;=16,"Children",E842&lt;=30,"Young Adults",E842&lt;=45,"Middle-aged Adults",E842&gt;45,"Old Adults")</f>
        <v>Young Adults</v>
      </c>
    </row>
    <row r="843" spans="1:11" x14ac:dyDescent="0.45">
      <c r="A843" s="2">
        <v>990</v>
      </c>
      <c r="B843" s="2" t="s">
        <v>1095</v>
      </c>
      <c r="C843" s="2" t="s">
        <v>92</v>
      </c>
      <c r="D843" s="2" t="s">
        <v>66</v>
      </c>
      <c r="E843" s="2">
        <v>19</v>
      </c>
      <c r="F843" s="2">
        <v>61</v>
      </c>
      <c r="G843" s="2">
        <v>179</v>
      </c>
      <c r="H843" s="9">
        <f t="shared" si="13"/>
        <v>19.038107424861895</v>
      </c>
      <c r="I843" s="2" t="str" cm="1">
        <f t="array" ref="I843">_xlfn.IFS(F843&gt;=100,"Over weight",F843&lt;100,"Average weight")</f>
        <v>Average weight</v>
      </c>
      <c r="J843" s="2" t="str" cm="1">
        <f t="array" ref="J843">_xlfn.IFS(G843&lt;164,"Below Average height",G843&gt;=165,"Above Average height",G843=164,"Average height")</f>
        <v>Above Average height</v>
      </c>
      <c r="K843" s="2" t="str" cm="1">
        <f t="array" ref="K843">_xlfn.IFS(E843&lt;=16,"Children",E843&lt;=30,"Young Adults",E843&lt;=45,"Middle-aged Adults",E843&gt;45,"Old Adults")</f>
        <v>Young Adults</v>
      </c>
    </row>
    <row r="844" spans="1:11" x14ac:dyDescent="0.45">
      <c r="A844" s="2">
        <v>991</v>
      </c>
      <c r="B844" s="2" t="s">
        <v>1096</v>
      </c>
      <c r="C844" s="2" t="s">
        <v>91</v>
      </c>
      <c r="D844" s="2" t="s">
        <v>8</v>
      </c>
      <c r="E844" s="2">
        <v>25</v>
      </c>
      <c r="F844" s="2">
        <v>90</v>
      </c>
      <c r="G844" s="2">
        <v>180</v>
      </c>
      <c r="H844" s="9">
        <f t="shared" si="13"/>
        <v>27.777777777777775</v>
      </c>
      <c r="I844" s="2" t="str" cm="1">
        <f t="array" ref="I844">_xlfn.IFS(F844&gt;=100,"Over weight",F844&lt;100,"Average weight")</f>
        <v>Average weight</v>
      </c>
      <c r="J844" s="2" t="str" cm="1">
        <f t="array" ref="J844">_xlfn.IFS(G844&lt;164,"Below Average height",G844&gt;=165,"Above Average height",G844=164,"Average height")</f>
        <v>Above Average height</v>
      </c>
      <c r="K844" s="2" t="str" cm="1">
        <f t="array" ref="K844">_xlfn.IFS(E844&lt;=16,"Children",E844&lt;=30,"Young Adults",E844&lt;=45,"Middle-aged Adults",E844&gt;45,"Old Adults")</f>
        <v>Young Adults</v>
      </c>
    </row>
    <row r="845" spans="1:11" x14ac:dyDescent="0.45">
      <c r="A845" s="2">
        <v>992</v>
      </c>
      <c r="B845" s="2" t="s">
        <v>1097</v>
      </c>
      <c r="C845" s="2" t="s">
        <v>99</v>
      </c>
      <c r="D845" s="2" t="s">
        <v>11</v>
      </c>
      <c r="E845" s="2">
        <v>18</v>
      </c>
      <c r="F845" s="2">
        <v>52</v>
      </c>
      <c r="G845" s="2">
        <v>168</v>
      </c>
      <c r="H845" s="9">
        <f t="shared" si="13"/>
        <v>18.424036281179141</v>
      </c>
      <c r="I845" s="2" t="str" cm="1">
        <f t="array" ref="I845">_xlfn.IFS(F845&gt;=100,"Over weight",F845&lt;100,"Average weight")</f>
        <v>Average weight</v>
      </c>
      <c r="J845" s="2" t="str" cm="1">
        <f t="array" ref="J845">_xlfn.IFS(G845&lt;164,"Below Average height",G845&gt;=165,"Above Average height",G845=164,"Average height")</f>
        <v>Above Average height</v>
      </c>
      <c r="K845" s="2" t="str" cm="1">
        <f t="array" ref="K845">_xlfn.IFS(E845&lt;=16,"Children",E845&lt;=30,"Young Adults",E845&lt;=45,"Middle-aged Adults",E845&gt;45,"Old Adults")</f>
        <v>Young Adults</v>
      </c>
    </row>
    <row r="846" spans="1:11" x14ac:dyDescent="0.45">
      <c r="A846" s="2">
        <v>993</v>
      </c>
      <c r="B846" s="2" t="s">
        <v>1098</v>
      </c>
      <c r="C846" s="2" t="s">
        <v>93</v>
      </c>
      <c r="D846" s="2" t="s">
        <v>6</v>
      </c>
      <c r="E846" s="2">
        <v>24</v>
      </c>
      <c r="F846" s="2">
        <v>87</v>
      </c>
      <c r="G846" s="2">
        <v>185</v>
      </c>
      <c r="H846" s="9">
        <f t="shared" si="13"/>
        <v>25.420014609203797</v>
      </c>
      <c r="I846" s="2" t="str" cm="1">
        <f t="array" ref="I846">_xlfn.IFS(F846&gt;=100,"Over weight",F846&lt;100,"Average weight")</f>
        <v>Average weight</v>
      </c>
      <c r="J846" s="2" t="str" cm="1">
        <f t="array" ref="J846">_xlfn.IFS(G846&lt;164,"Below Average height",G846&gt;=165,"Above Average height",G846=164,"Average height")</f>
        <v>Above Average height</v>
      </c>
      <c r="K846" s="2" t="str" cm="1">
        <f t="array" ref="K846">_xlfn.IFS(E846&lt;=16,"Children",E846&lt;=30,"Young Adults",E846&lt;=45,"Middle-aged Adults",E846&gt;45,"Old Adults")</f>
        <v>Young Adults</v>
      </c>
    </row>
    <row r="847" spans="1:11" x14ac:dyDescent="0.45">
      <c r="A847" s="2">
        <v>994</v>
      </c>
      <c r="B847" s="2" t="s">
        <v>1099</v>
      </c>
      <c r="C847" s="2" t="s">
        <v>85</v>
      </c>
      <c r="D847" s="2" t="s">
        <v>60</v>
      </c>
      <c r="E847" s="2">
        <v>34</v>
      </c>
      <c r="F847" s="2">
        <v>84</v>
      </c>
      <c r="G847" s="2">
        <v>189</v>
      </c>
      <c r="H847" s="9">
        <f t="shared" si="13"/>
        <v>23.515579071134628</v>
      </c>
      <c r="I847" s="2" t="str" cm="1">
        <f t="array" ref="I847">_xlfn.IFS(F847&gt;=100,"Over weight",F847&lt;100,"Average weight")</f>
        <v>Average weight</v>
      </c>
      <c r="J847" s="2" t="str" cm="1">
        <f t="array" ref="J847">_xlfn.IFS(G847&lt;164,"Below Average height",G847&gt;=165,"Above Average height",G847=164,"Average height")</f>
        <v>Above Average height</v>
      </c>
      <c r="K847" s="2" t="str" cm="1">
        <f t="array" ref="K847">_xlfn.IFS(E847&lt;=16,"Children",E847&lt;=30,"Young Adults",E847&lt;=45,"Middle-aged Adults",E847&gt;45,"Old Adults")</f>
        <v>Middle-aged Adults</v>
      </c>
    </row>
    <row r="848" spans="1:11" x14ac:dyDescent="0.45">
      <c r="A848" s="2">
        <v>995</v>
      </c>
      <c r="B848" s="2" t="s">
        <v>1100</v>
      </c>
      <c r="C848" s="2" t="s">
        <v>94</v>
      </c>
      <c r="D848" s="2" t="s">
        <v>8</v>
      </c>
      <c r="E848" s="2">
        <v>22</v>
      </c>
      <c r="F848" s="2">
        <v>80</v>
      </c>
      <c r="G848" s="2">
        <v>187</v>
      </c>
      <c r="H848" s="9">
        <f t="shared" si="13"/>
        <v>22.877405702193368</v>
      </c>
      <c r="I848" s="2" t="str" cm="1">
        <f t="array" ref="I848">_xlfn.IFS(F848&gt;=100,"Over weight",F848&lt;100,"Average weight")</f>
        <v>Average weight</v>
      </c>
      <c r="J848" s="2" t="str" cm="1">
        <f t="array" ref="J848">_xlfn.IFS(G848&lt;164,"Below Average height",G848&gt;=165,"Above Average height",G848=164,"Average height")</f>
        <v>Above Average height</v>
      </c>
      <c r="K848" s="2" t="str" cm="1">
        <f t="array" ref="K848">_xlfn.IFS(E848&lt;=16,"Children",E848&lt;=30,"Young Adults",E848&lt;=45,"Middle-aged Adults",E848&gt;45,"Old Adults")</f>
        <v>Young Adults</v>
      </c>
    </row>
    <row r="849" spans="1:11" x14ac:dyDescent="0.45">
      <c r="A849" s="2">
        <v>996</v>
      </c>
      <c r="B849" s="2" t="s">
        <v>1101</v>
      </c>
      <c r="C849" s="2" t="s">
        <v>94</v>
      </c>
      <c r="D849" s="2" t="s">
        <v>23</v>
      </c>
      <c r="E849" s="2">
        <v>24</v>
      </c>
      <c r="F849" s="2">
        <v>81</v>
      </c>
      <c r="G849" s="2">
        <v>192</v>
      </c>
      <c r="H849" s="9">
        <f t="shared" si="13"/>
        <v>21.97265625</v>
      </c>
      <c r="I849" s="2" t="str" cm="1">
        <f t="array" ref="I849">_xlfn.IFS(F849&gt;=100,"Over weight",F849&lt;100,"Average weight")</f>
        <v>Average weight</v>
      </c>
      <c r="J849" s="2" t="str" cm="1">
        <f t="array" ref="J849">_xlfn.IFS(G849&lt;164,"Below Average height",G849&gt;=165,"Above Average height",G849=164,"Average height")</f>
        <v>Above Average height</v>
      </c>
      <c r="K849" s="2" t="str" cm="1">
        <f t="array" ref="K849">_xlfn.IFS(E849&lt;=16,"Children",E849&lt;=30,"Young Adults",E849&lt;=45,"Middle-aged Adults",E849&gt;45,"Old Adults")</f>
        <v>Young Adults</v>
      </c>
    </row>
    <row r="850" spans="1:11" x14ac:dyDescent="0.45">
      <c r="A850" s="2">
        <v>997</v>
      </c>
      <c r="B850" s="2" t="s">
        <v>1102</v>
      </c>
      <c r="C850" s="2" t="s">
        <v>92</v>
      </c>
      <c r="D850" s="2" t="s">
        <v>42</v>
      </c>
      <c r="E850" s="2">
        <v>28</v>
      </c>
      <c r="F850" s="2">
        <v>64</v>
      </c>
      <c r="G850" s="2">
        <v>179</v>
      </c>
      <c r="H850" s="9">
        <f t="shared" si="13"/>
        <v>19.97440779001904</v>
      </c>
      <c r="I850" s="2" t="str" cm="1">
        <f t="array" ref="I850">_xlfn.IFS(F850&gt;=100,"Over weight",F850&lt;100,"Average weight")</f>
        <v>Average weight</v>
      </c>
      <c r="J850" s="2" t="str" cm="1">
        <f t="array" ref="J850">_xlfn.IFS(G850&lt;164,"Below Average height",G850&gt;=165,"Above Average height",G850=164,"Average height")</f>
        <v>Above Average height</v>
      </c>
      <c r="K850" s="2" t="str" cm="1">
        <f t="array" ref="K850">_xlfn.IFS(E850&lt;=16,"Children",E850&lt;=30,"Young Adults",E850&lt;=45,"Middle-aged Adults",E850&gt;45,"Old Adults")</f>
        <v>Young Adults</v>
      </c>
    </row>
    <row r="851" spans="1:11" x14ac:dyDescent="0.45">
      <c r="A851" s="2">
        <v>998</v>
      </c>
      <c r="B851" s="2" t="s">
        <v>1103</v>
      </c>
      <c r="C851" s="2" t="s">
        <v>93</v>
      </c>
      <c r="D851" s="2" t="s">
        <v>28</v>
      </c>
      <c r="E851" s="2">
        <v>24</v>
      </c>
      <c r="F851" s="2">
        <v>68</v>
      </c>
      <c r="G851" s="2">
        <v>174</v>
      </c>
      <c r="H851" s="9">
        <f t="shared" si="13"/>
        <v>22.460034350640772</v>
      </c>
      <c r="I851" s="2" t="str" cm="1">
        <f t="array" ref="I851">_xlfn.IFS(F851&gt;=100,"Over weight",F851&lt;100,"Average weight")</f>
        <v>Average weight</v>
      </c>
      <c r="J851" s="2" t="str" cm="1">
        <f t="array" ref="J851">_xlfn.IFS(G851&lt;164,"Below Average height",G851&gt;=165,"Above Average height",G851=164,"Average height")</f>
        <v>Above Average height</v>
      </c>
      <c r="K851" s="2" t="str" cm="1">
        <f t="array" ref="K851">_xlfn.IFS(E851&lt;=16,"Children",E851&lt;=30,"Young Adults",E851&lt;=45,"Middle-aged Adults",E851&gt;45,"Old Adults")</f>
        <v>Young Adults</v>
      </c>
    </row>
    <row r="852" spans="1:11" x14ac:dyDescent="0.45">
      <c r="A852" s="2">
        <v>999</v>
      </c>
      <c r="B852" s="2" t="s">
        <v>1104</v>
      </c>
      <c r="C852" s="2" t="s">
        <v>91</v>
      </c>
      <c r="D852" s="2" t="s">
        <v>46</v>
      </c>
      <c r="E852" s="2">
        <v>23</v>
      </c>
      <c r="F852" s="2">
        <v>80</v>
      </c>
      <c r="G852" s="2">
        <v>178</v>
      </c>
      <c r="H852" s="9">
        <f t="shared" si="13"/>
        <v>25.249337204898371</v>
      </c>
      <c r="I852" s="2" t="str" cm="1">
        <f t="array" ref="I852">_xlfn.IFS(F852&gt;=100,"Over weight",F852&lt;100,"Average weight")</f>
        <v>Average weight</v>
      </c>
      <c r="J852" s="2" t="str" cm="1">
        <f t="array" ref="J852">_xlfn.IFS(G852&lt;164,"Below Average height",G852&gt;=165,"Above Average height",G852=164,"Average height")</f>
        <v>Above Average height</v>
      </c>
      <c r="K852" s="2" t="str" cm="1">
        <f t="array" ref="K852">_xlfn.IFS(E852&lt;=16,"Children",E852&lt;=30,"Young Adults",E852&lt;=45,"Middle-aged Adults",E852&gt;45,"Old Adults")</f>
        <v>Young Adults</v>
      </c>
    </row>
    <row r="853" spans="1:11" x14ac:dyDescent="0.45">
      <c r="A853" s="2">
        <v>1000</v>
      </c>
      <c r="B853" s="2" t="s">
        <v>1105</v>
      </c>
      <c r="C853" s="2" t="s">
        <v>91</v>
      </c>
      <c r="D853" s="2" t="s">
        <v>25</v>
      </c>
      <c r="E853" s="2">
        <v>19</v>
      </c>
      <c r="F853" s="2">
        <v>69</v>
      </c>
      <c r="G853" s="2">
        <v>166</v>
      </c>
      <c r="H853" s="9">
        <f t="shared" si="13"/>
        <v>25.039918710988534</v>
      </c>
      <c r="I853" s="2" t="str" cm="1">
        <f t="array" ref="I853">_xlfn.IFS(F853&gt;=100,"Over weight",F853&lt;100,"Average weight")</f>
        <v>Average weight</v>
      </c>
      <c r="J853" s="2" t="str" cm="1">
        <f t="array" ref="J853">_xlfn.IFS(G853&lt;164,"Below Average height",G853&gt;=165,"Above Average height",G853=164,"Average height")</f>
        <v>Above Average height</v>
      </c>
      <c r="K853" s="2" t="str" cm="1">
        <f t="array" ref="K853">_xlfn.IFS(E853&lt;=16,"Children",E853&lt;=30,"Young Adults",E853&lt;=45,"Middle-aged Adults",E853&gt;45,"Old Adults")</f>
        <v>Young Adults</v>
      </c>
    </row>
    <row r="854" spans="1:11" x14ac:dyDescent="0.45">
      <c r="A854" s="2">
        <v>1001</v>
      </c>
      <c r="B854" s="2" t="s">
        <v>1106</v>
      </c>
      <c r="C854" s="2" t="s">
        <v>92</v>
      </c>
      <c r="D854" s="2" t="s">
        <v>41</v>
      </c>
      <c r="E854" s="2">
        <v>37</v>
      </c>
      <c r="F854" s="2">
        <v>60</v>
      </c>
      <c r="G854" s="2">
        <v>177</v>
      </c>
      <c r="H854" s="9">
        <f t="shared" si="13"/>
        <v>19.151584793641671</v>
      </c>
      <c r="I854" s="2" t="str" cm="1">
        <f t="array" ref="I854">_xlfn.IFS(F854&gt;=100,"Over weight",F854&lt;100,"Average weight")</f>
        <v>Average weight</v>
      </c>
      <c r="J854" s="2" t="str" cm="1">
        <f t="array" ref="J854">_xlfn.IFS(G854&lt;164,"Below Average height",G854&gt;=165,"Above Average height",G854=164,"Average height")</f>
        <v>Above Average height</v>
      </c>
      <c r="K854" s="2" t="str" cm="1">
        <f t="array" ref="K854">_xlfn.IFS(E854&lt;=16,"Children",E854&lt;=30,"Young Adults",E854&lt;=45,"Middle-aged Adults",E854&gt;45,"Old Adults")</f>
        <v>Middle-aged Adults</v>
      </c>
    </row>
    <row r="855" spans="1:11" x14ac:dyDescent="0.45">
      <c r="A855" s="2">
        <v>1003</v>
      </c>
      <c r="B855" s="2" t="s">
        <v>1108</v>
      </c>
      <c r="C855" s="2" t="s">
        <v>85</v>
      </c>
      <c r="D855" s="2" t="s">
        <v>80</v>
      </c>
      <c r="E855" s="2">
        <v>20</v>
      </c>
      <c r="F855" s="2">
        <v>74</v>
      </c>
      <c r="G855" s="2">
        <v>173</v>
      </c>
      <c r="H855" s="9">
        <f t="shared" si="13"/>
        <v>24.725182932941294</v>
      </c>
      <c r="I855" s="2" t="str" cm="1">
        <f t="array" ref="I855">_xlfn.IFS(F855&gt;=100,"Over weight",F855&lt;100,"Average weight")</f>
        <v>Average weight</v>
      </c>
      <c r="J855" s="2" t="str" cm="1">
        <f t="array" ref="J855">_xlfn.IFS(G855&lt;164,"Below Average height",G855&gt;=165,"Above Average height",G855=164,"Average height")</f>
        <v>Above Average height</v>
      </c>
      <c r="K855" s="2" t="str" cm="1">
        <f t="array" ref="K855">_xlfn.IFS(E855&lt;=16,"Children",E855&lt;=30,"Young Adults",E855&lt;=45,"Middle-aged Adults",E855&gt;45,"Old Adults")</f>
        <v>Young Adults</v>
      </c>
    </row>
    <row r="856" spans="1:11" x14ac:dyDescent="0.45">
      <c r="A856" s="2">
        <v>1004</v>
      </c>
      <c r="B856" s="2" t="s">
        <v>1109</v>
      </c>
      <c r="C856" s="2" t="s">
        <v>89</v>
      </c>
      <c r="D856" s="2" t="s">
        <v>41</v>
      </c>
      <c r="E856" s="2">
        <v>25</v>
      </c>
      <c r="F856" s="2">
        <v>65</v>
      </c>
      <c r="G856" s="2">
        <v>165</v>
      </c>
      <c r="H856" s="9">
        <f t="shared" si="13"/>
        <v>23.875114784205696</v>
      </c>
      <c r="I856" s="2" t="str" cm="1">
        <f t="array" ref="I856">_xlfn.IFS(F856&gt;=100,"Over weight",F856&lt;100,"Average weight")</f>
        <v>Average weight</v>
      </c>
      <c r="J856" s="2" t="str" cm="1">
        <f t="array" ref="J856">_xlfn.IFS(G856&lt;164,"Below Average height",G856&gt;=165,"Above Average height",G856=164,"Average height")</f>
        <v>Above Average height</v>
      </c>
      <c r="K856" s="2" t="str" cm="1">
        <f t="array" ref="K856">_xlfn.IFS(E856&lt;=16,"Children",E856&lt;=30,"Young Adults",E856&lt;=45,"Middle-aged Adults",E856&gt;45,"Old Adults")</f>
        <v>Young Adults</v>
      </c>
    </row>
    <row r="857" spans="1:11" x14ac:dyDescent="0.45">
      <c r="A857" s="2">
        <v>1005</v>
      </c>
      <c r="B857" s="2" t="s">
        <v>1110</v>
      </c>
      <c r="C857" s="2" t="s">
        <v>97</v>
      </c>
      <c r="D857" s="2" t="s">
        <v>41</v>
      </c>
      <c r="E857" s="2">
        <v>25</v>
      </c>
      <c r="F857" s="2">
        <v>59</v>
      </c>
      <c r="G857" s="2">
        <v>169</v>
      </c>
      <c r="H857" s="9">
        <f t="shared" si="13"/>
        <v>20.65754000210077</v>
      </c>
      <c r="I857" s="2" t="str" cm="1">
        <f t="array" ref="I857">_xlfn.IFS(F857&gt;=100,"Over weight",F857&lt;100,"Average weight")</f>
        <v>Average weight</v>
      </c>
      <c r="J857" s="2" t="str" cm="1">
        <f t="array" ref="J857">_xlfn.IFS(G857&lt;164,"Below Average height",G857&gt;=165,"Above Average height",G857=164,"Average height")</f>
        <v>Above Average height</v>
      </c>
      <c r="K857" s="2" t="str" cm="1">
        <f t="array" ref="K857">_xlfn.IFS(E857&lt;=16,"Children",E857&lt;=30,"Young Adults",E857&lt;=45,"Middle-aged Adults",E857&gt;45,"Old Adults")</f>
        <v>Young Adults</v>
      </c>
    </row>
    <row r="858" spans="1:11" x14ac:dyDescent="0.45">
      <c r="A858" s="2">
        <v>1006</v>
      </c>
      <c r="B858" s="2" t="s">
        <v>1111</v>
      </c>
      <c r="C858" s="2" t="s">
        <v>94</v>
      </c>
      <c r="D858" s="2" t="s">
        <v>25</v>
      </c>
      <c r="E858" s="2">
        <v>32</v>
      </c>
      <c r="F858" s="2">
        <v>74</v>
      </c>
      <c r="G858" s="2">
        <v>181</v>
      </c>
      <c r="H858" s="9">
        <f t="shared" si="13"/>
        <v>22.587833094227893</v>
      </c>
      <c r="I858" s="2" t="str" cm="1">
        <f t="array" ref="I858">_xlfn.IFS(F858&gt;=100,"Over weight",F858&lt;100,"Average weight")</f>
        <v>Average weight</v>
      </c>
      <c r="J858" s="2" t="str" cm="1">
        <f t="array" ref="J858">_xlfn.IFS(G858&lt;164,"Below Average height",G858&gt;=165,"Above Average height",G858=164,"Average height")</f>
        <v>Above Average height</v>
      </c>
      <c r="K858" s="2" t="str" cm="1">
        <f t="array" ref="K858">_xlfn.IFS(E858&lt;=16,"Children",E858&lt;=30,"Young Adults",E858&lt;=45,"Middle-aged Adults",E858&gt;45,"Old Adults")</f>
        <v>Middle-aged Adults</v>
      </c>
    </row>
    <row r="859" spans="1:11" x14ac:dyDescent="0.45">
      <c r="A859" s="2">
        <v>1007</v>
      </c>
      <c r="B859" s="2" t="s">
        <v>1112</v>
      </c>
      <c r="C859" s="2" t="s">
        <v>91</v>
      </c>
      <c r="D859" s="2" t="s">
        <v>60</v>
      </c>
      <c r="E859" s="2">
        <v>30</v>
      </c>
      <c r="F859" s="2">
        <v>84</v>
      </c>
      <c r="G859" s="2">
        <v>187</v>
      </c>
      <c r="H859" s="9">
        <f t="shared" si="13"/>
        <v>24.021275987303035</v>
      </c>
      <c r="I859" s="2" t="str" cm="1">
        <f t="array" ref="I859">_xlfn.IFS(F859&gt;=100,"Over weight",F859&lt;100,"Average weight")</f>
        <v>Average weight</v>
      </c>
      <c r="J859" s="2" t="str" cm="1">
        <f t="array" ref="J859">_xlfn.IFS(G859&lt;164,"Below Average height",G859&gt;=165,"Above Average height",G859=164,"Average height")</f>
        <v>Above Average height</v>
      </c>
      <c r="K859" s="2" t="str" cm="1">
        <f t="array" ref="K859">_xlfn.IFS(E859&lt;=16,"Children",E859&lt;=30,"Young Adults",E859&lt;=45,"Middle-aged Adults",E859&gt;45,"Old Adults")</f>
        <v>Young Adults</v>
      </c>
    </row>
    <row r="860" spans="1:11" x14ac:dyDescent="0.45">
      <c r="A860" s="2">
        <v>1009</v>
      </c>
      <c r="B860" s="2" t="s">
        <v>1114</v>
      </c>
      <c r="C860" s="2" t="s">
        <v>89</v>
      </c>
      <c r="D860" s="2" t="s">
        <v>66</v>
      </c>
      <c r="E860" s="2">
        <v>31</v>
      </c>
      <c r="F860" s="2">
        <v>65</v>
      </c>
      <c r="G860" s="2">
        <v>168</v>
      </c>
      <c r="H860" s="9">
        <f t="shared" si="13"/>
        <v>23.030045351473927</v>
      </c>
      <c r="I860" s="2" t="str" cm="1">
        <f t="array" ref="I860">_xlfn.IFS(F860&gt;=100,"Over weight",F860&lt;100,"Average weight")</f>
        <v>Average weight</v>
      </c>
      <c r="J860" s="2" t="str" cm="1">
        <f t="array" ref="J860">_xlfn.IFS(G860&lt;164,"Below Average height",G860&gt;=165,"Above Average height",G860=164,"Average height")</f>
        <v>Above Average height</v>
      </c>
      <c r="K860" s="2" t="str" cm="1">
        <f t="array" ref="K860">_xlfn.IFS(E860&lt;=16,"Children",E860&lt;=30,"Young Adults",E860&lt;=45,"Middle-aged Adults",E860&gt;45,"Old Adults")</f>
        <v>Middle-aged Adults</v>
      </c>
    </row>
    <row r="861" spans="1:11" x14ac:dyDescent="0.45">
      <c r="A861" s="2">
        <v>1010</v>
      </c>
      <c r="B861" s="2" t="s">
        <v>1115</v>
      </c>
      <c r="C861" s="2" t="s">
        <v>88</v>
      </c>
      <c r="D861" s="2" t="s">
        <v>70</v>
      </c>
      <c r="E861" s="2">
        <v>26</v>
      </c>
      <c r="F861" s="2">
        <v>74</v>
      </c>
      <c r="G861" s="2">
        <v>186</v>
      </c>
      <c r="H861" s="9">
        <f t="shared" si="13"/>
        <v>21.389756041160826</v>
      </c>
      <c r="I861" s="2" t="str" cm="1">
        <f t="array" ref="I861">_xlfn.IFS(F861&gt;=100,"Over weight",F861&lt;100,"Average weight")</f>
        <v>Average weight</v>
      </c>
      <c r="J861" s="2" t="str" cm="1">
        <f t="array" ref="J861">_xlfn.IFS(G861&lt;164,"Below Average height",G861&gt;=165,"Above Average height",G861=164,"Average height")</f>
        <v>Above Average height</v>
      </c>
      <c r="K861" s="2" t="str" cm="1">
        <f t="array" ref="K861">_xlfn.IFS(E861&lt;=16,"Children",E861&lt;=30,"Young Adults",E861&lt;=45,"Middle-aged Adults",E861&gt;45,"Old Adults")</f>
        <v>Young Adults</v>
      </c>
    </row>
    <row r="862" spans="1:11" x14ac:dyDescent="0.45">
      <c r="A862" s="2">
        <v>1011</v>
      </c>
      <c r="B862" s="2" t="s">
        <v>1116</v>
      </c>
      <c r="C862" s="2" t="s">
        <v>87</v>
      </c>
      <c r="D862" s="2" t="s">
        <v>80</v>
      </c>
      <c r="E862" s="2">
        <v>23</v>
      </c>
      <c r="F862" s="2">
        <v>68</v>
      </c>
      <c r="G862" s="2">
        <v>168</v>
      </c>
      <c r="H862" s="9">
        <f t="shared" si="13"/>
        <v>24.092970521541954</v>
      </c>
      <c r="I862" s="2" t="str" cm="1">
        <f t="array" ref="I862">_xlfn.IFS(F862&gt;=100,"Over weight",F862&lt;100,"Average weight")</f>
        <v>Average weight</v>
      </c>
      <c r="J862" s="2" t="str" cm="1">
        <f t="array" ref="J862">_xlfn.IFS(G862&lt;164,"Below Average height",G862&gt;=165,"Above Average height",G862=164,"Average height")</f>
        <v>Above Average height</v>
      </c>
      <c r="K862" s="2" t="str" cm="1">
        <f t="array" ref="K862">_xlfn.IFS(E862&lt;=16,"Children",E862&lt;=30,"Young Adults",E862&lt;=45,"Middle-aged Adults",E862&gt;45,"Old Adults")</f>
        <v>Young Adults</v>
      </c>
    </row>
    <row r="863" spans="1:11" x14ac:dyDescent="0.45">
      <c r="A863" s="2">
        <v>1012</v>
      </c>
      <c r="B863" s="2" t="s">
        <v>1117</v>
      </c>
      <c r="C863" s="2" t="s">
        <v>91</v>
      </c>
      <c r="D863" s="2" t="s">
        <v>14</v>
      </c>
      <c r="E863" s="2">
        <v>26</v>
      </c>
      <c r="F863" s="2">
        <v>89</v>
      </c>
      <c r="G863" s="2">
        <v>185</v>
      </c>
      <c r="H863" s="9">
        <f t="shared" si="13"/>
        <v>26.004382761139514</v>
      </c>
      <c r="I863" s="2" t="str" cm="1">
        <f t="array" ref="I863">_xlfn.IFS(F863&gt;=100,"Over weight",F863&lt;100,"Average weight")</f>
        <v>Average weight</v>
      </c>
      <c r="J863" s="2" t="str" cm="1">
        <f t="array" ref="J863">_xlfn.IFS(G863&lt;164,"Below Average height",G863&gt;=165,"Above Average height",G863=164,"Average height")</f>
        <v>Above Average height</v>
      </c>
      <c r="K863" s="2" t="str" cm="1">
        <f t="array" ref="K863">_xlfn.IFS(E863&lt;=16,"Children",E863&lt;=30,"Young Adults",E863&lt;=45,"Middle-aged Adults",E863&gt;45,"Old Adults")</f>
        <v>Young Adults</v>
      </c>
    </row>
    <row r="864" spans="1:11" x14ac:dyDescent="0.45">
      <c r="A864" s="2">
        <v>1013</v>
      </c>
      <c r="B864" s="2" t="s">
        <v>1118</v>
      </c>
      <c r="C864" s="2" t="s">
        <v>92</v>
      </c>
      <c r="D864" s="2" t="s">
        <v>25</v>
      </c>
      <c r="E864" s="2">
        <v>25</v>
      </c>
      <c r="F864" s="2">
        <v>55</v>
      </c>
      <c r="G864" s="2">
        <v>170</v>
      </c>
      <c r="H864" s="9">
        <f t="shared" si="13"/>
        <v>19.031141868512112</v>
      </c>
      <c r="I864" s="2" t="str" cm="1">
        <f t="array" ref="I864">_xlfn.IFS(F864&gt;=100,"Over weight",F864&lt;100,"Average weight")</f>
        <v>Average weight</v>
      </c>
      <c r="J864" s="2" t="str" cm="1">
        <f t="array" ref="J864">_xlfn.IFS(G864&lt;164,"Below Average height",G864&gt;=165,"Above Average height",G864=164,"Average height")</f>
        <v>Above Average height</v>
      </c>
      <c r="K864" s="2" t="str" cm="1">
        <f t="array" ref="K864">_xlfn.IFS(E864&lt;=16,"Children",E864&lt;=30,"Young Adults",E864&lt;=45,"Middle-aged Adults",E864&gt;45,"Old Adults")</f>
        <v>Young Adults</v>
      </c>
    </row>
    <row r="865" spans="1:11" x14ac:dyDescent="0.45">
      <c r="A865" s="2">
        <v>1014</v>
      </c>
      <c r="B865" s="2" t="s">
        <v>1119</v>
      </c>
      <c r="C865" s="2" t="s">
        <v>86</v>
      </c>
      <c r="D865" s="2" t="s">
        <v>65</v>
      </c>
      <c r="E865" s="2">
        <v>23</v>
      </c>
      <c r="F865" s="2">
        <v>84</v>
      </c>
      <c r="G865" s="2">
        <v>170</v>
      </c>
      <c r="H865" s="9">
        <f t="shared" si="13"/>
        <v>29.065743944636683</v>
      </c>
      <c r="I865" s="2" t="str" cm="1">
        <f t="array" ref="I865">_xlfn.IFS(F865&gt;=100,"Over weight",F865&lt;100,"Average weight")</f>
        <v>Average weight</v>
      </c>
      <c r="J865" s="2" t="str" cm="1">
        <f t="array" ref="J865">_xlfn.IFS(G865&lt;164,"Below Average height",G865&gt;=165,"Above Average height",G865=164,"Average height")</f>
        <v>Above Average height</v>
      </c>
      <c r="K865" s="2" t="str" cm="1">
        <f t="array" ref="K865">_xlfn.IFS(E865&lt;=16,"Children",E865&lt;=30,"Young Adults",E865&lt;=45,"Middle-aged Adults",E865&gt;45,"Old Adults")</f>
        <v>Young Adults</v>
      </c>
    </row>
    <row r="866" spans="1:11" x14ac:dyDescent="0.45">
      <c r="A866" s="2">
        <v>1015</v>
      </c>
      <c r="B866" s="2" t="s">
        <v>1120</v>
      </c>
      <c r="C866" s="2" t="s">
        <v>91</v>
      </c>
      <c r="D866" s="2" t="s">
        <v>14</v>
      </c>
      <c r="E866" s="2">
        <v>35</v>
      </c>
      <c r="F866" s="2">
        <v>71</v>
      </c>
      <c r="G866" s="2">
        <v>170</v>
      </c>
      <c r="H866" s="9">
        <f t="shared" si="13"/>
        <v>24.567474048442911</v>
      </c>
      <c r="I866" s="2" t="str" cm="1">
        <f t="array" ref="I866">_xlfn.IFS(F866&gt;=100,"Over weight",F866&lt;100,"Average weight")</f>
        <v>Average weight</v>
      </c>
      <c r="J866" s="2" t="str" cm="1">
        <f t="array" ref="J866">_xlfn.IFS(G866&lt;164,"Below Average height",G866&gt;=165,"Above Average height",G866=164,"Average height")</f>
        <v>Above Average height</v>
      </c>
      <c r="K866" s="2" t="str" cm="1">
        <f t="array" ref="K866">_xlfn.IFS(E866&lt;=16,"Children",E866&lt;=30,"Young Adults",E866&lt;=45,"Middle-aged Adults",E866&gt;45,"Old Adults")</f>
        <v>Middle-aged Adults</v>
      </c>
    </row>
    <row r="867" spans="1:11" x14ac:dyDescent="0.45">
      <c r="A867" s="2">
        <v>1016</v>
      </c>
      <c r="B867" s="2" t="s">
        <v>1121</v>
      </c>
      <c r="C867" s="2" t="s">
        <v>93</v>
      </c>
      <c r="D867" s="2" t="s">
        <v>75</v>
      </c>
      <c r="E867" s="2">
        <v>27</v>
      </c>
      <c r="F867" s="2">
        <v>64</v>
      </c>
      <c r="G867" s="2">
        <v>170</v>
      </c>
      <c r="H867" s="9">
        <f t="shared" si="13"/>
        <v>22.145328719723185</v>
      </c>
      <c r="I867" s="2" t="str" cm="1">
        <f t="array" ref="I867">_xlfn.IFS(F867&gt;=100,"Over weight",F867&lt;100,"Average weight")</f>
        <v>Average weight</v>
      </c>
      <c r="J867" s="2" t="str" cm="1">
        <f t="array" ref="J867">_xlfn.IFS(G867&lt;164,"Below Average height",G867&gt;=165,"Above Average height",G867=164,"Average height")</f>
        <v>Above Average height</v>
      </c>
      <c r="K867" s="2" t="str" cm="1">
        <f t="array" ref="K867">_xlfn.IFS(E867&lt;=16,"Children",E867&lt;=30,"Young Adults",E867&lt;=45,"Middle-aged Adults",E867&gt;45,"Old Adults")</f>
        <v>Young Adults</v>
      </c>
    </row>
    <row r="868" spans="1:11" x14ac:dyDescent="0.45">
      <c r="A868" s="2">
        <v>1019</v>
      </c>
      <c r="B868" s="2" t="s">
        <v>1124</v>
      </c>
      <c r="C868" s="2" t="s">
        <v>96</v>
      </c>
      <c r="D868" s="2" t="s">
        <v>28</v>
      </c>
      <c r="E868" s="2">
        <v>42</v>
      </c>
      <c r="F868" s="2">
        <v>109</v>
      </c>
      <c r="G868" s="2">
        <v>180</v>
      </c>
      <c r="H868" s="9">
        <f t="shared" si="13"/>
        <v>33.641975308641975</v>
      </c>
      <c r="I868" s="2" t="str" cm="1">
        <f t="array" ref="I868">_xlfn.IFS(F868&gt;=100,"Over weight",F868&lt;100,"Average weight")</f>
        <v>Over weight</v>
      </c>
      <c r="J868" s="2" t="str" cm="1">
        <f t="array" ref="J868">_xlfn.IFS(G868&lt;164,"Below Average height",G868&gt;=165,"Above Average height",G868=164,"Average height")</f>
        <v>Above Average height</v>
      </c>
      <c r="K868" s="2" t="str" cm="1">
        <f t="array" ref="K868">_xlfn.IFS(E868&lt;=16,"Children",E868&lt;=30,"Young Adults",E868&lt;=45,"Middle-aged Adults",E868&gt;45,"Old Adults")</f>
        <v>Middle-aged Adults</v>
      </c>
    </row>
    <row r="869" spans="1:11" x14ac:dyDescent="0.45">
      <c r="A869" s="2">
        <v>1020</v>
      </c>
      <c r="B869" s="2" t="s">
        <v>1125</v>
      </c>
      <c r="C869" s="2" t="s">
        <v>88</v>
      </c>
      <c r="D869" s="2" t="s">
        <v>13</v>
      </c>
      <c r="E869" s="2">
        <v>21</v>
      </c>
      <c r="F869" s="2">
        <v>73</v>
      </c>
      <c r="G869" s="2">
        <v>182</v>
      </c>
      <c r="H869" s="9">
        <f t="shared" si="13"/>
        <v>22.03840115928028</v>
      </c>
      <c r="I869" s="2" t="str" cm="1">
        <f t="array" ref="I869">_xlfn.IFS(F869&gt;=100,"Over weight",F869&lt;100,"Average weight")</f>
        <v>Average weight</v>
      </c>
      <c r="J869" s="2" t="str" cm="1">
        <f t="array" ref="J869">_xlfn.IFS(G869&lt;164,"Below Average height",G869&gt;=165,"Above Average height",G869=164,"Average height")</f>
        <v>Above Average height</v>
      </c>
      <c r="K869" s="2" t="str" cm="1">
        <f t="array" ref="K869">_xlfn.IFS(E869&lt;=16,"Children",E869&lt;=30,"Young Adults",E869&lt;=45,"Middle-aged Adults",E869&gt;45,"Old Adults")</f>
        <v>Young Adults</v>
      </c>
    </row>
    <row r="870" spans="1:11" x14ac:dyDescent="0.45">
      <c r="A870" s="2">
        <v>1021</v>
      </c>
      <c r="B870" s="2" t="s">
        <v>1126</v>
      </c>
      <c r="C870" s="2" t="s">
        <v>88</v>
      </c>
      <c r="D870" s="2" t="s">
        <v>42</v>
      </c>
      <c r="E870" s="2">
        <v>24</v>
      </c>
      <c r="F870" s="2">
        <v>65</v>
      </c>
      <c r="G870" s="2">
        <v>172</v>
      </c>
      <c r="H870" s="9">
        <f t="shared" si="13"/>
        <v>21.971335857220122</v>
      </c>
      <c r="I870" s="2" t="str" cm="1">
        <f t="array" ref="I870">_xlfn.IFS(F870&gt;=100,"Over weight",F870&lt;100,"Average weight")</f>
        <v>Average weight</v>
      </c>
      <c r="J870" s="2" t="str" cm="1">
        <f t="array" ref="J870">_xlfn.IFS(G870&lt;164,"Below Average height",G870&gt;=165,"Above Average height",G870=164,"Average height")</f>
        <v>Above Average height</v>
      </c>
      <c r="K870" s="2" t="str" cm="1">
        <f t="array" ref="K870">_xlfn.IFS(E870&lt;=16,"Children",E870&lt;=30,"Young Adults",E870&lt;=45,"Middle-aged Adults",E870&gt;45,"Old Adults")</f>
        <v>Young Adults</v>
      </c>
    </row>
    <row r="871" spans="1:11" x14ac:dyDescent="0.45">
      <c r="A871" s="2">
        <v>1022</v>
      </c>
      <c r="B871" s="2" t="s">
        <v>1127</v>
      </c>
      <c r="C871" s="2" t="s">
        <v>96</v>
      </c>
      <c r="D871" s="2" t="s">
        <v>14</v>
      </c>
      <c r="E871" s="2">
        <v>28</v>
      </c>
      <c r="F871" s="2">
        <v>109</v>
      </c>
      <c r="G871" s="2">
        <v>188</v>
      </c>
      <c r="H871" s="9">
        <f t="shared" si="13"/>
        <v>30.839746491625171</v>
      </c>
      <c r="I871" s="2" t="str" cm="1">
        <f t="array" ref="I871">_xlfn.IFS(F871&gt;=100,"Over weight",F871&lt;100,"Average weight")</f>
        <v>Over weight</v>
      </c>
      <c r="J871" s="2" t="str" cm="1">
        <f t="array" ref="J871">_xlfn.IFS(G871&lt;164,"Below Average height",G871&gt;=165,"Above Average height",G871=164,"Average height")</f>
        <v>Above Average height</v>
      </c>
      <c r="K871" s="2" t="str" cm="1">
        <f t="array" ref="K871">_xlfn.IFS(E871&lt;=16,"Children",E871&lt;=30,"Young Adults",E871&lt;=45,"Middle-aged Adults",E871&gt;45,"Old Adults")</f>
        <v>Young Adults</v>
      </c>
    </row>
    <row r="872" spans="1:11" x14ac:dyDescent="0.45">
      <c r="A872" s="2">
        <v>1023</v>
      </c>
      <c r="B872" s="2" t="s">
        <v>1128</v>
      </c>
      <c r="C872" s="2" t="s">
        <v>85</v>
      </c>
      <c r="D872" s="2" t="s">
        <v>28</v>
      </c>
      <c r="E872" s="2">
        <v>27</v>
      </c>
      <c r="F872" s="2">
        <v>92</v>
      </c>
      <c r="G872" s="2">
        <v>183</v>
      </c>
      <c r="H872" s="9">
        <f t="shared" si="13"/>
        <v>27.471707127713575</v>
      </c>
      <c r="I872" s="2" t="str" cm="1">
        <f t="array" ref="I872">_xlfn.IFS(F872&gt;=100,"Over weight",F872&lt;100,"Average weight")</f>
        <v>Average weight</v>
      </c>
      <c r="J872" s="2" t="str" cm="1">
        <f t="array" ref="J872">_xlfn.IFS(G872&lt;164,"Below Average height",G872&gt;=165,"Above Average height",G872=164,"Average height")</f>
        <v>Above Average height</v>
      </c>
      <c r="K872" s="2" t="str" cm="1">
        <f t="array" ref="K872">_xlfn.IFS(E872&lt;=16,"Children",E872&lt;=30,"Young Adults",E872&lt;=45,"Middle-aged Adults",E872&gt;45,"Old Adults")</f>
        <v>Young Adults</v>
      </c>
    </row>
    <row r="873" spans="1:11" x14ac:dyDescent="0.45">
      <c r="A873" s="2">
        <v>1024</v>
      </c>
      <c r="B873" s="2" t="s">
        <v>1129</v>
      </c>
      <c r="C873" s="2" t="s">
        <v>87</v>
      </c>
      <c r="D873" s="2" t="s">
        <v>40</v>
      </c>
      <c r="E873" s="2">
        <v>23</v>
      </c>
      <c r="F873" s="2">
        <v>95</v>
      </c>
      <c r="G873" s="2">
        <v>175</v>
      </c>
      <c r="H873" s="9">
        <f t="shared" si="13"/>
        <v>31.020408163265305</v>
      </c>
      <c r="I873" s="2" t="str" cm="1">
        <f t="array" ref="I873">_xlfn.IFS(F873&gt;=100,"Over weight",F873&lt;100,"Average weight")</f>
        <v>Average weight</v>
      </c>
      <c r="J873" s="2" t="str" cm="1">
        <f t="array" ref="J873">_xlfn.IFS(G873&lt;164,"Below Average height",G873&gt;=165,"Above Average height",G873=164,"Average height")</f>
        <v>Above Average height</v>
      </c>
      <c r="K873" s="2" t="str" cm="1">
        <f t="array" ref="K873">_xlfn.IFS(E873&lt;=16,"Children",E873&lt;=30,"Young Adults",E873&lt;=45,"Middle-aged Adults",E873&gt;45,"Old Adults")</f>
        <v>Young Adults</v>
      </c>
    </row>
    <row r="874" spans="1:11" x14ac:dyDescent="0.45">
      <c r="A874" s="2">
        <v>1025</v>
      </c>
      <c r="B874" s="2" t="s">
        <v>1130</v>
      </c>
      <c r="C874" s="2" t="s">
        <v>86</v>
      </c>
      <c r="D874" s="2" t="s">
        <v>30</v>
      </c>
      <c r="E874" s="2">
        <v>29</v>
      </c>
      <c r="F874" s="2">
        <v>109</v>
      </c>
      <c r="G874" s="2">
        <v>173</v>
      </c>
      <c r="H874" s="9">
        <f t="shared" si="13"/>
        <v>36.419526212035152</v>
      </c>
      <c r="I874" s="2" t="str" cm="1">
        <f t="array" ref="I874">_xlfn.IFS(F874&gt;=100,"Over weight",F874&lt;100,"Average weight")</f>
        <v>Over weight</v>
      </c>
      <c r="J874" s="2" t="str" cm="1">
        <f t="array" ref="J874">_xlfn.IFS(G874&lt;164,"Below Average height",G874&gt;=165,"Above Average height",G874=164,"Average height")</f>
        <v>Above Average height</v>
      </c>
      <c r="K874" s="2" t="str" cm="1">
        <f t="array" ref="K874">_xlfn.IFS(E874&lt;=16,"Children",E874&lt;=30,"Young Adults",E874&lt;=45,"Middle-aged Adults",E874&gt;45,"Old Adults")</f>
        <v>Young Adults</v>
      </c>
    </row>
    <row r="875" spans="1:11" x14ac:dyDescent="0.45">
      <c r="A875" s="2">
        <v>1026</v>
      </c>
      <c r="B875" s="2" t="s">
        <v>1131</v>
      </c>
      <c r="C875" s="2" t="s">
        <v>86</v>
      </c>
      <c r="D875" s="2" t="s">
        <v>30</v>
      </c>
      <c r="E875" s="2">
        <v>31</v>
      </c>
      <c r="F875" s="2">
        <v>109</v>
      </c>
      <c r="G875" s="2">
        <v>168</v>
      </c>
      <c r="H875" s="9">
        <f t="shared" si="13"/>
        <v>38.619614512471664</v>
      </c>
      <c r="I875" s="2" t="str" cm="1">
        <f t="array" ref="I875">_xlfn.IFS(F875&gt;=100,"Over weight",F875&lt;100,"Average weight")</f>
        <v>Over weight</v>
      </c>
      <c r="J875" s="2" t="str" cm="1">
        <f t="array" ref="J875">_xlfn.IFS(G875&lt;164,"Below Average height",G875&gt;=165,"Above Average height",G875=164,"Average height")</f>
        <v>Above Average height</v>
      </c>
      <c r="K875" s="2" t="str" cm="1">
        <f t="array" ref="K875">_xlfn.IFS(E875&lt;=16,"Children",E875&lt;=30,"Young Adults",E875&lt;=45,"Middle-aged Adults",E875&gt;45,"Old Adults")</f>
        <v>Middle-aged Adults</v>
      </c>
    </row>
    <row r="876" spans="1:11" x14ac:dyDescent="0.45">
      <c r="A876" s="2">
        <v>1027</v>
      </c>
      <c r="B876" s="2" t="s">
        <v>1132</v>
      </c>
      <c r="C876" s="2" t="s">
        <v>94</v>
      </c>
      <c r="D876" s="2" t="s">
        <v>14</v>
      </c>
      <c r="E876" s="2">
        <v>27</v>
      </c>
      <c r="F876" s="2">
        <v>72</v>
      </c>
      <c r="G876" s="2">
        <v>178</v>
      </c>
      <c r="H876" s="9">
        <f t="shared" si="13"/>
        <v>22.724403484408533</v>
      </c>
      <c r="I876" s="2" t="str" cm="1">
        <f t="array" ref="I876">_xlfn.IFS(F876&gt;=100,"Over weight",F876&lt;100,"Average weight")</f>
        <v>Average weight</v>
      </c>
      <c r="J876" s="2" t="str" cm="1">
        <f t="array" ref="J876">_xlfn.IFS(G876&lt;164,"Below Average height",G876&gt;=165,"Above Average height",G876=164,"Average height")</f>
        <v>Above Average height</v>
      </c>
      <c r="K876" s="2" t="str" cm="1">
        <f t="array" ref="K876">_xlfn.IFS(E876&lt;=16,"Children",E876&lt;=30,"Young Adults",E876&lt;=45,"Middle-aged Adults",E876&gt;45,"Old Adults")</f>
        <v>Young Adults</v>
      </c>
    </row>
    <row r="877" spans="1:11" x14ac:dyDescent="0.45">
      <c r="A877" s="2">
        <v>1028</v>
      </c>
      <c r="B877" s="2" t="s">
        <v>1133</v>
      </c>
      <c r="C877" s="2" t="s">
        <v>98</v>
      </c>
      <c r="D877" s="2" t="s">
        <v>58</v>
      </c>
      <c r="E877" s="2">
        <v>26</v>
      </c>
      <c r="F877" s="2">
        <v>76</v>
      </c>
      <c r="G877" s="2">
        <v>180</v>
      </c>
      <c r="H877" s="9">
        <f t="shared" si="13"/>
        <v>23.456790123456788</v>
      </c>
      <c r="I877" s="2" t="str" cm="1">
        <f t="array" ref="I877">_xlfn.IFS(F877&gt;=100,"Over weight",F877&lt;100,"Average weight")</f>
        <v>Average weight</v>
      </c>
      <c r="J877" s="2" t="str" cm="1">
        <f t="array" ref="J877">_xlfn.IFS(G877&lt;164,"Below Average height",G877&gt;=165,"Above Average height",G877=164,"Average height")</f>
        <v>Above Average height</v>
      </c>
      <c r="K877" s="2" t="str" cm="1">
        <f t="array" ref="K877">_xlfn.IFS(E877&lt;=16,"Children",E877&lt;=30,"Young Adults",E877&lt;=45,"Middle-aged Adults",E877&gt;45,"Old Adults")</f>
        <v>Young Adults</v>
      </c>
    </row>
    <row r="878" spans="1:11" x14ac:dyDescent="0.45">
      <c r="A878" s="2">
        <v>1029</v>
      </c>
      <c r="B878" s="2" t="s">
        <v>1134</v>
      </c>
      <c r="C878" s="2" t="s">
        <v>91</v>
      </c>
      <c r="D878" s="2" t="s">
        <v>80</v>
      </c>
      <c r="E878" s="2">
        <v>25</v>
      </c>
      <c r="F878" s="2">
        <v>92</v>
      </c>
      <c r="G878" s="2">
        <v>188</v>
      </c>
      <c r="H878" s="9">
        <f t="shared" si="13"/>
        <v>26.029877772747852</v>
      </c>
      <c r="I878" s="2" t="str" cm="1">
        <f t="array" ref="I878">_xlfn.IFS(F878&gt;=100,"Over weight",F878&lt;100,"Average weight")</f>
        <v>Average weight</v>
      </c>
      <c r="J878" s="2" t="str" cm="1">
        <f t="array" ref="J878">_xlfn.IFS(G878&lt;164,"Below Average height",G878&gt;=165,"Above Average height",G878=164,"Average height")</f>
        <v>Above Average height</v>
      </c>
      <c r="K878" s="2" t="str" cm="1">
        <f t="array" ref="K878">_xlfn.IFS(E878&lt;=16,"Children",E878&lt;=30,"Young Adults",E878&lt;=45,"Middle-aged Adults",E878&gt;45,"Old Adults")</f>
        <v>Young Adults</v>
      </c>
    </row>
    <row r="879" spans="1:11" x14ac:dyDescent="0.45">
      <c r="A879" s="2">
        <v>1030</v>
      </c>
      <c r="B879" s="2" t="s">
        <v>1135</v>
      </c>
      <c r="C879" s="2" t="s">
        <v>91</v>
      </c>
      <c r="D879" s="2" t="s">
        <v>80</v>
      </c>
      <c r="E879" s="2">
        <v>22</v>
      </c>
      <c r="F879" s="2">
        <v>82</v>
      </c>
      <c r="G879" s="2">
        <v>180</v>
      </c>
      <c r="H879" s="9">
        <f t="shared" si="13"/>
        <v>25.308641975308639</v>
      </c>
      <c r="I879" s="2" t="str" cm="1">
        <f t="array" ref="I879">_xlfn.IFS(F879&gt;=100,"Over weight",F879&lt;100,"Average weight")</f>
        <v>Average weight</v>
      </c>
      <c r="J879" s="2" t="str" cm="1">
        <f t="array" ref="J879">_xlfn.IFS(G879&lt;164,"Below Average height",G879&gt;=165,"Above Average height",G879=164,"Average height")</f>
        <v>Above Average height</v>
      </c>
      <c r="K879" s="2" t="str" cm="1">
        <f t="array" ref="K879">_xlfn.IFS(E879&lt;=16,"Children",E879&lt;=30,"Young Adults",E879&lt;=45,"Middle-aged Adults",E879&gt;45,"Old Adults")</f>
        <v>Young Adults</v>
      </c>
    </row>
    <row r="880" spans="1:11" x14ac:dyDescent="0.45">
      <c r="A880" s="2">
        <v>1031</v>
      </c>
      <c r="B880" s="2" t="s">
        <v>1136</v>
      </c>
      <c r="C880" s="2" t="s">
        <v>98</v>
      </c>
      <c r="D880" s="2" t="s">
        <v>33</v>
      </c>
      <c r="E880" s="2">
        <v>20</v>
      </c>
      <c r="F880" s="2">
        <v>62</v>
      </c>
      <c r="G880" s="2">
        <v>174</v>
      </c>
      <c r="H880" s="9">
        <f t="shared" si="13"/>
        <v>20.478266613819528</v>
      </c>
      <c r="I880" s="2" t="str" cm="1">
        <f t="array" ref="I880">_xlfn.IFS(F880&gt;=100,"Over weight",F880&lt;100,"Average weight")</f>
        <v>Average weight</v>
      </c>
      <c r="J880" s="2" t="str" cm="1">
        <f t="array" ref="J880">_xlfn.IFS(G880&lt;164,"Below Average height",G880&gt;=165,"Above Average height",G880=164,"Average height")</f>
        <v>Above Average height</v>
      </c>
      <c r="K880" s="2" t="str" cm="1">
        <f t="array" ref="K880">_xlfn.IFS(E880&lt;=16,"Children",E880&lt;=30,"Young Adults",E880&lt;=45,"Middle-aged Adults",E880&gt;45,"Old Adults")</f>
        <v>Young Adults</v>
      </c>
    </row>
    <row r="881" spans="1:11" x14ac:dyDescent="0.45">
      <c r="A881" s="2">
        <v>1033</v>
      </c>
      <c r="B881" s="2" t="s">
        <v>1138</v>
      </c>
      <c r="C881" s="2" t="s">
        <v>94</v>
      </c>
      <c r="D881" s="2" t="s">
        <v>66</v>
      </c>
      <c r="E881" s="2">
        <v>25</v>
      </c>
      <c r="F881" s="2">
        <v>61</v>
      </c>
      <c r="G881" s="2">
        <v>170</v>
      </c>
      <c r="H881" s="9">
        <f t="shared" si="13"/>
        <v>21.107266435986162</v>
      </c>
      <c r="I881" s="2" t="str" cm="1">
        <f t="array" ref="I881">_xlfn.IFS(F881&gt;=100,"Over weight",F881&lt;100,"Average weight")</f>
        <v>Average weight</v>
      </c>
      <c r="J881" s="2" t="str" cm="1">
        <f t="array" ref="J881">_xlfn.IFS(G881&lt;164,"Below Average height",G881&gt;=165,"Above Average height",G881=164,"Average height")</f>
        <v>Above Average height</v>
      </c>
      <c r="K881" s="2" t="str" cm="1">
        <f t="array" ref="K881">_xlfn.IFS(E881&lt;=16,"Children",E881&lt;=30,"Young Adults",E881&lt;=45,"Middle-aged Adults",E881&gt;45,"Old Adults")</f>
        <v>Young Adults</v>
      </c>
    </row>
    <row r="882" spans="1:11" x14ac:dyDescent="0.45">
      <c r="A882" s="2">
        <v>1034</v>
      </c>
      <c r="B882" s="2" t="s">
        <v>1139</v>
      </c>
      <c r="C882" s="2" t="s">
        <v>94</v>
      </c>
      <c r="D882" s="2" t="s">
        <v>1</v>
      </c>
      <c r="E882" s="2">
        <v>17</v>
      </c>
      <c r="F882" s="2">
        <v>65</v>
      </c>
      <c r="G882" s="2">
        <v>170</v>
      </c>
      <c r="H882" s="9">
        <f t="shared" si="13"/>
        <v>22.491349480968861</v>
      </c>
      <c r="I882" s="2" t="str" cm="1">
        <f t="array" ref="I882">_xlfn.IFS(F882&gt;=100,"Over weight",F882&lt;100,"Average weight")</f>
        <v>Average weight</v>
      </c>
      <c r="J882" s="2" t="str" cm="1">
        <f t="array" ref="J882">_xlfn.IFS(G882&lt;164,"Below Average height",G882&gt;=165,"Above Average height",G882=164,"Average height")</f>
        <v>Above Average height</v>
      </c>
      <c r="K882" s="2" t="str" cm="1">
        <f t="array" ref="K882">_xlfn.IFS(E882&lt;=16,"Children",E882&lt;=30,"Young Adults",E882&lt;=45,"Middle-aged Adults",E882&gt;45,"Old Adults")</f>
        <v>Young Adults</v>
      </c>
    </row>
    <row r="883" spans="1:11" x14ac:dyDescent="0.45">
      <c r="A883" s="2">
        <v>1036</v>
      </c>
      <c r="B883" s="2" t="s">
        <v>1141</v>
      </c>
      <c r="C883" s="2" t="s">
        <v>91</v>
      </c>
      <c r="D883" s="2" t="s">
        <v>66</v>
      </c>
      <c r="E883" s="2">
        <v>28</v>
      </c>
      <c r="F883" s="2">
        <v>55</v>
      </c>
      <c r="G883" s="2">
        <v>168</v>
      </c>
      <c r="H883" s="9">
        <f t="shared" si="13"/>
        <v>19.486961451247168</v>
      </c>
      <c r="I883" s="2" t="str" cm="1">
        <f t="array" ref="I883">_xlfn.IFS(F883&gt;=100,"Over weight",F883&lt;100,"Average weight")</f>
        <v>Average weight</v>
      </c>
      <c r="J883" s="2" t="str" cm="1">
        <f t="array" ref="J883">_xlfn.IFS(G883&lt;164,"Below Average height",G883&gt;=165,"Above Average height",G883=164,"Average height")</f>
        <v>Above Average height</v>
      </c>
      <c r="K883" s="2" t="str" cm="1">
        <f t="array" ref="K883">_xlfn.IFS(E883&lt;=16,"Children",E883&lt;=30,"Young Adults",E883&lt;=45,"Middle-aged Adults",E883&gt;45,"Old Adults")</f>
        <v>Young Adults</v>
      </c>
    </row>
    <row r="884" spans="1:11" x14ac:dyDescent="0.45">
      <c r="A884" s="2">
        <v>1037</v>
      </c>
      <c r="B884" s="2" t="s">
        <v>1142</v>
      </c>
      <c r="C884" s="2" t="s">
        <v>95</v>
      </c>
      <c r="D884" s="2" t="s">
        <v>66</v>
      </c>
      <c r="E884" s="2">
        <v>23</v>
      </c>
      <c r="F884" s="2">
        <v>72</v>
      </c>
      <c r="G884" s="2">
        <v>168</v>
      </c>
      <c r="H884" s="9">
        <f t="shared" si="13"/>
        <v>25.510204081632658</v>
      </c>
      <c r="I884" s="2" t="str" cm="1">
        <f t="array" ref="I884">_xlfn.IFS(F884&gt;=100,"Over weight",F884&lt;100,"Average weight")</f>
        <v>Average weight</v>
      </c>
      <c r="J884" s="2" t="str" cm="1">
        <f t="array" ref="J884">_xlfn.IFS(G884&lt;164,"Below Average height",G884&gt;=165,"Above Average height",G884=164,"Average height")</f>
        <v>Above Average height</v>
      </c>
      <c r="K884" s="2" t="str" cm="1">
        <f t="array" ref="K884">_xlfn.IFS(E884&lt;=16,"Children",E884&lt;=30,"Young Adults",E884&lt;=45,"Middle-aged Adults",E884&gt;45,"Old Adults")</f>
        <v>Young Adults</v>
      </c>
    </row>
    <row r="885" spans="1:11" x14ac:dyDescent="0.45">
      <c r="A885" s="2">
        <v>1039</v>
      </c>
      <c r="B885" s="2" t="s">
        <v>1144</v>
      </c>
      <c r="C885" s="2" t="s">
        <v>94</v>
      </c>
      <c r="D885" s="2" t="s">
        <v>54</v>
      </c>
      <c r="E885" s="2">
        <v>26</v>
      </c>
      <c r="F885" s="2">
        <v>71</v>
      </c>
      <c r="G885" s="2">
        <v>180</v>
      </c>
      <c r="H885" s="9">
        <f t="shared" si="13"/>
        <v>21.913580246913579</v>
      </c>
      <c r="I885" s="2" t="str" cm="1">
        <f t="array" ref="I885">_xlfn.IFS(F885&gt;=100,"Over weight",F885&lt;100,"Average weight")</f>
        <v>Average weight</v>
      </c>
      <c r="J885" s="2" t="str" cm="1">
        <f t="array" ref="J885">_xlfn.IFS(G885&lt;164,"Below Average height",G885&gt;=165,"Above Average height",G885=164,"Average height")</f>
        <v>Above Average height</v>
      </c>
      <c r="K885" s="2" t="str" cm="1">
        <f t="array" ref="K885">_xlfn.IFS(E885&lt;=16,"Children",E885&lt;=30,"Young Adults",E885&lt;=45,"Middle-aged Adults",E885&gt;45,"Old Adults")</f>
        <v>Young Adults</v>
      </c>
    </row>
    <row r="886" spans="1:11" x14ac:dyDescent="0.45">
      <c r="A886" s="2">
        <v>1040</v>
      </c>
      <c r="B886" s="2" t="s">
        <v>1145</v>
      </c>
      <c r="C886" s="2" t="s">
        <v>88</v>
      </c>
      <c r="D886" s="2" t="s">
        <v>79</v>
      </c>
      <c r="E886" s="2">
        <v>32</v>
      </c>
      <c r="F886" s="2">
        <v>60</v>
      </c>
      <c r="G886" s="2">
        <v>166</v>
      </c>
      <c r="H886" s="9">
        <f t="shared" si="13"/>
        <v>21.773842357381334</v>
      </c>
      <c r="I886" s="2" t="str" cm="1">
        <f t="array" ref="I886">_xlfn.IFS(F886&gt;=100,"Over weight",F886&lt;100,"Average weight")</f>
        <v>Average weight</v>
      </c>
      <c r="J886" s="2" t="str" cm="1">
        <f t="array" ref="J886">_xlfn.IFS(G886&lt;164,"Below Average height",G886&gt;=165,"Above Average height",G886=164,"Average height")</f>
        <v>Above Average height</v>
      </c>
      <c r="K886" s="2" t="str" cm="1">
        <f t="array" ref="K886">_xlfn.IFS(E886&lt;=16,"Children",E886&lt;=30,"Young Adults",E886&lt;=45,"Middle-aged Adults",E886&gt;45,"Old Adults")</f>
        <v>Middle-aged Adults</v>
      </c>
    </row>
    <row r="887" spans="1:11" x14ac:dyDescent="0.45">
      <c r="A887" s="2">
        <v>1041</v>
      </c>
      <c r="B887" s="2" t="s">
        <v>1146</v>
      </c>
      <c r="C887" s="2" t="s">
        <v>93</v>
      </c>
      <c r="D887" s="2" t="s">
        <v>30</v>
      </c>
      <c r="E887" s="2">
        <v>21</v>
      </c>
      <c r="F887" s="2">
        <v>73</v>
      </c>
      <c r="G887" s="2">
        <v>176</v>
      </c>
      <c r="H887" s="9">
        <f t="shared" si="13"/>
        <v>23.566632231404959</v>
      </c>
      <c r="I887" s="2" t="str" cm="1">
        <f t="array" ref="I887">_xlfn.IFS(F887&gt;=100,"Over weight",F887&lt;100,"Average weight")</f>
        <v>Average weight</v>
      </c>
      <c r="J887" s="2" t="str" cm="1">
        <f t="array" ref="J887">_xlfn.IFS(G887&lt;164,"Below Average height",G887&gt;=165,"Above Average height",G887=164,"Average height")</f>
        <v>Above Average height</v>
      </c>
      <c r="K887" s="2" t="str" cm="1">
        <f t="array" ref="K887">_xlfn.IFS(E887&lt;=16,"Children",E887&lt;=30,"Young Adults",E887&lt;=45,"Middle-aged Adults",E887&gt;45,"Old Adults")</f>
        <v>Young Adults</v>
      </c>
    </row>
    <row r="888" spans="1:11" x14ac:dyDescent="0.45">
      <c r="A888" s="2">
        <v>1042</v>
      </c>
      <c r="B888" s="2" t="s">
        <v>1147</v>
      </c>
      <c r="C888" s="2" t="s">
        <v>85</v>
      </c>
      <c r="D888" s="2" t="s">
        <v>22</v>
      </c>
      <c r="E888" s="2">
        <v>17</v>
      </c>
      <c r="F888" s="2">
        <v>90</v>
      </c>
      <c r="G888" s="2">
        <v>185</v>
      </c>
      <c r="H888" s="9">
        <f t="shared" si="13"/>
        <v>26.296566837107374</v>
      </c>
      <c r="I888" s="2" t="str" cm="1">
        <f t="array" ref="I888">_xlfn.IFS(F888&gt;=100,"Over weight",F888&lt;100,"Average weight")</f>
        <v>Average weight</v>
      </c>
      <c r="J888" s="2" t="str" cm="1">
        <f t="array" ref="J888">_xlfn.IFS(G888&lt;164,"Below Average height",G888&gt;=165,"Above Average height",G888=164,"Average height")</f>
        <v>Above Average height</v>
      </c>
      <c r="K888" s="2" t="str" cm="1">
        <f t="array" ref="K888">_xlfn.IFS(E888&lt;=16,"Children",E888&lt;=30,"Young Adults",E888&lt;=45,"Middle-aged Adults",E888&gt;45,"Old Adults")</f>
        <v>Young Adults</v>
      </c>
    </row>
    <row r="889" spans="1:11" x14ac:dyDescent="0.45">
      <c r="A889" s="2">
        <v>1043</v>
      </c>
      <c r="B889" s="2" t="s">
        <v>1148</v>
      </c>
      <c r="C889" s="2" t="s">
        <v>90</v>
      </c>
      <c r="D889" s="2" t="s">
        <v>44</v>
      </c>
      <c r="E889" s="2">
        <v>22</v>
      </c>
      <c r="F889" s="2">
        <v>80</v>
      </c>
      <c r="G889" s="2">
        <v>185</v>
      </c>
      <c r="H889" s="9">
        <f t="shared" si="13"/>
        <v>23.374726077428779</v>
      </c>
      <c r="I889" s="2" t="str" cm="1">
        <f t="array" ref="I889">_xlfn.IFS(F889&gt;=100,"Over weight",F889&lt;100,"Average weight")</f>
        <v>Average weight</v>
      </c>
      <c r="J889" s="2" t="str" cm="1">
        <f t="array" ref="J889">_xlfn.IFS(G889&lt;164,"Below Average height",G889&gt;=165,"Above Average height",G889=164,"Average height")</f>
        <v>Above Average height</v>
      </c>
      <c r="K889" s="2" t="str" cm="1">
        <f t="array" ref="K889">_xlfn.IFS(E889&lt;=16,"Children",E889&lt;=30,"Young Adults",E889&lt;=45,"Middle-aged Adults",E889&gt;45,"Old Adults")</f>
        <v>Young Adults</v>
      </c>
    </row>
    <row r="890" spans="1:11" x14ac:dyDescent="0.45">
      <c r="A890" s="2">
        <v>1044</v>
      </c>
      <c r="B890" s="2" t="s">
        <v>1149</v>
      </c>
      <c r="C890" s="2" t="s">
        <v>93</v>
      </c>
      <c r="D890" s="2" t="s">
        <v>44</v>
      </c>
      <c r="E890" s="2">
        <v>19</v>
      </c>
      <c r="F890" s="2">
        <v>62</v>
      </c>
      <c r="G890" s="2">
        <v>175</v>
      </c>
      <c r="H890" s="9">
        <f t="shared" si="13"/>
        <v>20.244897959183675</v>
      </c>
      <c r="I890" s="2" t="str" cm="1">
        <f t="array" ref="I890">_xlfn.IFS(F890&gt;=100,"Over weight",F890&lt;100,"Average weight")</f>
        <v>Average weight</v>
      </c>
      <c r="J890" s="2" t="str" cm="1">
        <f t="array" ref="J890">_xlfn.IFS(G890&lt;164,"Below Average height",G890&gt;=165,"Above Average height",G890=164,"Average height")</f>
        <v>Above Average height</v>
      </c>
      <c r="K890" s="2" t="str" cm="1">
        <f t="array" ref="K890">_xlfn.IFS(E890&lt;=16,"Children",E890&lt;=30,"Young Adults",E890&lt;=45,"Middle-aged Adults",E890&gt;45,"Old Adults")</f>
        <v>Young Adults</v>
      </c>
    </row>
    <row r="891" spans="1:11" x14ac:dyDescent="0.45">
      <c r="A891" s="2">
        <v>1045</v>
      </c>
      <c r="B891" s="2" t="s">
        <v>1150</v>
      </c>
      <c r="C891" s="2" t="s">
        <v>92</v>
      </c>
      <c r="D891" s="2" t="s">
        <v>44</v>
      </c>
      <c r="E891" s="2">
        <v>27</v>
      </c>
      <c r="F891" s="2">
        <v>60</v>
      </c>
      <c r="G891" s="2">
        <v>175</v>
      </c>
      <c r="H891" s="9">
        <f t="shared" si="13"/>
        <v>19.591836734693878</v>
      </c>
      <c r="I891" s="2" t="str" cm="1">
        <f t="array" ref="I891">_xlfn.IFS(F891&gt;=100,"Over weight",F891&lt;100,"Average weight")</f>
        <v>Average weight</v>
      </c>
      <c r="J891" s="2" t="str" cm="1">
        <f t="array" ref="J891">_xlfn.IFS(G891&lt;164,"Below Average height",G891&gt;=165,"Above Average height",G891=164,"Average height")</f>
        <v>Above Average height</v>
      </c>
      <c r="K891" s="2" t="str" cm="1">
        <f t="array" ref="K891">_xlfn.IFS(E891&lt;=16,"Children",E891&lt;=30,"Young Adults",E891&lt;=45,"Middle-aged Adults",E891&gt;45,"Old Adults")</f>
        <v>Young Adults</v>
      </c>
    </row>
    <row r="892" spans="1:11" x14ac:dyDescent="0.45">
      <c r="A892" s="2">
        <v>1046</v>
      </c>
      <c r="B892" s="2" t="s">
        <v>1151</v>
      </c>
      <c r="C892" s="2" t="s">
        <v>90</v>
      </c>
      <c r="D892" s="2" t="s">
        <v>44</v>
      </c>
      <c r="E892" s="2">
        <v>28</v>
      </c>
      <c r="F892" s="2">
        <v>75</v>
      </c>
      <c r="G892" s="2">
        <v>170</v>
      </c>
      <c r="H892" s="9">
        <f t="shared" si="13"/>
        <v>25.95155709342561</v>
      </c>
      <c r="I892" s="2" t="str" cm="1">
        <f t="array" ref="I892">_xlfn.IFS(F892&gt;=100,"Over weight",F892&lt;100,"Average weight")</f>
        <v>Average weight</v>
      </c>
      <c r="J892" s="2" t="str" cm="1">
        <f t="array" ref="J892">_xlfn.IFS(G892&lt;164,"Below Average height",G892&gt;=165,"Above Average height",G892=164,"Average height")</f>
        <v>Above Average height</v>
      </c>
      <c r="K892" s="2" t="str" cm="1">
        <f t="array" ref="K892">_xlfn.IFS(E892&lt;=16,"Children",E892&lt;=30,"Young Adults",E892&lt;=45,"Middle-aged Adults",E892&gt;45,"Old Adults")</f>
        <v>Young Adults</v>
      </c>
    </row>
    <row r="893" spans="1:11" x14ac:dyDescent="0.45">
      <c r="A893" s="2">
        <v>1048</v>
      </c>
      <c r="B893" s="2" t="s">
        <v>1153</v>
      </c>
      <c r="C893" s="2" t="s">
        <v>98</v>
      </c>
      <c r="D893" s="2" t="s">
        <v>44</v>
      </c>
      <c r="E893" s="2">
        <v>19</v>
      </c>
      <c r="F893" s="2">
        <v>60</v>
      </c>
      <c r="G893" s="2">
        <v>174</v>
      </c>
      <c r="H893" s="9">
        <f t="shared" si="13"/>
        <v>19.817677368212443</v>
      </c>
      <c r="I893" s="2" t="str" cm="1">
        <f t="array" ref="I893">_xlfn.IFS(F893&gt;=100,"Over weight",F893&lt;100,"Average weight")</f>
        <v>Average weight</v>
      </c>
      <c r="J893" s="2" t="str" cm="1">
        <f t="array" ref="J893">_xlfn.IFS(G893&lt;164,"Below Average height",G893&gt;=165,"Above Average height",G893=164,"Average height")</f>
        <v>Above Average height</v>
      </c>
      <c r="K893" s="2" t="str" cm="1">
        <f t="array" ref="K893">_xlfn.IFS(E893&lt;=16,"Children",E893&lt;=30,"Young Adults",E893&lt;=45,"Middle-aged Adults",E893&gt;45,"Old Adults")</f>
        <v>Young Adults</v>
      </c>
    </row>
    <row r="894" spans="1:11" x14ac:dyDescent="0.45">
      <c r="A894" s="2">
        <v>1050</v>
      </c>
      <c r="B894" s="2" t="s">
        <v>1155</v>
      </c>
      <c r="C894" s="2" t="s">
        <v>85</v>
      </c>
      <c r="D894" s="2" t="s">
        <v>44</v>
      </c>
      <c r="E894" s="2">
        <v>23</v>
      </c>
      <c r="F894" s="2">
        <v>78</v>
      </c>
      <c r="G894" s="2">
        <v>170</v>
      </c>
      <c r="H894" s="9">
        <f t="shared" si="13"/>
        <v>26.989619377162633</v>
      </c>
      <c r="I894" s="2" t="str" cm="1">
        <f t="array" ref="I894">_xlfn.IFS(F894&gt;=100,"Over weight",F894&lt;100,"Average weight")</f>
        <v>Average weight</v>
      </c>
      <c r="J894" s="2" t="str" cm="1">
        <f t="array" ref="J894">_xlfn.IFS(G894&lt;164,"Below Average height",G894&gt;=165,"Above Average height",G894=164,"Average height")</f>
        <v>Above Average height</v>
      </c>
      <c r="K894" s="2" t="str" cm="1">
        <f t="array" ref="K894">_xlfn.IFS(E894&lt;=16,"Children",E894&lt;=30,"Young Adults",E894&lt;=45,"Middle-aged Adults",E894&gt;45,"Old Adults")</f>
        <v>Young Adults</v>
      </c>
    </row>
    <row r="895" spans="1:11" x14ac:dyDescent="0.45">
      <c r="A895" s="2">
        <v>1051</v>
      </c>
      <c r="B895" s="2" t="s">
        <v>1156</v>
      </c>
      <c r="C895" s="2" t="s">
        <v>89</v>
      </c>
      <c r="D895" s="2" t="s">
        <v>44</v>
      </c>
      <c r="E895" s="2">
        <v>20</v>
      </c>
      <c r="F895" s="2">
        <v>57</v>
      </c>
      <c r="G895" s="2">
        <v>166</v>
      </c>
      <c r="H895" s="9">
        <f t="shared" si="13"/>
        <v>20.685150239512268</v>
      </c>
      <c r="I895" s="2" t="str" cm="1">
        <f t="array" ref="I895">_xlfn.IFS(F895&gt;=100,"Over weight",F895&lt;100,"Average weight")</f>
        <v>Average weight</v>
      </c>
      <c r="J895" s="2" t="str" cm="1">
        <f t="array" ref="J895">_xlfn.IFS(G895&lt;164,"Below Average height",G895&gt;=165,"Above Average height",G895=164,"Average height")</f>
        <v>Above Average height</v>
      </c>
      <c r="K895" s="2" t="str" cm="1">
        <f t="array" ref="K895">_xlfn.IFS(E895&lt;=16,"Children",E895&lt;=30,"Young Adults",E895&lt;=45,"Middle-aged Adults",E895&gt;45,"Old Adults")</f>
        <v>Young Adults</v>
      </c>
    </row>
    <row r="896" spans="1:11" x14ac:dyDescent="0.45">
      <c r="A896" s="2">
        <v>1053</v>
      </c>
      <c r="B896" s="2" t="s">
        <v>1158</v>
      </c>
      <c r="C896" s="2" t="s">
        <v>95</v>
      </c>
      <c r="D896" s="2" t="s">
        <v>6</v>
      </c>
      <c r="E896" s="2">
        <v>21</v>
      </c>
      <c r="F896" s="2">
        <v>80</v>
      </c>
      <c r="G896" s="2">
        <v>167</v>
      </c>
      <c r="H896" s="9">
        <f t="shared" si="13"/>
        <v>28.685144680698485</v>
      </c>
      <c r="I896" s="2" t="str" cm="1">
        <f t="array" ref="I896">_xlfn.IFS(F896&gt;=100,"Over weight",F896&lt;100,"Average weight")</f>
        <v>Average weight</v>
      </c>
      <c r="J896" s="2" t="str" cm="1">
        <f t="array" ref="J896">_xlfn.IFS(G896&lt;164,"Below Average height",G896&gt;=165,"Above Average height",G896=164,"Average height")</f>
        <v>Above Average height</v>
      </c>
      <c r="K896" s="2" t="str" cm="1">
        <f t="array" ref="K896">_xlfn.IFS(E896&lt;=16,"Children",E896&lt;=30,"Young Adults",E896&lt;=45,"Middle-aged Adults",E896&gt;45,"Old Adults")</f>
        <v>Young Adults</v>
      </c>
    </row>
    <row r="897" spans="1:11" x14ac:dyDescent="0.45">
      <c r="A897" s="2">
        <v>1054</v>
      </c>
      <c r="B897" s="2" t="s">
        <v>1159</v>
      </c>
      <c r="C897" s="2" t="s">
        <v>86</v>
      </c>
      <c r="D897" s="2" t="s">
        <v>30</v>
      </c>
      <c r="E897" s="2">
        <v>25</v>
      </c>
      <c r="F897" s="2">
        <v>111</v>
      </c>
      <c r="G897" s="2">
        <v>184</v>
      </c>
      <c r="H897" s="9">
        <f t="shared" si="13"/>
        <v>32.785916824196597</v>
      </c>
      <c r="I897" s="2" t="str" cm="1">
        <f t="array" ref="I897">_xlfn.IFS(F897&gt;=100,"Over weight",F897&lt;100,"Average weight")</f>
        <v>Over weight</v>
      </c>
      <c r="J897" s="2" t="str" cm="1">
        <f t="array" ref="J897">_xlfn.IFS(G897&lt;164,"Below Average height",G897&gt;=165,"Above Average height",G897=164,"Average height")</f>
        <v>Above Average height</v>
      </c>
      <c r="K897" s="2" t="str" cm="1">
        <f t="array" ref="K897">_xlfn.IFS(E897&lt;=16,"Children",E897&lt;=30,"Young Adults",E897&lt;=45,"Middle-aged Adults",E897&gt;45,"Old Adults")</f>
        <v>Young Adults</v>
      </c>
    </row>
    <row r="898" spans="1:11" x14ac:dyDescent="0.45">
      <c r="A898" s="2">
        <v>1055</v>
      </c>
      <c r="B898" s="2" t="s">
        <v>1160</v>
      </c>
      <c r="C898" s="2" t="s">
        <v>91</v>
      </c>
      <c r="D898" s="2" t="s">
        <v>14</v>
      </c>
      <c r="E898" s="2">
        <v>28</v>
      </c>
      <c r="F898" s="2">
        <v>62</v>
      </c>
      <c r="G898" s="2">
        <v>173</v>
      </c>
      <c r="H898" s="9">
        <f t="shared" ref="H898:H961" si="14" xml:space="preserve"> F898 / (( G898/ 100) ^ 2)</f>
        <v>20.715693808680545</v>
      </c>
      <c r="I898" s="2" t="str" cm="1">
        <f t="array" ref="I898">_xlfn.IFS(F898&gt;=100,"Over weight",F898&lt;100,"Average weight")</f>
        <v>Average weight</v>
      </c>
      <c r="J898" s="2" t="str" cm="1">
        <f t="array" ref="J898">_xlfn.IFS(G898&lt;164,"Below Average height",G898&gt;=165,"Above Average height",G898=164,"Average height")</f>
        <v>Above Average height</v>
      </c>
      <c r="K898" s="2" t="str" cm="1">
        <f t="array" ref="K898">_xlfn.IFS(E898&lt;=16,"Children",E898&lt;=30,"Young Adults",E898&lt;=45,"Middle-aged Adults",E898&gt;45,"Old Adults")</f>
        <v>Young Adults</v>
      </c>
    </row>
    <row r="899" spans="1:11" x14ac:dyDescent="0.45">
      <c r="A899" s="2">
        <v>1056</v>
      </c>
      <c r="B899" s="2" t="s">
        <v>1161</v>
      </c>
      <c r="C899" s="2" t="s">
        <v>91</v>
      </c>
      <c r="D899" s="2" t="s">
        <v>25</v>
      </c>
      <c r="E899" s="2">
        <v>33</v>
      </c>
      <c r="F899" s="2">
        <v>85</v>
      </c>
      <c r="G899" s="2">
        <v>185</v>
      </c>
      <c r="H899" s="9">
        <f t="shared" si="14"/>
        <v>24.835646457268076</v>
      </c>
      <c r="I899" s="2" t="str" cm="1">
        <f t="array" ref="I899">_xlfn.IFS(F899&gt;=100,"Over weight",F899&lt;100,"Average weight")</f>
        <v>Average weight</v>
      </c>
      <c r="J899" s="2" t="str" cm="1">
        <f t="array" ref="J899">_xlfn.IFS(G899&lt;164,"Below Average height",G899&gt;=165,"Above Average height",G899=164,"Average height")</f>
        <v>Above Average height</v>
      </c>
      <c r="K899" s="2" t="str" cm="1">
        <f t="array" ref="K899">_xlfn.IFS(E899&lt;=16,"Children",E899&lt;=30,"Young Adults",E899&lt;=45,"Middle-aged Adults",E899&gt;45,"Old Adults")</f>
        <v>Middle-aged Adults</v>
      </c>
    </row>
    <row r="900" spans="1:11" x14ac:dyDescent="0.45">
      <c r="A900" s="2">
        <v>1057</v>
      </c>
      <c r="B900" s="2" t="s">
        <v>1162</v>
      </c>
      <c r="C900" s="2" t="s">
        <v>87</v>
      </c>
      <c r="D900" s="2" t="s">
        <v>25</v>
      </c>
      <c r="E900" s="2">
        <v>19</v>
      </c>
      <c r="F900" s="2">
        <v>72</v>
      </c>
      <c r="G900" s="2">
        <v>174</v>
      </c>
      <c r="H900" s="9">
        <f t="shared" si="14"/>
        <v>23.781212841854934</v>
      </c>
      <c r="I900" s="2" t="str" cm="1">
        <f t="array" ref="I900">_xlfn.IFS(F900&gt;=100,"Over weight",F900&lt;100,"Average weight")</f>
        <v>Average weight</v>
      </c>
      <c r="J900" s="2" t="str" cm="1">
        <f t="array" ref="J900">_xlfn.IFS(G900&lt;164,"Below Average height",G900&gt;=165,"Above Average height",G900=164,"Average height")</f>
        <v>Above Average height</v>
      </c>
      <c r="K900" s="2" t="str" cm="1">
        <f t="array" ref="K900">_xlfn.IFS(E900&lt;=16,"Children",E900&lt;=30,"Young Adults",E900&lt;=45,"Middle-aged Adults",E900&gt;45,"Old Adults")</f>
        <v>Young Adults</v>
      </c>
    </row>
    <row r="901" spans="1:11" x14ac:dyDescent="0.45">
      <c r="A901" s="2">
        <v>1058</v>
      </c>
      <c r="B901" s="2" t="s">
        <v>1163</v>
      </c>
      <c r="C901" s="2" t="s">
        <v>97</v>
      </c>
      <c r="D901" s="2" t="s">
        <v>28</v>
      </c>
      <c r="E901" s="2">
        <v>26</v>
      </c>
      <c r="F901" s="2">
        <v>75</v>
      </c>
      <c r="G901" s="2">
        <v>187</v>
      </c>
      <c r="H901" s="9">
        <f t="shared" si="14"/>
        <v>21.447567845806283</v>
      </c>
      <c r="I901" s="2" t="str" cm="1">
        <f t="array" ref="I901">_xlfn.IFS(F901&gt;=100,"Over weight",F901&lt;100,"Average weight")</f>
        <v>Average weight</v>
      </c>
      <c r="J901" s="2" t="str" cm="1">
        <f t="array" ref="J901">_xlfn.IFS(G901&lt;164,"Below Average height",G901&gt;=165,"Above Average height",G901=164,"Average height")</f>
        <v>Above Average height</v>
      </c>
      <c r="K901" s="2" t="str" cm="1">
        <f t="array" ref="K901">_xlfn.IFS(E901&lt;=16,"Children",E901&lt;=30,"Young Adults",E901&lt;=45,"Middle-aged Adults",E901&gt;45,"Old Adults")</f>
        <v>Young Adults</v>
      </c>
    </row>
    <row r="902" spans="1:11" x14ac:dyDescent="0.45">
      <c r="A902" s="2">
        <v>1059</v>
      </c>
      <c r="B902" s="2" t="s">
        <v>1164</v>
      </c>
      <c r="C902" s="2" t="s">
        <v>85</v>
      </c>
      <c r="D902" s="2" t="s">
        <v>6</v>
      </c>
      <c r="E902" s="2">
        <v>24</v>
      </c>
      <c r="F902" s="2">
        <v>64</v>
      </c>
      <c r="G902" s="2">
        <v>168</v>
      </c>
      <c r="H902" s="9">
        <f t="shared" si="14"/>
        <v>22.67573696145125</v>
      </c>
      <c r="I902" s="2" t="str" cm="1">
        <f t="array" ref="I902">_xlfn.IFS(F902&gt;=100,"Over weight",F902&lt;100,"Average weight")</f>
        <v>Average weight</v>
      </c>
      <c r="J902" s="2" t="str" cm="1">
        <f t="array" ref="J902">_xlfn.IFS(G902&lt;164,"Below Average height",G902&gt;=165,"Above Average height",G902=164,"Average height")</f>
        <v>Above Average height</v>
      </c>
      <c r="K902" s="2" t="str" cm="1">
        <f t="array" ref="K902">_xlfn.IFS(E902&lt;=16,"Children",E902&lt;=30,"Young Adults",E902&lt;=45,"Middle-aged Adults",E902&gt;45,"Old Adults")</f>
        <v>Young Adults</v>
      </c>
    </row>
    <row r="903" spans="1:11" x14ac:dyDescent="0.45">
      <c r="A903" s="2">
        <v>1060</v>
      </c>
      <c r="B903" s="2" t="s">
        <v>1165</v>
      </c>
      <c r="C903" s="2" t="s">
        <v>90</v>
      </c>
      <c r="D903" s="2" t="s">
        <v>28</v>
      </c>
      <c r="E903" s="2">
        <v>35</v>
      </c>
      <c r="F903" s="2">
        <v>82</v>
      </c>
      <c r="G903" s="2">
        <v>181</v>
      </c>
      <c r="H903" s="9">
        <f t="shared" si="14"/>
        <v>25.029760996306585</v>
      </c>
      <c r="I903" s="2" t="str" cm="1">
        <f t="array" ref="I903">_xlfn.IFS(F903&gt;=100,"Over weight",F903&lt;100,"Average weight")</f>
        <v>Average weight</v>
      </c>
      <c r="J903" s="2" t="str" cm="1">
        <f t="array" ref="J903">_xlfn.IFS(G903&lt;164,"Below Average height",G903&gt;=165,"Above Average height",G903=164,"Average height")</f>
        <v>Above Average height</v>
      </c>
      <c r="K903" s="2" t="str" cm="1">
        <f t="array" ref="K903">_xlfn.IFS(E903&lt;=16,"Children",E903&lt;=30,"Young Adults",E903&lt;=45,"Middle-aged Adults",E903&gt;45,"Old Adults")</f>
        <v>Middle-aged Adults</v>
      </c>
    </row>
    <row r="904" spans="1:11" x14ac:dyDescent="0.45">
      <c r="A904" s="2">
        <v>1061</v>
      </c>
      <c r="B904" s="2" t="s">
        <v>1166</v>
      </c>
      <c r="C904" s="2" t="s">
        <v>85</v>
      </c>
      <c r="D904" s="2" t="s">
        <v>13</v>
      </c>
      <c r="E904" s="2">
        <v>24</v>
      </c>
      <c r="F904" s="2">
        <v>65</v>
      </c>
      <c r="G904" s="2">
        <v>165</v>
      </c>
      <c r="H904" s="9">
        <f t="shared" si="14"/>
        <v>23.875114784205696</v>
      </c>
      <c r="I904" s="2" t="str" cm="1">
        <f t="array" ref="I904">_xlfn.IFS(F904&gt;=100,"Over weight",F904&lt;100,"Average weight")</f>
        <v>Average weight</v>
      </c>
      <c r="J904" s="2" t="str" cm="1">
        <f t="array" ref="J904">_xlfn.IFS(G904&lt;164,"Below Average height",G904&gt;=165,"Above Average height",G904=164,"Average height")</f>
        <v>Above Average height</v>
      </c>
      <c r="K904" s="2" t="str" cm="1">
        <f t="array" ref="K904">_xlfn.IFS(E904&lt;=16,"Children",E904&lt;=30,"Young Adults",E904&lt;=45,"Middle-aged Adults",E904&gt;45,"Old Adults")</f>
        <v>Young Adults</v>
      </c>
    </row>
    <row r="905" spans="1:11" x14ac:dyDescent="0.45">
      <c r="A905" s="2">
        <v>1062</v>
      </c>
      <c r="B905" s="2" t="s">
        <v>1167</v>
      </c>
      <c r="C905" s="2" t="s">
        <v>94</v>
      </c>
      <c r="D905" s="2" t="s">
        <v>50</v>
      </c>
      <c r="E905" s="2">
        <v>19</v>
      </c>
      <c r="F905" s="2">
        <v>62</v>
      </c>
      <c r="G905" s="2">
        <v>173</v>
      </c>
      <c r="H905" s="9">
        <f t="shared" si="14"/>
        <v>20.715693808680545</v>
      </c>
      <c r="I905" s="2" t="str" cm="1">
        <f t="array" ref="I905">_xlfn.IFS(F905&gt;=100,"Over weight",F905&lt;100,"Average weight")</f>
        <v>Average weight</v>
      </c>
      <c r="J905" s="2" t="str" cm="1">
        <f t="array" ref="J905">_xlfn.IFS(G905&lt;164,"Below Average height",G905&gt;=165,"Above Average height",G905=164,"Average height")</f>
        <v>Above Average height</v>
      </c>
      <c r="K905" s="2" t="str" cm="1">
        <f t="array" ref="K905">_xlfn.IFS(E905&lt;=16,"Children",E905&lt;=30,"Young Adults",E905&lt;=45,"Middle-aged Adults",E905&gt;45,"Old Adults")</f>
        <v>Young Adults</v>
      </c>
    </row>
    <row r="906" spans="1:11" x14ac:dyDescent="0.45">
      <c r="A906" s="2">
        <v>1063</v>
      </c>
      <c r="B906" s="2" t="s">
        <v>1168</v>
      </c>
      <c r="C906" s="2" t="s">
        <v>95</v>
      </c>
      <c r="D906" s="2" t="s">
        <v>79</v>
      </c>
      <c r="E906" s="2">
        <v>27</v>
      </c>
      <c r="F906" s="2">
        <v>92</v>
      </c>
      <c r="G906" s="2">
        <v>187</v>
      </c>
      <c r="H906" s="9">
        <f t="shared" si="14"/>
        <v>26.309016557522373</v>
      </c>
      <c r="I906" s="2" t="str" cm="1">
        <f t="array" ref="I906">_xlfn.IFS(F906&gt;=100,"Over weight",F906&lt;100,"Average weight")</f>
        <v>Average weight</v>
      </c>
      <c r="J906" s="2" t="str" cm="1">
        <f t="array" ref="J906">_xlfn.IFS(G906&lt;164,"Below Average height",G906&gt;=165,"Above Average height",G906=164,"Average height")</f>
        <v>Above Average height</v>
      </c>
      <c r="K906" s="2" t="str" cm="1">
        <f t="array" ref="K906">_xlfn.IFS(E906&lt;=16,"Children",E906&lt;=30,"Young Adults",E906&lt;=45,"Middle-aged Adults",E906&gt;45,"Old Adults")</f>
        <v>Young Adults</v>
      </c>
    </row>
    <row r="907" spans="1:11" x14ac:dyDescent="0.45">
      <c r="A907" s="2">
        <v>1064</v>
      </c>
      <c r="B907" s="2" t="s">
        <v>1169</v>
      </c>
      <c r="C907" s="2" t="s">
        <v>95</v>
      </c>
      <c r="D907" s="2" t="s">
        <v>46</v>
      </c>
      <c r="E907" s="2">
        <v>23</v>
      </c>
      <c r="F907" s="2">
        <v>88</v>
      </c>
      <c r="G907" s="2">
        <v>183</v>
      </c>
      <c r="H907" s="9">
        <f t="shared" si="14"/>
        <v>26.277285078682549</v>
      </c>
      <c r="I907" s="2" t="str" cm="1">
        <f t="array" ref="I907">_xlfn.IFS(F907&gt;=100,"Over weight",F907&lt;100,"Average weight")</f>
        <v>Average weight</v>
      </c>
      <c r="J907" s="2" t="str" cm="1">
        <f t="array" ref="J907">_xlfn.IFS(G907&lt;164,"Below Average height",G907&gt;=165,"Above Average height",G907=164,"Average height")</f>
        <v>Above Average height</v>
      </c>
      <c r="K907" s="2" t="str" cm="1">
        <f t="array" ref="K907">_xlfn.IFS(E907&lt;=16,"Children",E907&lt;=30,"Young Adults",E907&lt;=45,"Middle-aged Adults",E907&gt;45,"Old Adults")</f>
        <v>Young Adults</v>
      </c>
    </row>
    <row r="908" spans="1:11" x14ac:dyDescent="0.45">
      <c r="A908" s="2">
        <v>1065</v>
      </c>
      <c r="B908" s="2" t="s">
        <v>1170</v>
      </c>
      <c r="C908" s="2" t="s">
        <v>96</v>
      </c>
      <c r="D908" s="2" t="s">
        <v>74</v>
      </c>
      <c r="E908" s="2">
        <v>24</v>
      </c>
      <c r="F908" s="2">
        <v>111</v>
      </c>
      <c r="G908" s="2">
        <v>183</v>
      </c>
      <c r="H908" s="9">
        <f t="shared" si="14"/>
        <v>33.145211860610942</v>
      </c>
      <c r="I908" s="2" t="str" cm="1">
        <f t="array" ref="I908">_xlfn.IFS(F908&gt;=100,"Over weight",F908&lt;100,"Average weight")</f>
        <v>Over weight</v>
      </c>
      <c r="J908" s="2" t="str" cm="1">
        <f t="array" ref="J908">_xlfn.IFS(G908&lt;164,"Below Average height",G908&gt;=165,"Above Average height",G908=164,"Average height")</f>
        <v>Above Average height</v>
      </c>
      <c r="K908" s="2" t="str" cm="1">
        <f t="array" ref="K908">_xlfn.IFS(E908&lt;=16,"Children",E908&lt;=30,"Young Adults",E908&lt;=45,"Middle-aged Adults",E908&gt;45,"Old Adults")</f>
        <v>Young Adults</v>
      </c>
    </row>
    <row r="909" spans="1:11" x14ac:dyDescent="0.45">
      <c r="A909" s="2">
        <v>1066</v>
      </c>
      <c r="B909" s="2" t="s">
        <v>1171</v>
      </c>
      <c r="C909" s="2" t="s">
        <v>94</v>
      </c>
      <c r="D909" s="2" t="s">
        <v>60</v>
      </c>
      <c r="E909" s="2">
        <v>26</v>
      </c>
      <c r="F909" s="2">
        <v>111</v>
      </c>
      <c r="G909" s="2">
        <v>189</v>
      </c>
      <c r="H909" s="9">
        <f t="shared" si="14"/>
        <v>31.074158058285043</v>
      </c>
      <c r="I909" s="2" t="str" cm="1">
        <f t="array" ref="I909">_xlfn.IFS(F909&gt;=100,"Over weight",F909&lt;100,"Average weight")</f>
        <v>Over weight</v>
      </c>
      <c r="J909" s="2" t="str" cm="1">
        <f t="array" ref="J909">_xlfn.IFS(G909&lt;164,"Below Average height",G909&gt;=165,"Above Average height",G909=164,"Average height")</f>
        <v>Above Average height</v>
      </c>
      <c r="K909" s="2" t="str" cm="1">
        <f t="array" ref="K909">_xlfn.IFS(E909&lt;=16,"Children",E909&lt;=30,"Young Adults",E909&lt;=45,"Middle-aged Adults",E909&gt;45,"Old Adults")</f>
        <v>Young Adults</v>
      </c>
    </row>
    <row r="910" spans="1:11" x14ac:dyDescent="0.45">
      <c r="A910" s="2">
        <v>1067</v>
      </c>
      <c r="B910" s="2" t="s">
        <v>1172</v>
      </c>
      <c r="C910" s="2" t="s">
        <v>89</v>
      </c>
      <c r="D910" s="2" t="s">
        <v>14</v>
      </c>
      <c r="E910" s="2">
        <v>30</v>
      </c>
      <c r="F910" s="2">
        <v>71</v>
      </c>
      <c r="G910" s="2">
        <v>172</v>
      </c>
      <c r="H910" s="9">
        <f t="shared" si="14"/>
        <v>23.999459167117362</v>
      </c>
      <c r="I910" s="2" t="str" cm="1">
        <f t="array" ref="I910">_xlfn.IFS(F910&gt;=100,"Over weight",F910&lt;100,"Average weight")</f>
        <v>Average weight</v>
      </c>
      <c r="J910" s="2" t="str" cm="1">
        <f t="array" ref="J910">_xlfn.IFS(G910&lt;164,"Below Average height",G910&gt;=165,"Above Average height",G910=164,"Average height")</f>
        <v>Above Average height</v>
      </c>
      <c r="K910" s="2" t="str" cm="1">
        <f t="array" ref="K910">_xlfn.IFS(E910&lt;=16,"Children",E910&lt;=30,"Young Adults",E910&lt;=45,"Middle-aged Adults",E910&gt;45,"Old Adults")</f>
        <v>Young Adults</v>
      </c>
    </row>
    <row r="911" spans="1:11" x14ac:dyDescent="0.45">
      <c r="A911" s="2">
        <v>1068</v>
      </c>
      <c r="B911" s="2" t="s">
        <v>1173</v>
      </c>
      <c r="C911" s="2" t="s">
        <v>94</v>
      </c>
      <c r="D911" s="2" t="s">
        <v>71</v>
      </c>
      <c r="E911" s="2">
        <v>19</v>
      </c>
      <c r="F911" s="2">
        <v>72</v>
      </c>
      <c r="G911" s="2">
        <v>181</v>
      </c>
      <c r="H911" s="9">
        <f t="shared" si="14"/>
        <v>21.977351118708221</v>
      </c>
      <c r="I911" s="2" t="str" cm="1">
        <f t="array" ref="I911">_xlfn.IFS(F911&gt;=100,"Over weight",F911&lt;100,"Average weight")</f>
        <v>Average weight</v>
      </c>
      <c r="J911" s="2" t="str" cm="1">
        <f t="array" ref="J911">_xlfn.IFS(G911&lt;164,"Below Average height",G911&gt;=165,"Above Average height",G911=164,"Average height")</f>
        <v>Above Average height</v>
      </c>
      <c r="K911" s="2" t="str" cm="1">
        <f t="array" ref="K911">_xlfn.IFS(E911&lt;=16,"Children",E911&lt;=30,"Young Adults",E911&lt;=45,"Middle-aged Adults",E911&gt;45,"Old Adults")</f>
        <v>Young Adults</v>
      </c>
    </row>
    <row r="912" spans="1:11" x14ac:dyDescent="0.45">
      <c r="A912" s="2">
        <v>1069</v>
      </c>
      <c r="B912" s="2" t="s">
        <v>1174</v>
      </c>
      <c r="C912" s="2" t="s">
        <v>98</v>
      </c>
      <c r="D912" s="2" t="s">
        <v>28</v>
      </c>
      <c r="E912" s="2">
        <v>27</v>
      </c>
      <c r="F912" s="2">
        <v>60</v>
      </c>
      <c r="G912" s="2">
        <v>169</v>
      </c>
      <c r="H912" s="9">
        <f t="shared" si="14"/>
        <v>21.007667798746546</v>
      </c>
      <c r="I912" s="2" t="str" cm="1">
        <f t="array" ref="I912">_xlfn.IFS(F912&gt;=100,"Over weight",F912&lt;100,"Average weight")</f>
        <v>Average weight</v>
      </c>
      <c r="J912" s="2" t="str" cm="1">
        <f t="array" ref="J912">_xlfn.IFS(G912&lt;164,"Below Average height",G912&gt;=165,"Above Average height",G912=164,"Average height")</f>
        <v>Above Average height</v>
      </c>
      <c r="K912" s="2" t="str" cm="1">
        <f t="array" ref="K912">_xlfn.IFS(E912&lt;=16,"Children",E912&lt;=30,"Young Adults",E912&lt;=45,"Middle-aged Adults",E912&gt;45,"Old Adults")</f>
        <v>Young Adults</v>
      </c>
    </row>
    <row r="913" spans="1:11" x14ac:dyDescent="0.45">
      <c r="A913" s="2">
        <v>1070</v>
      </c>
      <c r="B913" s="2" t="s">
        <v>1175</v>
      </c>
      <c r="C913" s="2" t="s">
        <v>93</v>
      </c>
      <c r="D913" s="2" t="s">
        <v>60</v>
      </c>
      <c r="E913" s="2">
        <v>21</v>
      </c>
      <c r="F913" s="2">
        <v>111</v>
      </c>
      <c r="G913" s="2">
        <v>189</v>
      </c>
      <c r="H913" s="9">
        <f t="shared" si="14"/>
        <v>31.074158058285043</v>
      </c>
      <c r="I913" s="2" t="str" cm="1">
        <f t="array" ref="I913">_xlfn.IFS(F913&gt;=100,"Over weight",F913&lt;100,"Average weight")</f>
        <v>Over weight</v>
      </c>
      <c r="J913" s="2" t="str" cm="1">
        <f t="array" ref="J913">_xlfn.IFS(G913&lt;164,"Below Average height",G913&gt;=165,"Above Average height",G913=164,"Average height")</f>
        <v>Above Average height</v>
      </c>
      <c r="K913" s="2" t="str" cm="1">
        <f t="array" ref="K913">_xlfn.IFS(E913&lt;=16,"Children",E913&lt;=30,"Young Adults",E913&lt;=45,"Middle-aged Adults",E913&gt;45,"Old Adults")</f>
        <v>Young Adults</v>
      </c>
    </row>
    <row r="914" spans="1:11" x14ac:dyDescent="0.45">
      <c r="A914" s="2">
        <v>1071</v>
      </c>
      <c r="B914" s="2" t="s">
        <v>1176</v>
      </c>
      <c r="C914" s="2" t="s">
        <v>88</v>
      </c>
      <c r="D914" s="2" t="s">
        <v>13</v>
      </c>
      <c r="E914" s="2">
        <v>29</v>
      </c>
      <c r="F914" s="2">
        <v>63</v>
      </c>
      <c r="G914" s="2">
        <v>175</v>
      </c>
      <c r="H914" s="9">
        <f t="shared" si="14"/>
        <v>20.571428571428573</v>
      </c>
      <c r="I914" s="2" t="str" cm="1">
        <f t="array" ref="I914">_xlfn.IFS(F914&gt;=100,"Over weight",F914&lt;100,"Average weight")</f>
        <v>Average weight</v>
      </c>
      <c r="J914" s="2" t="str" cm="1">
        <f t="array" ref="J914">_xlfn.IFS(G914&lt;164,"Below Average height",G914&gt;=165,"Above Average height",G914=164,"Average height")</f>
        <v>Above Average height</v>
      </c>
      <c r="K914" s="2" t="str" cm="1">
        <f t="array" ref="K914">_xlfn.IFS(E914&lt;=16,"Children",E914&lt;=30,"Young Adults",E914&lt;=45,"Middle-aged Adults",E914&gt;45,"Old Adults")</f>
        <v>Young Adults</v>
      </c>
    </row>
    <row r="915" spans="1:11" x14ac:dyDescent="0.45">
      <c r="A915" s="2">
        <v>1072</v>
      </c>
      <c r="B915" s="2" t="s">
        <v>1177</v>
      </c>
      <c r="C915" s="2" t="s">
        <v>85</v>
      </c>
      <c r="D915" s="2" t="s">
        <v>11</v>
      </c>
      <c r="E915" s="2">
        <v>21</v>
      </c>
      <c r="F915" s="2">
        <v>67</v>
      </c>
      <c r="G915" s="2">
        <v>172</v>
      </c>
      <c r="H915" s="9">
        <f t="shared" si="14"/>
        <v>22.647376960519203</v>
      </c>
      <c r="I915" s="2" t="str" cm="1">
        <f t="array" ref="I915">_xlfn.IFS(F915&gt;=100,"Over weight",F915&lt;100,"Average weight")</f>
        <v>Average weight</v>
      </c>
      <c r="J915" s="2" t="str" cm="1">
        <f t="array" ref="J915">_xlfn.IFS(G915&lt;164,"Below Average height",G915&gt;=165,"Above Average height",G915=164,"Average height")</f>
        <v>Above Average height</v>
      </c>
      <c r="K915" s="2" t="str" cm="1">
        <f t="array" ref="K915">_xlfn.IFS(E915&lt;=16,"Children",E915&lt;=30,"Young Adults",E915&lt;=45,"Middle-aged Adults",E915&gt;45,"Old Adults")</f>
        <v>Young Adults</v>
      </c>
    </row>
    <row r="916" spans="1:11" x14ac:dyDescent="0.45">
      <c r="A916" s="2">
        <v>1074</v>
      </c>
      <c r="B916" s="2" t="s">
        <v>1179</v>
      </c>
      <c r="C916" s="2" t="s">
        <v>85</v>
      </c>
      <c r="D916" s="2" t="s">
        <v>74</v>
      </c>
      <c r="E916" s="2">
        <v>21</v>
      </c>
      <c r="F916" s="2">
        <v>73</v>
      </c>
      <c r="G916" s="2">
        <v>172</v>
      </c>
      <c r="H916" s="9">
        <f t="shared" si="14"/>
        <v>24.675500270416443</v>
      </c>
      <c r="I916" s="2" t="str" cm="1">
        <f t="array" ref="I916">_xlfn.IFS(F916&gt;=100,"Over weight",F916&lt;100,"Average weight")</f>
        <v>Average weight</v>
      </c>
      <c r="J916" s="2" t="str" cm="1">
        <f t="array" ref="J916">_xlfn.IFS(G916&lt;164,"Below Average height",G916&gt;=165,"Above Average height",G916=164,"Average height")</f>
        <v>Above Average height</v>
      </c>
      <c r="K916" s="2" t="str" cm="1">
        <f t="array" ref="K916">_xlfn.IFS(E916&lt;=16,"Children",E916&lt;=30,"Young Adults",E916&lt;=45,"Middle-aged Adults",E916&gt;45,"Old Adults")</f>
        <v>Young Adults</v>
      </c>
    </row>
    <row r="917" spans="1:11" x14ac:dyDescent="0.45">
      <c r="A917" s="2">
        <v>1075</v>
      </c>
      <c r="B917" s="2" t="s">
        <v>1180</v>
      </c>
      <c r="C917" s="2" t="s">
        <v>91</v>
      </c>
      <c r="D917" s="2" t="s">
        <v>28</v>
      </c>
      <c r="E917" s="2">
        <v>25</v>
      </c>
      <c r="F917" s="2">
        <v>91</v>
      </c>
      <c r="G917" s="2">
        <v>186</v>
      </c>
      <c r="H917" s="9">
        <f t="shared" si="14"/>
        <v>26.303618915481554</v>
      </c>
      <c r="I917" s="2" t="str" cm="1">
        <f t="array" ref="I917">_xlfn.IFS(F917&gt;=100,"Over weight",F917&lt;100,"Average weight")</f>
        <v>Average weight</v>
      </c>
      <c r="J917" s="2" t="str" cm="1">
        <f t="array" ref="J917">_xlfn.IFS(G917&lt;164,"Below Average height",G917&gt;=165,"Above Average height",G917=164,"Average height")</f>
        <v>Above Average height</v>
      </c>
      <c r="K917" s="2" t="str" cm="1">
        <f t="array" ref="K917">_xlfn.IFS(E917&lt;=16,"Children",E917&lt;=30,"Young Adults",E917&lt;=45,"Middle-aged Adults",E917&gt;45,"Old Adults")</f>
        <v>Young Adults</v>
      </c>
    </row>
    <row r="918" spans="1:11" x14ac:dyDescent="0.45">
      <c r="A918" s="2">
        <v>1076</v>
      </c>
      <c r="B918" s="2" t="s">
        <v>1181</v>
      </c>
      <c r="C918" s="2" t="s">
        <v>90</v>
      </c>
      <c r="D918" s="2" t="s">
        <v>48</v>
      </c>
      <c r="E918" s="2">
        <v>27</v>
      </c>
      <c r="F918" s="2">
        <v>90</v>
      </c>
      <c r="G918" s="2">
        <v>184</v>
      </c>
      <c r="H918" s="9">
        <f t="shared" si="14"/>
        <v>26.583175803402646</v>
      </c>
      <c r="I918" s="2" t="str" cm="1">
        <f t="array" ref="I918">_xlfn.IFS(F918&gt;=100,"Over weight",F918&lt;100,"Average weight")</f>
        <v>Average weight</v>
      </c>
      <c r="J918" s="2" t="str" cm="1">
        <f t="array" ref="J918">_xlfn.IFS(G918&lt;164,"Below Average height",G918&gt;=165,"Above Average height",G918=164,"Average height")</f>
        <v>Above Average height</v>
      </c>
      <c r="K918" s="2" t="str" cm="1">
        <f t="array" ref="K918">_xlfn.IFS(E918&lt;=16,"Children",E918&lt;=30,"Young Adults",E918&lt;=45,"Middle-aged Adults",E918&gt;45,"Old Adults")</f>
        <v>Young Adults</v>
      </c>
    </row>
    <row r="919" spans="1:11" x14ac:dyDescent="0.45">
      <c r="A919" s="2">
        <v>1077</v>
      </c>
      <c r="B919" s="2" t="s">
        <v>1182</v>
      </c>
      <c r="C919" s="2" t="s">
        <v>93</v>
      </c>
      <c r="D919" s="2" t="s">
        <v>80</v>
      </c>
      <c r="E919" s="2">
        <v>37</v>
      </c>
      <c r="F919" s="2">
        <v>102</v>
      </c>
      <c r="G919" s="2">
        <v>191</v>
      </c>
      <c r="H919" s="9">
        <f t="shared" si="14"/>
        <v>27.959759875003428</v>
      </c>
      <c r="I919" s="2" t="str" cm="1">
        <f t="array" ref="I919">_xlfn.IFS(F919&gt;=100,"Over weight",F919&lt;100,"Average weight")</f>
        <v>Over weight</v>
      </c>
      <c r="J919" s="2" t="str" cm="1">
        <f t="array" ref="J919">_xlfn.IFS(G919&lt;164,"Below Average height",G919&gt;=165,"Above Average height",G919=164,"Average height")</f>
        <v>Above Average height</v>
      </c>
      <c r="K919" s="2" t="str" cm="1">
        <f t="array" ref="K919">_xlfn.IFS(E919&lt;=16,"Children",E919&lt;=30,"Young Adults",E919&lt;=45,"Middle-aged Adults",E919&gt;45,"Old Adults")</f>
        <v>Middle-aged Adults</v>
      </c>
    </row>
    <row r="920" spans="1:11" x14ac:dyDescent="0.45">
      <c r="A920" s="2">
        <v>1078</v>
      </c>
      <c r="B920" s="2" t="s">
        <v>1183</v>
      </c>
      <c r="C920" s="2" t="s">
        <v>98</v>
      </c>
      <c r="D920" s="2" t="s">
        <v>58</v>
      </c>
      <c r="E920" s="2">
        <v>20</v>
      </c>
      <c r="F920" s="2">
        <v>70</v>
      </c>
      <c r="G920" s="2">
        <v>172</v>
      </c>
      <c r="H920" s="9">
        <f t="shared" si="14"/>
        <v>23.661438615467823</v>
      </c>
      <c r="I920" s="2" t="str" cm="1">
        <f t="array" ref="I920">_xlfn.IFS(F920&gt;=100,"Over weight",F920&lt;100,"Average weight")</f>
        <v>Average weight</v>
      </c>
      <c r="J920" s="2" t="str" cm="1">
        <f t="array" ref="J920">_xlfn.IFS(G920&lt;164,"Below Average height",G920&gt;=165,"Above Average height",G920=164,"Average height")</f>
        <v>Above Average height</v>
      </c>
      <c r="K920" s="2" t="str" cm="1">
        <f t="array" ref="K920">_xlfn.IFS(E920&lt;=16,"Children",E920&lt;=30,"Young Adults",E920&lt;=45,"Middle-aged Adults",E920&gt;45,"Old Adults")</f>
        <v>Young Adults</v>
      </c>
    </row>
    <row r="921" spans="1:11" x14ac:dyDescent="0.45">
      <c r="A921" s="2">
        <v>1079</v>
      </c>
      <c r="B921" s="2" t="s">
        <v>1184</v>
      </c>
      <c r="C921" s="2" t="s">
        <v>95</v>
      </c>
      <c r="D921" s="2" t="s">
        <v>66</v>
      </c>
      <c r="E921" s="2">
        <v>29</v>
      </c>
      <c r="F921" s="2">
        <v>86</v>
      </c>
      <c r="G921" s="2">
        <v>180</v>
      </c>
      <c r="H921" s="9">
        <f t="shared" si="14"/>
        <v>26.543209876543209</v>
      </c>
      <c r="I921" s="2" t="str" cm="1">
        <f t="array" ref="I921">_xlfn.IFS(F921&gt;=100,"Over weight",F921&lt;100,"Average weight")</f>
        <v>Average weight</v>
      </c>
      <c r="J921" s="2" t="str" cm="1">
        <f t="array" ref="J921">_xlfn.IFS(G921&lt;164,"Below Average height",G921&gt;=165,"Above Average height",G921=164,"Average height")</f>
        <v>Above Average height</v>
      </c>
      <c r="K921" s="2" t="str" cm="1">
        <f t="array" ref="K921">_xlfn.IFS(E921&lt;=16,"Children",E921&lt;=30,"Young Adults",E921&lt;=45,"Middle-aged Adults",E921&gt;45,"Old Adults")</f>
        <v>Young Adults</v>
      </c>
    </row>
    <row r="922" spans="1:11" x14ac:dyDescent="0.45">
      <c r="A922" s="2">
        <v>1080</v>
      </c>
      <c r="B922" s="2" t="s">
        <v>1185</v>
      </c>
      <c r="C922" s="2" t="s">
        <v>87</v>
      </c>
      <c r="D922" s="2" t="s">
        <v>5</v>
      </c>
      <c r="E922" s="2">
        <v>20</v>
      </c>
      <c r="F922" s="2">
        <v>90</v>
      </c>
      <c r="G922" s="2">
        <v>180</v>
      </c>
      <c r="H922" s="9">
        <f t="shared" si="14"/>
        <v>27.777777777777775</v>
      </c>
      <c r="I922" s="2" t="str" cm="1">
        <f t="array" ref="I922">_xlfn.IFS(F922&gt;=100,"Over weight",F922&lt;100,"Average weight")</f>
        <v>Average weight</v>
      </c>
      <c r="J922" s="2" t="str" cm="1">
        <f t="array" ref="J922">_xlfn.IFS(G922&lt;164,"Below Average height",G922&gt;=165,"Above Average height",G922=164,"Average height")</f>
        <v>Above Average height</v>
      </c>
      <c r="K922" s="2" t="str" cm="1">
        <f t="array" ref="K922">_xlfn.IFS(E922&lt;=16,"Children",E922&lt;=30,"Young Adults",E922&lt;=45,"Middle-aged Adults",E922&gt;45,"Old Adults")</f>
        <v>Young Adults</v>
      </c>
    </row>
    <row r="923" spans="1:11" x14ac:dyDescent="0.45">
      <c r="A923" s="2">
        <v>1081</v>
      </c>
      <c r="B923" s="2" t="s">
        <v>1186</v>
      </c>
      <c r="C923" s="2" t="s">
        <v>91</v>
      </c>
      <c r="D923" s="2" t="s">
        <v>80</v>
      </c>
      <c r="E923" s="2">
        <v>20</v>
      </c>
      <c r="F923" s="2">
        <v>78</v>
      </c>
      <c r="G923" s="2">
        <v>178</v>
      </c>
      <c r="H923" s="9">
        <f t="shared" si="14"/>
        <v>24.618103774775911</v>
      </c>
      <c r="I923" s="2" t="str" cm="1">
        <f t="array" ref="I923">_xlfn.IFS(F923&gt;=100,"Over weight",F923&lt;100,"Average weight")</f>
        <v>Average weight</v>
      </c>
      <c r="J923" s="2" t="str" cm="1">
        <f t="array" ref="J923">_xlfn.IFS(G923&lt;164,"Below Average height",G923&gt;=165,"Above Average height",G923=164,"Average height")</f>
        <v>Above Average height</v>
      </c>
      <c r="K923" s="2" t="str" cm="1">
        <f t="array" ref="K923">_xlfn.IFS(E923&lt;=16,"Children",E923&lt;=30,"Young Adults",E923&lt;=45,"Middle-aged Adults",E923&gt;45,"Old Adults")</f>
        <v>Young Adults</v>
      </c>
    </row>
    <row r="924" spans="1:11" x14ac:dyDescent="0.45">
      <c r="A924" s="2">
        <v>1082</v>
      </c>
      <c r="B924" s="2" t="s">
        <v>1187</v>
      </c>
      <c r="C924" s="2" t="s">
        <v>98</v>
      </c>
      <c r="D924" s="2" t="s">
        <v>33</v>
      </c>
      <c r="E924" s="2">
        <v>20</v>
      </c>
      <c r="F924" s="2">
        <v>75</v>
      </c>
      <c r="G924" s="2">
        <v>180</v>
      </c>
      <c r="H924" s="9">
        <f t="shared" si="14"/>
        <v>23.148148148148145</v>
      </c>
      <c r="I924" s="2" t="str" cm="1">
        <f t="array" ref="I924">_xlfn.IFS(F924&gt;=100,"Over weight",F924&lt;100,"Average weight")</f>
        <v>Average weight</v>
      </c>
      <c r="J924" s="2" t="str" cm="1">
        <f t="array" ref="J924">_xlfn.IFS(G924&lt;164,"Below Average height",G924&gt;=165,"Above Average height",G924=164,"Average height")</f>
        <v>Above Average height</v>
      </c>
      <c r="K924" s="2" t="str" cm="1">
        <f t="array" ref="K924">_xlfn.IFS(E924&lt;=16,"Children",E924&lt;=30,"Young Adults",E924&lt;=45,"Middle-aged Adults",E924&gt;45,"Old Adults")</f>
        <v>Young Adults</v>
      </c>
    </row>
    <row r="925" spans="1:11" x14ac:dyDescent="0.45">
      <c r="A925" s="2">
        <v>1084</v>
      </c>
      <c r="B925" s="2" t="s">
        <v>1189</v>
      </c>
      <c r="C925" s="2" t="s">
        <v>97</v>
      </c>
      <c r="D925" s="2" t="s">
        <v>41</v>
      </c>
      <c r="E925" s="2">
        <v>27</v>
      </c>
      <c r="F925" s="2">
        <v>63</v>
      </c>
      <c r="G925" s="2">
        <v>174</v>
      </c>
      <c r="H925" s="9">
        <f t="shared" si="14"/>
        <v>20.808561236623067</v>
      </c>
      <c r="I925" s="2" t="str" cm="1">
        <f t="array" ref="I925">_xlfn.IFS(F925&gt;=100,"Over weight",F925&lt;100,"Average weight")</f>
        <v>Average weight</v>
      </c>
      <c r="J925" s="2" t="str" cm="1">
        <f t="array" ref="J925">_xlfn.IFS(G925&lt;164,"Below Average height",G925&gt;=165,"Above Average height",G925=164,"Average height")</f>
        <v>Above Average height</v>
      </c>
      <c r="K925" s="2" t="str" cm="1">
        <f t="array" ref="K925">_xlfn.IFS(E925&lt;=16,"Children",E925&lt;=30,"Young Adults",E925&lt;=45,"Middle-aged Adults",E925&gt;45,"Old Adults")</f>
        <v>Young Adults</v>
      </c>
    </row>
    <row r="926" spans="1:11" x14ac:dyDescent="0.45">
      <c r="A926" s="2">
        <v>1085</v>
      </c>
      <c r="B926" s="2" t="s">
        <v>1190</v>
      </c>
      <c r="C926" s="2" t="s">
        <v>90</v>
      </c>
      <c r="D926" s="2" t="s">
        <v>41</v>
      </c>
      <c r="E926" s="2">
        <v>33</v>
      </c>
      <c r="F926" s="2">
        <v>100</v>
      </c>
      <c r="G926" s="2">
        <v>183</v>
      </c>
      <c r="H926" s="9">
        <f t="shared" si="14"/>
        <v>29.860551225775623</v>
      </c>
      <c r="I926" s="2" t="str" cm="1">
        <f t="array" ref="I926">_xlfn.IFS(F926&gt;=100,"Over weight",F926&lt;100,"Average weight")</f>
        <v>Over weight</v>
      </c>
      <c r="J926" s="2" t="str" cm="1">
        <f t="array" ref="J926">_xlfn.IFS(G926&lt;164,"Below Average height",G926&gt;=165,"Above Average height",G926=164,"Average height")</f>
        <v>Above Average height</v>
      </c>
      <c r="K926" s="2" t="str" cm="1">
        <f t="array" ref="K926">_xlfn.IFS(E926&lt;=16,"Children",E926&lt;=30,"Young Adults",E926&lt;=45,"Middle-aged Adults",E926&gt;45,"Old Adults")</f>
        <v>Middle-aged Adults</v>
      </c>
    </row>
    <row r="927" spans="1:11" x14ac:dyDescent="0.45">
      <c r="A927" s="2">
        <v>1086</v>
      </c>
      <c r="B927" s="2" t="s">
        <v>1191</v>
      </c>
      <c r="C927" s="2" t="s">
        <v>93</v>
      </c>
      <c r="D927" s="2" t="s">
        <v>28</v>
      </c>
      <c r="E927" s="2">
        <v>22</v>
      </c>
      <c r="F927" s="2">
        <v>58</v>
      </c>
      <c r="G927" s="2">
        <v>168</v>
      </c>
      <c r="H927" s="9">
        <f t="shared" si="14"/>
        <v>20.549886621315196</v>
      </c>
      <c r="I927" s="2" t="str" cm="1">
        <f t="array" ref="I927">_xlfn.IFS(F927&gt;=100,"Over weight",F927&lt;100,"Average weight")</f>
        <v>Average weight</v>
      </c>
      <c r="J927" s="2" t="str" cm="1">
        <f t="array" ref="J927">_xlfn.IFS(G927&lt;164,"Below Average height",G927&gt;=165,"Above Average height",G927=164,"Average height")</f>
        <v>Above Average height</v>
      </c>
      <c r="K927" s="2" t="str" cm="1">
        <f t="array" ref="K927">_xlfn.IFS(E927&lt;=16,"Children",E927&lt;=30,"Young Adults",E927&lt;=45,"Middle-aged Adults",E927&gt;45,"Old Adults")</f>
        <v>Young Adults</v>
      </c>
    </row>
    <row r="928" spans="1:11" x14ac:dyDescent="0.45">
      <c r="A928" s="2">
        <v>1087</v>
      </c>
      <c r="B928" s="2" t="s">
        <v>1192</v>
      </c>
      <c r="C928" s="2" t="s">
        <v>90</v>
      </c>
      <c r="D928" s="2" t="s">
        <v>21</v>
      </c>
      <c r="E928" s="2">
        <v>39</v>
      </c>
      <c r="F928" s="2">
        <v>102</v>
      </c>
      <c r="G928" s="2">
        <v>186</v>
      </c>
      <c r="H928" s="9">
        <f t="shared" si="14"/>
        <v>29.483177245924381</v>
      </c>
      <c r="I928" s="2" t="str" cm="1">
        <f t="array" ref="I928">_xlfn.IFS(F928&gt;=100,"Over weight",F928&lt;100,"Average weight")</f>
        <v>Over weight</v>
      </c>
      <c r="J928" s="2" t="str" cm="1">
        <f t="array" ref="J928">_xlfn.IFS(G928&lt;164,"Below Average height",G928&gt;=165,"Above Average height",G928=164,"Average height")</f>
        <v>Above Average height</v>
      </c>
      <c r="K928" s="2" t="str" cm="1">
        <f t="array" ref="K928">_xlfn.IFS(E928&lt;=16,"Children",E928&lt;=30,"Young Adults",E928&lt;=45,"Middle-aged Adults",E928&gt;45,"Old Adults")</f>
        <v>Middle-aged Adults</v>
      </c>
    </row>
    <row r="929" spans="1:11" x14ac:dyDescent="0.45">
      <c r="A929" s="2">
        <v>1088</v>
      </c>
      <c r="B929" s="2" t="s">
        <v>1193</v>
      </c>
      <c r="C929" s="2" t="s">
        <v>88</v>
      </c>
      <c r="D929" s="2" t="s">
        <v>63</v>
      </c>
      <c r="E929" s="2">
        <v>24</v>
      </c>
      <c r="F929" s="2">
        <v>74</v>
      </c>
      <c r="G929" s="2">
        <v>185</v>
      </c>
      <c r="H929" s="9">
        <f t="shared" si="14"/>
        <v>21.621621621621621</v>
      </c>
      <c r="I929" s="2" t="str" cm="1">
        <f t="array" ref="I929">_xlfn.IFS(F929&gt;=100,"Over weight",F929&lt;100,"Average weight")</f>
        <v>Average weight</v>
      </c>
      <c r="J929" s="2" t="str" cm="1">
        <f t="array" ref="J929">_xlfn.IFS(G929&lt;164,"Below Average height",G929&gt;=165,"Above Average height",G929=164,"Average height")</f>
        <v>Above Average height</v>
      </c>
      <c r="K929" s="2" t="str" cm="1">
        <f t="array" ref="K929">_xlfn.IFS(E929&lt;=16,"Children",E929&lt;=30,"Young Adults",E929&lt;=45,"Middle-aged Adults",E929&gt;45,"Old Adults")</f>
        <v>Young Adults</v>
      </c>
    </row>
    <row r="930" spans="1:11" x14ac:dyDescent="0.45">
      <c r="A930" s="2">
        <v>1089</v>
      </c>
      <c r="B930" s="2" t="s">
        <v>1194</v>
      </c>
      <c r="C930" s="2" t="s">
        <v>92</v>
      </c>
      <c r="D930" s="2" t="s">
        <v>6</v>
      </c>
      <c r="E930" s="2">
        <v>28</v>
      </c>
      <c r="F930" s="2">
        <v>69</v>
      </c>
      <c r="G930" s="2">
        <v>186</v>
      </c>
      <c r="H930" s="9">
        <f t="shared" si="14"/>
        <v>19.944502254595903</v>
      </c>
      <c r="I930" s="2" t="str" cm="1">
        <f t="array" ref="I930">_xlfn.IFS(F930&gt;=100,"Over weight",F930&lt;100,"Average weight")</f>
        <v>Average weight</v>
      </c>
      <c r="J930" s="2" t="str" cm="1">
        <f t="array" ref="J930">_xlfn.IFS(G930&lt;164,"Below Average height",G930&gt;=165,"Above Average height",G930=164,"Average height")</f>
        <v>Above Average height</v>
      </c>
      <c r="K930" s="2" t="str" cm="1">
        <f t="array" ref="K930">_xlfn.IFS(E930&lt;=16,"Children",E930&lt;=30,"Young Adults",E930&lt;=45,"Middle-aged Adults",E930&gt;45,"Old Adults")</f>
        <v>Young Adults</v>
      </c>
    </row>
    <row r="931" spans="1:11" x14ac:dyDescent="0.45">
      <c r="A931" s="2">
        <v>1090</v>
      </c>
      <c r="B931" s="2" t="s">
        <v>1195</v>
      </c>
      <c r="C931" s="2" t="s">
        <v>95</v>
      </c>
      <c r="D931" s="2" t="s">
        <v>75</v>
      </c>
      <c r="E931" s="2">
        <v>24</v>
      </c>
      <c r="F931" s="2">
        <v>60</v>
      </c>
      <c r="G931" s="2">
        <v>172</v>
      </c>
      <c r="H931" s="9">
        <f t="shared" si="14"/>
        <v>20.281233098972418</v>
      </c>
      <c r="I931" s="2" t="str" cm="1">
        <f t="array" ref="I931">_xlfn.IFS(F931&gt;=100,"Over weight",F931&lt;100,"Average weight")</f>
        <v>Average weight</v>
      </c>
      <c r="J931" s="2" t="str" cm="1">
        <f t="array" ref="J931">_xlfn.IFS(G931&lt;164,"Below Average height",G931&gt;=165,"Above Average height",G931=164,"Average height")</f>
        <v>Above Average height</v>
      </c>
      <c r="K931" s="2" t="str" cm="1">
        <f t="array" ref="K931">_xlfn.IFS(E931&lt;=16,"Children",E931&lt;=30,"Young Adults",E931&lt;=45,"Middle-aged Adults",E931&gt;45,"Old Adults")</f>
        <v>Young Adults</v>
      </c>
    </row>
    <row r="932" spans="1:11" x14ac:dyDescent="0.45">
      <c r="A932" s="2">
        <v>1091</v>
      </c>
      <c r="B932" s="2" t="s">
        <v>1196</v>
      </c>
      <c r="C932" s="2" t="s">
        <v>88</v>
      </c>
      <c r="D932" s="2" t="s">
        <v>14</v>
      </c>
      <c r="E932" s="2">
        <v>27</v>
      </c>
      <c r="F932" s="2">
        <v>60</v>
      </c>
      <c r="G932" s="2">
        <v>170</v>
      </c>
      <c r="H932" s="9">
        <f t="shared" si="14"/>
        <v>20.761245674740486</v>
      </c>
      <c r="I932" s="2" t="str" cm="1">
        <f t="array" ref="I932">_xlfn.IFS(F932&gt;=100,"Over weight",F932&lt;100,"Average weight")</f>
        <v>Average weight</v>
      </c>
      <c r="J932" s="2" t="str" cm="1">
        <f t="array" ref="J932">_xlfn.IFS(G932&lt;164,"Below Average height",G932&gt;=165,"Above Average height",G932=164,"Average height")</f>
        <v>Above Average height</v>
      </c>
      <c r="K932" s="2" t="str" cm="1">
        <f t="array" ref="K932">_xlfn.IFS(E932&lt;=16,"Children",E932&lt;=30,"Young Adults",E932&lt;=45,"Middle-aged Adults",E932&gt;45,"Old Adults")</f>
        <v>Young Adults</v>
      </c>
    </row>
    <row r="933" spans="1:11" x14ac:dyDescent="0.45">
      <c r="A933" s="2">
        <v>1092</v>
      </c>
      <c r="B933" s="2" t="s">
        <v>1197</v>
      </c>
      <c r="C933" s="2" t="s">
        <v>86</v>
      </c>
      <c r="D933" s="2" t="s">
        <v>39</v>
      </c>
      <c r="E933" s="2">
        <v>23</v>
      </c>
      <c r="F933" s="2">
        <v>111</v>
      </c>
      <c r="G933" s="2">
        <v>175</v>
      </c>
      <c r="H933" s="9">
        <f t="shared" si="14"/>
        <v>36.244897959183675</v>
      </c>
      <c r="I933" s="2" t="str" cm="1">
        <f t="array" ref="I933">_xlfn.IFS(F933&gt;=100,"Over weight",F933&lt;100,"Average weight")</f>
        <v>Over weight</v>
      </c>
      <c r="J933" s="2" t="str" cm="1">
        <f t="array" ref="J933">_xlfn.IFS(G933&lt;164,"Below Average height",G933&gt;=165,"Above Average height",G933=164,"Average height")</f>
        <v>Above Average height</v>
      </c>
      <c r="K933" s="2" t="str" cm="1">
        <f t="array" ref="K933">_xlfn.IFS(E933&lt;=16,"Children",E933&lt;=30,"Young Adults",E933&lt;=45,"Middle-aged Adults",E933&gt;45,"Old Adults")</f>
        <v>Young Adults</v>
      </c>
    </row>
    <row r="934" spans="1:11" x14ac:dyDescent="0.45">
      <c r="A934" s="2">
        <v>1094</v>
      </c>
      <c r="B934" s="2" t="s">
        <v>1199</v>
      </c>
      <c r="C934" s="2" t="s">
        <v>92</v>
      </c>
      <c r="D934" s="2" t="s">
        <v>6</v>
      </c>
      <c r="E934" s="2">
        <v>25</v>
      </c>
      <c r="F934" s="2">
        <v>64</v>
      </c>
      <c r="G934" s="2">
        <v>180</v>
      </c>
      <c r="H934" s="9">
        <f t="shared" si="14"/>
        <v>19.753086419753085</v>
      </c>
      <c r="I934" s="2" t="str" cm="1">
        <f t="array" ref="I934">_xlfn.IFS(F934&gt;=100,"Over weight",F934&lt;100,"Average weight")</f>
        <v>Average weight</v>
      </c>
      <c r="J934" s="2" t="str" cm="1">
        <f t="array" ref="J934">_xlfn.IFS(G934&lt;164,"Below Average height",G934&gt;=165,"Above Average height",G934=164,"Average height")</f>
        <v>Above Average height</v>
      </c>
      <c r="K934" s="2" t="str" cm="1">
        <f t="array" ref="K934">_xlfn.IFS(E934&lt;=16,"Children",E934&lt;=30,"Young Adults",E934&lt;=45,"Middle-aged Adults",E934&gt;45,"Old Adults")</f>
        <v>Young Adults</v>
      </c>
    </row>
    <row r="935" spans="1:11" x14ac:dyDescent="0.45">
      <c r="A935" s="2">
        <v>1095</v>
      </c>
      <c r="B935" s="2" t="s">
        <v>1200</v>
      </c>
      <c r="C935" s="2" t="s">
        <v>90</v>
      </c>
      <c r="D935" s="2" t="s">
        <v>80</v>
      </c>
      <c r="E935" s="2">
        <v>37</v>
      </c>
      <c r="F935" s="2">
        <v>98</v>
      </c>
      <c r="G935" s="2">
        <v>188</v>
      </c>
      <c r="H935" s="9">
        <f t="shared" si="14"/>
        <v>27.727478497057493</v>
      </c>
      <c r="I935" s="2" t="str" cm="1">
        <f t="array" ref="I935">_xlfn.IFS(F935&gt;=100,"Over weight",F935&lt;100,"Average weight")</f>
        <v>Average weight</v>
      </c>
      <c r="J935" s="2" t="str" cm="1">
        <f t="array" ref="J935">_xlfn.IFS(G935&lt;164,"Below Average height",G935&gt;=165,"Above Average height",G935=164,"Average height")</f>
        <v>Above Average height</v>
      </c>
      <c r="K935" s="2" t="str" cm="1">
        <f t="array" ref="K935">_xlfn.IFS(E935&lt;=16,"Children",E935&lt;=30,"Young Adults",E935&lt;=45,"Middle-aged Adults",E935&gt;45,"Old Adults")</f>
        <v>Middle-aged Adults</v>
      </c>
    </row>
    <row r="936" spans="1:11" x14ac:dyDescent="0.45">
      <c r="A936" s="2">
        <v>1096</v>
      </c>
      <c r="B936" s="2" t="s">
        <v>1201</v>
      </c>
      <c r="C936" s="2" t="s">
        <v>88</v>
      </c>
      <c r="D936" s="2" t="s">
        <v>23</v>
      </c>
      <c r="E936" s="2">
        <v>26</v>
      </c>
      <c r="F936" s="2">
        <v>80</v>
      </c>
      <c r="G936" s="2">
        <v>187</v>
      </c>
      <c r="H936" s="9">
        <f t="shared" si="14"/>
        <v>22.877405702193368</v>
      </c>
      <c r="I936" s="2" t="str" cm="1">
        <f t="array" ref="I936">_xlfn.IFS(F936&gt;=100,"Over weight",F936&lt;100,"Average weight")</f>
        <v>Average weight</v>
      </c>
      <c r="J936" s="2" t="str" cm="1">
        <f t="array" ref="J936">_xlfn.IFS(G936&lt;164,"Below Average height",G936&gt;=165,"Above Average height",G936=164,"Average height")</f>
        <v>Above Average height</v>
      </c>
      <c r="K936" s="2" t="str" cm="1">
        <f t="array" ref="K936">_xlfn.IFS(E936&lt;=16,"Children",E936&lt;=30,"Young Adults",E936&lt;=45,"Middle-aged Adults",E936&gt;45,"Old Adults")</f>
        <v>Young Adults</v>
      </c>
    </row>
    <row r="937" spans="1:11" x14ac:dyDescent="0.45">
      <c r="A937" s="2">
        <v>1097</v>
      </c>
      <c r="B937" s="2" t="s">
        <v>1202</v>
      </c>
      <c r="C937" s="2" t="s">
        <v>91</v>
      </c>
      <c r="D937" s="2" t="s">
        <v>25</v>
      </c>
      <c r="E937" s="2">
        <v>26</v>
      </c>
      <c r="F937" s="2">
        <v>92</v>
      </c>
      <c r="G937" s="2">
        <v>189</v>
      </c>
      <c r="H937" s="9">
        <f t="shared" si="14"/>
        <v>25.755158030290307</v>
      </c>
      <c r="I937" s="2" t="str" cm="1">
        <f t="array" ref="I937">_xlfn.IFS(F937&gt;=100,"Over weight",F937&lt;100,"Average weight")</f>
        <v>Average weight</v>
      </c>
      <c r="J937" s="2" t="str" cm="1">
        <f t="array" ref="J937">_xlfn.IFS(G937&lt;164,"Below Average height",G937&gt;=165,"Above Average height",G937=164,"Average height")</f>
        <v>Above Average height</v>
      </c>
      <c r="K937" s="2" t="str" cm="1">
        <f t="array" ref="K937">_xlfn.IFS(E937&lt;=16,"Children",E937&lt;=30,"Young Adults",E937&lt;=45,"Middle-aged Adults",E937&gt;45,"Old Adults")</f>
        <v>Young Adults</v>
      </c>
    </row>
    <row r="938" spans="1:11" x14ac:dyDescent="0.45">
      <c r="A938" s="2">
        <v>1098</v>
      </c>
      <c r="B938" s="2" t="s">
        <v>1203</v>
      </c>
      <c r="C938" s="2" t="s">
        <v>91</v>
      </c>
      <c r="D938" s="2" t="s">
        <v>25</v>
      </c>
      <c r="E938" s="2">
        <v>35</v>
      </c>
      <c r="F938" s="2">
        <v>82</v>
      </c>
      <c r="G938" s="2">
        <v>179</v>
      </c>
      <c r="H938" s="9">
        <f t="shared" si="14"/>
        <v>25.592209980961893</v>
      </c>
      <c r="I938" s="2" t="str" cm="1">
        <f t="array" ref="I938">_xlfn.IFS(F938&gt;=100,"Over weight",F938&lt;100,"Average weight")</f>
        <v>Average weight</v>
      </c>
      <c r="J938" s="2" t="str" cm="1">
        <f t="array" ref="J938">_xlfn.IFS(G938&lt;164,"Below Average height",G938&gt;=165,"Above Average height",G938=164,"Average height")</f>
        <v>Above Average height</v>
      </c>
      <c r="K938" s="2" t="str" cm="1">
        <f t="array" ref="K938">_xlfn.IFS(E938&lt;=16,"Children",E938&lt;=30,"Young Adults",E938&lt;=45,"Middle-aged Adults",E938&gt;45,"Old Adults")</f>
        <v>Middle-aged Adults</v>
      </c>
    </row>
    <row r="939" spans="1:11" x14ac:dyDescent="0.45">
      <c r="A939" s="2">
        <v>1099</v>
      </c>
      <c r="B939" s="2" t="s">
        <v>1204</v>
      </c>
      <c r="C939" s="2" t="s">
        <v>97</v>
      </c>
      <c r="D939" s="2" t="s">
        <v>25</v>
      </c>
      <c r="E939" s="2">
        <v>21</v>
      </c>
      <c r="F939" s="2">
        <v>60</v>
      </c>
      <c r="G939" s="2">
        <v>177</v>
      </c>
      <c r="H939" s="9">
        <f t="shared" si="14"/>
        <v>19.151584793641671</v>
      </c>
      <c r="I939" s="2" t="str" cm="1">
        <f t="array" ref="I939">_xlfn.IFS(F939&gt;=100,"Over weight",F939&lt;100,"Average weight")</f>
        <v>Average weight</v>
      </c>
      <c r="J939" s="2" t="str" cm="1">
        <f t="array" ref="J939">_xlfn.IFS(G939&lt;164,"Below Average height",G939&gt;=165,"Above Average height",G939=164,"Average height")</f>
        <v>Above Average height</v>
      </c>
      <c r="K939" s="2" t="str" cm="1">
        <f t="array" ref="K939">_xlfn.IFS(E939&lt;=16,"Children",E939&lt;=30,"Young Adults",E939&lt;=45,"Middle-aged Adults",E939&gt;45,"Old Adults")</f>
        <v>Young Adults</v>
      </c>
    </row>
    <row r="940" spans="1:11" x14ac:dyDescent="0.45">
      <c r="A940" s="2">
        <v>1100</v>
      </c>
      <c r="B940" s="2" t="s">
        <v>1205</v>
      </c>
      <c r="C940" s="2" t="s">
        <v>94</v>
      </c>
      <c r="D940" s="2" t="s">
        <v>23</v>
      </c>
      <c r="E940" s="2">
        <v>27</v>
      </c>
      <c r="F940" s="2">
        <v>70</v>
      </c>
      <c r="G940" s="2">
        <v>176</v>
      </c>
      <c r="H940" s="9">
        <f t="shared" si="14"/>
        <v>22.598140495867771</v>
      </c>
      <c r="I940" s="2" t="str" cm="1">
        <f t="array" ref="I940">_xlfn.IFS(F940&gt;=100,"Over weight",F940&lt;100,"Average weight")</f>
        <v>Average weight</v>
      </c>
      <c r="J940" s="2" t="str" cm="1">
        <f t="array" ref="J940">_xlfn.IFS(G940&lt;164,"Below Average height",G940&gt;=165,"Above Average height",G940=164,"Average height")</f>
        <v>Above Average height</v>
      </c>
      <c r="K940" s="2" t="str" cm="1">
        <f t="array" ref="K940">_xlfn.IFS(E940&lt;=16,"Children",E940&lt;=30,"Young Adults",E940&lt;=45,"Middle-aged Adults",E940&gt;45,"Old Adults")</f>
        <v>Young Adults</v>
      </c>
    </row>
    <row r="941" spans="1:11" x14ac:dyDescent="0.45">
      <c r="A941" s="2">
        <v>1101</v>
      </c>
      <c r="B941" s="2" t="s">
        <v>1206</v>
      </c>
      <c r="C941" s="2" t="s">
        <v>95</v>
      </c>
      <c r="D941" s="2" t="s">
        <v>46</v>
      </c>
      <c r="E941" s="2">
        <v>19</v>
      </c>
      <c r="F941" s="2">
        <v>75</v>
      </c>
      <c r="G941" s="2">
        <v>178</v>
      </c>
      <c r="H941" s="9">
        <f t="shared" si="14"/>
        <v>23.671253629592222</v>
      </c>
      <c r="I941" s="2" t="str" cm="1">
        <f t="array" ref="I941">_xlfn.IFS(F941&gt;=100,"Over weight",F941&lt;100,"Average weight")</f>
        <v>Average weight</v>
      </c>
      <c r="J941" s="2" t="str" cm="1">
        <f t="array" ref="J941">_xlfn.IFS(G941&lt;164,"Below Average height",G941&gt;=165,"Above Average height",G941=164,"Average height")</f>
        <v>Above Average height</v>
      </c>
      <c r="K941" s="2" t="str" cm="1">
        <f t="array" ref="K941">_xlfn.IFS(E941&lt;=16,"Children",E941&lt;=30,"Young Adults",E941&lt;=45,"Middle-aged Adults",E941&gt;45,"Old Adults")</f>
        <v>Young Adults</v>
      </c>
    </row>
    <row r="942" spans="1:11" x14ac:dyDescent="0.45">
      <c r="A942" s="2">
        <v>1102</v>
      </c>
      <c r="B942" s="2" t="s">
        <v>1207</v>
      </c>
      <c r="C942" s="2" t="s">
        <v>97</v>
      </c>
      <c r="D942" s="2" t="s">
        <v>60</v>
      </c>
      <c r="E942" s="2">
        <v>24</v>
      </c>
      <c r="F942" s="2">
        <v>111</v>
      </c>
      <c r="G942" s="2">
        <v>186</v>
      </c>
      <c r="H942" s="9">
        <f t="shared" si="14"/>
        <v>32.084634061741241</v>
      </c>
      <c r="I942" s="2" t="str" cm="1">
        <f t="array" ref="I942">_xlfn.IFS(F942&gt;=100,"Over weight",F942&lt;100,"Average weight")</f>
        <v>Over weight</v>
      </c>
      <c r="J942" s="2" t="str" cm="1">
        <f t="array" ref="J942">_xlfn.IFS(G942&lt;164,"Below Average height",G942&gt;=165,"Above Average height",G942=164,"Average height")</f>
        <v>Above Average height</v>
      </c>
      <c r="K942" s="2" t="str" cm="1">
        <f t="array" ref="K942">_xlfn.IFS(E942&lt;=16,"Children",E942&lt;=30,"Young Adults",E942&lt;=45,"Middle-aged Adults",E942&gt;45,"Old Adults")</f>
        <v>Young Adults</v>
      </c>
    </row>
    <row r="943" spans="1:11" x14ac:dyDescent="0.45">
      <c r="A943" s="2">
        <v>1104</v>
      </c>
      <c r="B943" s="2" t="s">
        <v>1209</v>
      </c>
      <c r="C943" s="2" t="s">
        <v>94</v>
      </c>
      <c r="D943" s="2" t="s">
        <v>28</v>
      </c>
      <c r="E943" s="2">
        <v>18</v>
      </c>
      <c r="F943" s="2">
        <v>61</v>
      </c>
      <c r="G943" s="2">
        <v>173</v>
      </c>
      <c r="H943" s="9">
        <f t="shared" si="14"/>
        <v>20.381569714992146</v>
      </c>
      <c r="I943" s="2" t="str" cm="1">
        <f t="array" ref="I943">_xlfn.IFS(F943&gt;=100,"Over weight",F943&lt;100,"Average weight")</f>
        <v>Average weight</v>
      </c>
      <c r="J943" s="2" t="str" cm="1">
        <f t="array" ref="J943">_xlfn.IFS(G943&lt;164,"Below Average height",G943&gt;=165,"Above Average height",G943=164,"Average height")</f>
        <v>Above Average height</v>
      </c>
      <c r="K943" s="2" t="str" cm="1">
        <f t="array" ref="K943">_xlfn.IFS(E943&lt;=16,"Children",E943&lt;=30,"Young Adults",E943&lt;=45,"Middle-aged Adults",E943&gt;45,"Old Adults")</f>
        <v>Young Adults</v>
      </c>
    </row>
    <row r="944" spans="1:11" x14ac:dyDescent="0.45">
      <c r="A944" s="2">
        <v>1105</v>
      </c>
      <c r="B944" s="2" t="s">
        <v>1210</v>
      </c>
      <c r="C944" s="2" t="s">
        <v>87</v>
      </c>
      <c r="D944" s="2" t="s">
        <v>6</v>
      </c>
      <c r="E944" s="2">
        <v>26</v>
      </c>
      <c r="F944" s="2">
        <v>102</v>
      </c>
      <c r="G944" s="2">
        <v>193</v>
      </c>
      <c r="H944" s="9">
        <f t="shared" si="14"/>
        <v>27.383285457327716</v>
      </c>
      <c r="I944" s="2" t="str" cm="1">
        <f t="array" ref="I944">_xlfn.IFS(F944&gt;=100,"Over weight",F944&lt;100,"Average weight")</f>
        <v>Over weight</v>
      </c>
      <c r="J944" s="2" t="str" cm="1">
        <f t="array" ref="J944">_xlfn.IFS(G944&lt;164,"Below Average height",G944&gt;=165,"Above Average height",G944=164,"Average height")</f>
        <v>Above Average height</v>
      </c>
      <c r="K944" s="2" t="str" cm="1">
        <f t="array" ref="K944">_xlfn.IFS(E944&lt;=16,"Children",E944&lt;=30,"Young Adults",E944&lt;=45,"Middle-aged Adults",E944&gt;45,"Old Adults")</f>
        <v>Young Adults</v>
      </c>
    </row>
    <row r="945" spans="1:11" x14ac:dyDescent="0.45">
      <c r="A945" s="2">
        <v>1107</v>
      </c>
      <c r="B945" s="2" t="s">
        <v>1212</v>
      </c>
      <c r="C945" s="2" t="s">
        <v>91</v>
      </c>
      <c r="D945" s="2" t="s">
        <v>8</v>
      </c>
      <c r="E945" s="2">
        <v>23</v>
      </c>
      <c r="F945" s="2">
        <v>92</v>
      </c>
      <c r="G945" s="2">
        <v>193</v>
      </c>
      <c r="H945" s="9">
        <f t="shared" si="14"/>
        <v>24.69864962817794</v>
      </c>
      <c r="I945" s="2" t="str" cm="1">
        <f t="array" ref="I945">_xlfn.IFS(F945&gt;=100,"Over weight",F945&lt;100,"Average weight")</f>
        <v>Average weight</v>
      </c>
      <c r="J945" s="2" t="str" cm="1">
        <f t="array" ref="J945">_xlfn.IFS(G945&lt;164,"Below Average height",G945&gt;=165,"Above Average height",G945=164,"Average height")</f>
        <v>Above Average height</v>
      </c>
      <c r="K945" s="2" t="str" cm="1">
        <f t="array" ref="K945">_xlfn.IFS(E945&lt;=16,"Children",E945&lt;=30,"Young Adults",E945&lt;=45,"Middle-aged Adults",E945&gt;45,"Old Adults")</f>
        <v>Young Adults</v>
      </c>
    </row>
    <row r="946" spans="1:11" x14ac:dyDescent="0.45">
      <c r="A946" s="2">
        <v>1108</v>
      </c>
      <c r="B946" s="2" t="s">
        <v>1213</v>
      </c>
      <c r="C946" s="2" t="s">
        <v>91</v>
      </c>
      <c r="D946" s="2" t="s">
        <v>8</v>
      </c>
      <c r="E946" s="2">
        <v>28</v>
      </c>
      <c r="F946" s="2">
        <v>90</v>
      </c>
      <c r="G946" s="2">
        <v>186</v>
      </c>
      <c r="H946" s="9">
        <f t="shared" si="14"/>
        <v>26.014568158168572</v>
      </c>
      <c r="I946" s="2" t="str" cm="1">
        <f t="array" ref="I946">_xlfn.IFS(F946&gt;=100,"Over weight",F946&lt;100,"Average weight")</f>
        <v>Average weight</v>
      </c>
      <c r="J946" s="2" t="str" cm="1">
        <f t="array" ref="J946">_xlfn.IFS(G946&lt;164,"Below Average height",G946&gt;=165,"Above Average height",G946=164,"Average height")</f>
        <v>Above Average height</v>
      </c>
      <c r="K946" s="2" t="str" cm="1">
        <f t="array" ref="K946">_xlfn.IFS(E946&lt;=16,"Children",E946&lt;=30,"Young Adults",E946&lt;=45,"Middle-aged Adults",E946&gt;45,"Old Adults")</f>
        <v>Young Adults</v>
      </c>
    </row>
    <row r="947" spans="1:11" x14ac:dyDescent="0.45">
      <c r="A947" s="2">
        <v>1110</v>
      </c>
      <c r="B947" s="2" t="s">
        <v>1215</v>
      </c>
      <c r="C947" s="2" t="s">
        <v>88</v>
      </c>
      <c r="D947" s="2" t="s">
        <v>17</v>
      </c>
      <c r="E947" s="2">
        <v>27</v>
      </c>
      <c r="F947" s="2">
        <v>55</v>
      </c>
      <c r="G947" s="2">
        <v>165</v>
      </c>
      <c r="H947" s="9">
        <f t="shared" si="14"/>
        <v>20.202020202020204</v>
      </c>
      <c r="I947" s="2" t="str" cm="1">
        <f t="array" ref="I947">_xlfn.IFS(F947&gt;=100,"Over weight",F947&lt;100,"Average weight")</f>
        <v>Average weight</v>
      </c>
      <c r="J947" s="2" t="str" cm="1">
        <f t="array" ref="J947">_xlfn.IFS(G947&lt;164,"Below Average height",G947&gt;=165,"Above Average height",G947=164,"Average height")</f>
        <v>Above Average height</v>
      </c>
      <c r="K947" s="2" t="str" cm="1">
        <f t="array" ref="K947">_xlfn.IFS(E947&lt;=16,"Children",E947&lt;=30,"Young Adults",E947&lt;=45,"Middle-aged Adults",E947&gt;45,"Old Adults")</f>
        <v>Young Adults</v>
      </c>
    </row>
    <row r="948" spans="1:11" x14ac:dyDescent="0.45">
      <c r="A948" s="2">
        <v>1111</v>
      </c>
      <c r="B948" s="2" t="s">
        <v>1216</v>
      </c>
      <c r="C948" s="2" t="s">
        <v>87</v>
      </c>
      <c r="D948" s="2" t="s">
        <v>21</v>
      </c>
      <c r="E948" s="2">
        <v>23</v>
      </c>
      <c r="F948" s="2">
        <v>65</v>
      </c>
      <c r="G948" s="2">
        <v>167</v>
      </c>
      <c r="H948" s="9">
        <f t="shared" si="14"/>
        <v>23.306680053067517</v>
      </c>
      <c r="I948" s="2" t="str" cm="1">
        <f t="array" ref="I948">_xlfn.IFS(F948&gt;=100,"Over weight",F948&lt;100,"Average weight")</f>
        <v>Average weight</v>
      </c>
      <c r="J948" s="2" t="str" cm="1">
        <f t="array" ref="J948">_xlfn.IFS(G948&lt;164,"Below Average height",G948&gt;=165,"Above Average height",G948=164,"Average height")</f>
        <v>Above Average height</v>
      </c>
      <c r="K948" s="2" t="str" cm="1">
        <f t="array" ref="K948">_xlfn.IFS(E948&lt;=16,"Children",E948&lt;=30,"Young Adults",E948&lt;=45,"Middle-aged Adults",E948&gt;45,"Old Adults")</f>
        <v>Young Adults</v>
      </c>
    </row>
    <row r="949" spans="1:11" x14ac:dyDescent="0.45">
      <c r="A949" s="2">
        <v>1112</v>
      </c>
      <c r="B949" s="2" t="s">
        <v>1217</v>
      </c>
      <c r="C949" s="2" t="s">
        <v>94</v>
      </c>
      <c r="D949" s="2" t="s">
        <v>59</v>
      </c>
      <c r="E949" s="2">
        <v>23</v>
      </c>
      <c r="F949" s="2">
        <v>89</v>
      </c>
      <c r="G949" s="2">
        <v>188</v>
      </c>
      <c r="H949" s="9">
        <f t="shared" si="14"/>
        <v>25.18107741059303</v>
      </c>
      <c r="I949" s="2" t="str" cm="1">
        <f t="array" ref="I949">_xlfn.IFS(F949&gt;=100,"Over weight",F949&lt;100,"Average weight")</f>
        <v>Average weight</v>
      </c>
      <c r="J949" s="2" t="str" cm="1">
        <f t="array" ref="J949">_xlfn.IFS(G949&lt;164,"Below Average height",G949&gt;=165,"Above Average height",G949=164,"Average height")</f>
        <v>Above Average height</v>
      </c>
      <c r="K949" s="2" t="str" cm="1">
        <f t="array" ref="K949">_xlfn.IFS(E949&lt;=16,"Children",E949&lt;=30,"Young Adults",E949&lt;=45,"Middle-aged Adults",E949&gt;45,"Old Adults")</f>
        <v>Young Adults</v>
      </c>
    </row>
    <row r="950" spans="1:11" x14ac:dyDescent="0.45">
      <c r="A950" s="2">
        <v>1113</v>
      </c>
      <c r="B950" s="2" t="s">
        <v>1218</v>
      </c>
      <c r="C950" s="2" t="s">
        <v>94</v>
      </c>
      <c r="D950" s="2" t="s">
        <v>80</v>
      </c>
      <c r="E950" s="2">
        <v>29</v>
      </c>
      <c r="F950" s="2">
        <v>84</v>
      </c>
      <c r="G950" s="2">
        <v>188</v>
      </c>
      <c r="H950" s="9">
        <f t="shared" si="14"/>
        <v>23.766410140334994</v>
      </c>
      <c r="I950" s="2" t="str" cm="1">
        <f t="array" ref="I950">_xlfn.IFS(F950&gt;=100,"Over weight",F950&lt;100,"Average weight")</f>
        <v>Average weight</v>
      </c>
      <c r="J950" s="2" t="str" cm="1">
        <f t="array" ref="J950">_xlfn.IFS(G950&lt;164,"Below Average height",G950&gt;=165,"Above Average height",G950=164,"Average height")</f>
        <v>Above Average height</v>
      </c>
      <c r="K950" s="2" t="str" cm="1">
        <f t="array" ref="K950">_xlfn.IFS(E950&lt;=16,"Children",E950&lt;=30,"Young Adults",E950&lt;=45,"Middle-aged Adults",E950&gt;45,"Old Adults")</f>
        <v>Young Adults</v>
      </c>
    </row>
    <row r="951" spans="1:11" x14ac:dyDescent="0.45">
      <c r="A951" s="2">
        <v>1114</v>
      </c>
      <c r="B951" s="2" t="s">
        <v>1219</v>
      </c>
      <c r="C951" s="2" t="s">
        <v>91</v>
      </c>
      <c r="D951" s="2" t="s">
        <v>70</v>
      </c>
      <c r="E951" s="2">
        <v>28</v>
      </c>
      <c r="F951" s="2">
        <v>91</v>
      </c>
      <c r="G951" s="2">
        <v>191</v>
      </c>
      <c r="H951" s="9">
        <f t="shared" si="14"/>
        <v>24.944491653189331</v>
      </c>
      <c r="I951" s="2" t="str" cm="1">
        <f t="array" ref="I951">_xlfn.IFS(F951&gt;=100,"Over weight",F951&lt;100,"Average weight")</f>
        <v>Average weight</v>
      </c>
      <c r="J951" s="2" t="str" cm="1">
        <f t="array" ref="J951">_xlfn.IFS(G951&lt;164,"Below Average height",G951&gt;=165,"Above Average height",G951=164,"Average height")</f>
        <v>Above Average height</v>
      </c>
      <c r="K951" s="2" t="str" cm="1">
        <f t="array" ref="K951">_xlfn.IFS(E951&lt;=16,"Children",E951&lt;=30,"Young Adults",E951&lt;=45,"Middle-aged Adults",E951&gt;45,"Old Adults")</f>
        <v>Young Adults</v>
      </c>
    </row>
    <row r="952" spans="1:11" x14ac:dyDescent="0.45">
      <c r="A952" s="2">
        <v>1115</v>
      </c>
      <c r="B952" s="2" t="s">
        <v>1220</v>
      </c>
      <c r="C952" s="2" t="s">
        <v>91</v>
      </c>
      <c r="D952" s="2" t="s">
        <v>66</v>
      </c>
      <c r="E952" s="2">
        <v>25</v>
      </c>
      <c r="F952" s="2">
        <v>82</v>
      </c>
      <c r="G952" s="2">
        <v>180</v>
      </c>
      <c r="H952" s="9">
        <f t="shared" si="14"/>
        <v>25.308641975308639</v>
      </c>
      <c r="I952" s="2" t="str" cm="1">
        <f t="array" ref="I952">_xlfn.IFS(F952&gt;=100,"Over weight",F952&lt;100,"Average weight")</f>
        <v>Average weight</v>
      </c>
      <c r="J952" s="2" t="str" cm="1">
        <f t="array" ref="J952">_xlfn.IFS(G952&lt;164,"Below Average height",G952&gt;=165,"Above Average height",G952=164,"Average height")</f>
        <v>Above Average height</v>
      </c>
      <c r="K952" s="2" t="str" cm="1">
        <f t="array" ref="K952">_xlfn.IFS(E952&lt;=16,"Children",E952&lt;=30,"Young Adults",E952&lt;=45,"Middle-aged Adults",E952&gt;45,"Old Adults")</f>
        <v>Young Adults</v>
      </c>
    </row>
    <row r="953" spans="1:11" x14ac:dyDescent="0.45">
      <c r="A953" s="2">
        <v>1116</v>
      </c>
      <c r="B953" s="2" t="s">
        <v>1221</v>
      </c>
      <c r="C953" s="2" t="s">
        <v>92</v>
      </c>
      <c r="D953" s="2" t="s">
        <v>66</v>
      </c>
      <c r="E953" s="2">
        <v>23</v>
      </c>
      <c r="F953" s="2">
        <v>61</v>
      </c>
      <c r="G953" s="2">
        <v>181</v>
      </c>
      <c r="H953" s="9">
        <f t="shared" si="14"/>
        <v>18.619700253350018</v>
      </c>
      <c r="I953" s="2" t="str" cm="1">
        <f t="array" ref="I953">_xlfn.IFS(F953&gt;=100,"Over weight",F953&lt;100,"Average weight")</f>
        <v>Average weight</v>
      </c>
      <c r="J953" s="2" t="str" cm="1">
        <f t="array" ref="J953">_xlfn.IFS(G953&lt;164,"Below Average height",G953&gt;=165,"Above Average height",G953=164,"Average height")</f>
        <v>Above Average height</v>
      </c>
      <c r="K953" s="2" t="str" cm="1">
        <f t="array" ref="K953">_xlfn.IFS(E953&lt;=16,"Children",E953&lt;=30,"Young Adults",E953&lt;=45,"Middle-aged Adults",E953&gt;45,"Old Adults")</f>
        <v>Young Adults</v>
      </c>
    </row>
    <row r="954" spans="1:11" x14ac:dyDescent="0.45">
      <c r="A954" s="2">
        <v>1117</v>
      </c>
      <c r="B954" s="2" t="s">
        <v>1222</v>
      </c>
      <c r="C954" s="2" t="s">
        <v>92</v>
      </c>
      <c r="D954" s="2" t="s">
        <v>42</v>
      </c>
      <c r="E954" s="2">
        <v>22</v>
      </c>
      <c r="F954" s="2">
        <v>63</v>
      </c>
      <c r="G954" s="2">
        <v>179</v>
      </c>
      <c r="H954" s="9">
        <f t="shared" si="14"/>
        <v>19.662307668299992</v>
      </c>
      <c r="I954" s="2" t="str" cm="1">
        <f t="array" ref="I954">_xlfn.IFS(F954&gt;=100,"Over weight",F954&lt;100,"Average weight")</f>
        <v>Average weight</v>
      </c>
      <c r="J954" s="2" t="str" cm="1">
        <f t="array" ref="J954">_xlfn.IFS(G954&lt;164,"Below Average height",G954&gt;=165,"Above Average height",G954=164,"Average height")</f>
        <v>Above Average height</v>
      </c>
      <c r="K954" s="2" t="str" cm="1">
        <f t="array" ref="K954">_xlfn.IFS(E954&lt;=16,"Children",E954&lt;=30,"Young Adults",E954&lt;=45,"Middle-aged Adults",E954&gt;45,"Old Adults")</f>
        <v>Young Adults</v>
      </c>
    </row>
    <row r="955" spans="1:11" x14ac:dyDescent="0.45">
      <c r="A955" s="2">
        <v>1119</v>
      </c>
      <c r="B955" s="2" t="s">
        <v>1224</v>
      </c>
      <c r="C955" s="2" t="s">
        <v>87</v>
      </c>
      <c r="D955" s="2" t="s">
        <v>66</v>
      </c>
      <c r="E955" s="2">
        <v>23</v>
      </c>
      <c r="F955" s="2">
        <v>73</v>
      </c>
      <c r="G955" s="2">
        <v>181</v>
      </c>
      <c r="H955" s="9">
        <f t="shared" si="14"/>
        <v>22.282592106468055</v>
      </c>
      <c r="I955" s="2" t="str" cm="1">
        <f t="array" ref="I955">_xlfn.IFS(F955&gt;=100,"Over weight",F955&lt;100,"Average weight")</f>
        <v>Average weight</v>
      </c>
      <c r="J955" s="2" t="str" cm="1">
        <f t="array" ref="J955">_xlfn.IFS(G955&lt;164,"Below Average height",G955&gt;=165,"Above Average height",G955=164,"Average height")</f>
        <v>Above Average height</v>
      </c>
      <c r="K955" s="2" t="str" cm="1">
        <f t="array" ref="K955">_xlfn.IFS(E955&lt;=16,"Children",E955&lt;=30,"Young Adults",E955&lt;=45,"Middle-aged Adults",E955&gt;45,"Old Adults")</f>
        <v>Young Adults</v>
      </c>
    </row>
    <row r="956" spans="1:11" x14ac:dyDescent="0.45">
      <c r="A956" s="2">
        <v>1120</v>
      </c>
      <c r="B956" s="2" t="s">
        <v>1225</v>
      </c>
      <c r="C956" s="2" t="s">
        <v>93</v>
      </c>
      <c r="D956" s="2" t="s">
        <v>25</v>
      </c>
      <c r="E956" s="2">
        <v>24</v>
      </c>
      <c r="F956" s="2">
        <v>71</v>
      </c>
      <c r="G956" s="2">
        <v>178</v>
      </c>
      <c r="H956" s="9">
        <f t="shared" si="14"/>
        <v>22.408786769347305</v>
      </c>
      <c r="I956" s="2" t="str" cm="1">
        <f t="array" ref="I956">_xlfn.IFS(F956&gt;=100,"Over weight",F956&lt;100,"Average weight")</f>
        <v>Average weight</v>
      </c>
      <c r="J956" s="2" t="str" cm="1">
        <f t="array" ref="J956">_xlfn.IFS(G956&lt;164,"Below Average height",G956&gt;=165,"Above Average height",G956=164,"Average height")</f>
        <v>Above Average height</v>
      </c>
      <c r="K956" s="2" t="str" cm="1">
        <f t="array" ref="K956">_xlfn.IFS(E956&lt;=16,"Children",E956&lt;=30,"Young Adults",E956&lt;=45,"Middle-aged Adults",E956&gt;45,"Old Adults")</f>
        <v>Young Adults</v>
      </c>
    </row>
    <row r="957" spans="1:11" x14ac:dyDescent="0.45">
      <c r="A957" s="2">
        <v>1121</v>
      </c>
      <c r="B957" s="2" t="s">
        <v>1226</v>
      </c>
      <c r="C957" s="2" t="s">
        <v>86</v>
      </c>
      <c r="D957" s="2" t="s">
        <v>25</v>
      </c>
      <c r="E957" s="2">
        <v>21</v>
      </c>
      <c r="F957" s="2">
        <v>111</v>
      </c>
      <c r="G957" s="2">
        <v>168</v>
      </c>
      <c r="H957" s="9">
        <f t="shared" si="14"/>
        <v>39.32823129251701</v>
      </c>
      <c r="I957" s="2" t="str" cm="1">
        <f t="array" ref="I957">_xlfn.IFS(F957&gt;=100,"Over weight",F957&lt;100,"Average weight")</f>
        <v>Over weight</v>
      </c>
      <c r="J957" s="2" t="str" cm="1">
        <f t="array" ref="J957">_xlfn.IFS(G957&lt;164,"Below Average height",G957&gt;=165,"Above Average height",G957=164,"Average height")</f>
        <v>Above Average height</v>
      </c>
      <c r="K957" s="2" t="str" cm="1">
        <f t="array" ref="K957">_xlfn.IFS(E957&lt;=16,"Children",E957&lt;=30,"Young Adults",E957&lt;=45,"Middle-aged Adults",E957&gt;45,"Old Adults")</f>
        <v>Young Adults</v>
      </c>
    </row>
    <row r="958" spans="1:11" x14ac:dyDescent="0.45">
      <c r="A958" s="2">
        <v>1122</v>
      </c>
      <c r="B958" s="2" t="s">
        <v>1227</v>
      </c>
      <c r="C958" s="2" t="s">
        <v>94</v>
      </c>
      <c r="D958" s="2" t="s">
        <v>42</v>
      </c>
      <c r="E958" s="2">
        <v>25</v>
      </c>
      <c r="F958" s="2">
        <v>73</v>
      </c>
      <c r="G958" s="2">
        <v>178</v>
      </c>
      <c r="H958" s="9">
        <f t="shared" si="14"/>
        <v>23.040020199469762</v>
      </c>
      <c r="I958" s="2" t="str" cm="1">
        <f t="array" ref="I958">_xlfn.IFS(F958&gt;=100,"Over weight",F958&lt;100,"Average weight")</f>
        <v>Average weight</v>
      </c>
      <c r="J958" s="2" t="str" cm="1">
        <f t="array" ref="J958">_xlfn.IFS(G958&lt;164,"Below Average height",G958&gt;=165,"Above Average height",G958=164,"Average height")</f>
        <v>Above Average height</v>
      </c>
      <c r="K958" s="2" t="str" cm="1">
        <f t="array" ref="K958">_xlfn.IFS(E958&lt;=16,"Children",E958&lt;=30,"Young Adults",E958&lt;=45,"Middle-aged Adults",E958&gt;45,"Old Adults")</f>
        <v>Young Adults</v>
      </c>
    </row>
    <row r="959" spans="1:11" x14ac:dyDescent="0.45">
      <c r="A959" s="2">
        <v>1123</v>
      </c>
      <c r="B959" s="2" t="s">
        <v>1228</v>
      </c>
      <c r="C959" s="2" t="s">
        <v>100</v>
      </c>
      <c r="D959" s="2" t="s">
        <v>41</v>
      </c>
      <c r="E959" s="2">
        <v>45</v>
      </c>
      <c r="F959" s="2">
        <v>82</v>
      </c>
      <c r="G959" s="2">
        <v>173</v>
      </c>
      <c r="H959" s="9">
        <f t="shared" si="14"/>
        <v>27.398175682448461</v>
      </c>
      <c r="I959" s="2" t="str" cm="1">
        <f t="array" ref="I959">_xlfn.IFS(F959&gt;=100,"Over weight",F959&lt;100,"Average weight")</f>
        <v>Average weight</v>
      </c>
      <c r="J959" s="2" t="str" cm="1">
        <f t="array" ref="J959">_xlfn.IFS(G959&lt;164,"Below Average height",G959&gt;=165,"Above Average height",G959=164,"Average height")</f>
        <v>Above Average height</v>
      </c>
      <c r="K959" s="2" t="str" cm="1">
        <f t="array" ref="K959">_xlfn.IFS(E959&lt;=16,"Children",E959&lt;=30,"Young Adults",E959&lt;=45,"Middle-aged Adults",E959&gt;45,"Old Adults")</f>
        <v>Middle-aged Adults</v>
      </c>
    </row>
    <row r="960" spans="1:11" x14ac:dyDescent="0.45">
      <c r="A960" s="2">
        <v>1124</v>
      </c>
      <c r="B960" s="2" t="s">
        <v>1229</v>
      </c>
      <c r="C960" s="2" t="s">
        <v>85</v>
      </c>
      <c r="D960" s="2" t="s">
        <v>55</v>
      </c>
      <c r="E960" s="2">
        <v>19</v>
      </c>
      <c r="F960" s="2">
        <v>84</v>
      </c>
      <c r="G960" s="2">
        <v>178</v>
      </c>
      <c r="H960" s="9">
        <f t="shared" si="14"/>
        <v>26.511804065143288</v>
      </c>
      <c r="I960" s="2" t="str" cm="1">
        <f t="array" ref="I960">_xlfn.IFS(F960&gt;=100,"Over weight",F960&lt;100,"Average weight")</f>
        <v>Average weight</v>
      </c>
      <c r="J960" s="2" t="str" cm="1">
        <f t="array" ref="J960">_xlfn.IFS(G960&lt;164,"Below Average height",G960&gt;=165,"Above Average height",G960=164,"Average height")</f>
        <v>Above Average height</v>
      </c>
      <c r="K960" s="2" t="str" cm="1">
        <f t="array" ref="K960">_xlfn.IFS(E960&lt;=16,"Children",E960&lt;=30,"Young Adults",E960&lt;=45,"Middle-aged Adults",E960&gt;45,"Old Adults")</f>
        <v>Young Adults</v>
      </c>
    </row>
    <row r="961" spans="1:11" x14ac:dyDescent="0.45">
      <c r="A961" s="2">
        <v>1125</v>
      </c>
      <c r="B961" s="2" t="s">
        <v>1230</v>
      </c>
      <c r="C961" s="2" t="s">
        <v>93</v>
      </c>
      <c r="D961" s="2" t="s">
        <v>71</v>
      </c>
      <c r="E961" s="2">
        <v>25</v>
      </c>
      <c r="F961" s="2">
        <v>78</v>
      </c>
      <c r="G961" s="2">
        <v>184</v>
      </c>
      <c r="H961" s="9">
        <f t="shared" si="14"/>
        <v>23.038752362948959</v>
      </c>
      <c r="I961" s="2" t="str" cm="1">
        <f t="array" ref="I961">_xlfn.IFS(F961&gt;=100,"Over weight",F961&lt;100,"Average weight")</f>
        <v>Average weight</v>
      </c>
      <c r="J961" s="2" t="str" cm="1">
        <f t="array" ref="J961">_xlfn.IFS(G961&lt;164,"Below Average height",G961&gt;=165,"Above Average height",G961=164,"Average height")</f>
        <v>Above Average height</v>
      </c>
      <c r="K961" s="2" t="str" cm="1">
        <f t="array" ref="K961">_xlfn.IFS(E961&lt;=16,"Children",E961&lt;=30,"Young Adults",E961&lt;=45,"Middle-aged Adults",E961&gt;45,"Old Adults")</f>
        <v>Young Adults</v>
      </c>
    </row>
    <row r="962" spans="1:11" x14ac:dyDescent="0.45">
      <c r="A962" s="2">
        <v>1126</v>
      </c>
      <c r="B962" s="2" t="s">
        <v>1231</v>
      </c>
      <c r="C962" s="2" t="s">
        <v>89</v>
      </c>
      <c r="D962" s="2" t="s">
        <v>25</v>
      </c>
      <c r="E962" s="2">
        <v>27</v>
      </c>
      <c r="F962" s="2">
        <v>87</v>
      </c>
      <c r="G962" s="2">
        <v>187</v>
      </c>
      <c r="H962" s="9">
        <f t="shared" ref="H962:H1025" si="15" xml:space="preserve"> F962 / (( G962/ 100) ^ 2)</f>
        <v>24.879178701135288</v>
      </c>
      <c r="I962" s="2" t="str" cm="1">
        <f t="array" ref="I962">_xlfn.IFS(F962&gt;=100,"Over weight",F962&lt;100,"Average weight")</f>
        <v>Average weight</v>
      </c>
      <c r="J962" s="2" t="str" cm="1">
        <f t="array" ref="J962">_xlfn.IFS(G962&lt;164,"Below Average height",G962&gt;=165,"Above Average height",G962=164,"Average height")</f>
        <v>Above Average height</v>
      </c>
      <c r="K962" s="2" t="str" cm="1">
        <f t="array" ref="K962">_xlfn.IFS(E962&lt;=16,"Children",E962&lt;=30,"Young Adults",E962&lt;=45,"Middle-aged Adults",E962&gt;45,"Old Adults")</f>
        <v>Young Adults</v>
      </c>
    </row>
    <row r="963" spans="1:11" x14ac:dyDescent="0.45">
      <c r="A963" s="2">
        <v>1127</v>
      </c>
      <c r="B963" s="2" t="s">
        <v>1232</v>
      </c>
      <c r="C963" s="2" t="s">
        <v>93</v>
      </c>
      <c r="D963" s="2" t="s">
        <v>25</v>
      </c>
      <c r="E963" s="2">
        <v>28</v>
      </c>
      <c r="F963" s="2">
        <v>73</v>
      </c>
      <c r="G963" s="2">
        <v>181</v>
      </c>
      <c r="H963" s="9">
        <f t="shared" si="15"/>
        <v>22.282592106468055</v>
      </c>
      <c r="I963" s="2" t="str" cm="1">
        <f t="array" ref="I963">_xlfn.IFS(F963&gt;=100,"Over weight",F963&lt;100,"Average weight")</f>
        <v>Average weight</v>
      </c>
      <c r="J963" s="2" t="str" cm="1">
        <f t="array" ref="J963">_xlfn.IFS(G963&lt;164,"Below Average height",G963&gt;=165,"Above Average height",G963=164,"Average height")</f>
        <v>Above Average height</v>
      </c>
      <c r="K963" s="2" t="str" cm="1">
        <f t="array" ref="K963">_xlfn.IFS(E963&lt;=16,"Children",E963&lt;=30,"Young Adults",E963&lt;=45,"Middle-aged Adults",E963&gt;45,"Old Adults")</f>
        <v>Young Adults</v>
      </c>
    </row>
    <row r="964" spans="1:11" x14ac:dyDescent="0.45">
      <c r="A964" s="2">
        <v>1128</v>
      </c>
      <c r="B964" s="2" t="s">
        <v>1233</v>
      </c>
      <c r="C964" s="2" t="s">
        <v>85</v>
      </c>
      <c r="D964" s="2" t="s">
        <v>19</v>
      </c>
      <c r="E964" s="2">
        <v>30</v>
      </c>
      <c r="F964" s="2">
        <v>94</v>
      </c>
      <c r="G964" s="2">
        <v>182</v>
      </c>
      <c r="H964" s="9">
        <f t="shared" si="15"/>
        <v>28.378215191402003</v>
      </c>
      <c r="I964" s="2" t="str" cm="1">
        <f t="array" ref="I964">_xlfn.IFS(F964&gt;=100,"Over weight",F964&lt;100,"Average weight")</f>
        <v>Average weight</v>
      </c>
      <c r="J964" s="2" t="str" cm="1">
        <f t="array" ref="J964">_xlfn.IFS(G964&lt;164,"Below Average height",G964&gt;=165,"Above Average height",G964=164,"Average height")</f>
        <v>Above Average height</v>
      </c>
      <c r="K964" s="2" t="str" cm="1">
        <f t="array" ref="K964">_xlfn.IFS(E964&lt;=16,"Children",E964&lt;=30,"Young Adults",E964&lt;=45,"Middle-aged Adults",E964&gt;45,"Old Adults")</f>
        <v>Young Adults</v>
      </c>
    </row>
    <row r="965" spans="1:11" x14ac:dyDescent="0.45">
      <c r="A965" s="2">
        <v>1130</v>
      </c>
      <c r="B965" s="2" t="s">
        <v>1235</v>
      </c>
      <c r="C965" s="2" t="s">
        <v>91</v>
      </c>
      <c r="D965" s="2" t="s">
        <v>8</v>
      </c>
      <c r="E965" s="2">
        <v>25</v>
      </c>
      <c r="F965" s="2">
        <v>91</v>
      </c>
      <c r="G965" s="2">
        <v>183</v>
      </c>
      <c r="H965" s="9">
        <f t="shared" si="15"/>
        <v>27.173101615455817</v>
      </c>
      <c r="I965" s="2" t="str" cm="1">
        <f t="array" ref="I965">_xlfn.IFS(F965&gt;=100,"Over weight",F965&lt;100,"Average weight")</f>
        <v>Average weight</v>
      </c>
      <c r="J965" s="2" t="str" cm="1">
        <f t="array" ref="J965">_xlfn.IFS(G965&lt;164,"Below Average height",G965&gt;=165,"Above Average height",G965=164,"Average height")</f>
        <v>Above Average height</v>
      </c>
      <c r="K965" s="2" t="str" cm="1">
        <f t="array" ref="K965">_xlfn.IFS(E965&lt;=16,"Children",E965&lt;=30,"Young Adults",E965&lt;=45,"Middle-aged Adults",E965&gt;45,"Old Adults")</f>
        <v>Young Adults</v>
      </c>
    </row>
    <row r="966" spans="1:11" x14ac:dyDescent="0.45">
      <c r="A966" s="2">
        <v>1131</v>
      </c>
      <c r="B966" s="2" t="s">
        <v>1236</v>
      </c>
      <c r="C966" s="2" t="s">
        <v>91</v>
      </c>
      <c r="D966" s="2" t="s">
        <v>8</v>
      </c>
      <c r="E966" s="2">
        <v>22</v>
      </c>
      <c r="F966" s="2">
        <v>89</v>
      </c>
      <c r="G966" s="2">
        <v>183</v>
      </c>
      <c r="H966" s="9">
        <f t="shared" si="15"/>
        <v>26.575890590940304</v>
      </c>
      <c r="I966" s="2" t="str" cm="1">
        <f t="array" ref="I966">_xlfn.IFS(F966&gt;=100,"Over weight",F966&lt;100,"Average weight")</f>
        <v>Average weight</v>
      </c>
      <c r="J966" s="2" t="str" cm="1">
        <f t="array" ref="J966">_xlfn.IFS(G966&lt;164,"Below Average height",G966&gt;=165,"Above Average height",G966=164,"Average height")</f>
        <v>Above Average height</v>
      </c>
      <c r="K966" s="2" t="str" cm="1">
        <f t="array" ref="K966">_xlfn.IFS(E966&lt;=16,"Children",E966&lt;=30,"Young Adults",E966&lt;=45,"Middle-aged Adults",E966&gt;45,"Old Adults")</f>
        <v>Young Adults</v>
      </c>
    </row>
    <row r="967" spans="1:11" x14ac:dyDescent="0.45">
      <c r="A967" s="2">
        <v>1132</v>
      </c>
      <c r="B967" s="2" t="s">
        <v>1237</v>
      </c>
      <c r="C967" s="2" t="s">
        <v>91</v>
      </c>
      <c r="D967" s="2" t="s">
        <v>8</v>
      </c>
      <c r="E967" s="2">
        <v>30</v>
      </c>
      <c r="F967" s="2">
        <v>94</v>
      </c>
      <c r="G967" s="2">
        <v>187</v>
      </c>
      <c r="H967" s="9">
        <f t="shared" si="15"/>
        <v>26.880951700077208</v>
      </c>
      <c r="I967" s="2" t="str" cm="1">
        <f t="array" ref="I967">_xlfn.IFS(F967&gt;=100,"Over weight",F967&lt;100,"Average weight")</f>
        <v>Average weight</v>
      </c>
      <c r="J967" s="2" t="str" cm="1">
        <f t="array" ref="J967">_xlfn.IFS(G967&lt;164,"Below Average height",G967&gt;=165,"Above Average height",G967=164,"Average height")</f>
        <v>Above Average height</v>
      </c>
      <c r="K967" s="2" t="str" cm="1">
        <f t="array" ref="K967">_xlfn.IFS(E967&lt;=16,"Children",E967&lt;=30,"Young Adults",E967&lt;=45,"Middle-aged Adults",E967&gt;45,"Old Adults")</f>
        <v>Young Adults</v>
      </c>
    </row>
    <row r="968" spans="1:11" x14ac:dyDescent="0.45">
      <c r="A968" s="2">
        <v>1133</v>
      </c>
      <c r="B968" s="2" t="s">
        <v>1238</v>
      </c>
      <c r="C968" s="2" t="s">
        <v>86</v>
      </c>
      <c r="D968" s="2" t="s">
        <v>39</v>
      </c>
      <c r="E968" s="2">
        <v>23</v>
      </c>
      <c r="F968" s="2">
        <v>58</v>
      </c>
      <c r="G968" s="2">
        <v>170</v>
      </c>
      <c r="H968" s="9">
        <f t="shared" si="15"/>
        <v>20.069204152249139</v>
      </c>
      <c r="I968" s="2" t="str" cm="1">
        <f t="array" ref="I968">_xlfn.IFS(F968&gt;=100,"Over weight",F968&lt;100,"Average weight")</f>
        <v>Average weight</v>
      </c>
      <c r="J968" s="2" t="str" cm="1">
        <f t="array" ref="J968">_xlfn.IFS(G968&lt;164,"Below Average height",G968&gt;=165,"Above Average height",G968=164,"Average height")</f>
        <v>Above Average height</v>
      </c>
      <c r="K968" s="2" t="str" cm="1">
        <f t="array" ref="K968">_xlfn.IFS(E968&lt;=16,"Children",E968&lt;=30,"Young Adults",E968&lt;=45,"Middle-aged Adults",E968&gt;45,"Old Adults")</f>
        <v>Young Adults</v>
      </c>
    </row>
    <row r="969" spans="1:11" x14ac:dyDescent="0.45">
      <c r="A969" s="2">
        <v>1135</v>
      </c>
      <c r="B969" s="2" t="s">
        <v>1240</v>
      </c>
      <c r="C969" s="2" t="s">
        <v>92</v>
      </c>
      <c r="D969" s="2" t="s">
        <v>21</v>
      </c>
      <c r="E969" s="2">
        <v>20</v>
      </c>
      <c r="F969" s="2">
        <v>57</v>
      </c>
      <c r="G969" s="2">
        <v>171</v>
      </c>
      <c r="H969" s="9">
        <f t="shared" si="15"/>
        <v>19.493177387914233</v>
      </c>
      <c r="I969" s="2" t="str" cm="1">
        <f t="array" ref="I969">_xlfn.IFS(F969&gt;=100,"Over weight",F969&lt;100,"Average weight")</f>
        <v>Average weight</v>
      </c>
      <c r="J969" s="2" t="str" cm="1">
        <f t="array" ref="J969">_xlfn.IFS(G969&lt;164,"Below Average height",G969&gt;=165,"Above Average height",G969=164,"Average height")</f>
        <v>Above Average height</v>
      </c>
      <c r="K969" s="2" t="str" cm="1">
        <f t="array" ref="K969">_xlfn.IFS(E969&lt;=16,"Children",E969&lt;=30,"Young Adults",E969&lt;=45,"Middle-aged Adults",E969&gt;45,"Old Adults")</f>
        <v>Young Adults</v>
      </c>
    </row>
    <row r="970" spans="1:11" x14ac:dyDescent="0.45">
      <c r="A970" s="2">
        <v>1136</v>
      </c>
      <c r="B970" s="2" t="s">
        <v>1241</v>
      </c>
      <c r="C970" s="2" t="s">
        <v>94</v>
      </c>
      <c r="D970" s="2" t="s">
        <v>21</v>
      </c>
      <c r="E970" s="2">
        <v>31</v>
      </c>
      <c r="F970" s="2">
        <v>70</v>
      </c>
      <c r="G970" s="2">
        <v>176</v>
      </c>
      <c r="H970" s="9">
        <f t="shared" si="15"/>
        <v>22.598140495867771</v>
      </c>
      <c r="I970" s="2" t="str" cm="1">
        <f t="array" ref="I970">_xlfn.IFS(F970&gt;=100,"Over weight",F970&lt;100,"Average weight")</f>
        <v>Average weight</v>
      </c>
      <c r="J970" s="2" t="str" cm="1">
        <f t="array" ref="J970">_xlfn.IFS(G970&lt;164,"Below Average height",G970&gt;=165,"Above Average height",G970=164,"Average height")</f>
        <v>Above Average height</v>
      </c>
      <c r="K970" s="2" t="str" cm="1">
        <f t="array" ref="K970">_xlfn.IFS(E970&lt;=16,"Children",E970&lt;=30,"Young Adults",E970&lt;=45,"Middle-aged Adults",E970&gt;45,"Old Adults")</f>
        <v>Middle-aged Adults</v>
      </c>
    </row>
    <row r="971" spans="1:11" x14ac:dyDescent="0.45">
      <c r="A971" s="2">
        <v>1137</v>
      </c>
      <c r="B971" s="2" t="s">
        <v>1242</v>
      </c>
      <c r="C971" s="2" t="s">
        <v>91</v>
      </c>
      <c r="D971" s="2" t="s">
        <v>8</v>
      </c>
      <c r="E971" s="2">
        <v>29</v>
      </c>
      <c r="F971" s="2">
        <v>100</v>
      </c>
      <c r="G971" s="2">
        <v>188</v>
      </c>
      <c r="H971" s="9">
        <f t="shared" si="15"/>
        <v>28.293345405160707</v>
      </c>
      <c r="I971" s="2" t="str" cm="1">
        <f t="array" ref="I971">_xlfn.IFS(F971&gt;=100,"Over weight",F971&lt;100,"Average weight")</f>
        <v>Over weight</v>
      </c>
      <c r="J971" s="2" t="str" cm="1">
        <f t="array" ref="J971">_xlfn.IFS(G971&lt;164,"Below Average height",G971&gt;=165,"Above Average height",G971=164,"Average height")</f>
        <v>Above Average height</v>
      </c>
      <c r="K971" s="2" t="str" cm="1">
        <f t="array" ref="K971">_xlfn.IFS(E971&lt;=16,"Children",E971&lt;=30,"Young Adults",E971&lt;=45,"Middle-aged Adults",E971&gt;45,"Old Adults")</f>
        <v>Young Adults</v>
      </c>
    </row>
    <row r="972" spans="1:11" x14ac:dyDescent="0.45">
      <c r="A972" s="2">
        <v>1138</v>
      </c>
      <c r="B972" s="2" t="s">
        <v>1243</v>
      </c>
      <c r="C972" s="2" t="s">
        <v>91</v>
      </c>
      <c r="D972" s="2" t="s">
        <v>66</v>
      </c>
      <c r="E972" s="2">
        <v>26</v>
      </c>
      <c r="F972" s="2">
        <v>99</v>
      </c>
      <c r="G972" s="2">
        <v>188</v>
      </c>
      <c r="H972" s="9">
        <f t="shared" si="15"/>
        <v>28.010411951109102</v>
      </c>
      <c r="I972" s="2" t="str" cm="1">
        <f t="array" ref="I972">_xlfn.IFS(F972&gt;=100,"Over weight",F972&lt;100,"Average weight")</f>
        <v>Average weight</v>
      </c>
      <c r="J972" s="2" t="str" cm="1">
        <f t="array" ref="J972">_xlfn.IFS(G972&lt;164,"Below Average height",G972&gt;=165,"Above Average height",G972=164,"Average height")</f>
        <v>Above Average height</v>
      </c>
      <c r="K972" s="2" t="str" cm="1">
        <f t="array" ref="K972">_xlfn.IFS(E972&lt;=16,"Children",E972&lt;=30,"Young Adults",E972&lt;=45,"Middle-aged Adults",E972&gt;45,"Old Adults")</f>
        <v>Young Adults</v>
      </c>
    </row>
    <row r="973" spans="1:11" x14ac:dyDescent="0.45">
      <c r="A973" s="2">
        <v>1139</v>
      </c>
      <c r="B973" s="2" t="s">
        <v>1244</v>
      </c>
      <c r="C973" s="2" t="s">
        <v>86</v>
      </c>
      <c r="D973" s="2" t="s">
        <v>79</v>
      </c>
      <c r="E973" s="2">
        <v>24</v>
      </c>
      <c r="F973" s="2">
        <v>58</v>
      </c>
      <c r="G973" s="2">
        <v>169</v>
      </c>
      <c r="H973" s="9">
        <f t="shared" si="15"/>
        <v>20.307412205454995</v>
      </c>
      <c r="I973" s="2" t="str" cm="1">
        <f t="array" ref="I973">_xlfn.IFS(F973&gt;=100,"Over weight",F973&lt;100,"Average weight")</f>
        <v>Average weight</v>
      </c>
      <c r="J973" s="2" t="str" cm="1">
        <f t="array" ref="J973">_xlfn.IFS(G973&lt;164,"Below Average height",G973&gt;=165,"Above Average height",G973=164,"Average height")</f>
        <v>Above Average height</v>
      </c>
      <c r="K973" s="2" t="str" cm="1">
        <f t="array" ref="K973">_xlfn.IFS(E973&lt;=16,"Children",E973&lt;=30,"Young Adults",E973&lt;=45,"Middle-aged Adults",E973&gt;45,"Old Adults")</f>
        <v>Young Adults</v>
      </c>
    </row>
    <row r="974" spans="1:11" x14ac:dyDescent="0.45">
      <c r="A974" s="2">
        <v>1140</v>
      </c>
      <c r="B974" s="2" t="s">
        <v>1245</v>
      </c>
      <c r="C974" s="2" t="s">
        <v>94</v>
      </c>
      <c r="D974" s="2" t="s">
        <v>63</v>
      </c>
      <c r="E974" s="2">
        <v>27</v>
      </c>
      <c r="F974" s="2">
        <v>60</v>
      </c>
      <c r="G974" s="2">
        <v>173</v>
      </c>
      <c r="H974" s="9">
        <f t="shared" si="15"/>
        <v>20.047445621303751</v>
      </c>
      <c r="I974" s="2" t="str" cm="1">
        <f t="array" ref="I974">_xlfn.IFS(F974&gt;=100,"Over weight",F974&lt;100,"Average weight")</f>
        <v>Average weight</v>
      </c>
      <c r="J974" s="2" t="str" cm="1">
        <f t="array" ref="J974">_xlfn.IFS(G974&lt;164,"Below Average height",G974&gt;=165,"Above Average height",G974=164,"Average height")</f>
        <v>Above Average height</v>
      </c>
      <c r="K974" s="2" t="str" cm="1">
        <f t="array" ref="K974">_xlfn.IFS(E974&lt;=16,"Children",E974&lt;=30,"Young Adults",E974&lt;=45,"Middle-aged Adults",E974&gt;45,"Old Adults")</f>
        <v>Young Adults</v>
      </c>
    </row>
    <row r="975" spans="1:11" x14ac:dyDescent="0.45">
      <c r="A975" s="2">
        <v>1141</v>
      </c>
      <c r="B975" s="2" t="s">
        <v>1246</v>
      </c>
      <c r="C975" s="2" t="s">
        <v>87</v>
      </c>
      <c r="D975" s="2" t="s">
        <v>30</v>
      </c>
      <c r="E975" s="2">
        <v>18</v>
      </c>
      <c r="F975" s="2">
        <v>66</v>
      </c>
      <c r="G975" s="2">
        <v>165</v>
      </c>
      <c r="H975" s="9">
        <f t="shared" si="15"/>
        <v>24.242424242424246</v>
      </c>
      <c r="I975" s="2" t="str" cm="1">
        <f t="array" ref="I975">_xlfn.IFS(F975&gt;=100,"Over weight",F975&lt;100,"Average weight")</f>
        <v>Average weight</v>
      </c>
      <c r="J975" s="2" t="str" cm="1">
        <f t="array" ref="J975">_xlfn.IFS(G975&lt;164,"Below Average height",G975&gt;=165,"Above Average height",G975=164,"Average height")</f>
        <v>Above Average height</v>
      </c>
      <c r="K975" s="2" t="str" cm="1">
        <f t="array" ref="K975">_xlfn.IFS(E975&lt;=16,"Children",E975&lt;=30,"Young Adults",E975&lt;=45,"Middle-aged Adults",E975&gt;45,"Old Adults")</f>
        <v>Young Adults</v>
      </c>
    </row>
    <row r="976" spans="1:11" x14ac:dyDescent="0.45">
      <c r="A976" s="2">
        <v>1142</v>
      </c>
      <c r="B976" s="2" t="s">
        <v>1247</v>
      </c>
      <c r="C976" s="2" t="s">
        <v>94</v>
      </c>
      <c r="D976" s="2" t="s">
        <v>21</v>
      </c>
      <c r="E976" s="2">
        <v>26</v>
      </c>
      <c r="F976" s="2">
        <v>78</v>
      </c>
      <c r="G976" s="2">
        <v>185</v>
      </c>
      <c r="H976" s="9">
        <f t="shared" si="15"/>
        <v>22.790357925493058</v>
      </c>
      <c r="I976" s="2" t="str" cm="1">
        <f t="array" ref="I976">_xlfn.IFS(F976&gt;=100,"Over weight",F976&lt;100,"Average weight")</f>
        <v>Average weight</v>
      </c>
      <c r="J976" s="2" t="str" cm="1">
        <f t="array" ref="J976">_xlfn.IFS(G976&lt;164,"Below Average height",G976&gt;=165,"Above Average height",G976=164,"Average height")</f>
        <v>Above Average height</v>
      </c>
      <c r="K976" s="2" t="str" cm="1">
        <f t="array" ref="K976">_xlfn.IFS(E976&lt;=16,"Children",E976&lt;=30,"Young Adults",E976&lt;=45,"Middle-aged Adults",E976&gt;45,"Old Adults")</f>
        <v>Young Adults</v>
      </c>
    </row>
    <row r="977" spans="1:11" x14ac:dyDescent="0.45">
      <c r="A977" s="2">
        <v>1143</v>
      </c>
      <c r="B977" s="2" t="s">
        <v>1248</v>
      </c>
      <c r="C977" s="2" t="s">
        <v>91</v>
      </c>
      <c r="D977" s="2" t="s">
        <v>66</v>
      </c>
      <c r="E977" s="2">
        <v>35</v>
      </c>
      <c r="F977" s="2">
        <v>106</v>
      </c>
      <c r="G977" s="2">
        <v>195</v>
      </c>
      <c r="H977" s="9">
        <f t="shared" si="15"/>
        <v>27.876397107166341</v>
      </c>
      <c r="I977" s="2" t="str" cm="1">
        <f t="array" ref="I977">_xlfn.IFS(F977&gt;=100,"Over weight",F977&lt;100,"Average weight")</f>
        <v>Over weight</v>
      </c>
      <c r="J977" s="2" t="str" cm="1">
        <f t="array" ref="J977">_xlfn.IFS(G977&lt;164,"Below Average height",G977&gt;=165,"Above Average height",G977=164,"Average height")</f>
        <v>Above Average height</v>
      </c>
      <c r="K977" s="2" t="str" cm="1">
        <f t="array" ref="K977">_xlfn.IFS(E977&lt;=16,"Children",E977&lt;=30,"Young Adults",E977&lt;=45,"Middle-aged Adults",E977&gt;45,"Old Adults")</f>
        <v>Middle-aged Adults</v>
      </c>
    </row>
    <row r="978" spans="1:11" x14ac:dyDescent="0.45">
      <c r="A978" s="2">
        <v>1144</v>
      </c>
      <c r="B978" s="2" t="s">
        <v>1249</v>
      </c>
      <c r="C978" s="2" t="s">
        <v>90</v>
      </c>
      <c r="D978" s="2" t="s">
        <v>21</v>
      </c>
      <c r="E978" s="2">
        <v>27</v>
      </c>
      <c r="F978" s="2">
        <v>88</v>
      </c>
      <c r="G978" s="2">
        <v>180</v>
      </c>
      <c r="H978" s="9">
        <f t="shared" si="15"/>
        <v>27.160493827160494</v>
      </c>
      <c r="I978" s="2" t="str" cm="1">
        <f t="array" ref="I978">_xlfn.IFS(F978&gt;=100,"Over weight",F978&lt;100,"Average weight")</f>
        <v>Average weight</v>
      </c>
      <c r="J978" s="2" t="str" cm="1">
        <f t="array" ref="J978">_xlfn.IFS(G978&lt;164,"Below Average height",G978&gt;=165,"Above Average height",G978=164,"Average height")</f>
        <v>Above Average height</v>
      </c>
      <c r="K978" s="2" t="str" cm="1">
        <f t="array" ref="K978">_xlfn.IFS(E978&lt;=16,"Children",E978&lt;=30,"Young Adults",E978&lt;=45,"Middle-aged Adults",E978&gt;45,"Old Adults")</f>
        <v>Young Adults</v>
      </c>
    </row>
    <row r="979" spans="1:11" x14ac:dyDescent="0.45">
      <c r="A979" s="2">
        <v>1145</v>
      </c>
      <c r="B979" s="2" t="s">
        <v>1250</v>
      </c>
      <c r="C979" s="2" t="s">
        <v>86</v>
      </c>
      <c r="D979" s="2" t="s">
        <v>41</v>
      </c>
      <c r="E979" s="2">
        <v>20</v>
      </c>
      <c r="F979" s="2">
        <v>58</v>
      </c>
      <c r="G979" s="2">
        <v>170</v>
      </c>
      <c r="H979" s="9">
        <f t="shared" si="15"/>
        <v>20.069204152249139</v>
      </c>
      <c r="I979" s="2" t="str" cm="1">
        <f t="array" ref="I979">_xlfn.IFS(F979&gt;=100,"Over weight",F979&lt;100,"Average weight")</f>
        <v>Average weight</v>
      </c>
      <c r="J979" s="2" t="str" cm="1">
        <f t="array" ref="J979">_xlfn.IFS(G979&lt;164,"Below Average height",G979&gt;=165,"Above Average height",G979=164,"Average height")</f>
        <v>Above Average height</v>
      </c>
      <c r="K979" s="2" t="str" cm="1">
        <f t="array" ref="K979">_xlfn.IFS(E979&lt;=16,"Children",E979&lt;=30,"Young Adults",E979&lt;=45,"Middle-aged Adults",E979&gt;45,"Old Adults")</f>
        <v>Young Adults</v>
      </c>
    </row>
    <row r="980" spans="1:11" x14ac:dyDescent="0.45">
      <c r="A980" s="2">
        <v>1146</v>
      </c>
      <c r="B980" s="2" t="s">
        <v>1251</v>
      </c>
      <c r="C980" s="2" t="s">
        <v>94</v>
      </c>
      <c r="D980" s="2" t="s">
        <v>72</v>
      </c>
      <c r="E980" s="2">
        <v>34</v>
      </c>
      <c r="F980" s="2">
        <v>78</v>
      </c>
      <c r="G980" s="2">
        <v>182</v>
      </c>
      <c r="H980" s="9">
        <f t="shared" si="15"/>
        <v>23.547880690737831</v>
      </c>
      <c r="I980" s="2" t="str" cm="1">
        <f t="array" ref="I980">_xlfn.IFS(F980&gt;=100,"Over weight",F980&lt;100,"Average weight")</f>
        <v>Average weight</v>
      </c>
      <c r="J980" s="2" t="str" cm="1">
        <f t="array" ref="J980">_xlfn.IFS(G980&lt;164,"Below Average height",G980&gt;=165,"Above Average height",G980=164,"Average height")</f>
        <v>Above Average height</v>
      </c>
      <c r="K980" s="2" t="str" cm="1">
        <f t="array" ref="K980">_xlfn.IFS(E980&lt;=16,"Children",E980&lt;=30,"Young Adults",E980&lt;=45,"Middle-aged Adults",E980&gt;45,"Old Adults")</f>
        <v>Middle-aged Adults</v>
      </c>
    </row>
    <row r="981" spans="1:11" x14ac:dyDescent="0.45">
      <c r="A981" s="2">
        <v>1147</v>
      </c>
      <c r="B981" s="2" t="s">
        <v>1252</v>
      </c>
      <c r="C981" s="2" t="s">
        <v>90</v>
      </c>
      <c r="D981" s="2" t="s">
        <v>19</v>
      </c>
      <c r="E981" s="2">
        <v>29</v>
      </c>
      <c r="F981" s="2">
        <v>94</v>
      </c>
      <c r="G981" s="2">
        <v>182</v>
      </c>
      <c r="H981" s="9">
        <f t="shared" si="15"/>
        <v>28.378215191402003</v>
      </c>
      <c r="I981" s="2" t="str" cm="1">
        <f t="array" ref="I981">_xlfn.IFS(F981&gt;=100,"Over weight",F981&lt;100,"Average weight")</f>
        <v>Average weight</v>
      </c>
      <c r="J981" s="2" t="str" cm="1">
        <f t="array" ref="J981">_xlfn.IFS(G981&lt;164,"Below Average height",G981&gt;=165,"Above Average height",G981=164,"Average height")</f>
        <v>Above Average height</v>
      </c>
      <c r="K981" s="2" t="str" cm="1">
        <f t="array" ref="K981">_xlfn.IFS(E981&lt;=16,"Children",E981&lt;=30,"Young Adults",E981&lt;=45,"Middle-aged Adults",E981&gt;45,"Old Adults")</f>
        <v>Young Adults</v>
      </c>
    </row>
    <row r="982" spans="1:11" x14ac:dyDescent="0.45">
      <c r="A982" s="2">
        <v>1148</v>
      </c>
      <c r="B982" s="2" t="s">
        <v>1253</v>
      </c>
      <c r="C982" s="2" t="s">
        <v>89</v>
      </c>
      <c r="D982" s="2" t="s">
        <v>58</v>
      </c>
      <c r="E982" s="2">
        <v>23</v>
      </c>
      <c r="F982" s="2">
        <v>80</v>
      </c>
      <c r="G982" s="2">
        <v>185</v>
      </c>
      <c r="H982" s="9">
        <f t="shared" si="15"/>
        <v>23.374726077428779</v>
      </c>
      <c r="I982" s="2" t="str" cm="1">
        <f t="array" ref="I982">_xlfn.IFS(F982&gt;=100,"Over weight",F982&lt;100,"Average weight")</f>
        <v>Average weight</v>
      </c>
      <c r="J982" s="2" t="str" cm="1">
        <f t="array" ref="J982">_xlfn.IFS(G982&lt;164,"Below Average height",G982&gt;=165,"Above Average height",G982=164,"Average height")</f>
        <v>Above Average height</v>
      </c>
      <c r="K982" s="2" t="str" cm="1">
        <f t="array" ref="K982">_xlfn.IFS(E982&lt;=16,"Children",E982&lt;=30,"Young Adults",E982&lt;=45,"Middle-aged Adults",E982&gt;45,"Old Adults")</f>
        <v>Young Adults</v>
      </c>
    </row>
    <row r="983" spans="1:11" x14ac:dyDescent="0.45">
      <c r="A983" s="2">
        <v>1149</v>
      </c>
      <c r="B983" s="2" t="s">
        <v>1254</v>
      </c>
      <c r="C983" s="2" t="s">
        <v>92</v>
      </c>
      <c r="D983" s="2" t="s">
        <v>71</v>
      </c>
      <c r="E983" s="2">
        <v>28</v>
      </c>
      <c r="F983" s="2">
        <v>60</v>
      </c>
      <c r="G983" s="2">
        <v>175</v>
      </c>
      <c r="H983" s="9">
        <f t="shared" si="15"/>
        <v>19.591836734693878</v>
      </c>
      <c r="I983" s="2" t="str" cm="1">
        <f t="array" ref="I983">_xlfn.IFS(F983&gt;=100,"Over weight",F983&lt;100,"Average weight")</f>
        <v>Average weight</v>
      </c>
      <c r="J983" s="2" t="str" cm="1">
        <f t="array" ref="J983">_xlfn.IFS(G983&lt;164,"Below Average height",G983&gt;=165,"Above Average height",G983=164,"Average height")</f>
        <v>Above Average height</v>
      </c>
      <c r="K983" s="2" t="str" cm="1">
        <f t="array" ref="K983">_xlfn.IFS(E983&lt;=16,"Children",E983&lt;=30,"Young Adults",E983&lt;=45,"Middle-aged Adults",E983&gt;45,"Old Adults")</f>
        <v>Young Adults</v>
      </c>
    </row>
    <row r="984" spans="1:11" x14ac:dyDescent="0.45">
      <c r="A984" s="2">
        <v>1150</v>
      </c>
      <c r="B984" s="2" t="s">
        <v>1255</v>
      </c>
      <c r="C984" s="2" t="s">
        <v>96</v>
      </c>
      <c r="D984" s="2" t="s">
        <v>74</v>
      </c>
      <c r="E984" s="2">
        <v>24</v>
      </c>
      <c r="F984" s="2">
        <v>58</v>
      </c>
      <c r="G984" s="2">
        <v>183</v>
      </c>
      <c r="H984" s="9">
        <f t="shared" si="15"/>
        <v>17.319119710949863</v>
      </c>
      <c r="I984" s="2" t="str" cm="1">
        <f t="array" ref="I984">_xlfn.IFS(F984&gt;=100,"Over weight",F984&lt;100,"Average weight")</f>
        <v>Average weight</v>
      </c>
      <c r="J984" s="2" t="str" cm="1">
        <f t="array" ref="J984">_xlfn.IFS(G984&lt;164,"Below Average height",G984&gt;=165,"Above Average height",G984=164,"Average height")</f>
        <v>Above Average height</v>
      </c>
      <c r="K984" s="2" t="str" cm="1">
        <f t="array" ref="K984">_xlfn.IFS(E984&lt;=16,"Children",E984&lt;=30,"Young Adults",E984&lt;=45,"Middle-aged Adults",E984&gt;45,"Old Adults")</f>
        <v>Young Adults</v>
      </c>
    </row>
    <row r="985" spans="1:11" x14ac:dyDescent="0.45">
      <c r="A985" s="2">
        <v>1151</v>
      </c>
      <c r="B985" s="2" t="s">
        <v>1256</v>
      </c>
      <c r="C985" s="2" t="s">
        <v>87</v>
      </c>
      <c r="D985" s="2" t="s">
        <v>21</v>
      </c>
      <c r="E985" s="2">
        <v>35</v>
      </c>
      <c r="F985" s="2">
        <v>93</v>
      </c>
      <c r="G985" s="2">
        <v>183</v>
      </c>
      <c r="H985" s="9">
        <f t="shared" si="15"/>
        <v>27.77031263997133</v>
      </c>
      <c r="I985" s="2" t="str" cm="1">
        <f t="array" ref="I985">_xlfn.IFS(F985&gt;=100,"Over weight",F985&lt;100,"Average weight")</f>
        <v>Average weight</v>
      </c>
      <c r="J985" s="2" t="str" cm="1">
        <f t="array" ref="J985">_xlfn.IFS(G985&lt;164,"Below Average height",G985&gt;=165,"Above Average height",G985=164,"Average height")</f>
        <v>Above Average height</v>
      </c>
      <c r="K985" s="2" t="str" cm="1">
        <f t="array" ref="K985">_xlfn.IFS(E985&lt;=16,"Children",E985&lt;=30,"Young Adults",E985&lt;=45,"Middle-aged Adults",E985&gt;45,"Old Adults")</f>
        <v>Middle-aged Adults</v>
      </c>
    </row>
    <row r="986" spans="1:11" x14ac:dyDescent="0.45">
      <c r="A986" s="2">
        <v>1152</v>
      </c>
      <c r="B986" s="2" t="s">
        <v>1257</v>
      </c>
      <c r="C986" s="2" t="s">
        <v>87</v>
      </c>
      <c r="D986" s="2" t="s">
        <v>79</v>
      </c>
      <c r="E986" s="2">
        <v>31</v>
      </c>
      <c r="F986" s="2">
        <v>78</v>
      </c>
      <c r="G986" s="2">
        <v>182</v>
      </c>
      <c r="H986" s="9">
        <f t="shared" si="15"/>
        <v>23.547880690737831</v>
      </c>
      <c r="I986" s="2" t="str" cm="1">
        <f t="array" ref="I986">_xlfn.IFS(F986&gt;=100,"Over weight",F986&lt;100,"Average weight")</f>
        <v>Average weight</v>
      </c>
      <c r="J986" s="2" t="str" cm="1">
        <f t="array" ref="J986">_xlfn.IFS(G986&lt;164,"Below Average height",G986&gt;=165,"Above Average height",G986=164,"Average height")</f>
        <v>Above Average height</v>
      </c>
      <c r="K986" s="2" t="str" cm="1">
        <f t="array" ref="K986">_xlfn.IFS(E986&lt;=16,"Children",E986&lt;=30,"Young Adults",E986&lt;=45,"Middle-aged Adults",E986&gt;45,"Old Adults")</f>
        <v>Middle-aged Adults</v>
      </c>
    </row>
    <row r="987" spans="1:11" x14ac:dyDescent="0.45">
      <c r="A987" s="2">
        <v>1153</v>
      </c>
      <c r="B987" s="2" t="s">
        <v>1258</v>
      </c>
      <c r="C987" s="2" t="s">
        <v>89</v>
      </c>
      <c r="D987" s="2" t="s">
        <v>42</v>
      </c>
      <c r="E987" s="2">
        <v>20</v>
      </c>
      <c r="F987" s="2">
        <v>78</v>
      </c>
      <c r="G987" s="2">
        <v>180</v>
      </c>
      <c r="H987" s="9">
        <f t="shared" si="15"/>
        <v>24.074074074074073</v>
      </c>
      <c r="I987" s="2" t="str" cm="1">
        <f t="array" ref="I987">_xlfn.IFS(F987&gt;=100,"Over weight",F987&lt;100,"Average weight")</f>
        <v>Average weight</v>
      </c>
      <c r="J987" s="2" t="str" cm="1">
        <f t="array" ref="J987">_xlfn.IFS(G987&lt;164,"Below Average height",G987&gt;=165,"Above Average height",G987=164,"Average height")</f>
        <v>Above Average height</v>
      </c>
      <c r="K987" s="2" t="str" cm="1">
        <f t="array" ref="K987">_xlfn.IFS(E987&lt;=16,"Children",E987&lt;=30,"Young Adults",E987&lt;=45,"Middle-aged Adults",E987&gt;45,"Old Adults")</f>
        <v>Young Adults</v>
      </c>
    </row>
    <row r="988" spans="1:11" x14ac:dyDescent="0.45">
      <c r="A988" s="2">
        <v>1154</v>
      </c>
      <c r="B988" s="2" t="s">
        <v>1259</v>
      </c>
      <c r="C988" s="2" t="s">
        <v>94</v>
      </c>
      <c r="D988" s="2" t="s">
        <v>63</v>
      </c>
      <c r="E988" s="2">
        <v>28</v>
      </c>
      <c r="F988" s="2">
        <v>72</v>
      </c>
      <c r="G988" s="2">
        <v>177</v>
      </c>
      <c r="H988" s="9">
        <f t="shared" si="15"/>
        <v>22.981901752370007</v>
      </c>
      <c r="I988" s="2" t="str" cm="1">
        <f t="array" ref="I988">_xlfn.IFS(F988&gt;=100,"Over weight",F988&lt;100,"Average weight")</f>
        <v>Average weight</v>
      </c>
      <c r="J988" s="2" t="str" cm="1">
        <f t="array" ref="J988">_xlfn.IFS(G988&lt;164,"Below Average height",G988&gt;=165,"Above Average height",G988=164,"Average height")</f>
        <v>Above Average height</v>
      </c>
      <c r="K988" s="2" t="str" cm="1">
        <f t="array" ref="K988">_xlfn.IFS(E988&lt;=16,"Children",E988&lt;=30,"Young Adults",E988&lt;=45,"Middle-aged Adults",E988&gt;45,"Old Adults")</f>
        <v>Young Adults</v>
      </c>
    </row>
    <row r="989" spans="1:11" x14ac:dyDescent="0.45">
      <c r="A989" s="2">
        <v>1155</v>
      </c>
      <c r="B989" s="2" t="s">
        <v>1260</v>
      </c>
      <c r="C989" s="2" t="s">
        <v>97</v>
      </c>
      <c r="D989" s="2" t="s">
        <v>6</v>
      </c>
      <c r="E989" s="2">
        <v>28</v>
      </c>
      <c r="F989" s="2">
        <v>60</v>
      </c>
      <c r="G989" s="2">
        <v>172</v>
      </c>
      <c r="H989" s="9">
        <f t="shared" si="15"/>
        <v>20.281233098972418</v>
      </c>
      <c r="I989" s="2" t="str" cm="1">
        <f t="array" ref="I989">_xlfn.IFS(F989&gt;=100,"Over weight",F989&lt;100,"Average weight")</f>
        <v>Average weight</v>
      </c>
      <c r="J989" s="2" t="str" cm="1">
        <f t="array" ref="J989">_xlfn.IFS(G989&lt;164,"Below Average height",G989&gt;=165,"Above Average height",G989=164,"Average height")</f>
        <v>Above Average height</v>
      </c>
      <c r="K989" s="2" t="str" cm="1">
        <f t="array" ref="K989">_xlfn.IFS(E989&lt;=16,"Children",E989&lt;=30,"Young Adults",E989&lt;=45,"Middle-aged Adults",E989&gt;45,"Old Adults")</f>
        <v>Young Adults</v>
      </c>
    </row>
    <row r="990" spans="1:11" x14ac:dyDescent="0.45">
      <c r="A990" s="2">
        <v>1156</v>
      </c>
      <c r="B990" s="2" t="s">
        <v>1261</v>
      </c>
      <c r="C990" s="2" t="s">
        <v>93</v>
      </c>
      <c r="D990" s="2" t="s">
        <v>6</v>
      </c>
      <c r="E990" s="2">
        <v>28</v>
      </c>
      <c r="F990" s="2">
        <v>61</v>
      </c>
      <c r="G990" s="2">
        <v>170</v>
      </c>
      <c r="H990" s="9">
        <f t="shared" si="15"/>
        <v>21.107266435986162</v>
      </c>
      <c r="I990" s="2" t="str" cm="1">
        <f t="array" ref="I990">_xlfn.IFS(F990&gt;=100,"Over weight",F990&lt;100,"Average weight")</f>
        <v>Average weight</v>
      </c>
      <c r="J990" s="2" t="str" cm="1">
        <f t="array" ref="J990">_xlfn.IFS(G990&lt;164,"Below Average height",G990&gt;=165,"Above Average height",G990=164,"Average height")</f>
        <v>Above Average height</v>
      </c>
      <c r="K990" s="2" t="str" cm="1">
        <f t="array" ref="K990">_xlfn.IFS(E990&lt;=16,"Children",E990&lt;=30,"Young Adults",E990&lt;=45,"Middle-aged Adults",E990&gt;45,"Old Adults")</f>
        <v>Young Adults</v>
      </c>
    </row>
    <row r="991" spans="1:11" x14ac:dyDescent="0.45">
      <c r="A991" s="2">
        <v>1157</v>
      </c>
      <c r="B991" s="2" t="s">
        <v>1262</v>
      </c>
      <c r="C991" s="2" t="s">
        <v>91</v>
      </c>
      <c r="D991" s="2" t="s">
        <v>21</v>
      </c>
      <c r="E991" s="2">
        <v>23</v>
      </c>
      <c r="F991" s="2">
        <v>80</v>
      </c>
      <c r="G991" s="2">
        <v>183</v>
      </c>
      <c r="H991" s="9">
        <f t="shared" si="15"/>
        <v>23.888440980620498</v>
      </c>
      <c r="I991" s="2" t="str" cm="1">
        <f t="array" ref="I991">_xlfn.IFS(F991&gt;=100,"Over weight",F991&lt;100,"Average weight")</f>
        <v>Average weight</v>
      </c>
      <c r="J991" s="2" t="str" cm="1">
        <f t="array" ref="J991">_xlfn.IFS(G991&lt;164,"Below Average height",G991&gt;=165,"Above Average height",G991=164,"Average height")</f>
        <v>Above Average height</v>
      </c>
      <c r="K991" s="2" t="str" cm="1">
        <f t="array" ref="K991">_xlfn.IFS(E991&lt;=16,"Children",E991&lt;=30,"Young Adults",E991&lt;=45,"Middle-aged Adults",E991&gt;45,"Old Adults")</f>
        <v>Young Adults</v>
      </c>
    </row>
    <row r="992" spans="1:11" x14ac:dyDescent="0.45">
      <c r="A992" s="2">
        <v>1158</v>
      </c>
      <c r="B992" s="2" t="s">
        <v>1263</v>
      </c>
      <c r="C992" s="2" t="s">
        <v>94</v>
      </c>
      <c r="D992" s="2" t="s">
        <v>63</v>
      </c>
      <c r="E992" s="2">
        <v>35</v>
      </c>
      <c r="F992" s="2">
        <v>73</v>
      </c>
      <c r="G992" s="2">
        <v>177</v>
      </c>
      <c r="H992" s="9">
        <f t="shared" si="15"/>
        <v>23.301094832264035</v>
      </c>
      <c r="I992" s="2" t="str" cm="1">
        <f t="array" ref="I992">_xlfn.IFS(F992&gt;=100,"Over weight",F992&lt;100,"Average weight")</f>
        <v>Average weight</v>
      </c>
      <c r="J992" s="2" t="str" cm="1">
        <f t="array" ref="J992">_xlfn.IFS(G992&lt;164,"Below Average height",G992&gt;=165,"Above Average height",G992=164,"Average height")</f>
        <v>Above Average height</v>
      </c>
      <c r="K992" s="2" t="str" cm="1">
        <f t="array" ref="K992">_xlfn.IFS(E992&lt;=16,"Children",E992&lt;=30,"Young Adults",E992&lt;=45,"Middle-aged Adults",E992&gt;45,"Old Adults")</f>
        <v>Middle-aged Adults</v>
      </c>
    </row>
    <row r="993" spans="1:11" x14ac:dyDescent="0.45">
      <c r="A993" s="2">
        <v>1160</v>
      </c>
      <c r="B993" s="2" t="s">
        <v>1265</v>
      </c>
      <c r="C993" s="2" t="s">
        <v>90</v>
      </c>
      <c r="D993" s="2" t="s">
        <v>14</v>
      </c>
      <c r="E993" s="2">
        <v>23</v>
      </c>
      <c r="F993" s="2">
        <v>95</v>
      </c>
      <c r="G993" s="2">
        <v>183</v>
      </c>
      <c r="H993" s="9">
        <f t="shared" si="15"/>
        <v>28.367523664486843</v>
      </c>
      <c r="I993" s="2" t="str" cm="1">
        <f t="array" ref="I993">_xlfn.IFS(F993&gt;=100,"Over weight",F993&lt;100,"Average weight")</f>
        <v>Average weight</v>
      </c>
      <c r="J993" s="2" t="str" cm="1">
        <f t="array" ref="J993">_xlfn.IFS(G993&lt;164,"Below Average height",G993&gt;=165,"Above Average height",G993=164,"Average height")</f>
        <v>Above Average height</v>
      </c>
      <c r="K993" s="2" t="str" cm="1">
        <f t="array" ref="K993">_xlfn.IFS(E993&lt;=16,"Children",E993&lt;=30,"Young Adults",E993&lt;=45,"Middle-aged Adults",E993&gt;45,"Old Adults")</f>
        <v>Young Adults</v>
      </c>
    </row>
    <row r="994" spans="1:11" x14ac:dyDescent="0.45">
      <c r="A994" s="2">
        <v>1161</v>
      </c>
      <c r="B994" s="2" t="s">
        <v>1266</v>
      </c>
      <c r="C994" s="2" t="s">
        <v>88</v>
      </c>
      <c r="D994" s="2" t="s">
        <v>60</v>
      </c>
      <c r="E994" s="2">
        <v>32</v>
      </c>
      <c r="F994" s="2">
        <v>58</v>
      </c>
      <c r="G994" s="2">
        <v>174</v>
      </c>
      <c r="H994" s="9">
        <f t="shared" si="15"/>
        <v>19.157088122605362</v>
      </c>
      <c r="I994" s="2" t="str" cm="1">
        <f t="array" ref="I994">_xlfn.IFS(F994&gt;=100,"Over weight",F994&lt;100,"Average weight")</f>
        <v>Average weight</v>
      </c>
      <c r="J994" s="2" t="str" cm="1">
        <f t="array" ref="J994">_xlfn.IFS(G994&lt;164,"Below Average height",G994&gt;=165,"Above Average height",G994=164,"Average height")</f>
        <v>Above Average height</v>
      </c>
      <c r="K994" s="2" t="str" cm="1">
        <f t="array" ref="K994">_xlfn.IFS(E994&lt;=16,"Children",E994&lt;=30,"Young Adults",E994&lt;=45,"Middle-aged Adults",E994&gt;45,"Old Adults")</f>
        <v>Middle-aged Adults</v>
      </c>
    </row>
    <row r="995" spans="1:11" x14ac:dyDescent="0.45">
      <c r="A995" s="2">
        <v>1163</v>
      </c>
      <c r="B995" s="2" t="s">
        <v>1268</v>
      </c>
      <c r="C995" s="2" t="s">
        <v>94</v>
      </c>
      <c r="D995" s="2" t="s">
        <v>60</v>
      </c>
      <c r="E995" s="2">
        <v>20</v>
      </c>
      <c r="F995" s="2">
        <v>58</v>
      </c>
      <c r="G995" s="2">
        <v>189</v>
      </c>
      <c r="H995" s="9">
        <f t="shared" si="15"/>
        <v>16.23694745387867</v>
      </c>
      <c r="I995" s="2" t="str" cm="1">
        <f t="array" ref="I995">_xlfn.IFS(F995&gt;=100,"Over weight",F995&lt;100,"Average weight")</f>
        <v>Average weight</v>
      </c>
      <c r="J995" s="2" t="str" cm="1">
        <f t="array" ref="J995">_xlfn.IFS(G995&lt;164,"Below Average height",G995&gt;=165,"Above Average height",G995=164,"Average height")</f>
        <v>Above Average height</v>
      </c>
      <c r="K995" s="2" t="str" cm="1">
        <f t="array" ref="K995">_xlfn.IFS(E995&lt;=16,"Children",E995&lt;=30,"Young Adults",E995&lt;=45,"Middle-aged Adults",E995&gt;45,"Old Adults")</f>
        <v>Young Adults</v>
      </c>
    </row>
    <row r="996" spans="1:11" x14ac:dyDescent="0.45">
      <c r="A996" s="2">
        <v>1164</v>
      </c>
      <c r="B996" s="2" t="s">
        <v>1269</v>
      </c>
      <c r="C996" s="2" t="s">
        <v>94</v>
      </c>
      <c r="D996" s="2" t="s">
        <v>66</v>
      </c>
      <c r="E996" s="2">
        <v>24</v>
      </c>
      <c r="F996" s="2">
        <v>74</v>
      </c>
      <c r="G996" s="2">
        <v>184</v>
      </c>
      <c r="H996" s="9">
        <f t="shared" si="15"/>
        <v>21.857277882797732</v>
      </c>
      <c r="I996" s="2" t="str" cm="1">
        <f t="array" ref="I996">_xlfn.IFS(F996&gt;=100,"Over weight",F996&lt;100,"Average weight")</f>
        <v>Average weight</v>
      </c>
      <c r="J996" s="2" t="str" cm="1">
        <f t="array" ref="J996">_xlfn.IFS(G996&lt;164,"Below Average height",G996&gt;=165,"Above Average height",G996=164,"Average height")</f>
        <v>Above Average height</v>
      </c>
      <c r="K996" s="2" t="str" cm="1">
        <f t="array" ref="K996">_xlfn.IFS(E996&lt;=16,"Children",E996&lt;=30,"Young Adults",E996&lt;=45,"Middle-aged Adults",E996&gt;45,"Old Adults")</f>
        <v>Young Adults</v>
      </c>
    </row>
    <row r="997" spans="1:11" x14ac:dyDescent="0.45">
      <c r="A997" s="2">
        <v>1165</v>
      </c>
      <c r="B997" s="2" t="s">
        <v>1270</v>
      </c>
      <c r="C997" s="2" t="s">
        <v>85</v>
      </c>
      <c r="D997" s="2" t="s">
        <v>71</v>
      </c>
      <c r="E997" s="2">
        <v>23</v>
      </c>
      <c r="F997" s="2">
        <v>84</v>
      </c>
      <c r="G997" s="2">
        <v>180</v>
      </c>
      <c r="H997" s="9">
        <f t="shared" si="15"/>
        <v>25.925925925925924</v>
      </c>
      <c r="I997" s="2" t="str" cm="1">
        <f t="array" ref="I997">_xlfn.IFS(F997&gt;=100,"Over weight",F997&lt;100,"Average weight")</f>
        <v>Average weight</v>
      </c>
      <c r="J997" s="2" t="str" cm="1">
        <f t="array" ref="J997">_xlfn.IFS(G997&lt;164,"Below Average height",G997&gt;=165,"Above Average height",G997=164,"Average height")</f>
        <v>Above Average height</v>
      </c>
      <c r="K997" s="2" t="str" cm="1">
        <f t="array" ref="K997">_xlfn.IFS(E997&lt;=16,"Children",E997&lt;=30,"Young Adults",E997&lt;=45,"Middle-aged Adults",E997&gt;45,"Old Adults")</f>
        <v>Young Adults</v>
      </c>
    </row>
    <row r="998" spans="1:11" x14ac:dyDescent="0.45">
      <c r="A998" s="2">
        <v>1166</v>
      </c>
      <c r="B998" s="2" t="s">
        <v>1271</v>
      </c>
      <c r="C998" s="2" t="s">
        <v>85</v>
      </c>
      <c r="D998" s="2" t="s">
        <v>21</v>
      </c>
      <c r="E998" s="2">
        <v>20</v>
      </c>
      <c r="F998" s="2">
        <v>77</v>
      </c>
      <c r="G998" s="2">
        <v>179</v>
      </c>
      <c r="H998" s="9">
        <f t="shared" si="15"/>
        <v>24.031709372366656</v>
      </c>
      <c r="I998" s="2" t="str" cm="1">
        <f t="array" ref="I998">_xlfn.IFS(F998&gt;=100,"Over weight",F998&lt;100,"Average weight")</f>
        <v>Average weight</v>
      </c>
      <c r="J998" s="2" t="str" cm="1">
        <f t="array" ref="J998">_xlfn.IFS(G998&lt;164,"Below Average height",G998&gt;=165,"Above Average height",G998=164,"Average height")</f>
        <v>Above Average height</v>
      </c>
      <c r="K998" s="2" t="str" cm="1">
        <f t="array" ref="K998">_xlfn.IFS(E998&lt;=16,"Children",E998&lt;=30,"Young Adults",E998&lt;=45,"Middle-aged Adults",E998&gt;45,"Old Adults")</f>
        <v>Young Adults</v>
      </c>
    </row>
    <row r="999" spans="1:11" x14ac:dyDescent="0.45">
      <c r="A999" s="2">
        <v>1167</v>
      </c>
      <c r="B999" s="2" t="s">
        <v>1272</v>
      </c>
      <c r="C999" s="2" t="s">
        <v>85</v>
      </c>
      <c r="D999" s="2" t="s">
        <v>6</v>
      </c>
      <c r="E999" s="2">
        <v>29</v>
      </c>
      <c r="F999" s="2">
        <v>95</v>
      </c>
      <c r="G999" s="2">
        <v>186</v>
      </c>
      <c r="H999" s="9">
        <f t="shared" si="15"/>
        <v>27.459821944733491</v>
      </c>
      <c r="I999" s="2" t="str" cm="1">
        <f t="array" ref="I999">_xlfn.IFS(F999&gt;=100,"Over weight",F999&lt;100,"Average weight")</f>
        <v>Average weight</v>
      </c>
      <c r="J999" s="2" t="str" cm="1">
        <f t="array" ref="J999">_xlfn.IFS(G999&lt;164,"Below Average height",G999&gt;=165,"Above Average height",G999=164,"Average height")</f>
        <v>Above Average height</v>
      </c>
      <c r="K999" s="2" t="str" cm="1">
        <f t="array" ref="K999">_xlfn.IFS(E999&lt;=16,"Children",E999&lt;=30,"Young Adults",E999&lt;=45,"Middle-aged Adults",E999&gt;45,"Old Adults")</f>
        <v>Young Adults</v>
      </c>
    </row>
    <row r="1000" spans="1:11" x14ac:dyDescent="0.45">
      <c r="A1000" s="2">
        <v>1168</v>
      </c>
      <c r="B1000" s="2" t="s">
        <v>1273</v>
      </c>
      <c r="C1000" s="2" t="s">
        <v>91</v>
      </c>
      <c r="D1000" s="2" t="s">
        <v>74</v>
      </c>
      <c r="E1000" s="2">
        <v>29</v>
      </c>
      <c r="F1000" s="2">
        <v>87</v>
      </c>
      <c r="G1000" s="2">
        <v>183</v>
      </c>
      <c r="H1000" s="9">
        <f t="shared" si="15"/>
        <v>25.978679566424791</v>
      </c>
      <c r="I1000" s="2" t="str" cm="1">
        <f t="array" ref="I1000">_xlfn.IFS(F1000&gt;=100,"Over weight",F1000&lt;100,"Average weight")</f>
        <v>Average weight</v>
      </c>
      <c r="J1000" s="2" t="str" cm="1">
        <f t="array" ref="J1000">_xlfn.IFS(G1000&lt;164,"Below Average height",G1000&gt;=165,"Above Average height",G1000=164,"Average height")</f>
        <v>Above Average height</v>
      </c>
      <c r="K1000" s="2" t="str" cm="1">
        <f t="array" ref="K1000">_xlfn.IFS(E1000&lt;=16,"Children",E1000&lt;=30,"Young Adults",E1000&lt;=45,"Middle-aged Adults",E1000&gt;45,"Old Adults")</f>
        <v>Young Adults</v>
      </c>
    </row>
    <row r="1001" spans="1:11" x14ac:dyDescent="0.45">
      <c r="A1001" s="2">
        <v>1169</v>
      </c>
      <c r="B1001" s="2" t="s">
        <v>1274</v>
      </c>
      <c r="C1001" s="2" t="s">
        <v>88</v>
      </c>
      <c r="D1001" s="2" t="s">
        <v>66</v>
      </c>
      <c r="E1001" s="2">
        <v>28</v>
      </c>
      <c r="F1001" s="2">
        <v>77</v>
      </c>
      <c r="G1001" s="2">
        <v>180</v>
      </c>
      <c r="H1001" s="9">
        <f t="shared" si="15"/>
        <v>23.76543209876543</v>
      </c>
      <c r="I1001" s="2" t="str" cm="1">
        <f t="array" ref="I1001">_xlfn.IFS(F1001&gt;=100,"Over weight",F1001&lt;100,"Average weight")</f>
        <v>Average weight</v>
      </c>
      <c r="J1001" s="2" t="str" cm="1">
        <f t="array" ref="J1001">_xlfn.IFS(G1001&lt;164,"Below Average height",G1001&gt;=165,"Above Average height",G1001=164,"Average height")</f>
        <v>Above Average height</v>
      </c>
      <c r="K1001" s="2" t="str" cm="1">
        <f t="array" ref="K1001">_xlfn.IFS(E1001&lt;=16,"Children",E1001&lt;=30,"Young Adults",E1001&lt;=45,"Middle-aged Adults",E1001&gt;45,"Old Adults")</f>
        <v>Young Adults</v>
      </c>
    </row>
    <row r="1002" spans="1:11" x14ac:dyDescent="0.45">
      <c r="A1002" s="2">
        <v>1170</v>
      </c>
      <c r="B1002" s="2" t="s">
        <v>1275</v>
      </c>
      <c r="C1002" s="2" t="s">
        <v>88</v>
      </c>
      <c r="D1002" s="2" t="s">
        <v>46</v>
      </c>
      <c r="E1002" s="2">
        <v>25</v>
      </c>
      <c r="F1002" s="2">
        <v>56</v>
      </c>
      <c r="G1002" s="2">
        <v>166</v>
      </c>
      <c r="H1002" s="9">
        <f t="shared" si="15"/>
        <v>20.322252866889244</v>
      </c>
      <c r="I1002" s="2" t="str" cm="1">
        <f t="array" ref="I1002">_xlfn.IFS(F1002&gt;=100,"Over weight",F1002&lt;100,"Average weight")</f>
        <v>Average weight</v>
      </c>
      <c r="J1002" s="2" t="str" cm="1">
        <f t="array" ref="J1002">_xlfn.IFS(G1002&lt;164,"Below Average height",G1002&gt;=165,"Above Average height",G1002=164,"Average height")</f>
        <v>Above Average height</v>
      </c>
      <c r="K1002" s="2" t="str" cm="1">
        <f t="array" ref="K1002">_xlfn.IFS(E1002&lt;=16,"Children",E1002&lt;=30,"Young Adults",E1002&lt;=45,"Middle-aged Adults",E1002&gt;45,"Old Adults")</f>
        <v>Young Adults</v>
      </c>
    </row>
    <row r="1003" spans="1:11" x14ac:dyDescent="0.45">
      <c r="A1003" s="2">
        <v>1171</v>
      </c>
      <c r="B1003" s="2" t="s">
        <v>1276</v>
      </c>
      <c r="C1003" s="2" t="s">
        <v>85</v>
      </c>
      <c r="D1003" s="2" t="s">
        <v>21</v>
      </c>
      <c r="E1003" s="2">
        <v>23</v>
      </c>
      <c r="F1003" s="2">
        <v>87</v>
      </c>
      <c r="G1003" s="2">
        <v>184</v>
      </c>
      <c r="H1003" s="9">
        <f t="shared" si="15"/>
        <v>25.697069943289225</v>
      </c>
      <c r="I1003" s="2" t="str" cm="1">
        <f t="array" ref="I1003">_xlfn.IFS(F1003&gt;=100,"Over weight",F1003&lt;100,"Average weight")</f>
        <v>Average weight</v>
      </c>
      <c r="J1003" s="2" t="str" cm="1">
        <f t="array" ref="J1003">_xlfn.IFS(G1003&lt;164,"Below Average height",G1003&gt;=165,"Above Average height",G1003=164,"Average height")</f>
        <v>Above Average height</v>
      </c>
      <c r="K1003" s="2" t="str" cm="1">
        <f t="array" ref="K1003">_xlfn.IFS(E1003&lt;=16,"Children",E1003&lt;=30,"Young Adults",E1003&lt;=45,"Middle-aged Adults",E1003&gt;45,"Old Adults")</f>
        <v>Young Adults</v>
      </c>
    </row>
    <row r="1004" spans="1:11" x14ac:dyDescent="0.45">
      <c r="A1004" s="2">
        <v>1172</v>
      </c>
      <c r="B1004" s="2" t="s">
        <v>1277</v>
      </c>
      <c r="C1004" s="2" t="s">
        <v>91</v>
      </c>
      <c r="D1004" s="2" t="s">
        <v>21</v>
      </c>
      <c r="E1004" s="2">
        <v>33</v>
      </c>
      <c r="F1004" s="2">
        <v>96</v>
      </c>
      <c r="G1004" s="2">
        <v>192</v>
      </c>
      <c r="H1004" s="9">
        <f t="shared" si="15"/>
        <v>26.041666666666668</v>
      </c>
      <c r="I1004" s="2" t="str" cm="1">
        <f t="array" ref="I1004">_xlfn.IFS(F1004&gt;=100,"Over weight",F1004&lt;100,"Average weight")</f>
        <v>Average weight</v>
      </c>
      <c r="J1004" s="2" t="str" cm="1">
        <f t="array" ref="J1004">_xlfn.IFS(G1004&lt;164,"Below Average height",G1004&gt;=165,"Above Average height",G1004=164,"Average height")</f>
        <v>Above Average height</v>
      </c>
      <c r="K1004" s="2" t="str" cm="1">
        <f t="array" ref="K1004">_xlfn.IFS(E1004&lt;=16,"Children",E1004&lt;=30,"Young Adults",E1004&lt;=45,"Middle-aged Adults",E1004&gt;45,"Old Adults")</f>
        <v>Middle-aged Adults</v>
      </c>
    </row>
    <row r="1005" spans="1:11" x14ac:dyDescent="0.45">
      <c r="A1005" s="2">
        <v>1173</v>
      </c>
      <c r="B1005" s="2" t="s">
        <v>1278</v>
      </c>
      <c r="C1005" s="2" t="s">
        <v>91</v>
      </c>
      <c r="D1005" s="2" t="s">
        <v>21</v>
      </c>
      <c r="E1005" s="2">
        <v>32</v>
      </c>
      <c r="F1005" s="2">
        <v>102</v>
      </c>
      <c r="G1005" s="2">
        <v>194</v>
      </c>
      <c r="H1005" s="9">
        <f t="shared" si="15"/>
        <v>27.101711127643746</v>
      </c>
      <c r="I1005" s="2" t="str" cm="1">
        <f t="array" ref="I1005">_xlfn.IFS(F1005&gt;=100,"Over weight",F1005&lt;100,"Average weight")</f>
        <v>Over weight</v>
      </c>
      <c r="J1005" s="2" t="str" cm="1">
        <f t="array" ref="J1005">_xlfn.IFS(G1005&lt;164,"Below Average height",G1005&gt;=165,"Above Average height",G1005=164,"Average height")</f>
        <v>Above Average height</v>
      </c>
      <c r="K1005" s="2" t="str" cm="1">
        <f t="array" ref="K1005">_xlfn.IFS(E1005&lt;=16,"Children",E1005&lt;=30,"Young Adults",E1005&lt;=45,"Middle-aged Adults",E1005&gt;45,"Old Adults")</f>
        <v>Middle-aged Adults</v>
      </c>
    </row>
    <row r="1006" spans="1:11" x14ac:dyDescent="0.45">
      <c r="A1006" s="2">
        <v>1174</v>
      </c>
      <c r="B1006" s="2" t="s">
        <v>1279</v>
      </c>
      <c r="C1006" s="2" t="s">
        <v>89</v>
      </c>
      <c r="D1006" s="2" t="s">
        <v>80</v>
      </c>
      <c r="E1006" s="2">
        <v>19</v>
      </c>
      <c r="F1006" s="2">
        <v>79</v>
      </c>
      <c r="G1006" s="2">
        <v>183</v>
      </c>
      <c r="H1006" s="9">
        <f t="shared" si="15"/>
        <v>23.589835468362743</v>
      </c>
      <c r="I1006" s="2" t="str" cm="1">
        <f t="array" ref="I1006">_xlfn.IFS(F1006&gt;=100,"Over weight",F1006&lt;100,"Average weight")</f>
        <v>Average weight</v>
      </c>
      <c r="J1006" s="2" t="str" cm="1">
        <f t="array" ref="J1006">_xlfn.IFS(G1006&lt;164,"Below Average height",G1006&gt;=165,"Above Average height",G1006=164,"Average height")</f>
        <v>Above Average height</v>
      </c>
      <c r="K1006" s="2" t="str" cm="1">
        <f t="array" ref="K1006">_xlfn.IFS(E1006&lt;=16,"Children",E1006&lt;=30,"Young Adults",E1006&lt;=45,"Middle-aged Adults",E1006&gt;45,"Old Adults")</f>
        <v>Young Adults</v>
      </c>
    </row>
    <row r="1007" spans="1:11" x14ac:dyDescent="0.45">
      <c r="A1007" s="2">
        <v>1175</v>
      </c>
      <c r="B1007" s="2" t="s">
        <v>1280</v>
      </c>
      <c r="C1007" s="2" t="s">
        <v>93</v>
      </c>
      <c r="D1007" s="2" t="s">
        <v>41</v>
      </c>
      <c r="E1007" s="2">
        <v>20</v>
      </c>
      <c r="F1007" s="2">
        <v>53</v>
      </c>
      <c r="G1007" s="2">
        <v>166</v>
      </c>
      <c r="H1007" s="9">
        <f t="shared" si="15"/>
        <v>19.233560749020178</v>
      </c>
      <c r="I1007" s="2" t="str" cm="1">
        <f t="array" ref="I1007">_xlfn.IFS(F1007&gt;=100,"Over weight",F1007&lt;100,"Average weight")</f>
        <v>Average weight</v>
      </c>
      <c r="J1007" s="2" t="str" cm="1">
        <f t="array" ref="J1007">_xlfn.IFS(G1007&lt;164,"Below Average height",G1007&gt;=165,"Above Average height",G1007=164,"Average height")</f>
        <v>Above Average height</v>
      </c>
      <c r="K1007" s="2" t="str" cm="1">
        <f t="array" ref="K1007">_xlfn.IFS(E1007&lt;=16,"Children",E1007&lt;=30,"Young Adults",E1007&lt;=45,"Middle-aged Adults",E1007&gt;45,"Old Adults")</f>
        <v>Young Adults</v>
      </c>
    </row>
    <row r="1008" spans="1:11" x14ac:dyDescent="0.45">
      <c r="A1008" s="2">
        <v>1176</v>
      </c>
      <c r="B1008" s="2" t="s">
        <v>1281</v>
      </c>
      <c r="C1008" s="2" t="s">
        <v>88</v>
      </c>
      <c r="D1008" s="2" t="s">
        <v>8</v>
      </c>
      <c r="E1008" s="2">
        <v>31</v>
      </c>
      <c r="F1008" s="2">
        <v>54</v>
      </c>
      <c r="G1008" s="2">
        <v>165</v>
      </c>
      <c r="H1008" s="9">
        <f t="shared" si="15"/>
        <v>19.834710743801654</v>
      </c>
      <c r="I1008" s="2" t="str" cm="1">
        <f t="array" ref="I1008">_xlfn.IFS(F1008&gt;=100,"Over weight",F1008&lt;100,"Average weight")</f>
        <v>Average weight</v>
      </c>
      <c r="J1008" s="2" t="str" cm="1">
        <f t="array" ref="J1008">_xlfn.IFS(G1008&lt;164,"Below Average height",G1008&gt;=165,"Above Average height",G1008=164,"Average height")</f>
        <v>Above Average height</v>
      </c>
      <c r="K1008" s="2" t="str" cm="1">
        <f t="array" ref="K1008">_xlfn.IFS(E1008&lt;=16,"Children",E1008&lt;=30,"Young Adults",E1008&lt;=45,"Middle-aged Adults",E1008&gt;45,"Old Adults")</f>
        <v>Middle-aged Adults</v>
      </c>
    </row>
    <row r="1009" spans="1:11" x14ac:dyDescent="0.45">
      <c r="A1009" s="2">
        <v>1177</v>
      </c>
      <c r="B1009" s="2" t="s">
        <v>1282</v>
      </c>
      <c r="C1009" s="2" t="s">
        <v>96</v>
      </c>
      <c r="D1009" s="2" t="s">
        <v>75</v>
      </c>
      <c r="E1009" s="2">
        <v>32</v>
      </c>
      <c r="F1009" s="2">
        <v>58</v>
      </c>
      <c r="G1009" s="2">
        <v>168</v>
      </c>
      <c r="H1009" s="9">
        <f t="shared" si="15"/>
        <v>20.549886621315196</v>
      </c>
      <c r="I1009" s="2" t="str" cm="1">
        <f t="array" ref="I1009">_xlfn.IFS(F1009&gt;=100,"Over weight",F1009&lt;100,"Average weight")</f>
        <v>Average weight</v>
      </c>
      <c r="J1009" s="2" t="str" cm="1">
        <f t="array" ref="J1009">_xlfn.IFS(G1009&lt;164,"Below Average height",G1009&gt;=165,"Above Average height",G1009=164,"Average height")</f>
        <v>Above Average height</v>
      </c>
      <c r="K1009" s="2" t="str" cm="1">
        <f t="array" ref="K1009">_xlfn.IFS(E1009&lt;=16,"Children",E1009&lt;=30,"Young Adults",E1009&lt;=45,"Middle-aged Adults",E1009&gt;45,"Old Adults")</f>
        <v>Middle-aged Adults</v>
      </c>
    </row>
    <row r="1010" spans="1:11" x14ac:dyDescent="0.45">
      <c r="A1010" s="2">
        <v>1178</v>
      </c>
      <c r="B1010" s="2" t="s">
        <v>1283</v>
      </c>
      <c r="C1010" s="2" t="s">
        <v>92</v>
      </c>
      <c r="D1010" s="2" t="s">
        <v>75</v>
      </c>
      <c r="E1010" s="2">
        <v>30</v>
      </c>
      <c r="F1010" s="2">
        <v>63</v>
      </c>
      <c r="G1010" s="2">
        <v>182</v>
      </c>
      <c r="H1010" s="9">
        <f t="shared" si="15"/>
        <v>19.019442096365172</v>
      </c>
      <c r="I1010" s="2" t="str" cm="1">
        <f t="array" ref="I1010">_xlfn.IFS(F1010&gt;=100,"Over weight",F1010&lt;100,"Average weight")</f>
        <v>Average weight</v>
      </c>
      <c r="J1010" s="2" t="str" cm="1">
        <f t="array" ref="J1010">_xlfn.IFS(G1010&lt;164,"Below Average height",G1010&gt;=165,"Above Average height",G1010=164,"Average height")</f>
        <v>Above Average height</v>
      </c>
      <c r="K1010" s="2" t="str" cm="1">
        <f t="array" ref="K1010">_xlfn.IFS(E1010&lt;=16,"Children",E1010&lt;=30,"Young Adults",E1010&lt;=45,"Middle-aged Adults",E1010&gt;45,"Old Adults")</f>
        <v>Young Adults</v>
      </c>
    </row>
    <row r="1011" spans="1:11" x14ac:dyDescent="0.45">
      <c r="A1011" s="2">
        <v>1179</v>
      </c>
      <c r="B1011" s="2" t="s">
        <v>1284</v>
      </c>
      <c r="C1011" s="2" t="s">
        <v>94</v>
      </c>
      <c r="D1011" s="2" t="s">
        <v>14</v>
      </c>
      <c r="E1011" s="2">
        <v>30</v>
      </c>
      <c r="F1011" s="2">
        <v>72</v>
      </c>
      <c r="G1011" s="2">
        <v>175</v>
      </c>
      <c r="H1011" s="9">
        <f t="shared" si="15"/>
        <v>23.510204081632654</v>
      </c>
      <c r="I1011" s="2" t="str" cm="1">
        <f t="array" ref="I1011">_xlfn.IFS(F1011&gt;=100,"Over weight",F1011&lt;100,"Average weight")</f>
        <v>Average weight</v>
      </c>
      <c r="J1011" s="2" t="str" cm="1">
        <f t="array" ref="J1011">_xlfn.IFS(G1011&lt;164,"Below Average height",G1011&gt;=165,"Above Average height",G1011=164,"Average height")</f>
        <v>Above Average height</v>
      </c>
      <c r="K1011" s="2" t="str" cm="1">
        <f t="array" ref="K1011">_xlfn.IFS(E1011&lt;=16,"Children",E1011&lt;=30,"Young Adults",E1011&lt;=45,"Middle-aged Adults",E1011&gt;45,"Old Adults")</f>
        <v>Young Adults</v>
      </c>
    </row>
    <row r="1012" spans="1:11" x14ac:dyDescent="0.45">
      <c r="A1012" s="2">
        <v>1180</v>
      </c>
      <c r="B1012" s="2" t="s">
        <v>1285</v>
      </c>
      <c r="C1012" s="2" t="s">
        <v>87</v>
      </c>
      <c r="D1012" s="2" t="s">
        <v>26</v>
      </c>
      <c r="E1012" s="2">
        <v>31</v>
      </c>
      <c r="F1012" s="2">
        <v>84</v>
      </c>
      <c r="G1012" s="2">
        <v>178</v>
      </c>
      <c r="H1012" s="9">
        <f t="shared" si="15"/>
        <v>26.511804065143288</v>
      </c>
      <c r="I1012" s="2" t="str" cm="1">
        <f t="array" ref="I1012">_xlfn.IFS(F1012&gt;=100,"Over weight",F1012&lt;100,"Average weight")</f>
        <v>Average weight</v>
      </c>
      <c r="J1012" s="2" t="str" cm="1">
        <f t="array" ref="J1012">_xlfn.IFS(G1012&lt;164,"Below Average height",G1012&gt;=165,"Above Average height",G1012=164,"Average height")</f>
        <v>Above Average height</v>
      </c>
      <c r="K1012" s="2" t="str" cm="1">
        <f t="array" ref="K1012">_xlfn.IFS(E1012&lt;=16,"Children",E1012&lt;=30,"Young Adults",E1012&lt;=45,"Middle-aged Adults",E1012&gt;45,"Old Adults")</f>
        <v>Middle-aged Adults</v>
      </c>
    </row>
    <row r="1013" spans="1:11" x14ac:dyDescent="0.45">
      <c r="A1013" s="2">
        <v>1181</v>
      </c>
      <c r="B1013" s="2" t="s">
        <v>1286</v>
      </c>
      <c r="C1013" s="2" t="s">
        <v>89</v>
      </c>
      <c r="D1013" s="2" t="s">
        <v>58</v>
      </c>
      <c r="E1013" s="2">
        <v>27</v>
      </c>
      <c r="F1013" s="2">
        <v>85</v>
      </c>
      <c r="G1013" s="2">
        <v>186</v>
      </c>
      <c r="H1013" s="9">
        <f t="shared" si="15"/>
        <v>24.56931437160365</v>
      </c>
      <c r="I1013" s="2" t="str" cm="1">
        <f t="array" ref="I1013">_xlfn.IFS(F1013&gt;=100,"Over weight",F1013&lt;100,"Average weight")</f>
        <v>Average weight</v>
      </c>
      <c r="J1013" s="2" t="str" cm="1">
        <f t="array" ref="J1013">_xlfn.IFS(G1013&lt;164,"Below Average height",G1013&gt;=165,"Above Average height",G1013=164,"Average height")</f>
        <v>Above Average height</v>
      </c>
      <c r="K1013" s="2" t="str" cm="1">
        <f t="array" ref="K1013">_xlfn.IFS(E1013&lt;=16,"Children",E1013&lt;=30,"Young Adults",E1013&lt;=45,"Middle-aged Adults",E1013&gt;45,"Old Adults")</f>
        <v>Young Adults</v>
      </c>
    </row>
    <row r="1014" spans="1:11" x14ac:dyDescent="0.45">
      <c r="A1014" s="2">
        <v>1182</v>
      </c>
      <c r="B1014" s="2" t="s">
        <v>1287</v>
      </c>
      <c r="C1014" s="2" t="s">
        <v>91</v>
      </c>
      <c r="D1014" s="2" t="s">
        <v>25</v>
      </c>
      <c r="E1014" s="2">
        <v>22</v>
      </c>
      <c r="F1014" s="2">
        <v>65</v>
      </c>
      <c r="G1014" s="2">
        <v>168</v>
      </c>
      <c r="H1014" s="9">
        <f t="shared" si="15"/>
        <v>23.030045351473927</v>
      </c>
      <c r="I1014" s="2" t="str" cm="1">
        <f t="array" ref="I1014">_xlfn.IFS(F1014&gt;=100,"Over weight",F1014&lt;100,"Average weight")</f>
        <v>Average weight</v>
      </c>
      <c r="J1014" s="2" t="str" cm="1">
        <f t="array" ref="J1014">_xlfn.IFS(G1014&lt;164,"Below Average height",G1014&gt;=165,"Above Average height",G1014=164,"Average height")</f>
        <v>Above Average height</v>
      </c>
      <c r="K1014" s="2" t="str" cm="1">
        <f t="array" ref="K1014">_xlfn.IFS(E1014&lt;=16,"Children",E1014&lt;=30,"Young Adults",E1014&lt;=45,"Middle-aged Adults",E1014&gt;45,"Old Adults")</f>
        <v>Young Adults</v>
      </c>
    </row>
    <row r="1015" spans="1:11" x14ac:dyDescent="0.45">
      <c r="A1015" s="2">
        <v>1183</v>
      </c>
      <c r="B1015" s="2" t="s">
        <v>1288</v>
      </c>
      <c r="C1015" s="2" t="s">
        <v>94</v>
      </c>
      <c r="D1015" s="2" t="s">
        <v>25</v>
      </c>
      <c r="E1015" s="2">
        <v>33</v>
      </c>
      <c r="F1015" s="2">
        <v>65</v>
      </c>
      <c r="G1015" s="2">
        <v>174</v>
      </c>
      <c r="H1015" s="9">
        <f t="shared" si="15"/>
        <v>21.469150482230148</v>
      </c>
      <c r="I1015" s="2" t="str" cm="1">
        <f t="array" ref="I1015">_xlfn.IFS(F1015&gt;=100,"Over weight",F1015&lt;100,"Average weight")</f>
        <v>Average weight</v>
      </c>
      <c r="J1015" s="2" t="str" cm="1">
        <f t="array" ref="J1015">_xlfn.IFS(G1015&lt;164,"Below Average height",G1015&gt;=165,"Above Average height",G1015=164,"Average height")</f>
        <v>Above Average height</v>
      </c>
      <c r="K1015" s="2" t="str" cm="1">
        <f t="array" ref="K1015">_xlfn.IFS(E1015&lt;=16,"Children",E1015&lt;=30,"Young Adults",E1015&lt;=45,"Middle-aged Adults",E1015&gt;45,"Old Adults")</f>
        <v>Middle-aged Adults</v>
      </c>
    </row>
    <row r="1016" spans="1:11" x14ac:dyDescent="0.45">
      <c r="A1016" s="2">
        <v>1184</v>
      </c>
      <c r="B1016" s="2" t="s">
        <v>1289</v>
      </c>
      <c r="C1016" s="2" t="s">
        <v>91</v>
      </c>
      <c r="D1016" s="2" t="s">
        <v>25</v>
      </c>
      <c r="E1016" s="2">
        <v>28</v>
      </c>
      <c r="F1016" s="2">
        <v>90</v>
      </c>
      <c r="G1016" s="2">
        <v>184</v>
      </c>
      <c r="H1016" s="9">
        <f t="shared" si="15"/>
        <v>26.583175803402646</v>
      </c>
      <c r="I1016" s="2" t="str" cm="1">
        <f t="array" ref="I1016">_xlfn.IFS(F1016&gt;=100,"Over weight",F1016&lt;100,"Average weight")</f>
        <v>Average weight</v>
      </c>
      <c r="J1016" s="2" t="str" cm="1">
        <f t="array" ref="J1016">_xlfn.IFS(G1016&lt;164,"Below Average height",G1016&gt;=165,"Above Average height",G1016=164,"Average height")</f>
        <v>Above Average height</v>
      </c>
      <c r="K1016" s="2" t="str" cm="1">
        <f t="array" ref="K1016">_xlfn.IFS(E1016&lt;=16,"Children",E1016&lt;=30,"Young Adults",E1016&lt;=45,"Middle-aged Adults",E1016&gt;45,"Old Adults")</f>
        <v>Young Adults</v>
      </c>
    </row>
    <row r="1017" spans="1:11" x14ac:dyDescent="0.45">
      <c r="A1017" s="2">
        <v>1185</v>
      </c>
      <c r="B1017" s="2" t="s">
        <v>1290</v>
      </c>
      <c r="C1017" s="2" t="s">
        <v>91</v>
      </c>
      <c r="D1017" s="2" t="s">
        <v>8</v>
      </c>
      <c r="E1017" s="2">
        <v>26</v>
      </c>
      <c r="F1017" s="2">
        <v>89</v>
      </c>
      <c r="G1017" s="2">
        <v>182</v>
      </c>
      <c r="H1017" s="9">
        <f t="shared" si="15"/>
        <v>26.868735659944448</v>
      </c>
      <c r="I1017" s="2" t="str" cm="1">
        <f t="array" ref="I1017">_xlfn.IFS(F1017&gt;=100,"Over weight",F1017&lt;100,"Average weight")</f>
        <v>Average weight</v>
      </c>
      <c r="J1017" s="2" t="str" cm="1">
        <f t="array" ref="J1017">_xlfn.IFS(G1017&lt;164,"Below Average height",G1017&gt;=165,"Above Average height",G1017=164,"Average height")</f>
        <v>Above Average height</v>
      </c>
      <c r="K1017" s="2" t="str" cm="1">
        <f t="array" ref="K1017">_xlfn.IFS(E1017&lt;=16,"Children",E1017&lt;=30,"Young Adults",E1017&lt;=45,"Middle-aged Adults",E1017&gt;45,"Old Adults")</f>
        <v>Young Adults</v>
      </c>
    </row>
    <row r="1018" spans="1:11" x14ac:dyDescent="0.45">
      <c r="A1018" s="2">
        <v>1186</v>
      </c>
      <c r="B1018" s="2" t="s">
        <v>1291</v>
      </c>
      <c r="C1018" s="2" t="s">
        <v>95</v>
      </c>
      <c r="D1018" s="2" t="s">
        <v>27</v>
      </c>
      <c r="E1018" s="2">
        <v>21</v>
      </c>
      <c r="F1018" s="2">
        <v>80</v>
      </c>
      <c r="G1018" s="2">
        <v>179</v>
      </c>
      <c r="H1018" s="9">
        <f t="shared" si="15"/>
        <v>24.968009737523797</v>
      </c>
      <c r="I1018" s="2" t="str" cm="1">
        <f t="array" ref="I1018">_xlfn.IFS(F1018&gt;=100,"Over weight",F1018&lt;100,"Average weight")</f>
        <v>Average weight</v>
      </c>
      <c r="J1018" s="2" t="str" cm="1">
        <f t="array" ref="J1018">_xlfn.IFS(G1018&lt;164,"Below Average height",G1018&gt;=165,"Above Average height",G1018=164,"Average height")</f>
        <v>Above Average height</v>
      </c>
      <c r="K1018" s="2" t="str" cm="1">
        <f t="array" ref="K1018">_xlfn.IFS(E1018&lt;=16,"Children",E1018&lt;=30,"Young Adults",E1018&lt;=45,"Middle-aged Adults",E1018&gt;45,"Old Adults")</f>
        <v>Young Adults</v>
      </c>
    </row>
    <row r="1019" spans="1:11" x14ac:dyDescent="0.45">
      <c r="A1019" s="2">
        <v>1187</v>
      </c>
      <c r="B1019" s="2" t="s">
        <v>1292</v>
      </c>
      <c r="C1019" s="2" t="s">
        <v>94</v>
      </c>
      <c r="D1019" s="2" t="s">
        <v>23</v>
      </c>
      <c r="E1019" s="2">
        <v>27</v>
      </c>
      <c r="F1019" s="2">
        <v>85</v>
      </c>
      <c r="G1019" s="2">
        <v>191</v>
      </c>
      <c r="H1019" s="9">
        <f t="shared" si="15"/>
        <v>23.299799895836188</v>
      </c>
      <c r="I1019" s="2" t="str" cm="1">
        <f t="array" ref="I1019">_xlfn.IFS(F1019&gt;=100,"Over weight",F1019&lt;100,"Average weight")</f>
        <v>Average weight</v>
      </c>
      <c r="J1019" s="2" t="str" cm="1">
        <f t="array" ref="J1019">_xlfn.IFS(G1019&lt;164,"Below Average height",G1019&gt;=165,"Above Average height",G1019=164,"Average height")</f>
        <v>Above Average height</v>
      </c>
      <c r="K1019" s="2" t="str" cm="1">
        <f t="array" ref="K1019">_xlfn.IFS(E1019&lt;=16,"Children",E1019&lt;=30,"Young Adults",E1019&lt;=45,"Middle-aged Adults",E1019&gt;45,"Old Adults")</f>
        <v>Young Adults</v>
      </c>
    </row>
    <row r="1020" spans="1:11" x14ac:dyDescent="0.45">
      <c r="A1020" s="2">
        <v>1188</v>
      </c>
      <c r="B1020" s="2" t="s">
        <v>1293</v>
      </c>
      <c r="C1020" s="2" t="s">
        <v>90</v>
      </c>
      <c r="D1020" s="2" t="s">
        <v>63</v>
      </c>
      <c r="E1020" s="2">
        <v>32</v>
      </c>
      <c r="F1020" s="2">
        <v>97</v>
      </c>
      <c r="G1020" s="2">
        <v>182</v>
      </c>
      <c r="H1020" s="9">
        <f t="shared" si="15"/>
        <v>29.283902910276534</v>
      </c>
      <c r="I1020" s="2" t="str" cm="1">
        <f t="array" ref="I1020">_xlfn.IFS(F1020&gt;=100,"Over weight",F1020&lt;100,"Average weight")</f>
        <v>Average weight</v>
      </c>
      <c r="J1020" s="2" t="str" cm="1">
        <f t="array" ref="J1020">_xlfn.IFS(G1020&lt;164,"Below Average height",G1020&gt;=165,"Above Average height",G1020=164,"Average height")</f>
        <v>Above Average height</v>
      </c>
      <c r="K1020" s="2" t="str" cm="1">
        <f t="array" ref="K1020">_xlfn.IFS(E1020&lt;=16,"Children",E1020&lt;=30,"Young Adults",E1020&lt;=45,"Middle-aged Adults",E1020&gt;45,"Old Adults")</f>
        <v>Middle-aged Adults</v>
      </c>
    </row>
    <row r="1021" spans="1:11" x14ac:dyDescent="0.45">
      <c r="A1021" s="2">
        <v>1189</v>
      </c>
      <c r="B1021" s="2" t="s">
        <v>1294</v>
      </c>
      <c r="C1021" s="2" t="s">
        <v>95</v>
      </c>
      <c r="D1021" s="2" t="s">
        <v>63</v>
      </c>
      <c r="E1021" s="2">
        <v>23</v>
      </c>
      <c r="F1021" s="2">
        <v>90</v>
      </c>
      <c r="G1021" s="2">
        <v>185</v>
      </c>
      <c r="H1021" s="9">
        <f t="shared" si="15"/>
        <v>26.296566837107374</v>
      </c>
      <c r="I1021" s="2" t="str" cm="1">
        <f t="array" ref="I1021">_xlfn.IFS(F1021&gt;=100,"Over weight",F1021&lt;100,"Average weight")</f>
        <v>Average weight</v>
      </c>
      <c r="J1021" s="2" t="str" cm="1">
        <f t="array" ref="J1021">_xlfn.IFS(G1021&lt;164,"Below Average height",G1021&gt;=165,"Above Average height",G1021=164,"Average height")</f>
        <v>Above Average height</v>
      </c>
      <c r="K1021" s="2" t="str" cm="1">
        <f t="array" ref="K1021">_xlfn.IFS(E1021&lt;=16,"Children",E1021&lt;=30,"Young Adults",E1021&lt;=45,"Middle-aged Adults",E1021&gt;45,"Old Adults")</f>
        <v>Young Adults</v>
      </c>
    </row>
    <row r="1022" spans="1:11" x14ac:dyDescent="0.45">
      <c r="A1022" s="2">
        <v>1190</v>
      </c>
      <c r="B1022" s="2" t="s">
        <v>1295</v>
      </c>
      <c r="C1022" s="2" t="s">
        <v>87</v>
      </c>
      <c r="D1022" s="2" t="s">
        <v>8</v>
      </c>
      <c r="E1022" s="2">
        <v>25</v>
      </c>
      <c r="F1022" s="2">
        <v>71</v>
      </c>
      <c r="G1022" s="2">
        <v>176</v>
      </c>
      <c r="H1022" s="9">
        <f t="shared" si="15"/>
        <v>22.920971074380166</v>
      </c>
      <c r="I1022" s="2" t="str" cm="1">
        <f t="array" ref="I1022">_xlfn.IFS(F1022&gt;=100,"Over weight",F1022&lt;100,"Average weight")</f>
        <v>Average weight</v>
      </c>
      <c r="J1022" s="2" t="str" cm="1">
        <f t="array" ref="J1022">_xlfn.IFS(G1022&lt;164,"Below Average height",G1022&gt;=165,"Above Average height",G1022=164,"Average height")</f>
        <v>Above Average height</v>
      </c>
      <c r="K1022" s="2" t="str" cm="1">
        <f t="array" ref="K1022">_xlfn.IFS(E1022&lt;=16,"Children",E1022&lt;=30,"Young Adults",E1022&lt;=45,"Middle-aged Adults",E1022&gt;45,"Old Adults")</f>
        <v>Young Adults</v>
      </c>
    </row>
    <row r="1023" spans="1:11" x14ac:dyDescent="0.45">
      <c r="A1023" s="2">
        <v>1191</v>
      </c>
      <c r="B1023" s="2" t="s">
        <v>1296</v>
      </c>
      <c r="C1023" s="2" t="s">
        <v>90</v>
      </c>
      <c r="D1023" s="2" t="s">
        <v>28</v>
      </c>
      <c r="E1023" s="2">
        <v>31</v>
      </c>
      <c r="F1023" s="2">
        <v>116</v>
      </c>
      <c r="G1023" s="2">
        <v>195</v>
      </c>
      <c r="H1023" s="9">
        <f t="shared" si="15"/>
        <v>30.506245890861276</v>
      </c>
      <c r="I1023" s="2" t="str" cm="1">
        <f t="array" ref="I1023">_xlfn.IFS(F1023&gt;=100,"Over weight",F1023&lt;100,"Average weight")</f>
        <v>Over weight</v>
      </c>
      <c r="J1023" s="2" t="str" cm="1">
        <f t="array" ref="J1023">_xlfn.IFS(G1023&lt;164,"Below Average height",G1023&gt;=165,"Above Average height",G1023=164,"Average height")</f>
        <v>Above Average height</v>
      </c>
      <c r="K1023" s="2" t="str" cm="1">
        <f t="array" ref="K1023">_xlfn.IFS(E1023&lt;=16,"Children",E1023&lt;=30,"Young Adults",E1023&lt;=45,"Middle-aged Adults",E1023&gt;45,"Old Adults")</f>
        <v>Middle-aged Adults</v>
      </c>
    </row>
    <row r="1024" spans="1:11" x14ac:dyDescent="0.45">
      <c r="A1024" s="2">
        <v>1192</v>
      </c>
      <c r="B1024" s="2" t="s">
        <v>1297</v>
      </c>
      <c r="C1024" s="2" t="s">
        <v>89</v>
      </c>
      <c r="D1024" s="2" t="s">
        <v>42</v>
      </c>
      <c r="E1024" s="2">
        <v>21</v>
      </c>
      <c r="F1024" s="2">
        <v>80</v>
      </c>
      <c r="G1024" s="2">
        <v>184</v>
      </c>
      <c r="H1024" s="9">
        <f t="shared" si="15"/>
        <v>23.629489603024574</v>
      </c>
      <c r="I1024" s="2" t="str" cm="1">
        <f t="array" ref="I1024">_xlfn.IFS(F1024&gt;=100,"Over weight",F1024&lt;100,"Average weight")</f>
        <v>Average weight</v>
      </c>
      <c r="J1024" s="2" t="str" cm="1">
        <f t="array" ref="J1024">_xlfn.IFS(G1024&lt;164,"Below Average height",G1024&gt;=165,"Above Average height",G1024=164,"Average height")</f>
        <v>Above Average height</v>
      </c>
      <c r="K1024" s="2" t="str" cm="1">
        <f t="array" ref="K1024">_xlfn.IFS(E1024&lt;=16,"Children",E1024&lt;=30,"Young Adults",E1024&lt;=45,"Middle-aged Adults",E1024&gt;45,"Old Adults")</f>
        <v>Young Adults</v>
      </c>
    </row>
    <row r="1025" spans="1:11" x14ac:dyDescent="0.45">
      <c r="A1025" s="2">
        <v>1193</v>
      </c>
      <c r="B1025" s="2" t="s">
        <v>1298</v>
      </c>
      <c r="C1025" s="2" t="s">
        <v>85</v>
      </c>
      <c r="D1025" s="2" t="s">
        <v>8</v>
      </c>
      <c r="E1025" s="2">
        <v>22</v>
      </c>
      <c r="F1025" s="2">
        <v>62</v>
      </c>
      <c r="G1025" s="2">
        <v>168</v>
      </c>
      <c r="H1025" s="9">
        <f t="shared" si="15"/>
        <v>21.9671201814059</v>
      </c>
      <c r="I1025" s="2" t="str" cm="1">
        <f t="array" ref="I1025">_xlfn.IFS(F1025&gt;=100,"Over weight",F1025&lt;100,"Average weight")</f>
        <v>Average weight</v>
      </c>
      <c r="J1025" s="2" t="str" cm="1">
        <f t="array" ref="J1025">_xlfn.IFS(G1025&lt;164,"Below Average height",G1025&gt;=165,"Above Average height",G1025=164,"Average height")</f>
        <v>Above Average height</v>
      </c>
      <c r="K1025" s="2" t="str" cm="1">
        <f t="array" ref="K1025">_xlfn.IFS(E1025&lt;=16,"Children",E1025&lt;=30,"Young Adults",E1025&lt;=45,"Middle-aged Adults",E1025&gt;45,"Old Adults")</f>
        <v>Young Adults</v>
      </c>
    </row>
    <row r="1026" spans="1:11" x14ac:dyDescent="0.45">
      <c r="A1026" s="2">
        <v>1194</v>
      </c>
      <c r="B1026" s="2" t="s">
        <v>1299</v>
      </c>
      <c r="C1026" s="2" t="s">
        <v>95</v>
      </c>
      <c r="D1026" s="2" t="s">
        <v>66</v>
      </c>
      <c r="E1026" s="2">
        <v>27</v>
      </c>
      <c r="F1026" s="2">
        <v>90</v>
      </c>
      <c r="G1026" s="2">
        <v>185</v>
      </c>
      <c r="H1026" s="9">
        <f t="shared" ref="H1026:H1089" si="16" xml:space="preserve"> F1026 / (( G1026/ 100) ^ 2)</f>
        <v>26.296566837107374</v>
      </c>
      <c r="I1026" s="2" t="str" cm="1">
        <f t="array" ref="I1026">_xlfn.IFS(F1026&gt;=100,"Over weight",F1026&lt;100,"Average weight")</f>
        <v>Average weight</v>
      </c>
      <c r="J1026" s="2" t="str" cm="1">
        <f t="array" ref="J1026">_xlfn.IFS(G1026&lt;164,"Below Average height",G1026&gt;=165,"Above Average height",G1026=164,"Average height")</f>
        <v>Above Average height</v>
      </c>
      <c r="K1026" s="2" t="str" cm="1">
        <f t="array" ref="K1026">_xlfn.IFS(E1026&lt;=16,"Children",E1026&lt;=30,"Young Adults",E1026&lt;=45,"Middle-aged Adults",E1026&gt;45,"Old Adults")</f>
        <v>Young Adults</v>
      </c>
    </row>
    <row r="1027" spans="1:11" x14ac:dyDescent="0.45">
      <c r="A1027" s="2">
        <v>1195</v>
      </c>
      <c r="B1027" s="2" t="s">
        <v>1300</v>
      </c>
      <c r="C1027" s="2" t="s">
        <v>88</v>
      </c>
      <c r="D1027" s="2" t="s">
        <v>70</v>
      </c>
      <c r="E1027" s="2">
        <v>25</v>
      </c>
      <c r="F1027" s="2">
        <v>68</v>
      </c>
      <c r="G1027" s="2">
        <v>180</v>
      </c>
      <c r="H1027" s="9">
        <f t="shared" si="16"/>
        <v>20.987654320987652</v>
      </c>
      <c r="I1027" s="2" t="str" cm="1">
        <f t="array" ref="I1027">_xlfn.IFS(F1027&gt;=100,"Over weight",F1027&lt;100,"Average weight")</f>
        <v>Average weight</v>
      </c>
      <c r="J1027" s="2" t="str" cm="1">
        <f t="array" ref="J1027">_xlfn.IFS(G1027&lt;164,"Below Average height",G1027&gt;=165,"Above Average height",G1027=164,"Average height")</f>
        <v>Above Average height</v>
      </c>
      <c r="K1027" s="2" t="str" cm="1">
        <f t="array" ref="K1027">_xlfn.IFS(E1027&lt;=16,"Children",E1027&lt;=30,"Young Adults",E1027&lt;=45,"Middle-aged Adults",E1027&gt;45,"Old Adults")</f>
        <v>Young Adults</v>
      </c>
    </row>
    <row r="1028" spans="1:11" x14ac:dyDescent="0.45">
      <c r="A1028" s="2">
        <v>1196</v>
      </c>
      <c r="B1028" s="2" t="s">
        <v>1301</v>
      </c>
      <c r="C1028" s="2" t="s">
        <v>94</v>
      </c>
      <c r="D1028" s="2" t="s">
        <v>80</v>
      </c>
      <c r="E1028" s="2">
        <v>27</v>
      </c>
      <c r="F1028" s="2">
        <v>86</v>
      </c>
      <c r="G1028" s="2">
        <v>193</v>
      </c>
      <c r="H1028" s="9">
        <f t="shared" si="16"/>
        <v>23.087868130688072</v>
      </c>
      <c r="I1028" s="2" t="str" cm="1">
        <f t="array" ref="I1028">_xlfn.IFS(F1028&gt;=100,"Over weight",F1028&lt;100,"Average weight")</f>
        <v>Average weight</v>
      </c>
      <c r="J1028" s="2" t="str" cm="1">
        <f t="array" ref="J1028">_xlfn.IFS(G1028&lt;164,"Below Average height",G1028&gt;=165,"Above Average height",G1028=164,"Average height")</f>
        <v>Above Average height</v>
      </c>
      <c r="K1028" s="2" t="str" cm="1">
        <f t="array" ref="K1028">_xlfn.IFS(E1028&lt;=16,"Children",E1028&lt;=30,"Young Adults",E1028&lt;=45,"Middle-aged Adults",E1028&gt;45,"Old Adults")</f>
        <v>Young Adults</v>
      </c>
    </row>
    <row r="1029" spans="1:11" x14ac:dyDescent="0.45">
      <c r="A1029" s="2">
        <v>1198</v>
      </c>
      <c r="B1029" s="2" t="s">
        <v>1303</v>
      </c>
      <c r="C1029" s="2" t="s">
        <v>95</v>
      </c>
      <c r="D1029" s="2" t="s">
        <v>21</v>
      </c>
      <c r="E1029" s="2">
        <v>20</v>
      </c>
      <c r="F1029" s="2">
        <v>77</v>
      </c>
      <c r="G1029" s="2">
        <v>183</v>
      </c>
      <c r="H1029" s="9">
        <f t="shared" si="16"/>
        <v>22.99262444384723</v>
      </c>
      <c r="I1029" s="2" t="str" cm="1">
        <f t="array" ref="I1029">_xlfn.IFS(F1029&gt;=100,"Over weight",F1029&lt;100,"Average weight")</f>
        <v>Average weight</v>
      </c>
      <c r="J1029" s="2" t="str" cm="1">
        <f t="array" ref="J1029">_xlfn.IFS(G1029&lt;164,"Below Average height",G1029&gt;=165,"Above Average height",G1029=164,"Average height")</f>
        <v>Above Average height</v>
      </c>
      <c r="K1029" s="2" t="str" cm="1">
        <f t="array" ref="K1029">_xlfn.IFS(E1029&lt;=16,"Children",E1029&lt;=30,"Young Adults",E1029&lt;=45,"Middle-aged Adults",E1029&gt;45,"Old Adults")</f>
        <v>Young Adults</v>
      </c>
    </row>
    <row r="1030" spans="1:11" x14ac:dyDescent="0.45">
      <c r="A1030" s="2">
        <v>1199</v>
      </c>
      <c r="B1030" s="2" t="s">
        <v>1304</v>
      </c>
      <c r="C1030" s="2" t="s">
        <v>87</v>
      </c>
      <c r="D1030" s="2" t="s">
        <v>60</v>
      </c>
      <c r="E1030" s="2">
        <v>33</v>
      </c>
      <c r="F1030" s="2">
        <v>58</v>
      </c>
      <c r="G1030" s="2">
        <v>189</v>
      </c>
      <c r="H1030" s="9">
        <f t="shared" si="16"/>
        <v>16.23694745387867</v>
      </c>
      <c r="I1030" s="2" t="str" cm="1">
        <f t="array" ref="I1030">_xlfn.IFS(F1030&gt;=100,"Over weight",F1030&lt;100,"Average weight")</f>
        <v>Average weight</v>
      </c>
      <c r="J1030" s="2" t="str" cm="1">
        <f t="array" ref="J1030">_xlfn.IFS(G1030&lt;164,"Below Average height",G1030&gt;=165,"Above Average height",G1030=164,"Average height")</f>
        <v>Above Average height</v>
      </c>
      <c r="K1030" s="2" t="str" cm="1">
        <f t="array" ref="K1030">_xlfn.IFS(E1030&lt;=16,"Children",E1030&lt;=30,"Young Adults",E1030&lt;=45,"Middle-aged Adults",E1030&gt;45,"Old Adults")</f>
        <v>Middle-aged Adults</v>
      </c>
    </row>
    <row r="1031" spans="1:11" x14ac:dyDescent="0.45">
      <c r="A1031" s="2">
        <v>1200</v>
      </c>
      <c r="B1031" s="2" t="s">
        <v>1305</v>
      </c>
      <c r="C1031" s="2" t="s">
        <v>88</v>
      </c>
      <c r="D1031" s="2" t="s">
        <v>63</v>
      </c>
      <c r="E1031" s="2">
        <v>23</v>
      </c>
      <c r="F1031" s="2">
        <v>68</v>
      </c>
      <c r="G1031" s="2">
        <v>170</v>
      </c>
      <c r="H1031" s="9">
        <f t="shared" si="16"/>
        <v>23.529411764705884</v>
      </c>
      <c r="I1031" s="2" t="str" cm="1">
        <f t="array" ref="I1031">_xlfn.IFS(F1031&gt;=100,"Over weight",F1031&lt;100,"Average weight")</f>
        <v>Average weight</v>
      </c>
      <c r="J1031" s="2" t="str" cm="1">
        <f t="array" ref="J1031">_xlfn.IFS(G1031&lt;164,"Below Average height",G1031&gt;=165,"Above Average height",G1031=164,"Average height")</f>
        <v>Above Average height</v>
      </c>
      <c r="K1031" s="2" t="str" cm="1">
        <f t="array" ref="K1031">_xlfn.IFS(E1031&lt;=16,"Children",E1031&lt;=30,"Young Adults",E1031&lt;=45,"Middle-aged Adults",E1031&gt;45,"Old Adults")</f>
        <v>Young Adults</v>
      </c>
    </row>
    <row r="1032" spans="1:11" x14ac:dyDescent="0.45">
      <c r="A1032" s="2">
        <v>1204</v>
      </c>
      <c r="B1032" s="2" t="s">
        <v>1309</v>
      </c>
      <c r="C1032" s="2" t="s">
        <v>93</v>
      </c>
      <c r="D1032" s="2" t="s">
        <v>28</v>
      </c>
      <c r="E1032" s="2">
        <v>23</v>
      </c>
      <c r="F1032" s="2">
        <v>57</v>
      </c>
      <c r="G1032" s="2">
        <v>167</v>
      </c>
      <c r="H1032" s="9">
        <f t="shared" si="16"/>
        <v>20.43816558499767</v>
      </c>
      <c r="I1032" s="2" t="str" cm="1">
        <f t="array" ref="I1032">_xlfn.IFS(F1032&gt;=100,"Over weight",F1032&lt;100,"Average weight")</f>
        <v>Average weight</v>
      </c>
      <c r="J1032" s="2" t="str" cm="1">
        <f t="array" ref="J1032">_xlfn.IFS(G1032&lt;164,"Below Average height",G1032&gt;=165,"Above Average height",G1032=164,"Average height")</f>
        <v>Above Average height</v>
      </c>
      <c r="K1032" s="2" t="str" cm="1">
        <f t="array" ref="K1032">_xlfn.IFS(E1032&lt;=16,"Children",E1032&lt;=30,"Young Adults",E1032&lt;=45,"Middle-aged Adults",E1032&gt;45,"Old Adults")</f>
        <v>Young Adults</v>
      </c>
    </row>
    <row r="1033" spans="1:11" x14ac:dyDescent="0.45">
      <c r="A1033" s="2">
        <v>1205</v>
      </c>
      <c r="B1033" s="2" t="s">
        <v>1310</v>
      </c>
      <c r="C1033" s="2" t="s">
        <v>91</v>
      </c>
      <c r="D1033" s="2" t="s">
        <v>14</v>
      </c>
      <c r="E1033" s="2">
        <v>27</v>
      </c>
      <c r="F1033" s="2">
        <v>78</v>
      </c>
      <c r="G1033" s="2">
        <v>175</v>
      </c>
      <c r="H1033" s="9">
        <f t="shared" si="16"/>
        <v>25.469387755102041</v>
      </c>
      <c r="I1033" s="2" t="str" cm="1">
        <f t="array" ref="I1033">_xlfn.IFS(F1033&gt;=100,"Over weight",F1033&lt;100,"Average weight")</f>
        <v>Average weight</v>
      </c>
      <c r="J1033" s="2" t="str" cm="1">
        <f t="array" ref="J1033">_xlfn.IFS(G1033&lt;164,"Below Average height",G1033&gt;=165,"Above Average height",G1033=164,"Average height")</f>
        <v>Above Average height</v>
      </c>
      <c r="K1033" s="2" t="str" cm="1">
        <f t="array" ref="K1033">_xlfn.IFS(E1033&lt;=16,"Children",E1033&lt;=30,"Young Adults",E1033&lt;=45,"Middle-aged Adults",E1033&gt;45,"Old Adults")</f>
        <v>Young Adults</v>
      </c>
    </row>
    <row r="1034" spans="1:11" x14ac:dyDescent="0.45">
      <c r="A1034" s="2">
        <v>1206</v>
      </c>
      <c r="B1034" s="2" t="s">
        <v>1311</v>
      </c>
      <c r="C1034" s="2" t="s">
        <v>90</v>
      </c>
      <c r="D1034" s="2" t="s">
        <v>6</v>
      </c>
      <c r="E1034" s="2">
        <v>35</v>
      </c>
      <c r="F1034" s="2">
        <v>92</v>
      </c>
      <c r="G1034" s="2">
        <v>178</v>
      </c>
      <c r="H1034" s="9">
        <f t="shared" si="16"/>
        <v>29.036737785633125</v>
      </c>
      <c r="I1034" s="2" t="str" cm="1">
        <f t="array" ref="I1034">_xlfn.IFS(F1034&gt;=100,"Over weight",F1034&lt;100,"Average weight")</f>
        <v>Average weight</v>
      </c>
      <c r="J1034" s="2" t="str" cm="1">
        <f t="array" ref="J1034">_xlfn.IFS(G1034&lt;164,"Below Average height",G1034&gt;=165,"Above Average height",G1034=164,"Average height")</f>
        <v>Above Average height</v>
      </c>
      <c r="K1034" s="2" t="str" cm="1">
        <f t="array" ref="K1034">_xlfn.IFS(E1034&lt;=16,"Children",E1034&lt;=30,"Young Adults",E1034&lt;=45,"Middle-aged Adults",E1034&gt;45,"Old Adults")</f>
        <v>Middle-aged Adults</v>
      </c>
    </row>
    <row r="1035" spans="1:11" x14ac:dyDescent="0.45">
      <c r="A1035" s="2">
        <v>1207</v>
      </c>
      <c r="B1035" s="2" t="s">
        <v>1312</v>
      </c>
      <c r="C1035" s="2" t="s">
        <v>97</v>
      </c>
      <c r="D1035" s="2" t="s">
        <v>26</v>
      </c>
      <c r="E1035" s="2">
        <v>26</v>
      </c>
      <c r="F1035" s="2">
        <v>80</v>
      </c>
      <c r="G1035" s="2">
        <v>190</v>
      </c>
      <c r="H1035" s="9">
        <f t="shared" si="16"/>
        <v>22.1606648199446</v>
      </c>
      <c r="I1035" s="2" t="str" cm="1">
        <f t="array" ref="I1035">_xlfn.IFS(F1035&gt;=100,"Over weight",F1035&lt;100,"Average weight")</f>
        <v>Average weight</v>
      </c>
      <c r="J1035" s="2" t="str" cm="1">
        <f t="array" ref="J1035">_xlfn.IFS(G1035&lt;164,"Below Average height",G1035&gt;=165,"Above Average height",G1035=164,"Average height")</f>
        <v>Above Average height</v>
      </c>
      <c r="K1035" s="2" t="str" cm="1">
        <f t="array" ref="K1035">_xlfn.IFS(E1035&lt;=16,"Children",E1035&lt;=30,"Young Adults",E1035&lt;=45,"Middle-aged Adults",E1035&gt;45,"Old Adults")</f>
        <v>Young Adults</v>
      </c>
    </row>
    <row r="1036" spans="1:11" x14ac:dyDescent="0.45">
      <c r="A1036" s="2">
        <v>1208</v>
      </c>
      <c r="B1036" s="2" t="s">
        <v>1313</v>
      </c>
      <c r="C1036" s="2" t="s">
        <v>86</v>
      </c>
      <c r="D1036" s="2" t="s">
        <v>80</v>
      </c>
      <c r="E1036" s="2">
        <v>29</v>
      </c>
      <c r="F1036" s="2">
        <v>58</v>
      </c>
      <c r="G1036" s="2">
        <v>178</v>
      </c>
      <c r="H1036" s="9">
        <f t="shared" si="16"/>
        <v>18.305769473551319</v>
      </c>
      <c r="I1036" s="2" t="str" cm="1">
        <f t="array" ref="I1036">_xlfn.IFS(F1036&gt;=100,"Over weight",F1036&lt;100,"Average weight")</f>
        <v>Average weight</v>
      </c>
      <c r="J1036" s="2" t="str" cm="1">
        <f t="array" ref="J1036">_xlfn.IFS(G1036&lt;164,"Below Average height",G1036&gt;=165,"Above Average height",G1036=164,"Average height")</f>
        <v>Above Average height</v>
      </c>
      <c r="K1036" s="2" t="str" cm="1">
        <f t="array" ref="K1036">_xlfn.IFS(E1036&lt;=16,"Children",E1036&lt;=30,"Young Adults",E1036&lt;=45,"Middle-aged Adults",E1036&gt;45,"Old Adults")</f>
        <v>Young Adults</v>
      </c>
    </row>
    <row r="1037" spans="1:11" x14ac:dyDescent="0.45">
      <c r="A1037" s="2">
        <v>1210</v>
      </c>
      <c r="B1037" s="2" t="s">
        <v>1315</v>
      </c>
      <c r="C1037" s="2" t="s">
        <v>93</v>
      </c>
      <c r="D1037" s="2" t="s">
        <v>80</v>
      </c>
      <c r="E1037" s="2">
        <v>22</v>
      </c>
      <c r="F1037" s="2">
        <v>77</v>
      </c>
      <c r="G1037" s="2">
        <v>185</v>
      </c>
      <c r="H1037" s="9">
        <f t="shared" si="16"/>
        <v>22.498173849525198</v>
      </c>
      <c r="I1037" s="2" t="str" cm="1">
        <f t="array" ref="I1037">_xlfn.IFS(F1037&gt;=100,"Over weight",F1037&lt;100,"Average weight")</f>
        <v>Average weight</v>
      </c>
      <c r="J1037" s="2" t="str" cm="1">
        <f t="array" ref="J1037">_xlfn.IFS(G1037&lt;164,"Below Average height",G1037&gt;=165,"Above Average height",G1037=164,"Average height")</f>
        <v>Above Average height</v>
      </c>
      <c r="K1037" s="2" t="str" cm="1">
        <f t="array" ref="K1037">_xlfn.IFS(E1037&lt;=16,"Children",E1037&lt;=30,"Young Adults",E1037&lt;=45,"Middle-aged Adults",E1037&gt;45,"Old Adults")</f>
        <v>Young Adults</v>
      </c>
    </row>
    <row r="1038" spans="1:11" x14ac:dyDescent="0.45">
      <c r="A1038" s="2">
        <v>1211</v>
      </c>
      <c r="B1038" s="2" t="s">
        <v>1316</v>
      </c>
      <c r="C1038" s="2" t="s">
        <v>85</v>
      </c>
      <c r="D1038" s="2" t="s">
        <v>74</v>
      </c>
      <c r="E1038" s="2">
        <v>24</v>
      </c>
      <c r="F1038" s="2">
        <v>93</v>
      </c>
      <c r="G1038" s="2">
        <v>193</v>
      </c>
      <c r="H1038" s="9">
        <f t="shared" si="16"/>
        <v>24.967113211092915</v>
      </c>
      <c r="I1038" s="2" t="str" cm="1">
        <f t="array" ref="I1038">_xlfn.IFS(F1038&gt;=100,"Over weight",F1038&lt;100,"Average weight")</f>
        <v>Average weight</v>
      </c>
      <c r="J1038" s="2" t="str" cm="1">
        <f t="array" ref="J1038">_xlfn.IFS(G1038&lt;164,"Below Average height",G1038&gt;=165,"Above Average height",G1038=164,"Average height")</f>
        <v>Above Average height</v>
      </c>
      <c r="K1038" s="2" t="str" cm="1">
        <f t="array" ref="K1038">_xlfn.IFS(E1038&lt;=16,"Children",E1038&lt;=30,"Young Adults",E1038&lt;=45,"Middle-aged Adults",E1038&gt;45,"Old Adults")</f>
        <v>Young Adults</v>
      </c>
    </row>
    <row r="1039" spans="1:11" x14ac:dyDescent="0.45">
      <c r="A1039" s="2">
        <v>1212</v>
      </c>
      <c r="B1039" s="2" t="s">
        <v>1317</v>
      </c>
      <c r="C1039" s="2" t="s">
        <v>97</v>
      </c>
      <c r="D1039" s="2" t="s">
        <v>26</v>
      </c>
      <c r="E1039" s="2">
        <v>24</v>
      </c>
      <c r="F1039" s="2">
        <v>60</v>
      </c>
      <c r="G1039" s="2">
        <v>174</v>
      </c>
      <c r="H1039" s="9">
        <f t="shared" si="16"/>
        <v>19.817677368212443</v>
      </c>
      <c r="I1039" s="2" t="str" cm="1">
        <f t="array" ref="I1039">_xlfn.IFS(F1039&gt;=100,"Over weight",F1039&lt;100,"Average weight")</f>
        <v>Average weight</v>
      </c>
      <c r="J1039" s="2" t="str" cm="1">
        <f t="array" ref="J1039">_xlfn.IFS(G1039&lt;164,"Below Average height",G1039&gt;=165,"Above Average height",G1039=164,"Average height")</f>
        <v>Above Average height</v>
      </c>
      <c r="K1039" s="2" t="str" cm="1">
        <f t="array" ref="K1039">_xlfn.IFS(E1039&lt;=16,"Children",E1039&lt;=30,"Young Adults",E1039&lt;=45,"Middle-aged Adults",E1039&gt;45,"Old Adults")</f>
        <v>Young Adults</v>
      </c>
    </row>
    <row r="1040" spans="1:11" x14ac:dyDescent="0.45">
      <c r="A1040" s="2">
        <v>1214</v>
      </c>
      <c r="B1040" s="2" t="s">
        <v>1319</v>
      </c>
      <c r="C1040" s="2" t="s">
        <v>96</v>
      </c>
      <c r="D1040" s="2" t="s">
        <v>30</v>
      </c>
      <c r="E1040" s="2">
        <v>39</v>
      </c>
      <c r="F1040" s="2">
        <v>72</v>
      </c>
      <c r="G1040" s="2">
        <v>165</v>
      </c>
      <c r="H1040" s="9">
        <f t="shared" si="16"/>
        <v>26.446280991735541</v>
      </c>
      <c r="I1040" s="2" t="str" cm="1">
        <f t="array" ref="I1040">_xlfn.IFS(F1040&gt;=100,"Over weight",F1040&lt;100,"Average weight")</f>
        <v>Average weight</v>
      </c>
      <c r="J1040" s="2" t="str" cm="1">
        <f t="array" ref="J1040">_xlfn.IFS(G1040&lt;164,"Below Average height",G1040&gt;=165,"Above Average height",G1040=164,"Average height")</f>
        <v>Above Average height</v>
      </c>
      <c r="K1040" s="2" t="str" cm="1">
        <f t="array" ref="K1040">_xlfn.IFS(E1040&lt;=16,"Children",E1040&lt;=30,"Young Adults",E1040&lt;=45,"Middle-aged Adults",E1040&gt;45,"Old Adults")</f>
        <v>Middle-aged Adults</v>
      </c>
    </row>
    <row r="1041" spans="1:11" x14ac:dyDescent="0.45">
      <c r="A1041" s="2">
        <v>1215</v>
      </c>
      <c r="B1041" s="2" t="s">
        <v>1320</v>
      </c>
      <c r="C1041" s="2" t="s">
        <v>98</v>
      </c>
      <c r="D1041" s="2" t="s">
        <v>33</v>
      </c>
      <c r="E1041" s="2">
        <v>23</v>
      </c>
      <c r="F1041" s="2">
        <v>64</v>
      </c>
      <c r="G1041" s="2">
        <v>170</v>
      </c>
      <c r="H1041" s="9">
        <f t="shared" si="16"/>
        <v>22.145328719723185</v>
      </c>
      <c r="I1041" s="2" t="str" cm="1">
        <f t="array" ref="I1041">_xlfn.IFS(F1041&gt;=100,"Over weight",F1041&lt;100,"Average weight")</f>
        <v>Average weight</v>
      </c>
      <c r="J1041" s="2" t="str" cm="1">
        <f t="array" ref="J1041">_xlfn.IFS(G1041&lt;164,"Below Average height",G1041&gt;=165,"Above Average height",G1041=164,"Average height")</f>
        <v>Above Average height</v>
      </c>
      <c r="K1041" s="2" t="str" cm="1">
        <f t="array" ref="K1041">_xlfn.IFS(E1041&lt;=16,"Children",E1041&lt;=30,"Young Adults",E1041&lt;=45,"Middle-aged Adults",E1041&gt;45,"Old Adults")</f>
        <v>Young Adults</v>
      </c>
    </row>
    <row r="1042" spans="1:11" x14ac:dyDescent="0.45">
      <c r="A1042" s="2">
        <v>1216</v>
      </c>
      <c r="B1042" s="2" t="s">
        <v>1321</v>
      </c>
      <c r="C1042" s="2" t="s">
        <v>89</v>
      </c>
      <c r="D1042" s="2" t="s">
        <v>66</v>
      </c>
      <c r="E1042" s="2">
        <v>28</v>
      </c>
      <c r="F1042" s="2">
        <v>85</v>
      </c>
      <c r="G1042" s="2">
        <v>187</v>
      </c>
      <c r="H1042" s="9">
        <f t="shared" si="16"/>
        <v>24.307243558580453</v>
      </c>
      <c r="I1042" s="2" t="str" cm="1">
        <f t="array" ref="I1042">_xlfn.IFS(F1042&gt;=100,"Over weight",F1042&lt;100,"Average weight")</f>
        <v>Average weight</v>
      </c>
      <c r="J1042" s="2" t="str" cm="1">
        <f t="array" ref="J1042">_xlfn.IFS(G1042&lt;164,"Below Average height",G1042&gt;=165,"Above Average height",G1042=164,"Average height")</f>
        <v>Above Average height</v>
      </c>
      <c r="K1042" s="2" t="str" cm="1">
        <f t="array" ref="K1042">_xlfn.IFS(E1042&lt;=16,"Children",E1042&lt;=30,"Young Adults",E1042&lt;=45,"Middle-aged Adults",E1042&gt;45,"Old Adults")</f>
        <v>Young Adults</v>
      </c>
    </row>
    <row r="1043" spans="1:11" x14ac:dyDescent="0.45">
      <c r="A1043" s="2">
        <v>1217</v>
      </c>
      <c r="B1043" s="2" t="s">
        <v>1322</v>
      </c>
      <c r="C1043" s="2" t="s">
        <v>94</v>
      </c>
      <c r="D1043" s="2" t="s">
        <v>25</v>
      </c>
      <c r="E1043" s="2">
        <v>30</v>
      </c>
      <c r="F1043" s="2">
        <v>69</v>
      </c>
      <c r="G1043" s="2">
        <v>180</v>
      </c>
      <c r="H1043" s="9">
        <f t="shared" si="16"/>
        <v>21.296296296296294</v>
      </c>
      <c r="I1043" s="2" t="str" cm="1">
        <f t="array" ref="I1043">_xlfn.IFS(F1043&gt;=100,"Over weight",F1043&lt;100,"Average weight")</f>
        <v>Average weight</v>
      </c>
      <c r="J1043" s="2" t="str" cm="1">
        <f t="array" ref="J1043">_xlfn.IFS(G1043&lt;164,"Below Average height",G1043&gt;=165,"Above Average height",G1043=164,"Average height")</f>
        <v>Above Average height</v>
      </c>
      <c r="K1043" s="2" t="str" cm="1">
        <f t="array" ref="K1043">_xlfn.IFS(E1043&lt;=16,"Children",E1043&lt;=30,"Young Adults",E1043&lt;=45,"Middle-aged Adults",E1043&gt;45,"Old Adults")</f>
        <v>Young Adults</v>
      </c>
    </row>
    <row r="1044" spans="1:11" x14ac:dyDescent="0.45">
      <c r="A1044" s="2">
        <v>1218</v>
      </c>
      <c r="B1044" s="2" t="s">
        <v>1323</v>
      </c>
      <c r="C1044" s="2" t="s">
        <v>89</v>
      </c>
      <c r="D1044" s="2" t="s">
        <v>80</v>
      </c>
      <c r="E1044" s="2">
        <v>24</v>
      </c>
      <c r="F1044" s="2">
        <v>59</v>
      </c>
      <c r="G1044" s="2">
        <v>168</v>
      </c>
      <c r="H1044" s="9">
        <f t="shared" si="16"/>
        <v>20.904195011337873</v>
      </c>
      <c r="I1044" s="2" t="str" cm="1">
        <f t="array" ref="I1044">_xlfn.IFS(F1044&gt;=100,"Over weight",F1044&lt;100,"Average weight")</f>
        <v>Average weight</v>
      </c>
      <c r="J1044" s="2" t="str" cm="1">
        <f t="array" ref="J1044">_xlfn.IFS(G1044&lt;164,"Below Average height",G1044&gt;=165,"Above Average height",G1044=164,"Average height")</f>
        <v>Above Average height</v>
      </c>
      <c r="K1044" s="2" t="str" cm="1">
        <f t="array" ref="K1044">_xlfn.IFS(E1044&lt;=16,"Children",E1044&lt;=30,"Young Adults",E1044&lt;=45,"Middle-aged Adults",E1044&gt;45,"Old Adults")</f>
        <v>Young Adults</v>
      </c>
    </row>
    <row r="1045" spans="1:11" x14ac:dyDescent="0.45">
      <c r="A1045" s="2">
        <v>1219</v>
      </c>
      <c r="B1045" s="2" t="s">
        <v>1324</v>
      </c>
      <c r="C1045" s="2" t="s">
        <v>93</v>
      </c>
      <c r="D1045" s="2" t="s">
        <v>14</v>
      </c>
      <c r="E1045" s="2">
        <v>23</v>
      </c>
      <c r="F1045" s="2">
        <v>76</v>
      </c>
      <c r="G1045" s="2">
        <v>178</v>
      </c>
      <c r="H1045" s="9">
        <f t="shared" si="16"/>
        <v>23.98687034465345</v>
      </c>
      <c r="I1045" s="2" t="str" cm="1">
        <f t="array" ref="I1045">_xlfn.IFS(F1045&gt;=100,"Over weight",F1045&lt;100,"Average weight")</f>
        <v>Average weight</v>
      </c>
      <c r="J1045" s="2" t="str" cm="1">
        <f t="array" ref="J1045">_xlfn.IFS(G1045&lt;164,"Below Average height",G1045&gt;=165,"Above Average height",G1045=164,"Average height")</f>
        <v>Above Average height</v>
      </c>
      <c r="K1045" s="2" t="str" cm="1">
        <f t="array" ref="K1045">_xlfn.IFS(E1045&lt;=16,"Children",E1045&lt;=30,"Young Adults",E1045&lt;=45,"Middle-aged Adults",E1045&gt;45,"Old Adults")</f>
        <v>Young Adults</v>
      </c>
    </row>
    <row r="1046" spans="1:11" x14ac:dyDescent="0.45">
      <c r="A1046" s="2">
        <v>1220</v>
      </c>
      <c r="B1046" s="2" t="s">
        <v>1325</v>
      </c>
      <c r="C1046" s="2" t="s">
        <v>87</v>
      </c>
      <c r="D1046" s="2" t="s">
        <v>75</v>
      </c>
      <c r="E1046" s="2">
        <v>25</v>
      </c>
      <c r="F1046" s="2">
        <v>75</v>
      </c>
      <c r="G1046" s="2">
        <v>183</v>
      </c>
      <c r="H1046" s="9">
        <f t="shared" si="16"/>
        <v>22.395413419331717</v>
      </c>
      <c r="I1046" s="2" t="str" cm="1">
        <f t="array" ref="I1046">_xlfn.IFS(F1046&gt;=100,"Over weight",F1046&lt;100,"Average weight")</f>
        <v>Average weight</v>
      </c>
      <c r="J1046" s="2" t="str" cm="1">
        <f t="array" ref="J1046">_xlfn.IFS(G1046&lt;164,"Below Average height",G1046&gt;=165,"Above Average height",G1046=164,"Average height")</f>
        <v>Above Average height</v>
      </c>
      <c r="K1046" s="2" t="str" cm="1">
        <f t="array" ref="K1046">_xlfn.IFS(E1046&lt;=16,"Children",E1046&lt;=30,"Young Adults",E1046&lt;=45,"Middle-aged Adults",E1046&gt;45,"Old Adults")</f>
        <v>Young Adults</v>
      </c>
    </row>
    <row r="1047" spans="1:11" x14ac:dyDescent="0.45">
      <c r="A1047" s="2">
        <v>1221</v>
      </c>
      <c r="B1047" s="2" t="s">
        <v>1326</v>
      </c>
      <c r="C1047" s="2" t="s">
        <v>86</v>
      </c>
      <c r="D1047" s="2" t="s">
        <v>75</v>
      </c>
      <c r="E1047" s="2">
        <v>24</v>
      </c>
      <c r="F1047" s="2">
        <v>72</v>
      </c>
      <c r="G1047" s="2">
        <v>175</v>
      </c>
      <c r="H1047" s="9">
        <f t="shared" si="16"/>
        <v>23.510204081632654</v>
      </c>
      <c r="I1047" s="2" t="str" cm="1">
        <f t="array" ref="I1047">_xlfn.IFS(F1047&gt;=100,"Over weight",F1047&lt;100,"Average weight")</f>
        <v>Average weight</v>
      </c>
      <c r="J1047" s="2" t="str" cm="1">
        <f t="array" ref="J1047">_xlfn.IFS(G1047&lt;164,"Below Average height",G1047&gt;=165,"Above Average height",G1047=164,"Average height")</f>
        <v>Above Average height</v>
      </c>
      <c r="K1047" s="2" t="str" cm="1">
        <f t="array" ref="K1047">_xlfn.IFS(E1047&lt;=16,"Children",E1047&lt;=30,"Young Adults",E1047&lt;=45,"Middle-aged Adults",E1047&gt;45,"Old Adults")</f>
        <v>Young Adults</v>
      </c>
    </row>
    <row r="1048" spans="1:11" x14ac:dyDescent="0.45">
      <c r="A1048" s="2">
        <v>1222</v>
      </c>
      <c r="B1048" s="2" t="s">
        <v>1327</v>
      </c>
      <c r="C1048" s="2" t="s">
        <v>91</v>
      </c>
      <c r="D1048" s="2" t="s">
        <v>80</v>
      </c>
      <c r="E1048" s="2">
        <v>20</v>
      </c>
      <c r="F1048" s="2">
        <v>70</v>
      </c>
      <c r="G1048" s="2">
        <v>168</v>
      </c>
      <c r="H1048" s="9">
        <f t="shared" si="16"/>
        <v>24.801587301587304</v>
      </c>
      <c r="I1048" s="2" t="str" cm="1">
        <f t="array" ref="I1048">_xlfn.IFS(F1048&gt;=100,"Over weight",F1048&lt;100,"Average weight")</f>
        <v>Average weight</v>
      </c>
      <c r="J1048" s="2" t="str" cm="1">
        <f t="array" ref="J1048">_xlfn.IFS(G1048&lt;164,"Below Average height",G1048&gt;=165,"Above Average height",G1048=164,"Average height")</f>
        <v>Above Average height</v>
      </c>
      <c r="K1048" s="2" t="str" cm="1">
        <f t="array" ref="K1048">_xlfn.IFS(E1048&lt;=16,"Children",E1048&lt;=30,"Young Adults",E1048&lt;=45,"Middle-aged Adults",E1048&gt;45,"Old Adults")</f>
        <v>Young Adults</v>
      </c>
    </row>
    <row r="1049" spans="1:11" x14ac:dyDescent="0.45">
      <c r="A1049" s="2">
        <v>1223</v>
      </c>
      <c r="B1049" s="2" t="s">
        <v>1328</v>
      </c>
      <c r="C1049" s="2" t="s">
        <v>93</v>
      </c>
      <c r="D1049" s="2" t="s">
        <v>14</v>
      </c>
      <c r="E1049" s="2">
        <v>33</v>
      </c>
      <c r="F1049" s="2">
        <v>75</v>
      </c>
      <c r="G1049" s="2">
        <v>188</v>
      </c>
      <c r="H1049" s="9">
        <f t="shared" si="16"/>
        <v>21.22000905387053</v>
      </c>
      <c r="I1049" s="2" t="str" cm="1">
        <f t="array" ref="I1049">_xlfn.IFS(F1049&gt;=100,"Over weight",F1049&lt;100,"Average weight")</f>
        <v>Average weight</v>
      </c>
      <c r="J1049" s="2" t="str" cm="1">
        <f t="array" ref="J1049">_xlfn.IFS(G1049&lt;164,"Below Average height",G1049&gt;=165,"Above Average height",G1049=164,"Average height")</f>
        <v>Above Average height</v>
      </c>
      <c r="K1049" s="2" t="str" cm="1">
        <f t="array" ref="K1049">_xlfn.IFS(E1049&lt;=16,"Children",E1049&lt;=30,"Young Adults",E1049&lt;=45,"Middle-aged Adults",E1049&gt;45,"Old Adults")</f>
        <v>Middle-aged Adults</v>
      </c>
    </row>
    <row r="1050" spans="1:11" x14ac:dyDescent="0.45">
      <c r="A1050" s="2">
        <v>1224</v>
      </c>
      <c r="B1050" s="2" t="s">
        <v>1329</v>
      </c>
      <c r="C1050" s="2" t="s">
        <v>91</v>
      </c>
      <c r="D1050" s="2" t="s">
        <v>80</v>
      </c>
      <c r="E1050" s="2">
        <v>20</v>
      </c>
      <c r="F1050" s="2">
        <v>72</v>
      </c>
      <c r="G1050" s="2">
        <v>168</v>
      </c>
      <c r="H1050" s="9">
        <f t="shared" si="16"/>
        <v>25.510204081632658</v>
      </c>
      <c r="I1050" s="2" t="str" cm="1">
        <f t="array" ref="I1050">_xlfn.IFS(F1050&gt;=100,"Over weight",F1050&lt;100,"Average weight")</f>
        <v>Average weight</v>
      </c>
      <c r="J1050" s="2" t="str" cm="1">
        <f t="array" ref="J1050">_xlfn.IFS(G1050&lt;164,"Below Average height",G1050&gt;=165,"Above Average height",G1050=164,"Average height")</f>
        <v>Above Average height</v>
      </c>
      <c r="K1050" s="2" t="str" cm="1">
        <f t="array" ref="K1050">_xlfn.IFS(E1050&lt;=16,"Children",E1050&lt;=30,"Young Adults",E1050&lt;=45,"Middle-aged Adults",E1050&gt;45,"Old Adults")</f>
        <v>Young Adults</v>
      </c>
    </row>
    <row r="1051" spans="1:11" x14ac:dyDescent="0.45">
      <c r="A1051" s="2">
        <v>1225</v>
      </c>
      <c r="B1051" s="2" t="s">
        <v>1330</v>
      </c>
      <c r="C1051" s="2" t="s">
        <v>90</v>
      </c>
      <c r="D1051" s="2" t="s">
        <v>75</v>
      </c>
      <c r="E1051" s="2">
        <v>31</v>
      </c>
      <c r="F1051" s="2">
        <v>99</v>
      </c>
      <c r="G1051" s="2">
        <v>183</v>
      </c>
      <c r="H1051" s="9">
        <f t="shared" si="16"/>
        <v>29.561945713517868</v>
      </c>
      <c r="I1051" s="2" t="str" cm="1">
        <f t="array" ref="I1051">_xlfn.IFS(F1051&gt;=100,"Over weight",F1051&lt;100,"Average weight")</f>
        <v>Average weight</v>
      </c>
      <c r="J1051" s="2" t="str" cm="1">
        <f t="array" ref="J1051">_xlfn.IFS(G1051&lt;164,"Below Average height",G1051&gt;=165,"Above Average height",G1051=164,"Average height")</f>
        <v>Above Average height</v>
      </c>
      <c r="K1051" s="2" t="str" cm="1">
        <f t="array" ref="K1051">_xlfn.IFS(E1051&lt;=16,"Children",E1051&lt;=30,"Young Adults",E1051&lt;=45,"Middle-aged Adults",E1051&gt;45,"Old Adults")</f>
        <v>Middle-aged Adults</v>
      </c>
    </row>
    <row r="1052" spans="1:11" x14ac:dyDescent="0.45">
      <c r="A1052" s="2">
        <v>1226</v>
      </c>
      <c r="B1052" s="2" t="s">
        <v>1331</v>
      </c>
      <c r="C1052" s="2" t="s">
        <v>97</v>
      </c>
      <c r="D1052" s="2" t="s">
        <v>26</v>
      </c>
      <c r="E1052" s="2">
        <v>23</v>
      </c>
      <c r="F1052" s="2">
        <v>66</v>
      </c>
      <c r="G1052" s="2">
        <v>179</v>
      </c>
      <c r="H1052" s="9">
        <f t="shared" si="16"/>
        <v>20.598608033457133</v>
      </c>
      <c r="I1052" s="2" t="str" cm="1">
        <f t="array" ref="I1052">_xlfn.IFS(F1052&gt;=100,"Over weight",F1052&lt;100,"Average weight")</f>
        <v>Average weight</v>
      </c>
      <c r="J1052" s="2" t="str" cm="1">
        <f t="array" ref="J1052">_xlfn.IFS(G1052&lt;164,"Below Average height",G1052&gt;=165,"Above Average height",G1052=164,"Average height")</f>
        <v>Above Average height</v>
      </c>
      <c r="K1052" s="2" t="str" cm="1">
        <f t="array" ref="K1052">_xlfn.IFS(E1052&lt;=16,"Children",E1052&lt;=30,"Young Adults",E1052&lt;=45,"Middle-aged Adults",E1052&gt;45,"Old Adults")</f>
        <v>Young Adults</v>
      </c>
    </row>
    <row r="1053" spans="1:11" x14ac:dyDescent="0.45">
      <c r="A1053" s="2">
        <v>1227</v>
      </c>
      <c r="B1053" s="2" t="s">
        <v>1332</v>
      </c>
      <c r="C1053" s="2" t="s">
        <v>88</v>
      </c>
      <c r="D1053" s="2" t="s">
        <v>6</v>
      </c>
      <c r="E1053" s="2">
        <v>22</v>
      </c>
      <c r="F1053" s="2">
        <v>75</v>
      </c>
      <c r="G1053" s="2">
        <v>188</v>
      </c>
      <c r="H1053" s="9">
        <f t="shared" si="16"/>
        <v>21.22000905387053</v>
      </c>
      <c r="I1053" s="2" t="str" cm="1">
        <f t="array" ref="I1053">_xlfn.IFS(F1053&gt;=100,"Over weight",F1053&lt;100,"Average weight")</f>
        <v>Average weight</v>
      </c>
      <c r="J1053" s="2" t="str" cm="1">
        <f t="array" ref="J1053">_xlfn.IFS(G1053&lt;164,"Below Average height",G1053&gt;=165,"Above Average height",G1053=164,"Average height")</f>
        <v>Above Average height</v>
      </c>
      <c r="K1053" s="2" t="str" cm="1">
        <f t="array" ref="K1053">_xlfn.IFS(E1053&lt;=16,"Children",E1053&lt;=30,"Young Adults",E1053&lt;=45,"Middle-aged Adults",E1053&gt;45,"Old Adults")</f>
        <v>Young Adults</v>
      </c>
    </row>
    <row r="1054" spans="1:11" x14ac:dyDescent="0.45">
      <c r="A1054" s="2">
        <v>1228</v>
      </c>
      <c r="B1054" s="2" t="s">
        <v>1333</v>
      </c>
      <c r="C1054" s="2" t="s">
        <v>96</v>
      </c>
      <c r="D1054" s="2" t="s">
        <v>28</v>
      </c>
      <c r="E1054" s="2">
        <v>30</v>
      </c>
      <c r="F1054" s="2">
        <v>72</v>
      </c>
      <c r="G1054" s="2">
        <v>186</v>
      </c>
      <c r="H1054" s="9">
        <f t="shared" si="16"/>
        <v>20.811654526534856</v>
      </c>
      <c r="I1054" s="2" t="str" cm="1">
        <f t="array" ref="I1054">_xlfn.IFS(F1054&gt;=100,"Over weight",F1054&lt;100,"Average weight")</f>
        <v>Average weight</v>
      </c>
      <c r="J1054" s="2" t="str" cm="1">
        <f t="array" ref="J1054">_xlfn.IFS(G1054&lt;164,"Below Average height",G1054&gt;=165,"Above Average height",G1054=164,"Average height")</f>
        <v>Above Average height</v>
      </c>
      <c r="K1054" s="2" t="str" cm="1">
        <f t="array" ref="K1054">_xlfn.IFS(E1054&lt;=16,"Children",E1054&lt;=30,"Young Adults",E1054&lt;=45,"Middle-aged Adults",E1054&gt;45,"Old Adults")</f>
        <v>Young Adults</v>
      </c>
    </row>
    <row r="1055" spans="1:11" x14ac:dyDescent="0.45">
      <c r="A1055" s="2">
        <v>1229</v>
      </c>
      <c r="B1055" s="2" t="s">
        <v>1334</v>
      </c>
      <c r="C1055" s="2" t="s">
        <v>90</v>
      </c>
      <c r="D1055" s="2" t="s">
        <v>28</v>
      </c>
      <c r="E1055" s="2">
        <v>36</v>
      </c>
      <c r="F1055" s="2">
        <v>100</v>
      </c>
      <c r="G1055" s="2">
        <v>188</v>
      </c>
      <c r="H1055" s="9">
        <f t="shared" si="16"/>
        <v>28.293345405160707</v>
      </c>
      <c r="I1055" s="2" t="str" cm="1">
        <f t="array" ref="I1055">_xlfn.IFS(F1055&gt;=100,"Over weight",F1055&lt;100,"Average weight")</f>
        <v>Over weight</v>
      </c>
      <c r="J1055" s="2" t="str" cm="1">
        <f t="array" ref="J1055">_xlfn.IFS(G1055&lt;164,"Below Average height",G1055&gt;=165,"Above Average height",G1055=164,"Average height")</f>
        <v>Above Average height</v>
      </c>
      <c r="K1055" s="2" t="str" cm="1">
        <f t="array" ref="K1055">_xlfn.IFS(E1055&lt;=16,"Children",E1055&lt;=30,"Young Adults",E1055&lt;=45,"Middle-aged Adults",E1055&gt;45,"Old Adults")</f>
        <v>Middle-aged Adults</v>
      </c>
    </row>
    <row r="1056" spans="1:11" x14ac:dyDescent="0.45">
      <c r="A1056" s="2">
        <v>1230</v>
      </c>
      <c r="B1056" s="2" t="s">
        <v>1335</v>
      </c>
      <c r="C1056" s="2" t="s">
        <v>91</v>
      </c>
      <c r="D1056" s="2" t="s">
        <v>80</v>
      </c>
      <c r="E1056" s="2">
        <v>34</v>
      </c>
      <c r="F1056" s="2">
        <v>93</v>
      </c>
      <c r="G1056" s="2">
        <v>185</v>
      </c>
      <c r="H1056" s="9">
        <f t="shared" si="16"/>
        <v>27.173119065010955</v>
      </c>
      <c r="I1056" s="2" t="str" cm="1">
        <f t="array" ref="I1056">_xlfn.IFS(F1056&gt;=100,"Over weight",F1056&lt;100,"Average weight")</f>
        <v>Average weight</v>
      </c>
      <c r="J1056" s="2" t="str" cm="1">
        <f t="array" ref="J1056">_xlfn.IFS(G1056&lt;164,"Below Average height",G1056&gt;=165,"Above Average height",G1056=164,"Average height")</f>
        <v>Above Average height</v>
      </c>
      <c r="K1056" s="2" t="str" cm="1">
        <f t="array" ref="K1056">_xlfn.IFS(E1056&lt;=16,"Children",E1056&lt;=30,"Young Adults",E1056&lt;=45,"Middle-aged Adults",E1056&gt;45,"Old Adults")</f>
        <v>Middle-aged Adults</v>
      </c>
    </row>
    <row r="1057" spans="1:11" x14ac:dyDescent="0.45">
      <c r="A1057" s="2">
        <v>1231</v>
      </c>
      <c r="B1057" s="2" t="s">
        <v>1336</v>
      </c>
      <c r="C1057" s="2" t="s">
        <v>95</v>
      </c>
      <c r="D1057" s="2" t="s">
        <v>28</v>
      </c>
      <c r="E1057" s="2">
        <v>25</v>
      </c>
      <c r="F1057" s="2">
        <v>84</v>
      </c>
      <c r="G1057" s="2">
        <v>181</v>
      </c>
      <c r="H1057" s="9">
        <f t="shared" si="16"/>
        <v>25.640242971826257</v>
      </c>
      <c r="I1057" s="2" t="str" cm="1">
        <f t="array" ref="I1057">_xlfn.IFS(F1057&gt;=100,"Over weight",F1057&lt;100,"Average weight")</f>
        <v>Average weight</v>
      </c>
      <c r="J1057" s="2" t="str" cm="1">
        <f t="array" ref="J1057">_xlfn.IFS(G1057&lt;164,"Below Average height",G1057&gt;=165,"Above Average height",G1057=164,"Average height")</f>
        <v>Above Average height</v>
      </c>
      <c r="K1057" s="2" t="str" cm="1">
        <f t="array" ref="K1057">_xlfn.IFS(E1057&lt;=16,"Children",E1057&lt;=30,"Young Adults",E1057&lt;=45,"Middle-aged Adults",E1057&gt;45,"Old Adults")</f>
        <v>Young Adults</v>
      </c>
    </row>
    <row r="1058" spans="1:11" x14ac:dyDescent="0.45">
      <c r="A1058" s="2">
        <v>1233</v>
      </c>
      <c r="B1058" s="2" t="s">
        <v>1338</v>
      </c>
      <c r="C1058" s="2" t="s">
        <v>90</v>
      </c>
      <c r="D1058" s="2" t="s">
        <v>80</v>
      </c>
      <c r="E1058" s="2">
        <v>26</v>
      </c>
      <c r="F1058" s="2">
        <v>102</v>
      </c>
      <c r="G1058" s="2">
        <v>188</v>
      </c>
      <c r="H1058" s="9">
        <f t="shared" si="16"/>
        <v>28.859212313263921</v>
      </c>
      <c r="I1058" s="2" t="str" cm="1">
        <f t="array" ref="I1058">_xlfn.IFS(F1058&gt;=100,"Over weight",F1058&lt;100,"Average weight")</f>
        <v>Over weight</v>
      </c>
      <c r="J1058" s="2" t="str" cm="1">
        <f t="array" ref="J1058">_xlfn.IFS(G1058&lt;164,"Below Average height",G1058&gt;=165,"Above Average height",G1058=164,"Average height")</f>
        <v>Above Average height</v>
      </c>
      <c r="K1058" s="2" t="str" cm="1">
        <f t="array" ref="K1058">_xlfn.IFS(E1058&lt;=16,"Children",E1058&lt;=30,"Young Adults",E1058&lt;=45,"Middle-aged Adults",E1058&gt;45,"Old Adults")</f>
        <v>Young Adults</v>
      </c>
    </row>
    <row r="1059" spans="1:11" x14ac:dyDescent="0.45">
      <c r="A1059" s="2">
        <v>1234</v>
      </c>
      <c r="B1059" s="2" t="s">
        <v>1339</v>
      </c>
      <c r="C1059" s="2" t="s">
        <v>94</v>
      </c>
      <c r="D1059" s="2" t="s">
        <v>3</v>
      </c>
      <c r="E1059" s="2">
        <v>30</v>
      </c>
      <c r="F1059" s="2">
        <v>64</v>
      </c>
      <c r="G1059" s="2">
        <v>174</v>
      </c>
      <c r="H1059" s="9">
        <f t="shared" si="16"/>
        <v>21.138855859426609</v>
      </c>
      <c r="I1059" s="2" t="str" cm="1">
        <f t="array" ref="I1059">_xlfn.IFS(F1059&gt;=100,"Over weight",F1059&lt;100,"Average weight")</f>
        <v>Average weight</v>
      </c>
      <c r="J1059" s="2" t="str" cm="1">
        <f t="array" ref="J1059">_xlfn.IFS(G1059&lt;164,"Below Average height",G1059&gt;=165,"Above Average height",G1059=164,"Average height")</f>
        <v>Above Average height</v>
      </c>
      <c r="K1059" s="2" t="str" cm="1">
        <f t="array" ref="K1059">_xlfn.IFS(E1059&lt;=16,"Children",E1059&lt;=30,"Young Adults",E1059&lt;=45,"Middle-aged Adults",E1059&gt;45,"Old Adults")</f>
        <v>Young Adults</v>
      </c>
    </row>
    <row r="1060" spans="1:11" x14ac:dyDescent="0.45">
      <c r="A1060" s="2">
        <v>1235</v>
      </c>
      <c r="B1060" s="2" t="s">
        <v>1340</v>
      </c>
      <c r="C1060" s="2" t="s">
        <v>86</v>
      </c>
      <c r="D1060" s="2" t="s">
        <v>39</v>
      </c>
      <c r="E1060" s="2">
        <v>24</v>
      </c>
      <c r="F1060" s="2">
        <v>72</v>
      </c>
      <c r="G1060" s="2">
        <v>177</v>
      </c>
      <c r="H1060" s="9">
        <f t="shared" si="16"/>
        <v>22.981901752370007</v>
      </c>
      <c r="I1060" s="2" t="str" cm="1">
        <f t="array" ref="I1060">_xlfn.IFS(F1060&gt;=100,"Over weight",F1060&lt;100,"Average weight")</f>
        <v>Average weight</v>
      </c>
      <c r="J1060" s="2" t="str" cm="1">
        <f t="array" ref="J1060">_xlfn.IFS(G1060&lt;164,"Below Average height",G1060&gt;=165,"Above Average height",G1060=164,"Average height")</f>
        <v>Above Average height</v>
      </c>
      <c r="K1060" s="2" t="str" cm="1">
        <f t="array" ref="K1060">_xlfn.IFS(E1060&lt;=16,"Children",E1060&lt;=30,"Young Adults",E1060&lt;=45,"Middle-aged Adults",E1060&gt;45,"Old Adults")</f>
        <v>Young Adults</v>
      </c>
    </row>
    <row r="1061" spans="1:11" x14ac:dyDescent="0.45">
      <c r="A1061" s="2">
        <v>1236</v>
      </c>
      <c r="B1061" s="2" t="s">
        <v>1341</v>
      </c>
      <c r="C1061" s="2" t="s">
        <v>86</v>
      </c>
      <c r="D1061" s="2" t="s">
        <v>66</v>
      </c>
      <c r="E1061" s="2">
        <v>23</v>
      </c>
      <c r="F1061" s="2">
        <v>72</v>
      </c>
      <c r="G1061" s="2">
        <v>178</v>
      </c>
      <c r="H1061" s="9">
        <f t="shared" si="16"/>
        <v>22.724403484408533</v>
      </c>
      <c r="I1061" s="2" t="str" cm="1">
        <f t="array" ref="I1061">_xlfn.IFS(F1061&gt;=100,"Over weight",F1061&lt;100,"Average weight")</f>
        <v>Average weight</v>
      </c>
      <c r="J1061" s="2" t="str" cm="1">
        <f t="array" ref="J1061">_xlfn.IFS(G1061&lt;164,"Below Average height",G1061&gt;=165,"Above Average height",G1061=164,"Average height")</f>
        <v>Above Average height</v>
      </c>
      <c r="K1061" s="2" t="str" cm="1">
        <f t="array" ref="K1061">_xlfn.IFS(E1061&lt;=16,"Children",E1061&lt;=30,"Young Adults",E1061&lt;=45,"Middle-aged Adults",E1061&gt;45,"Old Adults")</f>
        <v>Young Adults</v>
      </c>
    </row>
    <row r="1062" spans="1:11" x14ac:dyDescent="0.45">
      <c r="A1062" s="2">
        <v>1237</v>
      </c>
      <c r="B1062" s="2" t="s">
        <v>1342</v>
      </c>
      <c r="C1062" s="2" t="s">
        <v>89</v>
      </c>
      <c r="D1062" s="2" t="s">
        <v>60</v>
      </c>
      <c r="E1062" s="2">
        <v>27</v>
      </c>
      <c r="F1062" s="2">
        <v>72</v>
      </c>
      <c r="G1062" s="2">
        <v>189</v>
      </c>
      <c r="H1062" s="9">
        <f t="shared" si="16"/>
        <v>20.156210632401109</v>
      </c>
      <c r="I1062" s="2" t="str" cm="1">
        <f t="array" ref="I1062">_xlfn.IFS(F1062&gt;=100,"Over weight",F1062&lt;100,"Average weight")</f>
        <v>Average weight</v>
      </c>
      <c r="J1062" s="2" t="str" cm="1">
        <f t="array" ref="J1062">_xlfn.IFS(G1062&lt;164,"Below Average height",G1062&gt;=165,"Above Average height",G1062=164,"Average height")</f>
        <v>Above Average height</v>
      </c>
      <c r="K1062" s="2" t="str" cm="1">
        <f t="array" ref="K1062">_xlfn.IFS(E1062&lt;=16,"Children",E1062&lt;=30,"Young Adults",E1062&lt;=45,"Middle-aged Adults",E1062&gt;45,"Old Adults")</f>
        <v>Young Adults</v>
      </c>
    </row>
    <row r="1063" spans="1:11" x14ac:dyDescent="0.45">
      <c r="A1063" s="2">
        <v>1238</v>
      </c>
      <c r="B1063" s="2" t="s">
        <v>1343</v>
      </c>
      <c r="C1063" s="2" t="s">
        <v>85</v>
      </c>
      <c r="D1063" s="2" t="s">
        <v>74</v>
      </c>
      <c r="E1063" s="2">
        <v>31</v>
      </c>
      <c r="F1063" s="2">
        <v>83</v>
      </c>
      <c r="G1063" s="2">
        <v>183</v>
      </c>
      <c r="H1063" s="9">
        <f t="shared" si="16"/>
        <v>24.784257517393769</v>
      </c>
      <c r="I1063" s="2" t="str" cm="1">
        <f t="array" ref="I1063">_xlfn.IFS(F1063&gt;=100,"Over weight",F1063&lt;100,"Average weight")</f>
        <v>Average weight</v>
      </c>
      <c r="J1063" s="2" t="str" cm="1">
        <f t="array" ref="J1063">_xlfn.IFS(G1063&lt;164,"Below Average height",G1063&gt;=165,"Above Average height",G1063=164,"Average height")</f>
        <v>Above Average height</v>
      </c>
      <c r="K1063" s="2" t="str" cm="1">
        <f t="array" ref="K1063">_xlfn.IFS(E1063&lt;=16,"Children",E1063&lt;=30,"Young Adults",E1063&lt;=45,"Middle-aged Adults",E1063&gt;45,"Old Adults")</f>
        <v>Middle-aged Adults</v>
      </c>
    </row>
    <row r="1064" spans="1:11" x14ac:dyDescent="0.45">
      <c r="A1064" s="2">
        <v>1239</v>
      </c>
      <c r="B1064" s="2" t="s">
        <v>1344</v>
      </c>
      <c r="C1064" s="2" t="s">
        <v>94</v>
      </c>
      <c r="D1064" s="2" t="s">
        <v>74</v>
      </c>
      <c r="E1064" s="2">
        <v>29</v>
      </c>
      <c r="F1064" s="2">
        <v>80</v>
      </c>
      <c r="G1064" s="2">
        <v>183</v>
      </c>
      <c r="H1064" s="9">
        <f t="shared" si="16"/>
        <v>23.888440980620498</v>
      </c>
      <c r="I1064" s="2" t="str" cm="1">
        <f t="array" ref="I1064">_xlfn.IFS(F1064&gt;=100,"Over weight",F1064&lt;100,"Average weight")</f>
        <v>Average weight</v>
      </c>
      <c r="J1064" s="2" t="str" cm="1">
        <f t="array" ref="J1064">_xlfn.IFS(G1064&lt;164,"Below Average height",G1064&gt;=165,"Above Average height",G1064=164,"Average height")</f>
        <v>Above Average height</v>
      </c>
      <c r="K1064" s="2" t="str" cm="1">
        <f t="array" ref="K1064">_xlfn.IFS(E1064&lt;=16,"Children",E1064&lt;=30,"Young Adults",E1064&lt;=45,"Middle-aged Adults",E1064&gt;45,"Old Adults")</f>
        <v>Young Adults</v>
      </c>
    </row>
    <row r="1065" spans="1:11" x14ac:dyDescent="0.45">
      <c r="A1065" s="2">
        <v>1240</v>
      </c>
      <c r="B1065" s="2" t="s">
        <v>1345</v>
      </c>
      <c r="C1065" s="2" t="s">
        <v>94</v>
      </c>
      <c r="D1065" s="2" t="s">
        <v>25</v>
      </c>
      <c r="E1065" s="2">
        <v>25</v>
      </c>
      <c r="F1065" s="2">
        <v>77</v>
      </c>
      <c r="G1065" s="2">
        <v>179</v>
      </c>
      <c r="H1065" s="9">
        <f t="shared" si="16"/>
        <v>24.031709372366656</v>
      </c>
      <c r="I1065" s="2" t="str" cm="1">
        <f t="array" ref="I1065">_xlfn.IFS(F1065&gt;=100,"Over weight",F1065&lt;100,"Average weight")</f>
        <v>Average weight</v>
      </c>
      <c r="J1065" s="2" t="str" cm="1">
        <f t="array" ref="J1065">_xlfn.IFS(G1065&lt;164,"Below Average height",G1065&gt;=165,"Above Average height",G1065=164,"Average height")</f>
        <v>Above Average height</v>
      </c>
      <c r="K1065" s="2" t="str" cm="1">
        <f t="array" ref="K1065">_xlfn.IFS(E1065&lt;=16,"Children",E1065&lt;=30,"Young Adults",E1065&lt;=45,"Middle-aged Adults",E1065&gt;45,"Old Adults")</f>
        <v>Young Adults</v>
      </c>
    </row>
    <row r="1066" spans="1:11" x14ac:dyDescent="0.45">
      <c r="A1066" s="2">
        <v>1242</v>
      </c>
      <c r="B1066" s="2" t="s">
        <v>1347</v>
      </c>
      <c r="C1066" s="2" t="s">
        <v>88</v>
      </c>
      <c r="D1066" s="2" t="s">
        <v>25</v>
      </c>
      <c r="E1066" s="2">
        <v>22</v>
      </c>
      <c r="F1066" s="2">
        <v>58</v>
      </c>
      <c r="G1066" s="2">
        <v>171</v>
      </c>
      <c r="H1066" s="9">
        <f t="shared" si="16"/>
        <v>19.835162956123252</v>
      </c>
      <c r="I1066" s="2" t="str" cm="1">
        <f t="array" ref="I1066">_xlfn.IFS(F1066&gt;=100,"Over weight",F1066&lt;100,"Average weight")</f>
        <v>Average weight</v>
      </c>
      <c r="J1066" s="2" t="str" cm="1">
        <f t="array" ref="J1066">_xlfn.IFS(G1066&lt;164,"Below Average height",G1066&gt;=165,"Above Average height",G1066=164,"Average height")</f>
        <v>Above Average height</v>
      </c>
      <c r="K1066" s="2" t="str" cm="1">
        <f t="array" ref="K1066">_xlfn.IFS(E1066&lt;=16,"Children",E1066&lt;=30,"Young Adults",E1066&lt;=45,"Middle-aged Adults",E1066&gt;45,"Old Adults")</f>
        <v>Young Adults</v>
      </c>
    </row>
    <row r="1067" spans="1:11" x14ac:dyDescent="0.45">
      <c r="A1067" s="2">
        <v>1243</v>
      </c>
      <c r="B1067" s="2" t="s">
        <v>1348</v>
      </c>
      <c r="C1067" s="2" t="s">
        <v>91</v>
      </c>
      <c r="D1067" s="2" t="s">
        <v>60</v>
      </c>
      <c r="E1067" s="2">
        <v>21</v>
      </c>
      <c r="F1067" s="2">
        <v>90</v>
      </c>
      <c r="G1067" s="2">
        <v>189</v>
      </c>
      <c r="H1067" s="9">
        <f t="shared" si="16"/>
        <v>25.195263290501387</v>
      </c>
      <c r="I1067" s="2" t="str" cm="1">
        <f t="array" ref="I1067">_xlfn.IFS(F1067&gt;=100,"Over weight",F1067&lt;100,"Average weight")</f>
        <v>Average weight</v>
      </c>
      <c r="J1067" s="2" t="str" cm="1">
        <f t="array" ref="J1067">_xlfn.IFS(G1067&lt;164,"Below Average height",G1067&gt;=165,"Above Average height",G1067=164,"Average height")</f>
        <v>Above Average height</v>
      </c>
      <c r="K1067" s="2" t="str" cm="1">
        <f t="array" ref="K1067">_xlfn.IFS(E1067&lt;=16,"Children",E1067&lt;=30,"Young Adults",E1067&lt;=45,"Middle-aged Adults",E1067&gt;45,"Old Adults")</f>
        <v>Young Adults</v>
      </c>
    </row>
    <row r="1068" spans="1:11" x14ac:dyDescent="0.45">
      <c r="A1068" s="2">
        <v>1244</v>
      </c>
      <c r="B1068" s="2" t="s">
        <v>1349</v>
      </c>
      <c r="C1068" s="2" t="s">
        <v>94</v>
      </c>
      <c r="D1068" s="2" t="s">
        <v>26</v>
      </c>
      <c r="E1068" s="2">
        <v>35</v>
      </c>
      <c r="F1068" s="2">
        <v>58</v>
      </c>
      <c r="G1068" s="2">
        <v>168</v>
      </c>
      <c r="H1068" s="9">
        <f t="shared" si="16"/>
        <v>20.549886621315196</v>
      </c>
      <c r="I1068" s="2" t="str" cm="1">
        <f t="array" ref="I1068">_xlfn.IFS(F1068&gt;=100,"Over weight",F1068&lt;100,"Average weight")</f>
        <v>Average weight</v>
      </c>
      <c r="J1068" s="2" t="str" cm="1">
        <f t="array" ref="J1068">_xlfn.IFS(G1068&lt;164,"Below Average height",G1068&gt;=165,"Above Average height",G1068=164,"Average height")</f>
        <v>Above Average height</v>
      </c>
      <c r="K1068" s="2" t="str" cm="1">
        <f t="array" ref="K1068">_xlfn.IFS(E1068&lt;=16,"Children",E1068&lt;=30,"Young Adults",E1068&lt;=45,"Middle-aged Adults",E1068&gt;45,"Old Adults")</f>
        <v>Middle-aged Adults</v>
      </c>
    </row>
    <row r="1069" spans="1:11" x14ac:dyDescent="0.45">
      <c r="A1069" s="2">
        <v>1245</v>
      </c>
      <c r="B1069" s="2" t="s">
        <v>1350</v>
      </c>
      <c r="C1069" s="2" t="s">
        <v>95</v>
      </c>
      <c r="D1069" s="2" t="s">
        <v>14</v>
      </c>
      <c r="E1069" s="2">
        <v>29</v>
      </c>
      <c r="F1069" s="2">
        <v>70</v>
      </c>
      <c r="G1069" s="2">
        <v>174</v>
      </c>
      <c r="H1069" s="9">
        <f t="shared" si="16"/>
        <v>23.120623596247853</v>
      </c>
      <c r="I1069" s="2" t="str" cm="1">
        <f t="array" ref="I1069">_xlfn.IFS(F1069&gt;=100,"Over weight",F1069&lt;100,"Average weight")</f>
        <v>Average weight</v>
      </c>
      <c r="J1069" s="2" t="str" cm="1">
        <f t="array" ref="J1069">_xlfn.IFS(G1069&lt;164,"Below Average height",G1069&gt;=165,"Above Average height",G1069=164,"Average height")</f>
        <v>Above Average height</v>
      </c>
      <c r="K1069" s="2" t="str" cm="1">
        <f t="array" ref="K1069">_xlfn.IFS(E1069&lt;=16,"Children",E1069&lt;=30,"Young Adults",E1069&lt;=45,"Middle-aged Adults",E1069&gt;45,"Old Adults")</f>
        <v>Young Adults</v>
      </c>
    </row>
    <row r="1070" spans="1:11" x14ac:dyDescent="0.45">
      <c r="A1070" s="2">
        <v>1246</v>
      </c>
      <c r="B1070" s="2" t="s">
        <v>1351</v>
      </c>
      <c r="C1070" s="2" t="s">
        <v>91</v>
      </c>
      <c r="D1070" s="2" t="s">
        <v>46</v>
      </c>
      <c r="E1070" s="2">
        <v>35</v>
      </c>
      <c r="F1070" s="2">
        <v>84</v>
      </c>
      <c r="G1070" s="2">
        <v>180</v>
      </c>
      <c r="H1070" s="9">
        <f t="shared" si="16"/>
        <v>25.925925925925924</v>
      </c>
      <c r="I1070" s="2" t="str" cm="1">
        <f t="array" ref="I1070">_xlfn.IFS(F1070&gt;=100,"Over weight",F1070&lt;100,"Average weight")</f>
        <v>Average weight</v>
      </c>
      <c r="J1070" s="2" t="str" cm="1">
        <f t="array" ref="J1070">_xlfn.IFS(G1070&lt;164,"Below Average height",G1070&gt;=165,"Above Average height",G1070=164,"Average height")</f>
        <v>Above Average height</v>
      </c>
      <c r="K1070" s="2" t="str" cm="1">
        <f t="array" ref="K1070">_xlfn.IFS(E1070&lt;=16,"Children",E1070&lt;=30,"Young Adults",E1070&lt;=45,"Middle-aged Adults",E1070&gt;45,"Old Adults")</f>
        <v>Middle-aged Adults</v>
      </c>
    </row>
    <row r="1071" spans="1:11" x14ac:dyDescent="0.45">
      <c r="A1071" s="2">
        <v>1248</v>
      </c>
      <c r="B1071" s="2" t="s">
        <v>1353</v>
      </c>
      <c r="C1071" s="2" t="s">
        <v>92</v>
      </c>
      <c r="D1071" s="2" t="s">
        <v>79</v>
      </c>
      <c r="E1071" s="2">
        <v>25</v>
      </c>
      <c r="F1071" s="2">
        <v>59</v>
      </c>
      <c r="G1071" s="2">
        <v>174</v>
      </c>
      <c r="H1071" s="9">
        <f t="shared" si="16"/>
        <v>19.487382745408905</v>
      </c>
      <c r="I1071" s="2" t="str" cm="1">
        <f t="array" ref="I1071">_xlfn.IFS(F1071&gt;=100,"Over weight",F1071&lt;100,"Average weight")</f>
        <v>Average weight</v>
      </c>
      <c r="J1071" s="2" t="str" cm="1">
        <f t="array" ref="J1071">_xlfn.IFS(G1071&lt;164,"Below Average height",G1071&gt;=165,"Above Average height",G1071=164,"Average height")</f>
        <v>Above Average height</v>
      </c>
      <c r="K1071" s="2" t="str" cm="1">
        <f t="array" ref="K1071">_xlfn.IFS(E1071&lt;=16,"Children",E1071&lt;=30,"Young Adults",E1071&lt;=45,"Middle-aged Adults",E1071&gt;45,"Old Adults")</f>
        <v>Young Adults</v>
      </c>
    </row>
    <row r="1072" spans="1:11" x14ac:dyDescent="0.45">
      <c r="A1072" s="2">
        <v>1249</v>
      </c>
      <c r="B1072" s="2" t="s">
        <v>1354</v>
      </c>
      <c r="C1072" s="2" t="s">
        <v>92</v>
      </c>
      <c r="D1072" s="2" t="s">
        <v>26</v>
      </c>
      <c r="E1072" s="2">
        <v>25</v>
      </c>
      <c r="F1072" s="2">
        <v>67</v>
      </c>
      <c r="G1072" s="2">
        <v>185</v>
      </c>
      <c r="H1072" s="9">
        <f t="shared" si="16"/>
        <v>19.576333089846603</v>
      </c>
      <c r="I1072" s="2" t="str" cm="1">
        <f t="array" ref="I1072">_xlfn.IFS(F1072&gt;=100,"Over weight",F1072&lt;100,"Average weight")</f>
        <v>Average weight</v>
      </c>
      <c r="J1072" s="2" t="str" cm="1">
        <f t="array" ref="J1072">_xlfn.IFS(G1072&lt;164,"Below Average height",G1072&gt;=165,"Above Average height",G1072=164,"Average height")</f>
        <v>Above Average height</v>
      </c>
      <c r="K1072" s="2" t="str" cm="1">
        <f t="array" ref="K1072">_xlfn.IFS(E1072&lt;=16,"Children",E1072&lt;=30,"Young Adults",E1072&lt;=45,"Middle-aged Adults",E1072&gt;45,"Old Adults")</f>
        <v>Young Adults</v>
      </c>
    </row>
    <row r="1073" spans="1:11" x14ac:dyDescent="0.45">
      <c r="A1073" s="2">
        <v>1250</v>
      </c>
      <c r="B1073" s="2" t="s">
        <v>1355</v>
      </c>
      <c r="C1073" s="2" t="s">
        <v>90</v>
      </c>
      <c r="D1073" s="2" t="s">
        <v>14</v>
      </c>
      <c r="E1073" s="2">
        <v>32</v>
      </c>
      <c r="F1073" s="2">
        <v>100</v>
      </c>
      <c r="G1073" s="2">
        <v>188</v>
      </c>
      <c r="H1073" s="9">
        <f t="shared" si="16"/>
        <v>28.293345405160707</v>
      </c>
      <c r="I1073" s="2" t="str" cm="1">
        <f t="array" ref="I1073">_xlfn.IFS(F1073&gt;=100,"Over weight",F1073&lt;100,"Average weight")</f>
        <v>Over weight</v>
      </c>
      <c r="J1073" s="2" t="str" cm="1">
        <f t="array" ref="J1073">_xlfn.IFS(G1073&lt;164,"Below Average height",G1073&gt;=165,"Above Average height",G1073=164,"Average height")</f>
        <v>Above Average height</v>
      </c>
      <c r="K1073" s="2" t="str" cm="1">
        <f t="array" ref="K1073">_xlfn.IFS(E1073&lt;=16,"Children",E1073&lt;=30,"Young Adults",E1073&lt;=45,"Middle-aged Adults",E1073&gt;45,"Old Adults")</f>
        <v>Middle-aged Adults</v>
      </c>
    </row>
    <row r="1074" spans="1:11" x14ac:dyDescent="0.45">
      <c r="A1074" s="2">
        <v>1251</v>
      </c>
      <c r="B1074" s="2" t="s">
        <v>1356</v>
      </c>
      <c r="C1074" s="2" t="s">
        <v>96</v>
      </c>
      <c r="D1074" s="2" t="s">
        <v>74</v>
      </c>
      <c r="E1074" s="2">
        <v>36</v>
      </c>
      <c r="F1074" s="2">
        <v>72</v>
      </c>
      <c r="G1074" s="2">
        <v>165</v>
      </c>
      <c r="H1074" s="9">
        <f t="shared" si="16"/>
        <v>26.446280991735541</v>
      </c>
      <c r="I1074" s="2" t="str" cm="1">
        <f t="array" ref="I1074">_xlfn.IFS(F1074&gt;=100,"Over weight",F1074&lt;100,"Average weight")</f>
        <v>Average weight</v>
      </c>
      <c r="J1074" s="2" t="str" cm="1">
        <f t="array" ref="J1074">_xlfn.IFS(G1074&lt;164,"Below Average height",G1074&gt;=165,"Above Average height",G1074=164,"Average height")</f>
        <v>Above Average height</v>
      </c>
      <c r="K1074" s="2" t="str" cm="1">
        <f t="array" ref="K1074">_xlfn.IFS(E1074&lt;=16,"Children",E1074&lt;=30,"Young Adults",E1074&lt;=45,"Middle-aged Adults",E1074&gt;45,"Old Adults")</f>
        <v>Middle-aged Adults</v>
      </c>
    </row>
    <row r="1075" spans="1:11" x14ac:dyDescent="0.45">
      <c r="A1075" s="2">
        <v>1252</v>
      </c>
      <c r="B1075" s="2" t="s">
        <v>1357</v>
      </c>
      <c r="C1075" s="2" t="s">
        <v>89</v>
      </c>
      <c r="D1075" s="2" t="s">
        <v>66</v>
      </c>
      <c r="E1075" s="2">
        <v>22</v>
      </c>
      <c r="F1075" s="2">
        <v>70</v>
      </c>
      <c r="G1075" s="2">
        <v>178</v>
      </c>
      <c r="H1075" s="9">
        <f t="shared" si="16"/>
        <v>22.093170054286073</v>
      </c>
      <c r="I1075" s="2" t="str" cm="1">
        <f t="array" ref="I1075">_xlfn.IFS(F1075&gt;=100,"Over weight",F1075&lt;100,"Average weight")</f>
        <v>Average weight</v>
      </c>
      <c r="J1075" s="2" t="str" cm="1">
        <f t="array" ref="J1075">_xlfn.IFS(G1075&lt;164,"Below Average height",G1075&gt;=165,"Above Average height",G1075=164,"Average height")</f>
        <v>Above Average height</v>
      </c>
      <c r="K1075" s="2" t="str" cm="1">
        <f t="array" ref="K1075">_xlfn.IFS(E1075&lt;=16,"Children",E1075&lt;=30,"Young Adults",E1075&lt;=45,"Middle-aged Adults",E1075&gt;45,"Old Adults")</f>
        <v>Young Adults</v>
      </c>
    </row>
    <row r="1076" spans="1:11" x14ac:dyDescent="0.45">
      <c r="A1076" s="2">
        <v>1253</v>
      </c>
      <c r="B1076" s="2" t="s">
        <v>1358</v>
      </c>
      <c r="C1076" s="2" t="s">
        <v>88</v>
      </c>
      <c r="D1076" s="2" t="s">
        <v>42</v>
      </c>
      <c r="E1076" s="2">
        <v>28</v>
      </c>
      <c r="F1076" s="2">
        <v>68</v>
      </c>
      <c r="G1076" s="2">
        <v>179</v>
      </c>
      <c r="H1076" s="9">
        <f t="shared" si="16"/>
        <v>21.222808276895229</v>
      </c>
      <c r="I1076" s="2" t="str" cm="1">
        <f t="array" ref="I1076">_xlfn.IFS(F1076&gt;=100,"Over weight",F1076&lt;100,"Average weight")</f>
        <v>Average weight</v>
      </c>
      <c r="J1076" s="2" t="str" cm="1">
        <f t="array" ref="J1076">_xlfn.IFS(G1076&lt;164,"Below Average height",G1076&gt;=165,"Above Average height",G1076=164,"Average height")</f>
        <v>Above Average height</v>
      </c>
      <c r="K1076" s="2" t="str" cm="1">
        <f t="array" ref="K1076">_xlfn.IFS(E1076&lt;=16,"Children",E1076&lt;=30,"Young Adults",E1076&lt;=45,"Middle-aged Adults",E1076&gt;45,"Old Adults")</f>
        <v>Young Adults</v>
      </c>
    </row>
    <row r="1077" spans="1:11" x14ac:dyDescent="0.45">
      <c r="A1077" s="2">
        <v>1254</v>
      </c>
      <c r="B1077" s="2" t="s">
        <v>1359</v>
      </c>
      <c r="C1077" s="2" t="s">
        <v>91</v>
      </c>
      <c r="D1077" s="2" t="s">
        <v>66</v>
      </c>
      <c r="E1077" s="2">
        <v>20</v>
      </c>
      <c r="F1077" s="2">
        <v>66</v>
      </c>
      <c r="G1077" s="2">
        <v>166</v>
      </c>
      <c r="H1077" s="9">
        <f t="shared" si="16"/>
        <v>23.951226593119468</v>
      </c>
      <c r="I1077" s="2" t="str" cm="1">
        <f t="array" ref="I1077">_xlfn.IFS(F1077&gt;=100,"Over weight",F1077&lt;100,"Average weight")</f>
        <v>Average weight</v>
      </c>
      <c r="J1077" s="2" t="str" cm="1">
        <f t="array" ref="J1077">_xlfn.IFS(G1077&lt;164,"Below Average height",G1077&gt;=165,"Above Average height",G1077=164,"Average height")</f>
        <v>Above Average height</v>
      </c>
      <c r="K1077" s="2" t="str" cm="1">
        <f t="array" ref="K1077">_xlfn.IFS(E1077&lt;=16,"Children",E1077&lt;=30,"Young Adults",E1077&lt;=45,"Middle-aged Adults",E1077&gt;45,"Old Adults")</f>
        <v>Young Adults</v>
      </c>
    </row>
    <row r="1078" spans="1:11" x14ac:dyDescent="0.45">
      <c r="A1078" s="2">
        <v>1255</v>
      </c>
      <c r="B1078" s="2" t="s">
        <v>1360</v>
      </c>
      <c r="C1078" s="2" t="s">
        <v>88</v>
      </c>
      <c r="D1078" s="2" t="s">
        <v>42</v>
      </c>
      <c r="E1078" s="2">
        <v>24</v>
      </c>
      <c r="F1078" s="2">
        <v>54</v>
      </c>
      <c r="G1078" s="2">
        <v>165</v>
      </c>
      <c r="H1078" s="9">
        <f t="shared" si="16"/>
        <v>19.834710743801654</v>
      </c>
      <c r="I1078" s="2" t="str" cm="1">
        <f t="array" ref="I1078">_xlfn.IFS(F1078&gt;=100,"Over weight",F1078&lt;100,"Average weight")</f>
        <v>Average weight</v>
      </c>
      <c r="J1078" s="2" t="str" cm="1">
        <f t="array" ref="J1078">_xlfn.IFS(G1078&lt;164,"Below Average height",G1078&gt;=165,"Above Average height",G1078=164,"Average height")</f>
        <v>Above Average height</v>
      </c>
      <c r="K1078" s="2" t="str" cm="1">
        <f t="array" ref="K1078">_xlfn.IFS(E1078&lt;=16,"Children",E1078&lt;=30,"Young Adults",E1078&lt;=45,"Middle-aged Adults",E1078&gt;45,"Old Adults")</f>
        <v>Young Adults</v>
      </c>
    </row>
    <row r="1079" spans="1:11" x14ac:dyDescent="0.45">
      <c r="A1079" s="2">
        <v>1256</v>
      </c>
      <c r="B1079" s="2" t="s">
        <v>1361</v>
      </c>
      <c r="C1079" s="2" t="s">
        <v>94</v>
      </c>
      <c r="D1079" s="2" t="s">
        <v>75</v>
      </c>
      <c r="E1079" s="2">
        <v>25</v>
      </c>
      <c r="F1079" s="2">
        <v>71</v>
      </c>
      <c r="G1079" s="2">
        <v>174</v>
      </c>
      <c r="H1079" s="9">
        <f t="shared" si="16"/>
        <v>23.450918219051392</v>
      </c>
      <c r="I1079" s="2" t="str" cm="1">
        <f t="array" ref="I1079">_xlfn.IFS(F1079&gt;=100,"Over weight",F1079&lt;100,"Average weight")</f>
        <v>Average weight</v>
      </c>
      <c r="J1079" s="2" t="str" cm="1">
        <f t="array" ref="J1079">_xlfn.IFS(G1079&lt;164,"Below Average height",G1079&gt;=165,"Above Average height",G1079=164,"Average height")</f>
        <v>Above Average height</v>
      </c>
      <c r="K1079" s="2" t="str" cm="1">
        <f t="array" ref="K1079">_xlfn.IFS(E1079&lt;=16,"Children",E1079&lt;=30,"Young Adults",E1079&lt;=45,"Middle-aged Adults",E1079&gt;45,"Old Adults")</f>
        <v>Young Adults</v>
      </c>
    </row>
    <row r="1080" spans="1:11" x14ac:dyDescent="0.45">
      <c r="A1080" s="2">
        <v>1261</v>
      </c>
      <c r="B1080" s="2" t="s">
        <v>1366</v>
      </c>
      <c r="C1080" s="2" t="s">
        <v>98</v>
      </c>
      <c r="D1080" s="2" t="s">
        <v>44</v>
      </c>
      <c r="E1080" s="2">
        <v>23</v>
      </c>
      <c r="F1080" s="2">
        <v>62</v>
      </c>
      <c r="G1080" s="2">
        <v>168</v>
      </c>
      <c r="H1080" s="9">
        <f t="shared" si="16"/>
        <v>21.9671201814059</v>
      </c>
      <c r="I1080" s="2" t="str" cm="1">
        <f t="array" ref="I1080">_xlfn.IFS(F1080&gt;=100,"Over weight",F1080&lt;100,"Average weight")</f>
        <v>Average weight</v>
      </c>
      <c r="J1080" s="2" t="str" cm="1">
        <f t="array" ref="J1080">_xlfn.IFS(G1080&lt;164,"Below Average height",G1080&gt;=165,"Above Average height",G1080=164,"Average height")</f>
        <v>Above Average height</v>
      </c>
      <c r="K1080" s="2" t="str" cm="1">
        <f t="array" ref="K1080">_xlfn.IFS(E1080&lt;=16,"Children",E1080&lt;=30,"Young Adults",E1080&lt;=45,"Middle-aged Adults",E1080&gt;45,"Old Adults")</f>
        <v>Young Adults</v>
      </c>
    </row>
    <row r="1081" spans="1:11" x14ac:dyDescent="0.45">
      <c r="A1081" s="2">
        <v>1262</v>
      </c>
      <c r="B1081" s="2" t="s">
        <v>1367</v>
      </c>
      <c r="C1081" s="2" t="s">
        <v>88</v>
      </c>
      <c r="D1081" s="2" t="s">
        <v>44</v>
      </c>
      <c r="E1081" s="2">
        <v>25</v>
      </c>
      <c r="F1081" s="2">
        <v>60</v>
      </c>
      <c r="G1081" s="2">
        <v>172</v>
      </c>
      <c r="H1081" s="9">
        <f t="shared" si="16"/>
        <v>20.281233098972418</v>
      </c>
      <c r="I1081" s="2" t="str" cm="1">
        <f t="array" ref="I1081">_xlfn.IFS(F1081&gt;=100,"Over weight",F1081&lt;100,"Average weight")</f>
        <v>Average weight</v>
      </c>
      <c r="J1081" s="2" t="str" cm="1">
        <f t="array" ref="J1081">_xlfn.IFS(G1081&lt;164,"Below Average height",G1081&gt;=165,"Above Average height",G1081=164,"Average height")</f>
        <v>Above Average height</v>
      </c>
      <c r="K1081" s="2" t="str" cm="1">
        <f t="array" ref="K1081">_xlfn.IFS(E1081&lt;=16,"Children",E1081&lt;=30,"Young Adults",E1081&lt;=45,"Middle-aged Adults",E1081&gt;45,"Old Adults")</f>
        <v>Young Adults</v>
      </c>
    </row>
    <row r="1082" spans="1:11" x14ac:dyDescent="0.45">
      <c r="A1082" s="2">
        <v>1263</v>
      </c>
      <c r="B1082" s="2" t="s">
        <v>1368</v>
      </c>
      <c r="C1082" s="2" t="s">
        <v>90</v>
      </c>
      <c r="D1082" s="2" t="s">
        <v>44</v>
      </c>
      <c r="E1082" s="2">
        <v>25</v>
      </c>
      <c r="F1082" s="2">
        <v>88</v>
      </c>
      <c r="G1082" s="2">
        <v>180</v>
      </c>
      <c r="H1082" s="9">
        <f t="shared" si="16"/>
        <v>27.160493827160494</v>
      </c>
      <c r="I1082" s="2" t="str" cm="1">
        <f t="array" ref="I1082">_xlfn.IFS(F1082&gt;=100,"Over weight",F1082&lt;100,"Average weight")</f>
        <v>Average weight</v>
      </c>
      <c r="J1082" s="2" t="str" cm="1">
        <f t="array" ref="J1082">_xlfn.IFS(G1082&lt;164,"Below Average height",G1082&gt;=165,"Above Average height",G1082=164,"Average height")</f>
        <v>Above Average height</v>
      </c>
      <c r="K1082" s="2" t="str" cm="1">
        <f t="array" ref="K1082">_xlfn.IFS(E1082&lt;=16,"Children",E1082&lt;=30,"Young Adults",E1082&lt;=45,"Middle-aged Adults",E1082&gt;45,"Old Adults")</f>
        <v>Young Adults</v>
      </c>
    </row>
    <row r="1083" spans="1:11" x14ac:dyDescent="0.45">
      <c r="A1083" s="2">
        <v>1264</v>
      </c>
      <c r="B1083" s="2" t="s">
        <v>1369</v>
      </c>
      <c r="C1083" s="2" t="s">
        <v>89</v>
      </c>
      <c r="D1083" s="2" t="s">
        <v>44</v>
      </c>
      <c r="E1083" s="2">
        <v>24</v>
      </c>
      <c r="F1083" s="2">
        <v>70</v>
      </c>
      <c r="G1083" s="2">
        <v>178</v>
      </c>
      <c r="H1083" s="9">
        <f t="shared" si="16"/>
        <v>22.093170054286073</v>
      </c>
      <c r="I1083" s="2" t="str" cm="1">
        <f t="array" ref="I1083">_xlfn.IFS(F1083&gt;=100,"Over weight",F1083&lt;100,"Average weight")</f>
        <v>Average weight</v>
      </c>
      <c r="J1083" s="2" t="str" cm="1">
        <f t="array" ref="J1083">_xlfn.IFS(G1083&lt;164,"Below Average height",G1083&gt;=165,"Above Average height",G1083=164,"Average height")</f>
        <v>Above Average height</v>
      </c>
      <c r="K1083" s="2" t="str" cm="1">
        <f t="array" ref="K1083">_xlfn.IFS(E1083&lt;=16,"Children",E1083&lt;=30,"Young Adults",E1083&lt;=45,"Middle-aged Adults",E1083&gt;45,"Old Adults")</f>
        <v>Young Adults</v>
      </c>
    </row>
    <row r="1084" spans="1:11" x14ac:dyDescent="0.45">
      <c r="A1084" s="2">
        <v>1265</v>
      </c>
      <c r="B1084" s="2" t="s">
        <v>1370</v>
      </c>
      <c r="C1084" s="2" t="s">
        <v>94</v>
      </c>
      <c r="D1084" s="2" t="s">
        <v>44</v>
      </c>
      <c r="E1084" s="2">
        <v>24</v>
      </c>
      <c r="F1084" s="2">
        <v>61</v>
      </c>
      <c r="G1084" s="2">
        <v>173</v>
      </c>
      <c r="H1084" s="9">
        <f t="shared" si="16"/>
        <v>20.381569714992146</v>
      </c>
      <c r="I1084" s="2" t="str" cm="1">
        <f t="array" ref="I1084">_xlfn.IFS(F1084&gt;=100,"Over weight",F1084&lt;100,"Average weight")</f>
        <v>Average weight</v>
      </c>
      <c r="J1084" s="2" t="str" cm="1">
        <f t="array" ref="J1084">_xlfn.IFS(G1084&lt;164,"Below Average height",G1084&gt;=165,"Above Average height",G1084=164,"Average height")</f>
        <v>Above Average height</v>
      </c>
      <c r="K1084" s="2" t="str" cm="1">
        <f t="array" ref="K1084">_xlfn.IFS(E1084&lt;=16,"Children",E1084&lt;=30,"Young Adults",E1084&lt;=45,"Middle-aged Adults",E1084&gt;45,"Old Adults")</f>
        <v>Young Adults</v>
      </c>
    </row>
    <row r="1085" spans="1:11" x14ac:dyDescent="0.45">
      <c r="A1085" s="2">
        <v>1266</v>
      </c>
      <c r="B1085" s="2" t="s">
        <v>1371</v>
      </c>
      <c r="C1085" s="2" t="s">
        <v>98</v>
      </c>
      <c r="D1085" s="2" t="s">
        <v>44</v>
      </c>
      <c r="E1085" s="2">
        <v>20</v>
      </c>
      <c r="F1085" s="2">
        <v>60</v>
      </c>
      <c r="G1085" s="2">
        <v>173</v>
      </c>
      <c r="H1085" s="9">
        <f t="shared" si="16"/>
        <v>20.047445621303751</v>
      </c>
      <c r="I1085" s="2" t="str" cm="1">
        <f t="array" ref="I1085">_xlfn.IFS(F1085&gt;=100,"Over weight",F1085&lt;100,"Average weight")</f>
        <v>Average weight</v>
      </c>
      <c r="J1085" s="2" t="str" cm="1">
        <f t="array" ref="J1085">_xlfn.IFS(G1085&lt;164,"Below Average height",G1085&gt;=165,"Above Average height",G1085=164,"Average height")</f>
        <v>Above Average height</v>
      </c>
      <c r="K1085" s="2" t="str" cm="1">
        <f t="array" ref="K1085">_xlfn.IFS(E1085&lt;=16,"Children",E1085&lt;=30,"Young Adults",E1085&lt;=45,"Middle-aged Adults",E1085&gt;45,"Old Adults")</f>
        <v>Young Adults</v>
      </c>
    </row>
    <row r="1086" spans="1:11" x14ac:dyDescent="0.45">
      <c r="A1086" s="2">
        <v>1268</v>
      </c>
      <c r="B1086" s="2" t="s">
        <v>1373</v>
      </c>
      <c r="C1086" s="2" t="s">
        <v>89</v>
      </c>
      <c r="D1086" s="2" t="s">
        <v>44</v>
      </c>
      <c r="E1086" s="2">
        <v>24</v>
      </c>
      <c r="F1086" s="2">
        <v>71</v>
      </c>
      <c r="G1086" s="2">
        <v>178</v>
      </c>
      <c r="H1086" s="9">
        <f t="shared" si="16"/>
        <v>22.408786769347305</v>
      </c>
      <c r="I1086" s="2" t="str" cm="1">
        <f t="array" ref="I1086">_xlfn.IFS(F1086&gt;=100,"Over weight",F1086&lt;100,"Average weight")</f>
        <v>Average weight</v>
      </c>
      <c r="J1086" s="2" t="str" cm="1">
        <f t="array" ref="J1086">_xlfn.IFS(G1086&lt;164,"Below Average height",G1086&gt;=165,"Above Average height",G1086=164,"Average height")</f>
        <v>Above Average height</v>
      </c>
      <c r="K1086" s="2" t="str" cm="1">
        <f t="array" ref="K1086">_xlfn.IFS(E1086&lt;=16,"Children",E1086&lt;=30,"Young Adults",E1086&lt;=45,"Middle-aged Adults",E1086&gt;45,"Old Adults")</f>
        <v>Young Adults</v>
      </c>
    </row>
    <row r="1087" spans="1:11" x14ac:dyDescent="0.45">
      <c r="A1087" s="2">
        <v>1269</v>
      </c>
      <c r="B1087" s="2" t="s">
        <v>1374</v>
      </c>
      <c r="C1087" s="2" t="s">
        <v>89</v>
      </c>
      <c r="D1087" s="2" t="s">
        <v>44</v>
      </c>
      <c r="E1087" s="2">
        <v>25</v>
      </c>
      <c r="F1087" s="2">
        <v>74</v>
      </c>
      <c r="G1087" s="2">
        <v>182</v>
      </c>
      <c r="H1087" s="9">
        <f t="shared" si="16"/>
        <v>22.340297065571789</v>
      </c>
      <c r="I1087" s="2" t="str" cm="1">
        <f t="array" ref="I1087">_xlfn.IFS(F1087&gt;=100,"Over weight",F1087&lt;100,"Average weight")</f>
        <v>Average weight</v>
      </c>
      <c r="J1087" s="2" t="str" cm="1">
        <f t="array" ref="J1087">_xlfn.IFS(G1087&lt;164,"Below Average height",G1087&gt;=165,"Above Average height",G1087=164,"Average height")</f>
        <v>Above Average height</v>
      </c>
      <c r="K1087" s="2" t="str" cm="1">
        <f t="array" ref="K1087">_xlfn.IFS(E1087&lt;=16,"Children",E1087&lt;=30,"Young Adults",E1087&lt;=45,"Middle-aged Adults",E1087&gt;45,"Old Adults")</f>
        <v>Young Adults</v>
      </c>
    </row>
    <row r="1088" spans="1:11" x14ac:dyDescent="0.45">
      <c r="A1088" s="2">
        <v>1270</v>
      </c>
      <c r="B1088" s="2" t="s">
        <v>1375</v>
      </c>
      <c r="C1088" s="2" t="s">
        <v>89</v>
      </c>
      <c r="D1088" s="2" t="s">
        <v>44</v>
      </c>
      <c r="E1088" s="2">
        <v>31</v>
      </c>
      <c r="F1088" s="2">
        <v>71</v>
      </c>
      <c r="G1088" s="2">
        <v>177</v>
      </c>
      <c r="H1088" s="9">
        <f t="shared" si="16"/>
        <v>22.662708672475979</v>
      </c>
      <c r="I1088" s="2" t="str" cm="1">
        <f t="array" ref="I1088">_xlfn.IFS(F1088&gt;=100,"Over weight",F1088&lt;100,"Average weight")</f>
        <v>Average weight</v>
      </c>
      <c r="J1088" s="2" t="str" cm="1">
        <f t="array" ref="J1088">_xlfn.IFS(G1088&lt;164,"Below Average height",G1088&gt;=165,"Above Average height",G1088=164,"Average height")</f>
        <v>Above Average height</v>
      </c>
      <c r="K1088" s="2" t="str" cm="1">
        <f t="array" ref="K1088">_xlfn.IFS(E1088&lt;=16,"Children",E1088&lt;=30,"Young Adults",E1088&lt;=45,"Middle-aged Adults",E1088&gt;45,"Old Adults")</f>
        <v>Middle-aged Adults</v>
      </c>
    </row>
    <row r="1089" spans="1:11" x14ac:dyDescent="0.45">
      <c r="A1089" s="2">
        <v>1272</v>
      </c>
      <c r="B1089" s="2" t="s">
        <v>1377</v>
      </c>
      <c r="C1089" s="2" t="s">
        <v>89</v>
      </c>
      <c r="D1089" s="2" t="s">
        <v>44</v>
      </c>
      <c r="E1089" s="2">
        <v>21</v>
      </c>
      <c r="F1089" s="2">
        <v>70</v>
      </c>
      <c r="G1089" s="2">
        <v>177</v>
      </c>
      <c r="H1089" s="9">
        <f t="shared" si="16"/>
        <v>22.343515592581952</v>
      </c>
      <c r="I1089" s="2" t="str" cm="1">
        <f t="array" ref="I1089">_xlfn.IFS(F1089&gt;=100,"Over weight",F1089&lt;100,"Average weight")</f>
        <v>Average weight</v>
      </c>
      <c r="J1089" s="2" t="str" cm="1">
        <f t="array" ref="J1089">_xlfn.IFS(G1089&lt;164,"Below Average height",G1089&gt;=165,"Above Average height",G1089=164,"Average height")</f>
        <v>Above Average height</v>
      </c>
      <c r="K1089" s="2" t="str" cm="1">
        <f t="array" ref="K1089">_xlfn.IFS(E1089&lt;=16,"Children",E1089&lt;=30,"Young Adults",E1089&lt;=45,"Middle-aged Adults",E1089&gt;45,"Old Adults")</f>
        <v>Young Adults</v>
      </c>
    </row>
    <row r="1090" spans="1:11" x14ac:dyDescent="0.45">
      <c r="A1090" s="2">
        <v>1273</v>
      </c>
      <c r="B1090" s="2" t="s">
        <v>1378</v>
      </c>
      <c r="C1090" s="2" t="s">
        <v>95</v>
      </c>
      <c r="D1090" s="2" t="s">
        <v>44</v>
      </c>
      <c r="E1090" s="2">
        <v>31</v>
      </c>
      <c r="F1090" s="2">
        <v>76</v>
      </c>
      <c r="G1090" s="2">
        <v>173</v>
      </c>
      <c r="H1090" s="9">
        <f t="shared" ref="H1090:H1153" si="17" xml:space="preserve"> F1090 / (( G1090/ 100) ^ 2)</f>
        <v>25.393431120318084</v>
      </c>
      <c r="I1090" s="2" t="str" cm="1">
        <f t="array" ref="I1090">_xlfn.IFS(F1090&gt;=100,"Over weight",F1090&lt;100,"Average weight")</f>
        <v>Average weight</v>
      </c>
      <c r="J1090" s="2" t="str" cm="1">
        <f t="array" ref="J1090">_xlfn.IFS(G1090&lt;164,"Below Average height",G1090&gt;=165,"Above Average height",G1090=164,"Average height")</f>
        <v>Above Average height</v>
      </c>
      <c r="K1090" s="2" t="str" cm="1">
        <f t="array" ref="K1090">_xlfn.IFS(E1090&lt;=16,"Children",E1090&lt;=30,"Young Adults",E1090&lt;=45,"Middle-aged Adults",E1090&gt;45,"Old Adults")</f>
        <v>Middle-aged Adults</v>
      </c>
    </row>
    <row r="1091" spans="1:11" x14ac:dyDescent="0.45">
      <c r="A1091" s="2">
        <v>1274</v>
      </c>
      <c r="B1091" s="2" t="s">
        <v>1379</v>
      </c>
      <c r="C1091" s="2" t="s">
        <v>94</v>
      </c>
      <c r="D1091" s="2" t="s">
        <v>66</v>
      </c>
      <c r="E1091" s="2">
        <v>26</v>
      </c>
      <c r="F1091" s="2">
        <v>73</v>
      </c>
      <c r="G1091" s="2">
        <v>178</v>
      </c>
      <c r="H1091" s="9">
        <f t="shared" si="17"/>
        <v>23.040020199469762</v>
      </c>
      <c r="I1091" s="2" t="str" cm="1">
        <f t="array" ref="I1091">_xlfn.IFS(F1091&gt;=100,"Over weight",F1091&lt;100,"Average weight")</f>
        <v>Average weight</v>
      </c>
      <c r="J1091" s="2" t="str" cm="1">
        <f t="array" ref="J1091">_xlfn.IFS(G1091&lt;164,"Below Average height",G1091&gt;=165,"Above Average height",G1091=164,"Average height")</f>
        <v>Above Average height</v>
      </c>
      <c r="K1091" s="2" t="str" cm="1">
        <f t="array" ref="K1091">_xlfn.IFS(E1091&lt;=16,"Children",E1091&lt;=30,"Young Adults",E1091&lt;=45,"Middle-aged Adults",E1091&gt;45,"Old Adults")</f>
        <v>Young Adults</v>
      </c>
    </row>
    <row r="1092" spans="1:11" x14ac:dyDescent="0.45">
      <c r="A1092" s="2">
        <v>1275</v>
      </c>
      <c r="B1092" s="2" t="s">
        <v>1380</v>
      </c>
      <c r="C1092" s="2" t="s">
        <v>88</v>
      </c>
      <c r="D1092" s="2" t="s">
        <v>14</v>
      </c>
      <c r="E1092" s="2">
        <v>24</v>
      </c>
      <c r="F1092" s="2">
        <v>64</v>
      </c>
      <c r="G1092" s="2">
        <v>171</v>
      </c>
      <c r="H1092" s="9">
        <f t="shared" si="17"/>
        <v>21.887076365377382</v>
      </c>
      <c r="I1092" s="2" t="str" cm="1">
        <f t="array" ref="I1092">_xlfn.IFS(F1092&gt;=100,"Over weight",F1092&lt;100,"Average weight")</f>
        <v>Average weight</v>
      </c>
      <c r="J1092" s="2" t="str" cm="1">
        <f t="array" ref="J1092">_xlfn.IFS(G1092&lt;164,"Below Average height",G1092&gt;=165,"Above Average height",G1092=164,"Average height")</f>
        <v>Above Average height</v>
      </c>
      <c r="K1092" s="2" t="str" cm="1">
        <f t="array" ref="K1092">_xlfn.IFS(E1092&lt;=16,"Children",E1092&lt;=30,"Young Adults",E1092&lt;=45,"Middle-aged Adults",E1092&gt;45,"Old Adults")</f>
        <v>Young Adults</v>
      </c>
    </row>
    <row r="1093" spans="1:11" x14ac:dyDescent="0.45">
      <c r="A1093" s="2">
        <v>1276</v>
      </c>
      <c r="B1093" s="2" t="s">
        <v>1381</v>
      </c>
      <c r="C1093" s="2" t="s">
        <v>91</v>
      </c>
      <c r="D1093" s="2" t="s">
        <v>75</v>
      </c>
      <c r="E1093" s="2">
        <v>29</v>
      </c>
      <c r="F1093" s="2">
        <v>70</v>
      </c>
      <c r="G1093" s="2">
        <v>172</v>
      </c>
      <c r="H1093" s="9">
        <f t="shared" si="17"/>
        <v>23.661438615467823</v>
      </c>
      <c r="I1093" s="2" t="str" cm="1">
        <f t="array" ref="I1093">_xlfn.IFS(F1093&gt;=100,"Over weight",F1093&lt;100,"Average weight")</f>
        <v>Average weight</v>
      </c>
      <c r="J1093" s="2" t="str" cm="1">
        <f t="array" ref="J1093">_xlfn.IFS(G1093&lt;164,"Below Average height",G1093&gt;=165,"Above Average height",G1093=164,"Average height")</f>
        <v>Above Average height</v>
      </c>
      <c r="K1093" s="2" t="str" cm="1">
        <f t="array" ref="K1093">_xlfn.IFS(E1093&lt;=16,"Children",E1093&lt;=30,"Young Adults",E1093&lt;=45,"Middle-aged Adults",E1093&gt;45,"Old Adults")</f>
        <v>Young Adults</v>
      </c>
    </row>
    <row r="1094" spans="1:11" x14ac:dyDescent="0.45">
      <c r="A1094" s="2">
        <v>1277</v>
      </c>
      <c r="B1094" s="2" t="s">
        <v>1382</v>
      </c>
      <c r="C1094" s="2" t="s">
        <v>89</v>
      </c>
      <c r="D1094" s="2" t="s">
        <v>28</v>
      </c>
      <c r="E1094" s="2">
        <v>26</v>
      </c>
      <c r="F1094" s="2">
        <v>78</v>
      </c>
      <c r="G1094" s="2">
        <v>182</v>
      </c>
      <c r="H1094" s="9">
        <f t="shared" si="17"/>
        <v>23.547880690737831</v>
      </c>
      <c r="I1094" s="2" t="str" cm="1">
        <f t="array" ref="I1094">_xlfn.IFS(F1094&gt;=100,"Over weight",F1094&lt;100,"Average weight")</f>
        <v>Average weight</v>
      </c>
      <c r="J1094" s="2" t="str" cm="1">
        <f t="array" ref="J1094">_xlfn.IFS(G1094&lt;164,"Below Average height",G1094&gt;=165,"Above Average height",G1094=164,"Average height")</f>
        <v>Above Average height</v>
      </c>
      <c r="K1094" s="2" t="str" cm="1">
        <f t="array" ref="K1094">_xlfn.IFS(E1094&lt;=16,"Children",E1094&lt;=30,"Young Adults",E1094&lt;=45,"Middle-aged Adults",E1094&gt;45,"Old Adults")</f>
        <v>Young Adults</v>
      </c>
    </row>
    <row r="1095" spans="1:11" x14ac:dyDescent="0.45">
      <c r="A1095" s="2">
        <v>1278</v>
      </c>
      <c r="B1095" s="2" t="s">
        <v>1383</v>
      </c>
      <c r="C1095" s="2" t="s">
        <v>91</v>
      </c>
      <c r="D1095" s="2" t="s">
        <v>25</v>
      </c>
      <c r="E1095" s="2">
        <v>36</v>
      </c>
      <c r="F1095" s="2">
        <v>89</v>
      </c>
      <c r="G1095" s="2">
        <v>182</v>
      </c>
      <c r="H1095" s="9">
        <f t="shared" si="17"/>
        <v>26.868735659944448</v>
      </c>
      <c r="I1095" s="2" t="str" cm="1">
        <f t="array" ref="I1095">_xlfn.IFS(F1095&gt;=100,"Over weight",F1095&lt;100,"Average weight")</f>
        <v>Average weight</v>
      </c>
      <c r="J1095" s="2" t="str" cm="1">
        <f t="array" ref="J1095">_xlfn.IFS(G1095&lt;164,"Below Average height",G1095&gt;=165,"Above Average height",G1095=164,"Average height")</f>
        <v>Above Average height</v>
      </c>
      <c r="K1095" s="2" t="str" cm="1">
        <f t="array" ref="K1095">_xlfn.IFS(E1095&lt;=16,"Children",E1095&lt;=30,"Young Adults",E1095&lt;=45,"Middle-aged Adults",E1095&gt;45,"Old Adults")</f>
        <v>Middle-aged Adults</v>
      </c>
    </row>
    <row r="1096" spans="1:11" x14ac:dyDescent="0.45">
      <c r="A1096" s="2">
        <v>1280</v>
      </c>
      <c r="B1096" s="2" t="s">
        <v>1385</v>
      </c>
      <c r="C1096" s="2" t="s">
        <v>94</v>
      </c>
      <c r="D1096" s="2" t="s">
        <v>25</v>
      </c>
      <c r="E1096" s="2">
        <v>22</v>
      </c>
      <c r="F1096" s="2">
        <v>73</v>
      </c>
      <c r="G1096" s="2">
        <v>176</v>
      </c>
      <c r="H1096" s="9">
        <f t="shared" si="17"/>
        <v>23.566632231404959</v>
      </c>
      <c r="I1096" s="2" t="str" cm="1">
        <f t="array" ref="I1096">_xlfn.IFS(F1096&gt;=100,"Over weight",F1096&lt;100,"Average weight")</f>
        <v>Average weight</v>
      </c>
      <c r="J1096" s="2" t="str" cm="1">
        <f t="array" ref="J1096">_xlfn.IFS(G1096&lt;164,"Below Average height",G1096&gt;=165,"Above Average height",G1096=164,"Average height")</f>
        <v>Above Average height</v>
      </c>
      <c r="K1096" s="2" t="str" cm="1">
        <f t="array" ref="K1096">_xlfn.IFS(E1096&lt;=16,"Children",E1096&lt;=30,"Young Adults",E1096&lt;=45,"Middle-aged Adults",E1096&gt;45,"Old Adults")</f>
        <v>Young Adults</v>
      </c>
    </row>
    <row r="1097" spans="1:11" x14ac:dyDescent="0.45">
      <c r="A1097" s="2">
        <v>1282</v>
      </c>
      <c r="B1097" s="2" t="s">
        <v>1387</v>
      </c>
      <c r="C1097" s="2" t="s">
        <v>85</v>
      </c>
      <c r="D1097" s="2" t="s">
        <v>25</v>
      </c>
      <c r="E1097" s="2">
        <v>20</v>
      </c>
      <c r="F1097" s="2">
        <v>58</v>
      </c>
      <c r="G1097" s="2">
        <v>165</v>
      </c>
      <c r="H1097" s="9">
        <f t="shared" si="17"/>
        <v>21.30394857667585</v>
      </c>
      <c r="I1097" s="2" t="str" cm="1">
        <f t="array" ref="I1097">_xlfn.IFS(F1097&gt;=100,"Over weight",F1097&lt;100,"Average weight")</f>
        <v>Average weight</v>
      </c>
      <c r="J1097" s="2" t="str" cm="1">
        <f t="array" ref="J1097">_xlfn.IFS(G1097&lt;164,"Below Average height",G1097&gt;=165,"Above Average height",G1097=164,"Average height")</f>
        <v>Above Average height</v>
      </c>
      <c r="K1097" s="2" t="str" cm="1">
        <f t="array" ref="K1097">_xlfn.IFS(E1097&lt;=16,"Children",E1097&lt;=30,"Young Adults",E1097&lt;=45,"Middle-aged Adults",E1097&gt;45,"Old Adults")</f>
        <v>Young Adults</v>
      </c>
    </row>
    <row r="1098" spans="1:11" x14ac:dyDescent="0.45">
      <c r="A1098" s="2">
        <v>1283</v>
      </c>
      <c r="B1098" s="2" t="s">
        <v>1388</v>
      </c>
      <c r="C1098" s="2" t="s">
        <v>95</v>
      </c>
      <c r="D1098" s="2" t="s">
        <v>28</v>
      </c>
      <c r="E1098" s="2">
        <v>32</v>
      </c>
      <c r="F1098" s="2">
        <v>92</v>
      </c>
      <c r="G1098" s="2">
        <v>189</v>
      </c>
      <c r="H1098" s="9">
        <f t="shared" si="17"/>
        <v>25.755158030290307</v>
      </c>
      <c r="I1098" s="2" t="str" cm="1">
        <f t="array" ref="I1098">_xlfn.IFS(F1098&gt;=100,"Over weight",F1098&lt;100,"Average weight")</f>
        <v>Average weight</v>
      </c>
      <c r="J1098" s="2" t="str" cm="1">
        <f t="array" ref="J1098">_xlfn.IFS(G1098&lt;164,"Below Average height",G1098&gt;=165,"Above Average height",G1098=164,"Average height")</f>
        <v>Above Average height</v>
      </c>
      <c r="K1098" s="2" t="str" cm="1">
        <f t="array" ref="K1098">_xlfn.IFS(E1098&lt;=16,"Children",E1098&lt;=30,"Young Adults",E1098&lt;=45,"Middle-aged Adults",E1098&gt;45,"Old Adults")</f>
        <v>Middle-aged Adults</v>
      </c>
    </row>
    <row r="1099" spans="1:11" x14ac:dyDescent="0.45">
      <c r="A1099" s="2">
        <v>1286</v>
      </c>
      <c r="B1099" s="2" t="s">
        <v>1391</v>
      </c>
      <c r="C1099" s="2" t="s">
        <v>91</v>
      </c>
      <c r="D1099" s="2" t="s">
        <v>25</v>
      </c>
      <c r="E1099" s="2">
        <v>25</v>
      </c>
      <c r="F1099" s="2">
        <v>85</v>
      </c>
      <c r="G1099" s="2">
        <v>178</v>
      </c>
      <c r="H1099" s="9">
        <f t="shared" si="17"/>
        <v>26.82742078020452</v>
      </c>
      <c r="I1099" s="2" t="str" cm="1">
        <f t="array" ref="I1099">_xlfn.IFS(F1099&gt;=100,"Over weight",F1099&lt;100,"Average weight")</f>
        <v>Average weight</v>
      </c>
      <c r="J1099" s="2" t="str" cm="1">
        <f t="array" ref="J1099">_xlfn.IFS(G1099&lt;164,"Below Average height",G1099&gt;=165,"Above Average height",G1099=164,"Average height")</f>
        <v>Above Average height</v>
      </c>
      <c r="K1099" s="2" t="str" cm="1">
        <f t="array" ref="K1099">_xlfn.IFS(E1099&lt;=16,"Children",E1099&lt;=30,"Young Adults",E1099&lt;=45,"Middle-aged Adults",E1099&gt;45,"Old Adults")</f>
        <v>Young Adults</v>
      </c>
    </row>
    <row r="1100" spans="1:11" x14ac:dyDescent="0.45">
      <c r="A1100" s="2">
        <v>1287</v>
      </c>
      <c r="B1100" s="2" t="s">
        <v>1392</v>
      </c>
      <c r="C1100" s="2" t="s">
        <v>88</v>
      </c>
      <c r="D1100" s="2" t="s">
        <v>23</v>
      </c>
      <c r="E1100" s="2">
        <v>31</v>
      </c>
      <c r="F1100" s="2">
        <v>78</v>
      </c>
      <c r="G1100" s="2">
        <v>182</v>
      </c>
      <c r="H1100" s="9">
        <f t="shared" si="17"/>
        <v>23.547880690737831</v>
      </c>
      <c r="I1100" s="2" t="str" cm="1">
        <f t="array" ref="I1100">_xlfn.IFS(F1100&gt;=100,"Over weight",F1100&lt;100,"Average weight")</f>
        <v>Average weight</v>
      </c>
      <c r="J1100" s="2" t="str" cm="1">
        <f t="array" ref="J1100">_xlfn.IFS(G1100&lt;164,"Below Average height",G1100&gt;=165,"Above Average height",G1100=164,"Average height")</f>
        <v>Above Average height</v>
      </c>
      <c r="K1100" s="2" t="str" cm="1">
        <f t="array" ref="K1100">_xlfn.IFS(E1100&lt;=16,"Children",E1100&lt;=30,"Young Adults",E1100&lt;=45,"Middle-aged Adults",E1100&gt;45,"Old Adults")</f>
        <v>Middle-aged Adults</v>
      </c>
    </row>
    <row r="1101" spans="1:11" x14ac:dyDescent="0.45">
      <c r="A1101" s="2">
        <v>1288</v>
      </c>
      <c r="B1101" s="2" t="s">
        <v>1393</v>
      </c>
      <c r="C1101" s="2" t="s">
        <v>87</v>
      </c>
      <c r="D1101" s="2" t="s">
        <v>75</v>
      </c>
      <c r="E1101" s="2">
        <v>33</v>
      </c>
      <c r="F1101" s="2">
        <v>62</v>
      </c>
      <c r="G1101" s="2">
        <v>167</v>
      </c>
      <c r="H1101" s="9">
        <f t="shared" si="17"/>
        <v>22.230987127541326</v>
      </c>
      <c r="I1101" s="2" t="str" cm="1">
        <f t="array" ref="I1101">_xlfn.IFS(F1101&gt;=100,"Over weight",F1101&lt;100,"Average weight")</f>
        <v>Average weight</v>
      </c>
      <c r="J1101" s="2" t="str" cm="1">
        <f t="array" ref="J1101">_xlfn.IFS(G1101&lt;164,"Below Average height",G1101&gt;=165,"Above Average height",G1101=164,"Average height")</f>
        <v>Above Average height</v>
      </c>
      <c r="K1101" s="2" t="str" cm="1">
        <f t="array" ref="K1101">_xlfn.IFS(E1101&lt;=16,"Children",E1101&lt;=30,"Young Adults",E1101&lt;=45,"Middle-aged Adults",E1101&gt;45,"Old Adults")</f>
        <v>Middle-aged Adults</v>
      </c>
    </row>
    <row r="1102" spans="1:11" x14ac:dyDescent="0.45">
      <c r="A1102" s="2">
        <v>1290</v>
      </c>
      <c r="B1102" s="2" t="s">
        <v>1395</v>
      </c>
      <c r="C1102" s="2" t="s">
        <v>87</v>
      </c>
      <c r="D1102" s="2" t="s">
        <v>74</v>
      </c>
      <c r="E1102" s="2">
        <v>34</v>
      </c>
      <c r="F1102" s="2">
        <v>90</v>
      </c>
      <c r="G1102" s="2">
        <v>174</v>
      </c>
      <c r="H1102" s="9">
        <f t="shared" si="17"/>
        <v>29.726516052318669</v>
      </c>
      <c r="I1102" s="2" t="str" cm="1">
        <f t="array" ref="I1102">_xlfn.IFS(F1102&gt;=100,"Over weight",F1102&lt;100,"Average weight")</f>
        <v>Average weight</v>
      </c>
      <c r="J1102" s="2" t="str" cm="1">
        <f t="array" ref="J1102">_xlfn.IFS(G1102&lt;164,"Below Average height",G1102&gt;=165,"Above Average height",G1102=164,"Average height")</f>
        <v>Above Average height</v>
      </c>
      <c r="K1102" s="2" t="str" cm="1">
        <f t="array" ref="K1102">_xlfn.IFS(E1102&lt;=16,"Children",E1102&lt;=30,"Young Adults",E1102&lt;=45,"Middle-aged Adults",E1102&gt;45,"Old Adults")</f>
        <v>Middle-aged Adults</v>
      </c>
    </row>
    <row r="1103" spans="1:11" x14ac:dyDescent="0.45">
      <c r="A1103" s="2">
        <v>1291</v>
      </c>
      <c r="B1103" s="2" t="s">
        <v>1396</v>
      </c>
      <c r="C1103" s="2" t="s">
        <v>94</v>
      </c>
      <c r="D1103" s="2" t="s">
        <v>79</v>
      </c>
      <c r="E1103" s="2">
        <v>33</v>
      </c>
      <c r="F1103" s="2">
        <v>74</v>
      </c>
      <c r="G1103" s="2">
        <v>181</v>
      </c>
      <c r="H1103" s="9">
        <f t="shared" si="17"/>
        <v>22.587833094227893</v>
      </c>
      <c r="I1103" s="2" t="str" cm="1">
        <f t="array" ref="I1103">_xlfn.IFS(F1103&gt;=100,"Over weight",F1103&lt;100,"Average weight")</f>
        <v>Average weight</v>
      </c>
      <c r="J1103" s="2" t="str" cm="1">
        <f t="array" ref="J1103">_xlfn.IFS(G1103&lt;164,"Below Average height",G1103&gt;=165,"Above Average height",G1103=164,"Average height")</f>
        <v>Above Average height</v>
      </c>
      <c r="K1103" s="2" t="str" cm="1">
        <f t="array" ref="K1103">_xlfn.IFS(E1103&lt;=16,"Children",E1103&lt;=30,"Young Adults",E1103&lt;=45,"Middle-aged Adults",E1103&gt;45,"Old Adults")</f>
        <v>Middle-aged Adults</v>
      </c>
    </row>
    <row r="1104" spans="1:11" x14ac:dyDescent="0.45">
      <c r="A1104" s="2">
        <v>1292</v>
      </c>
      <c r="B1104" s="2" t="s">
        <v>1397</v>
      </c>
      <c r="C1104" s="2" t="s">
        <v>96</v>
      </c>
      <c r="D1104" s="2" t="s">
        <v>17</v>
      </c>
      <c r="E1104" s="2">
        <v>34</v>
      </c>
      <c r="F1104" s="2">
        <v>98</v>
      </c>
      <c r="G1104" s="2">
        <v>180</v>
      </c>
      <c r="H1104" s="9">
        <f t="shared" si="17"/>
        <v>30.246913580246911</v>
      </c>
      <c r="I1104" s="2" t="str" cm="1">
        <f t="array" ref="I1104">_xlfn.IFS(F1104&gt;=100,"Over weight",F1104&lt;100,"Average weight")</f>
        <v>Average weight</v>
      </c>
      <c r="J1104" s="2" t="str" cm="1">
        <f t="array" ref="J1104">_xlfn.IFS(G1104&lt;164,"Below Average height",G1104&gt;=165,"Above Average height",G1104=164,"Average height")</f>
        <v>Above Average height</v>
      </c>
      <c r="K1104" s="2" t="str" cm="1">
        <f t="array" ref="K1104">_xlfn.IFS(E1104&lt;=16,"Children",E1104&lt;=30,"Young Adults",E1104&lt;=45,"Middle-aged Adults",E1104&gt;45,"Old Adults")</f>
        <v>Middle-aged Adults</v>
      </c>
    </row>
    <row r="1105" spans="1:11" x14ac:dyDescent="0.45">
      <c r="A1105" s="2">
        <v>1294</v>
      </c>
      <c r="B1105" s="2" t="s">
        <v>1399</v>
      </c>
      <c r="C1105" s="2" t="s">
        <v>85</v>
      </c>
      <c r="D1105" s="2" t="s">
        <v>17</v>
      </c>
      <c r="E1105" s="2">
        <v>22</v>
      </c>
      <c r="F1105" s="2">
        <v>75</v>
      </c>
      <c r="G1105" s="2">
        <v>180</v>
      </c>
      <c r="H1105" s="9">
        <f t="shared" si="17"/>
        <v>23.148148148148145</v>
      </c>
      <c r="I1105" s="2" t="str" cm="1">
        <f t="array" ref="I1105">_xlfn.IFS(F1105&gt;=100,"Over weight",F1105&lt;100,"Average weight")</f>
        <v>Average weight</v>
      </c>
      <c r="J1105" s="2" t="str" cm="1">
        <f t="array" ref="J1105">_xlfn.IFS(G1105&lt;164,"Below Average height",G1105&gt;=165,"Above Average height",G1105=164,"Average height")</f>
        <v>Above Average height</v>
      </c>
      <c r="K1105" s="2" t="str" cm="1">
        <f t="array" ref="K1105">_xlfn.IFS(E1105&lt;=16,"Children",E1105&lt;=30,"Young Adults",E1105&lt;=45,"Middle-aged Adults",E1105&gt;45,"Old Adults")</f>
        <v>Young Adults</v>
      </c>
    </row>
    <row r="1106" spans="1:11" x14ac:dyDescent="0.45">
      <c r="A1106" s="2">
        <v>1296</v>
      </c>
      <c r="B1106" s="2" t="s">
        <v>1401</v>
      </c>
      <c r="C1106" s="2" t="s">
        <v>94</v>
      </c>
      <c r="D1106" s="2" t="s">
        <v>17</v>
      </c>
      <c r="E1106" s="2">
        <v>17</v>
      </c>
      <c r="F1106" s="2">
        <v>53</v>
      </c>
      <c r="G1106" s="2">
        <v>171</v>
      </c>
      <c r="H1106" s="9">
        <f t="shared" si="17"/>
        <v>18.125235115078144</v>
      </c>
      <c r="I1106" s="2" t="str" cm="1">
        <f t="array" ref="I1106">_xlfn.IFS(F1106&gt;=100,"Over weight",F1106&lt;100,"Average weight")</f>
        <v>Average weight</v>
      </c>
      <c r="J1106" s="2" t="str" cm="1">
        <f t="array" ref="J1106">_xlfn.IFS(G1106&lt;164,"Below Average height",G1106&gt;=165,"Above Average height",G1106=164,"Average height")</f>
        <v>Above Average height</v>
      </c>
      <c r="K1106" s="2" t="str" cm="1">
        <f t="array" ref="K1106">_xlfn.IFS(E1106&lt;=16,"Children",E1106&lt;=30,"Young Adults",E1106&lt;=45,"Middle-aged Adults",E1106&gt;45,"Old Adults")</f>
        <v>Young Adults</v>
      </c>
    </row>
    <row r="1107" spans="1:11" x14ac:dyDescent="0.45">
      <c r="A1107" s="2">
        <v>1297</v>
      </c>
      <c r="B1107" s="2" t="s">
        <v>1402</v>
      </c>
      <c r="C1107" s="2" t="s">
        <v>98</v>
      </c>
      <c r="D1107" s="2" t="s">
        <v>17</v>
      </c>
      <c r="E1107" s="2">
        <v>17</v>
      </c>
      <c r="F1107" s="2">
        <v>62</v>
      </c>
      <c r="G1107" s="2">
        <v>165</v>
      </c>
      <c r="H1107" s="9">
        <f t="shared" si="17"/>
        <v>22.77318640955005</v>
      </c>
      <c r="I1107" s="2" t="str" cm="1">
        <f t="array" ref="I1107">_xlfn.IFS(F1107&gt;=100,"Over weight",F1107&lt;100,"Average weight")</f>
        <v>Average weight</v>
      </c>
      <c r="J1107" s="2" t="str" cm="1">
        <f t="array" ref="J1107">_xlfn.IFS(G1107&lt;164,"Below Average height",G1107&gt;=165,"Above Average height",G1107=164,"Average height")</f>
        <v>Above Average height</v>
      </c>
      <c r="K1107" s="2" t="str" cm="1">
        <f t="array" ref="K1107">_xlfn.IFS(E1107&lt;=16,"Children",E1107&lt;=30,"Young Adults",E1107&lt;=45,"Middle-aged Adults",E1107&gt;45,"Old Adults")</f>
        <v>Young Adults</v>
      </c>
    </row>
    <row r="1108" spans="1:11" x14ac:dyDescent="0.45">
      <c r="A1108" s="2">
        <v>1298</v>
      </c>
      <c r="B1108" s="2" t="s">
        <v>1403</v>
      </c>
      <c r="C1108" s="2" t="s">
        <v>88</v>
      </c>
      <c r="D1108" s="2" t="s">
        <v>46</v>
      </c>
      <c r="E1108" s="2">
        <v>27</v>
      </c>
      <c r="F1108" s="2">
        <v>65</v>
      </c>
      <c r="G1108" s="2">
        <v>174</v>
      </c>
      <c r="H1108" s="9">
        <f t="shared" si="17"/>
        <v>21.469150482230148</v>
      </c>
      <c r="I1108" s="2" t="str" cm="1">
        <f t="array" ref="I1108">_xlfn.IFS(F1108&gt;=100,"Over weight",F1108&lt;100,"Average weight")</f>
        <v>Average weight</v>
      </c>
      <c r="J1108" s="2" t="str" cm="1">
        <f t="array" ref="J1108">_xlfn.IFS(G1108&lt;164,"Below Average height",G1108&gt;=165,"Above Average height",G1108=164,"Average height")</f>
        <v>Above Average height</v>
      </c>
      <c r="K1108" s="2" t="str" cm="1">
        <f t="array" ref="K1108">_xlfn.IFS(E1108&lt;=16,"Children",E1108&lt;=30,"Young Adults",E1108&lt;=45,"Middle-aged Adults",E1108&gt;45,"Old Adults")</f>
        <v>Young Adults</v>
      </c>
    </row>
    <row r="1109" spans="1:11" x14ac:dyDescent="0.45">
      <c r="A1109" s="2">
        <v>1299</v>
      </c>
      <c r="B1109" s="2" t="s">
        <v>1404</v>
      </c>
      <c r="C1109" s="2" t="s">
        <v>91</v>
      </c>
      <c r="D1109" s="2" t="s">
        <v>74</v>
      </c>
      <c r="E1109" s="2">
        <v>39</v>
      </c>
      <c r="F1109" s="2">
        <v>86</v>
      </c>
      <c r="G1109" s="2">
        <v>185</v>
      </c>
      <c r="H1109" s="9">
        <f t="shared" si="17"/>
        <v>25.127830533235937</v>
      </c>
      <c r="I1109" s="2" t="str" cm="1">
        <f t="array" ref="I1109">_xlfn.IFS(F1109&gt;=100,"Over weight",F1109&lt;100,"Average weight")</f>
        <v>Average weight</v>
      </c>
      <c r="J1109" s="2" t="str" cm="1">
        <f t="array" ref="J1109">_xlfn.IFS(G1109&lt;164,"Below Average height",G1109&gt;=165,"Above Average height",G1109=164,"Average height")</f>
        <v>Above Average height</v>
      </c>
      <c r="K1109" s="2" t="str" cm="1">
        <f t="array" ref="K1109">_xlfn.IFS(E1109&lt;=16,"Children",E1109&lt;=30,"Young Adults",E1109&lt;=45,"Middle-aged Adults",E1109&gt;45,"Old Adults")</f>
        <v>Middle-aged Adults</v>
      </c>
    </row>
    <row r="1110" spans="1:11" x14ac:dyDescent="0.45">
      <c r="A1110" s="2">
        <v>1300</v>
      </c>
      <c r="B1110" s="2" t="s">
        <v>1405</v>
      </c>
      <c r="C1110" s="2" t="s">
        <v>88</v>
      </c>
      <c r="D1110" s="2" t="s">
        <v>46</v>
      </c>
      <c r="E1110" s="2">
        <v>27</v>
      </c>
      <c r="F1110" s="2">
        <v>60</v>
      </c>
      <c r="G1110" s="2">
        <v>167</v>
      </c>
      <c r="H1110" s="9">
        <f t="shared" si="17"/>
        <v>21.513858510523864</v>
      </c>
      <c r="I1110" s="2" t="str" cm="1">
        <f t="array" ref="I1110">_xlfn.IFS(F1110&gt;=100,"Over weight",F1110&lt;100,"Average weight")</f>
        <v>Average weight</v>
      </c>
      <c r="J1110" s="2" t="str" cm="1">
        <f t="array" ref="J1110">_xlfn.IFS(G1110&lt;164,"Below Average height",G1110&gt;=165,"Above Average height",G1110=164,"Average height")</f>
        <v>Above Average height</v>
      </c>
      <c r="K1110" s="2" t="str" cm="1">
        <f t="array" ref="K1110">_xlfn.IFS(E1110&lt;=16,"Children",E1110&lt;=30,"Young Adults",E1110&lt;=45,"Middle-aged Adults",E1110&gt;45,"Old Adults")</f>
        <v>Young Adults</v>
      </c>
    </row>
    <row r="1111" spans="1:11" x14ac:dyDescent="0.45">
      <c r="A1111" s="2">
        <v>1301</v>
      </c>
      <c r="B1111" s="2" t="s">
        <v>1406</v>
      </c>
      <c r="C1111" s="2" t="s">
        <v>85</v>
      </c>
      <c r="D1111" s="2" t="s">
        <v>80</v>
      </c>
      <c r="E1111" s="2">
        <v>25</v>
      </c>
      <c r="F1111" s="2">
        <v>87</v>
      </c>
      <c r="G1111" s="2">
        <v>180</v>
      </c>
      <c r="H1111" s="9">
        <f t="shared" si="17"/>
        <v>26.851851851851851</v>
      </c>
      <c r="I1111" s="2" t="str" cm="1">
        <f t="array" ref="I1111">_xlfn.IFS(F1111&gt;=100,"Over weight",F1111&lt;100,"Average weight")</f>
        <v>Average weight</v>
      </c>
      <c r="J1111" s="2" t="str" cm="1">
        <f t="array" ref="J1111">_xlfn.IFS(G1111&lt;164,"Below Average height",G1111&gt;=165,"Above Average height",G1111=164,"Average height")</f>
        <v>Above Average height</v>
      </c>
      <c r="K1111" s="2" t="str" cm="1">
        <f t="array" ref="K1111">_xlfn.IFS(E1111&lt;=16,"Children",E1111&lt;=30,"Young Adults",E1111&lt;=45,"Middle-aged Adults",E1111&gt;45,"Old Adults")</f>
        <v>Young Adults</v>
      </c>
    </row>
    <row r="1112" spans="1:11" x14ac:dyDescent="0.45">
      <c r="A1112" s="2">
        <v>1302</v>
      </c>
      <c r="B1112" s="2" t="s">
        <v>1407</v>
      </c>
      <c r="C1112" s="2" t="s">
        <v>93</v>
      </c>
      <c r="D1112" s="2" t="s">
        <v>63</v>
      </c>
      <c r="E1112" s="2">
        <v>25</v>
      </c>
      <c r="F1112" s="2">
        <v>65</v>
      </c>
      <c r="G1112" s="2">
        <v>169</v>
      </c>
      <c r="H1112" s="9">
        <f t="shared" si="17"/>
        <v>22.758306781975424</v>
      </c>
      <c r="I1112" s="2" t="str" cm="1">
        <f t="array" ref="I1112">_xlfn.IFS(F1112&gt;=100,"Over weight",F1112&lt;100,"Average weight")</f>
        <v>Average weight</v>
      </c>
      <c r="J1112" s="2" t="str" cm="1">
        <f t="array" ref="J1112">_xlfn.IFS(G1112&lt;164,"Below Average height",G1112&gt;=165,"Above Average height",G1112=164,"Average height")</f>
        <v>Above Average height</v>
      </c>
      <c r="K1112" s="2" t="str" cm="1">
        <f t="array" ref="K1112">_xlfn.IFS(E1112&lt;=16,"Children",E1112&lt;=30,"Young Adults",E1112&lt;=45,"Middle-aged Adults",E1112&gt;45,"Old Adults")</f>
        <v>Young Adults</v>
      </c>
    </row>
    <row r="1113" spans="1:11" x14ac:dyDescent="0.45">
      <c r="A1113" s="2">
        <v>1303</v>
      </c>
      <c r="B1113" s="2" t="s">
        <v>1408</v>
      </c>
      <c r="C1113" s="2" t="s">
        <v>93</v>
      </c>
      <c r="D1113" s="2" t="s">
        <v>63</v>
      </c>
      <c r="E1113" s="2">
        <v>27</v>
      </c>
      <c r="F1113" s="2">
        <v>77</v>
      </c>
      <c r="G1113" s="2">
        <v>175</v>
      </c>
      <c r="H1113" s="9">
        <f t="shared" si="17"/>
        <v>25.142857142857142</v>
      </c>
      <c r="I1113" s="2" t="str" cm="1">
        <f t="array" ref="I1113">_xlfn.IFS(F1113&gt;=100,"Over weight",F1113&lt;100,"Average weight")</f>
        <v>Average weight</v>
      </c>
      <c r="J1113" s="2" t="str" cm="1">
        <f t="array" ref="J1113">_xlfn.IFS(G1113&lt;164,"Below Average height",G1113&gt;=165,"Above Average height",G1113=164,"Average height")</f>
        <v>Above Average height</v>
      </c>
      <c r="K1113" s="2" t="str" cm="1">
        <f t="array" ref="K1113">_xlfn.IFS(E1113&lt;=16,"Children",E1113&lt;=30,"Young Adults",E1113&lt;=45,"Middle-aged Adults",E1113&gt;45,"Old Adults")</f>
        <v>Young Adults</v>
      </c>
    </row>
    <row r="1114" spans="1:11" x14ac:dyDescent="0.45">
      <c r="A1114" s="2">
        <v>1304</v>
      </c>
      <c r="B1114" s="2" t="s">
        <v>1409</v>
      </c>
      <c r="C1114" s="2" t="s">
        <v>93</v>
      </c>
      <c r="D1114" s="2" t="s">
        <v>63</v>
      </c>
      <c r="E1114" s="2">
        <v>24</v>
      </c>
      <c r="F1114" s="2">
        <v>72</v>
      </c>
      <c r="G1114" s="2">
        <v>177</v>
      </c>
      <c r="H1114" s="9">
        <f t="shared" si="17"/>
        <v>22.981901752370007</v>
      </c>
      <c r="I1114" s="2" t="str" cm="1">
        <f t="array" ref="I1114">_xlfn.IFS(F1114&gt;=100,"Over weight",F1114&lt;100,"Average weight")</f>
        <v>Average weight</v>
      </c>
      <c r="J1114" s="2" t="str" cm="1">
        <f t="array" ref="J1114">_xlfn.IFS(G1114&lt;164,"Below Average height",G1114&gt;=165,"Above Average height",G1114=164,"Average height")</f>
        <v>Above Average height</v>
      </c>
      <c r="K1114" s="2" t="str" cm="1">
        <f t="array" ref="K1114">_xlfn.IFS(E1114&lt;=16,"Children",E1114&lt;=30,"Young Adults",E1114&lt;=45,"Middle-aged Adults",E1114&gt;45,"Old Adults")</f>
        <v>Young Adults</v>
      </c>
    </row>
    <row r="1115" spans="1:11" x14ac:dyDescent="0.45">
      <c r="A1115" s="2">
        <v>1305</v>
      </c>
      <c r="B1115" s="2" t="s">
        <v>1410</v>
      </c>
      <c r="C1115" s="2" t="s">
        <v>89</v>
      </c>
      <c r="D1115" s="2" t="s">
        <v>66</v>
      </c>
      <c r="E1115" s="2">
        <v>32</v>
      </c>
      <c r="F1115" s="2">
        <v>65</v>
      </c>
      <c r="G1115" s="2">
        <v>168</v>
      </c>
      <c r="H1115" s="9">
        <f t="shared" si="17"/>
        <v>23.030045351473927</v>
      </c>
      <c r="I1115" s="2" t="str" cm="1">
        <f t="array" ref="I1115">_xlfn.IFS(F1115&gt;=100,"Over weight",F1115&lt;100,"Average weight")</f>
        <v>Average weight</v>
      </c>
      <c r="J1115" s="2" t="str" cm="1">
        <f t="array" ref="J1115">_xlfn.IFS(G1115&lt;164,"Below Average height",G1115&gt;=165,"Above Average height",G1115=164,"Average height")</f>
        <v>Above Average height</v>
      </c>
      <c r="K1115" s="2" t="str" cm="1">
        <f t="array" ref="K1115">_xlfn.IFS(E1115&lt;=16,"Children",E1115&lt;=30,"Young Adults",E1115&lt;=45,"Middle-aged Adults",E1115&gt;45,"Old Adults")</f>
        <v>Middle-aged Adults</v>
      </c>
    </row>
    <row r="1116" spans="1:11" x14ac:dyDescent="0.45">
      <c r="A1116" s="2">
        <v>1307</v>
      </c>
      <c r="B1116" s="2" t="s">
        <v>1412</v>
      </c>
      <c r="C1116" s="2" t="s">
        <v>100</v>
      </c>
      <c r="D1116" s="2" t="s">
        <v>5</v>
      </c>
      <c r="E1116" s="2">
        <v>24</v>
      </c>
      <c r="F1116" s="2">
        <v>76</v>
      </c>
      <c r="G1116" s="2">
        <v>173</v>
      </c>
      <c r="H1116" s="9">
        <f t="shared" si="17"/>
        <v>25.393431120318084</v>
      </c>
      <c r="I1116" s="2" t="str" cm="1">
        <f t="array" ref="I1116">_xlfn.IFS(F1116&gt;=100,"Over weight",F1116&lt;100,"Average weight")</f>
        <v>Average weight</v>
      </c>
      <c r="J1116" s="2" t="str" cm="1">
        <f t="array" ref="J1116">_xlfn.IFS(G1116&lt;164,"Below Average height",G1116&gt;=165,"Above Average height",G1116=164,"Average height")</f>
        <v>Above Average height</v>
      </c>
      <c r="K1116" s="2" t="str" cm="1">
        <f t="array" ref="K1116">_xlfn.IFS(E1116&lt;=16,"Children",E1116&lt;=30,"Young Adults",E1116&lt;=45,"Middle-aged Adults",E1116&gt;45,"Old Adults")</f>
        <v>Young Adults</v>
      </c>
    </row>
    <row r="1117" spans="1:11" x14ac:dyDescent="0.45">
      <c r="A1117" s="2">
        <v>1308</v>
      </c>
      <c r="B1117" s="2" t="s">
        <v>1413</v>
      </c>
      <c r="C1117" s="2" t="s">
        <v>94</v>
      </c>
      <c r="D1117" s="2" t="s">
        <v>74</v>
      </c>
      <c r="E1117" s="2">
        <v>31</v>
      </c>
      <c r="F1117" s="2">
        <v>87</v>
      </c>
      <c r="G1117" s="2">
        <v>190</v>
      </c>
      <c r="H1117" s="9">
        <f t="shared" si="17"/>
        <v>24.099722991689752</v>
      </c>
      <c r="I1117" s="2" t="str" cm="1">
        <f t="array" ref="I1117">_xlfn.IFS(F1117&gt;=100,"Over weight",F1117&lt;100,"Average weight")</f>
        <v>Average weight</v>
      </c>
      <c r="J1117" s="2" t="str" cm="1">
        <f t="array" ref="J1117">_xlfn.IFS(G1117&lt;164,"Below Average height",G1117&gt;=165,"Above Average height",G1117=164,"Average height")</f>
        <v>Above Average height</v>
      </c>
      <c r="K1117" s="2" t="str" cm="1">
        <f t="array" ref="K1117">_xlfn.IFS(E1117&lt;=16,"Children",E1117&lt;=30,"Young Adults",E1117&lt;=45,"Middle-aged Adults",E1117&gt;45,"Old Adults")</f>
        <v>Middle-aged Adults</v>
      </c>
    </row>
    <row r="1118" spans="1:11" x14ac:dyDescent="0.45">
      <c r="A1118" s="2">
        <v>1310</v>
      </c>
      <c r="B1118" s="2" t="s">
        <v>1415</v>
      </c>
      <c r="C1118" s="2" t="s">
        <v>96</v>
      </c>
      <c r="D1118" s="2" t="s">
        <v>74</v>
      </c>
      <c r="E1118" s="2">
        <v>24</v>
      </c>
      <c r="F1118" s="2">
        <v>98</v>
      </c>
      <c r="G1118" s="2">
        <v>179</v>
      </c>
      <c r="H1118" s="9">
        <f t="shared" si="17"/>
        <v>30.585811928466654</v>
      </c>
      <c r="I1118" s="2" t="str" cm="1">
        <f t="array" ref="I1118">_xlfn.IFS(F1118&gt;=100,"Over weight",F1118&lt;100,"Average weight")</f>
        <v>Average weight</v>
      </c>
      <c r="J1118" s="2" t="str" cm="1">
        <f t="array" ref="J1118">_xlfn.IFS(G1118&lt;164,"Below Average height",G1118&gt;=165,"Above Average height",G1118=164,"Average height")</f>
        <v>Above Average height</v>
      </c>
      <c r="K1118" s="2" t="str" cm="1">
        <f t="array" ref="K1118">_xlfn.IFS(E1118&lt;=16,"Children",E1118&lt;=30,"Young Adults",E1118&lt;=45,"Middle-aged Adults",E1118&gt;45,"Old Adults")</f>
        <v>Young Adults</v>
      </c>
    </row>
    <row r="1119" spans="1:11" x14ac:dyDescent="0.45">
      <c r="A1119" s="2">
        <v>1311</v>
      </c>
      <c r="B1119" s="2" t="s">
        <v>1416</v>
      </c>
      <c r="C1119" s="2" t="s">
        <v>85</v>
      </c>
      <c r="D1119" s="2" t="s">
        <v>74</v>
      </c>
      <c r="E1119" s="2">
        <v>26</v>
      </c>
      <c r="F1119" s="2">
        <v>67</v>
      </c>
      <c r="G1119" s="2">
        <v>169</v>
      </c>
      <c r="H1119" s="9">
        <f t="shared" si="17"/>
        <v>23.458562375266975</v>
      </c>
      <c r="I1119" s="2" t="str" cm="1">
        <f t="array" ref="I1119">_xlfn.IFS(F1119&gt;=100,"Over weight",F1119&lt;100,"Average weight")</f>
        <v>Average weight</v>
      </c>
      <c r="J1119" s="2" t="str" cm="1">
        <f t="array" ref="J1119">_xlfn.IFS(G1119&lt;164,"Below Average height",G1119&gt;=165,"Above Average height",G1119=164,"Average height")</f>
        <v>Above Average height</v>
      </c>
      <c r="K1119" s="2" t="str" cm="1">
        <f t="array" ref="K1119">_xlfn.IFS(E1119&lt;=16,"Children",E1119&lt;=30,"Young Adults",E1119&lt;=45,"Middle-aged Adults",E1119&gt;45,"Old Adults")</f>
        <v>Young Adults</v>
      </c>
    </row>
    <row r="1120" spans="1:11" x14ac:dyDescent="0.45">
      <c r="A1120" s="2">
        <v>1313</v>
      </c>
      <c r="B1120" s="2" t="s">
        <v>1418</v>
      </c>
      <c r="C1120" s="2" t="s">
        <v>98</v>
      </c>
      <c r="D1120" s="2" t="s">
        <v>30</v>
      </c>
      <c r="E1120" s="2">
        <v>29</v>
      </c>
      <c r="F1120" s="2">
        <v>62</v>
      </c>
      <c r="G1120" s="2">
        <v>172</v>
      </c>
      <c r="H1120" s="9">
        <f t="shared" si="17"/>
        <v>20.957274202271499</v>
      </c>
      <c r="I1120" s="2" t="str" cm="1">
        <f t="array" ref="I1120">_xlfn.IFS(F1120&gt;=100,"Over weight",F1120&lt;100,"Average weight")</f>
        <v>Average weight</v>
      </c>
      <c r="J1120" s="2" t="str" cm="1">
        <f t="array" ref="J1120">_xlfn.IFS(G1120&lt;164,"Below Average height",G1120&gt;=165,"Above Average height",G1120=164,"Average height")</f>
        <v>Above Average height</v>
      </c>
      <c r="K1120" s="2" t="str" cm="1">
        <f t="array" ref="K1120">_xlfn.IFS(E1120&lt;=16,"Children",E1120&lt;=30,"Young Adults",E1120&lt;=45,"Middle-aged Adults",E1120&gt;45,"Old Adults")</f>
        <v>Young Adults</v>
      </c>
    </row>
    <row r="1121" spans="1:11" x14ac:dyDescent="0.45">
      <c r="A1121" s="2">
        <v>1314</v>
      </c>
      <c r="B1121" s="2" t="s">
        <v>1419</v>
      </c>
      <c r="C1121" s="2" t="s">
        <v>87</v>
      </c>
      <c r="D1121" s="2" t="s">
        <v>80</v>
      </c>
      <c r="E1121" s="2">
        <v>25</v>
      </c>
      <c r="F1121" s="2">
        <v>66</v>
      </c>
      <c r="G1121" s="2">
        <v>170</v>
      </c>
      <c r="H1121" s="9">
        <f t="shared" si="17"/>
        <v>22.837370242214536</v>
      </c>
      <c r="I1121" s="2" t="str" cm="1">
        <f t="array" ref="I1121">_xlfn.IFS(F1121&gt;=100,"Over weight",F1121&lt;100,"Average weight")</f>
        <v>Average weight</v>
      </c>
      <c r="J1121" s="2" t="str" cm="1">
        <f t="array" ref="J1121">_xlfn.IFS(G1121&lt;164,"Below Average height",G1121&gt;=165,"Above Average height",G1121=164,"Average height")</f>
        <v>Above Average height</v>
      </c>
      <c r="K1121" s="2" t="str" cm="1">
        <f t="array" ref="K1121">_xlfn.IFS(E1121&lt;=16,"Children",E1121&lt;=30,"Young Adults",E1121&lt;=45,"Middle-aged Adults",E1121&gt;45,"Old Adults")</f>
        <v>Young Adults</v>
      </c>
    </row>
    <row r="1122" spans="1:11" x14ac:dyDescent="0.45">
      <c r="A1122" s="2">
        <v>1315</v>
      </c>
      <c r="B1122" s="2" t="s">
        <v>1420</v>
      </c>
      <c r="C1122" s="2" t="s">
        <v>91</v>
      </c>
      <c r="D1122" s="2" t="s">
        <v>25</v>
      </c>
      <c r="E1122" s="2">
        <v>22</v>
      </c>
      <c r="F1122" s="2">
        <v>80</v>
      </c>
      <c r="G1122" s="2">
        <v>186</v>
      </c>
      <c r="H1122" s="9">
        <f t="shared" si="17"/>
        <v>23.12406058503873</v>
      </c>
      <c r="I1122" s="2" t="str" cm="1">
        <f t="array" ref="I1122">_xlfn.IFS(F1122&gt;=100,"Over weight",F1122&lt;100,"Average weight")</f>
        <v>Average weight</v>
      </c>
      <c r="J1122" s="2" t="str" cm="1">
        <f t="array" ref="J1122">_xlfn.IFS(G1122&lt;164,"Below Average height",G1122&gt;=165,"Above Average height",G1122=164,"Average height")</f>
        <v>Above Average height</v>
      </c>
      <c r="K1122" s="2" t="str" cm="1">
        <f t="array" ref="K1122">_xlfn.IFS(E1122&lt;=16,"Children",E1122&lt;=30,"Young Adults",E1122&lt;=45,"Middle-aged Adults",E1122&gt;45,"Old Adults")</f>
        <v>Young Adults</v>
      </c>
    </row>
    <row r="1123" spans="1:11" x14ac:dyDescent="0.45">
      <c r="A1123" s="2">
        <v>1316</v>
      </c>
      <c r="B1123" s="2" t="s">
        <v>1421</v>
      </c>
      <c r="C1123" s="2" t="s">
        <v>88</v>
      </c>
      <c r="D1123" s="2" t="s">
        <v>74</v>
      </c>
      <c r="E1123" s="2">
        <v>20</v>
      </c>
      <c r="F1123" s="2">
        <v>76</v>
      </c>
      <c r="G1123" s="2">
        <v>180</v>
      </c>
      <c r="H1123" s="9">
        <f t="shared" si="17"/>
        <v>23.456790123456788</v>
      </c>
      <c r="I1123" s="2" t="str" cm="1">
        <f t="array" ref="I1123">_xlfn.IFS(F1123&gt;=100,"Over weight",F1123&lt;100,"Average weight")</f>
        <v>Average weight</v>
      </c>
      <c r="J1123" s="2" t="str" cm="1">
        <f t="array" ref="J1123">_xlfn.IFS(G1123&lt;164,"Below Average height",G1123&gt;=165,"Above Average height",G1123=164,"Average height")</f>
        <v>Above Average height</v>
      </c>
      <c r="K1123" s="2" t="str" cm="1">
        <f t="array" ref="K1123">_xlfn.IFS(E1123&lt;=16,"Children",E1123&lt;=30,"Young Adults",E1123&lt;=45,"Middle-aged Adults",E1123&gt;45,"Old Adults")</f>
        <v>Young Adults</v>
      </c>
    </row>
    <row r="1124" spans="1:11" x14ac:dyDescent="0.45">
      <c r="A1124" s="2">
        <v>1317</v>
      </c>
      <c r="B1124" s="2" t="s">
        <v>1422</v>
      </c>
      <c r="C1124" s="2" t="s">
        <v>95</v>
      </c>
      <c r="D1124" s="2" t="s">
        <v>6</v>
      </c>
      <c r="E1124" s="2">
        <v>28</v>
      </c>
      <c r="F1124" s="2">
        <v>80</v>
      </c>
      <c r="G1124" s="2">
        <v>184</v>
      </c>
      <c r="H1124" s="9">
        <f t="shared" si="17"/>
        <v>23.629489603024574</v>
      </c>
      <c r="I1124" s="2" t="str" cm="1">
        <f t="array" ref="I1124">_xlfn.IFS(F1124&gt;=100,"Over weight",F1124&lt;100,"Average weight")</f>
        <v>Average weight</v>
      </c>
      <c r="J1124" s="2" t="str" cm="1">
        <f t="array" ref="J1124">_xlfn.IFS(G1124&lt;164,"Below Average height",G1124&gt;=165,"Above Average height",G1124=164,"Average height")</f>
        <v>Above Average height</v>
      </c>
      <c r="K1124" s="2" t="str" cm="1">
        <f t="array" ref="K1124">_xlfn.IFS(E1124&lt;=16,"Children",E1124&lt;=30,"Young Adults",E1124&lt;=45,"Middle-aged Adults",E1124&gt;45,"Old Adults")</f>
        <v>Young Adults</v>
      </c>
    </row>
    <row r="1125" spans="1:11" x14ac:dyDescent="0.45">
      <c r="A1125" s="2">
        <v>1318</v>
      </c>
      <c r="B1125" s="2" t="s">
        <v>1423</v>
      </c>
      <c r="C1125" s="2" t="s">
        <v>95</v>
      </c>
      <c r="D1125" s="2" t="s">
        <v>6</v>
      </c>
      <c r="E1125" s="2">
        <v>27</v>
      </c>
      <c r="F1125" s="2">
        <v>72</v>
      </c>
      <c r="G1125" s="2">
        <v>177</v>
      </c>
      <c r="H1125" s="9">
        <f t="shared" si="17"/>
        <v>22.981901752370007</v>
      </c>
      <c r="I1125" s="2" t="str" cm="1">
        <f t="array" ref="I1125">_xlfn.IFS(F1125&gt;=100,"Over weight",F1125&lt;100,"Average weight")</f>
        <v>Average weight</v>
      </c>
      <c r="J1125" s="2" t="str" cm="1">
        <f t="array" ref="J1125">_xlfn.IFS(G1125&lt;164,"Below Average height",G1125&gt;=165,"Above Average height",G1125=164,"Average height")</f>
        <v>Above Average height</v>
      </c>
      <c r="K1125" s="2" t="str" cm="1">
        <f t="array" ref="K1125">_xlfn.IFS(E1125&lt;=16,"Children",E1125&lt;=30,"Young Adults",E1125&lt;=45,"Middle-aged Adults",E1125&gt;45,"Old Adults")</f>
        <v>Young Adults</v>
      </c>
    </row>
    <row r="1126" spans="1:11" x14ac:dyDescent="0.45">
      <c r="A1126" s="2">
        <v>1319</v>
      </c>
      <c r="B1126" s="2" t="s">
        <v>1424</v>
      </c>
      <c r="C1126" s="2" t="s">
        <v>90</v>
      </c>
      <c r="D1126" s="2" t="s">
        <v>28</v>
      </c>
      <c r="E1126" s="2">
        <v>31</v>
      </c>
      <c r="F1126" s="2">
        <v>107</v>
      </c>
      <c r="G1126" s="2">
        <v>190</v>
      </c>
      <c r="H1126" s="9">
        <f t="shared" si="17"/>
        <v>29.639889196675902</v>
      </c>
      <c r="I1126" s="2" t="str" cm="1">
        <f t="array" ref="I1126">_xlfn.IFS(F1126&gt;=100,"Over weight",F1126&lt;100,"Average weight")</f>
        <v>Over weight</v>
      </c>
      <c r="J1126" s="2" t="str" cm="1">
        <f t="array" ref="J1126">_xlfn.IFS(G1126&lt;164,"Below Average height",G1126&gt;=165,"Above Average height",G1126=164,"Average height")</f>
        <v>Above Average height</v>
      </c>
      <c r="K1126" s="2" t="str" cm="1">
        <f t="array" ref="K1126">_xlfn.IFS(E1126&lt;=16,"Children",E1126&lt;=30,"Young Adults",E1126&lt;=45,"Middle-aged Adults",E1126&gt;45,"Old Adults")</f>
        <v>Middle-aged Adults</v>
      </c>
    </row>
    <row r="1127" spans="1:11" x14ac:dyDescent="0.45">
      <c r="A1127" s="2">
        <v>1320</v>
      </c>
      <c r="B1127" s="2" t="s">
        <v>1425</v>
      </c>
      <c r="C1127" s="2" t="s">
        <v>89</v>
      </c>
      <c r="D1127" s="2" t="s">
        <v>17</v>
      </c>
      <c r="E1127" s="2">
        <v>27</v>
      </c>
      <c r="F1127" s="2">
        <v>80</v>
      </c>
      <c r="G1127" s="2">
        <v>182</v>
      </c>
      <c r="H1127" s="9">
        <f t="shared" si="17"/>
        <v>24.151672503320853</v>
      </c>
      <c r="I1127" s="2" t="str" cm="1">
        <f t="array" ref="I1127">_xlfn.IFS(F1127&gt;=100,"Over weight",F1127&lt;100,"Average weight")</f>
        <v>Average weight</v>
      </c>
      <c r="J1127" s="2" t="str" cm="1">
        <f t="array" ref="J1127">_xlfn.IFS(G1127&lt;164,"Below Average height",G1127&gt;=165,"Above Average height",G1127=164,"Average height")</f>
        <v>Above Average height</v>
      </c>
      <c r="K1127" s="2" t="str" cm="1">
        <f t="array" ref="K1127">_xlfn.IFS(E1127&lt;=16,"Children",E1127&lt;=30,"Young Adults",E1127&lt;=45,"Middle-aged Adults",E1127&gt;45,"Old Adults")</f>
        <v>Young Adults</v>
      </c>
    </row>
    <row r="1128" spans="1:11" x14ac:dyDescent="0.45">
      <c r="A1128" s="2">
        <v>1321</v>
      </c>
      <c r="B1128" s="2" t="s">
        <v>1426</v>
      </c>
      <c r="C1128" s="2" t="s">
        <v>93</v>
      </c>
      <c r="D1128" s="2" t="s">
        <v>17</v>
      </c>
      <c r="E1128" s="2">
        <v>17</v>
      </c>
      <c r="F1128" s="2">
        <v>60</v>
      </c>
      <c r="G1128" s="2">
        <v>170</v>
      </c>
      <c r="H1128" s="9">
        <f t="shared" si="17"/>
        <v>20.761245674740486</v>
      </c>
      <c r="I1128" s="2" t="str" cm="1">
        <f t="array" ref="I1128">_xlfn.IFS(F1128&gt;=100,"Over weight",F1128&lt;100,"Average weight")</f>
        <v>Average weight</v>
      </c>
      <c r="J1128" s="2" t="str" cm="1">
        <f t="array" ref="J1128">_xlfn.IFS(G1128&lt;164,"Below Average height",G1128&gt;=165,"Above Average height",G1128=164,"Average height")</f>
        <v>Above Average height</v>
      </c>
      <c r="K1128" s="2" t="str" cm="1">
        <f t="array" ref="K1128">_xlfn.IFS(E1128&lt;=16,"Children",E1128&lt;=30,"Young Adults",E1128&lt;=45,"Middle-aged Adults",E1128&gt;45,"Old Adults")</f>
        <v>Young Adults</v>
      </c>
    </row>
    <row r="1129" spans="1:11" x14ac:dyDescent="0.45">
      <c r="A1129" s="2">
        <v>1322</v>
      </c>
      <c r="B1129" s="2" t="s">
        <v>1427</v>
      </c>
      <c r="C1129" s="2" t="s">
        <v>96</v>
      </c>
      <c r="D1129" s="2" t="s">
        <v>17</v>
      </c>
      <c r="E1129" s="2">
        <v>20</v>
      </c>
      <c r="F1129" s="2">
        <v>98</v>
      </c>
      <c r="G1129" s="2">
        <v>170</v>
      </c>
      <c r="H1129" s="9">
        <f t="shared" si="17"/>
        <v>33.910034602076131</v>
      </c>
      <c r="I1129" s="2" t="str" cm="1">
        <f t="array" ref="I1129">_xlfn.IFS(F1129&gt;=100,"Over weight",F1129&lt;100,"Average weight")</f>
        <v>Average weight</v>
      </c>
      <c r="J1129" s="2" t="str" cm="1">
        <f t="array" ref="J1129">_xlfn.IFS(G1129&lt;164,"Below Average height",G1129&gt;=165,"Above Average height",G1129=164,"Average height")</f>
        <v>Above Average height</v>
      </c>
      <c r="K1129" s="2" t="str" cm="1">
        <f t="array" ref="K1129">_xlfn.IFS(E1129&lt;=16,"Children",E1129&lt;=30,"Young Adults",E1129&lt;=45,"Middle-aged Adults",E1129&gt;45,"Old Adults")</f>
        <v>Young Adults</v>
      </c>
    </row>
    <row r="1130" spans="1:11" x14ac:dyDescent="0.45">
      <c r="A1130" s="2">
        <v>1323</v>
      </c>
      <c r="B1130" s="2" t="s">
        <v>1428</v>
      </c>
      <c r="C1130" s="2" t="s">
        <v>96</v>
      </c>
      <c r="D1130" s="2" t="s">
        <v>17</v>
      </c>
      <c r="E1130" s="2">
        <v>27</v>
      </c>
      <c r="F1130" s="2">
        <v>98</v>
      </c>
      <c r="G1130" s="2">
        <v>180</v>
      </c>
      <c r="H1130" s="9">
        <f t="shared" si="17"/>
        <v>30.246913580246911</v>
      </c>
      <c r="I1130" s="2" t="str" cm="1">
        <f t="array" ref="I1130">_xlfn.IFS(F1130&gt;=100,"Over weight",F1130&lt;100,"Average weight")</f>
        <v>Average weight</v>
      </c>
      <c r="J1130" s="2" t="str" cm="1">
        <f t="array" ref="J1130">_xlfn.IFS(G1130&lt;164,"Below Average height",G1130&gt;=165,"Above Average height",G1130=164,"Average height")</f>
        <v>Above Average height</v>
      </c>
      <c r="K1130" s="2" t="str" cm="1">
        <f t="array" ref="K1130">_xlfn.IFS(E1130&lt;=16,"Children",E1130&lt;=30,"Young Adults",E1130&lt;=45,"Middle-aged Adults",E1130&gt;45,"Old Adults")</f>
        <v>Young Adults</v>
      </c>
    </row>
    <row r="1131" spans="1:11" x14ac:dyDescent="0.45">
      <c r="A1131" s="2">
        <v>1324</v>
      </c>
      <c r="B1131" s="2" t="s">
        <v>1429</v>
      </c>
      <c r="C1131" s="2" t="s">
        <v>98</v>
      </c>
      <c r="D1131" s="2" t="s">
        <v>17</v>
      </c>
      <c r="E1131" s="2">
        <v>22</v>
      </c>
      <c r="F1131" s="2">
        <v>69</v>
      </c>
      <c r="G1131" s="2">
        <v>175</v>
      </c>
      <c r="H1131" s="9">
        <f t="shared" si="17"/>
        <v>22.530612244897959</v>
      </c>
      <c r="I1131" s="2" t="str" cm="1">
        <f t="array" ref="I1131">_xlfn.IFS(F1131&gt;=100,"Over weight",F1131&lt;100,"Average weight")</f>
        <v>Average weight</v>
      </c>
      <c r="J1131" s="2" t="str" cm="1">
        <f t="array" ref="J1131">_xlfn.IFS(G1131&lt;164,"Below Average height",G1131&gt;=165,"Above Average height",G1131=164,"Average height")</f>
        <v>Above Average height</v>
      </c>
      <c r="K1131" s="2" t="str" cm="1">
        <f t="array" ref="K1131">_xlfn.IFS(E1131&lt;=16,"Children",E1131&lt;=30,"Young Adults",E1131&lt;=45,"Middle-aged Adults",E1131&gt;45,"Old Adults")</f>
        <v>Young Adults</v>
      </c>
    </row>
    <row r="1132" spans="1:11" x14ac:dyDescent="0.45">
      <c r="A1132" s="2">
        <v>1327</v>
      </c>
      <c r="B1132" s="2" t="s">
        <v>1432</v>
      </c>
      <c r="C1132" s="2" t="s">
        <v>96</v>
      </c>
      <c r="D1132" s="2" t="s">
        <v>17</v>
      </c>
      <c r="E1132" s="2">
        <v>28</v>
      </c>
      <c r="F1132" s="2">
        <v>98</v>
      </c>
      <c r="G1132" s="2">
        <v>165</v>
      </c>
      <c r="H1132" s="9">
        <f t="shared" si="17"/>
        <v>35.996326905417817</v>
      </c>
      <c r="I1132" s="2" t="str" cm="1">
        <f t="array" ref="I1132">_xlfn.IFS(F1132&gt;=100,"Over weight",F1132&lt;100,"Average weight")</f>
        <v>Average weight</v>
      </c>
      <c r="J1132" s="2" t="str" cm="1">
        <f t="array" ref="J1132">_xlfn.IFS(G1132&lt;164,"Below Average height",G1132&gt;=165,"Above Average height",G1132=164,"Average height")</f>
        <v>Above Average height</v>
      </c>
      <c r="K1132" s="2" t="str" cm="1">
        <f t="array" ref="K1132">_xlfn.IFS(E1132&lt;=16,"Children",E1132&lt;=30,"Young Adults",E1132&lt;=45,"Middle-aged Adults",E1132&gt;45,"Old Adults")</f>
        <v>Young Adults</v>
      </c>
    </row>
    <row r="1133" spans="1:11" x14ac:dyDescent="0.45">
      <c r="A1133" s="2">
        <v>1328</v>
      </c>
      <c r="B1133" s="2" t="s">
        <v>1433</v>
      </c>
      <c r="C1133" s="2" t="s">
        <v>88</v>
      </c>
      <c r="D1133" s="2" t="s">
        <v>17</v>
      </c>
      <c r="E1133" s="2">
        <v>27</v>
      </c>
      <c r="F1133" s="2">
        <v>55</v>
      </c>
      <c r="G1133" s="2">
        <v>165</v>
      </c>
      <c r="H1133" s="9">
        <f t="shared" si="17"/>
        <v>20.202020202020204</v>
      </c>
      <c r="I1133" s="2" t="str" cm="1">
        <f t="array" ref="I1133">_xlfn.IFS(F1133&gt;=100,"Over weight",F1133&lt;100,"Average weight")</f>
        <v>Average weight</v>
      </c>
      <c r="J1133" s="2" t="str" cm="1">
        <f t="array" ref="J1133">_xlfn.IFS(G1133&lt;164,"Below Average height",G1133&gt;=165,"Above Average height",G1133=164,"Average height")</f>
        <v>Above Average height</v>
      </c>
      <c r="K1133" s="2" t="str" cm="1">
        <f t="array" ref="K1133">_xlfn.IFS(E1133&lt;=16,"Children",E1133&lt;=30,"Young Adults",E1133&lt;=45,"Middle-aged Adults",E1133&gt;45,"Old Adults")</f>
        <v>Young Adults</v>
      </c>
    </row>
    <row r="1134" spans="1:11" x14ac:dyDescent="0.45">
      <c r="A1134" s="2">
        <v>1329</v>
      </c>
      <c r="B1134" s="2" t="s">
        <v>1434</v>
      </c>
      <c r="C1134" s="2" t="s">
        <v>91</v>
      </c>
      <c r="D1134" s="2" t="s">
        <v>17</v>
      </c>
      <c r="E1134" s="2">
        <v>16</v>
      </c>
      <c r="F1134" s="2">
        <v>52</v>
      </c>
      <c r="G1134" s="2">
        <v>165</v>
      </c>
      <c r="H1134" s="9">
        <f t="shared" si="17"/>
        <v>19.100091827364558</v>
      </c>
      <c r="I1134" s="2" t="str" cm="1">
        <f t="array" ref="I1134">_xlfn.IFS(F1134&gt;=100,"Over weight",F1134&lt;100,"Average weight")</f>
        <v>Average weight</v>
      </c>
      <c r="J1134" s="2" t="str" cm="1">
        <f t="array" ref="J1134">_xlfn.IFS(G1134&lt;164,"Below Average height",G1134&gt;=165,"Above Average height",G1134=164,"Average height")</f>
        <v>Above Average height</v>
      </c>
      <c r="K1134" s="2" t="str" cm="1">
        <f t="array" ref="K1134">_xlfn.IFS(E1134&lt;=16,"Children",E1134&lt;=30,"Young Adults",E1134&lt;=45,"Middle-aged Adults",E1134&gt;45,"Old Adults")</f>
        <v>Children</v>
      </c>
    </row>
    <row r="1135" spans="1:11" x14ac:dyDescent="0.45">
      <c r="A1135" s="2">
        <v>1330</v>
      </c>
      <c r="B1135" s="2" t="s">
        <v>1435</v>
      </c>
      <c r="C1135" s="2" t="s">
        <v>87</v>
      </c>
      <c r="D1135" s="2" t="s">
        <v>17</v>
      </c>
      <c r="E1135" s="2">
        <v>24</v>
      </c>
      <c r="F1135" s="2">
        <v>71</v>
      </c>
      <c r="G1135" s="2">
        <v>175</v>
      </c>
      <c r="H1135" s="9">
        <f t="shared" si="17"/>
        <v>23.183673469387756</v>
      </c>
      <c r="I1135" s="2" t="str" cm="1">
        <f t="array" ref="I1135">_xlfn.IFS(F1135&gt;=100,"Over weight",F1135&lt;100,"Average weight")</f>
        <v>Average weight</v>
      </c>
      <c r="J1135" s="2" t="str" cm="1">
        <f t="array" ref="J1135">_xlfn.IFS(G1135&lt;164,"Below Average height",G1135&gt;=165,"Above Average height",G1135=164,"Average height")</f>
        <v>Above Average height</v>
      </c>
      <c r="K1135" s="2" t="str" cm="1">
        <f t="array" ref="K1135">_xlfn.IFS(E1135&lt;=16,"Children",E1135&lt;=30,"Young Adults",E1135&lt;=45,"Middle-aged Adults",E1135&gt;45,"Old Adults")</f>
        <v>Young Adults</v>
      </c>
    </row>
    <row r="1136" spans="1:11" x14ac:dyDescent="0.45">
      <c r="A1136" s="2">
        <v>1331</v>
      </c>
      <c r="B1136" s="2" t="s">
        <v>1436</v>
      </c>
      <c r="C1136" s="2" t="s">
        <v>91</v>
      </c>
      <c r="D1136" s="2" t="s">
        <v>74</v>
      </c>
      <c r="E1136" s="2">
        <v>29</v>
      </c>
      <c r="F1136" s="2">
        <v>80</v>
      </c>
      <c r="G1136" s="2">
        <v>184</v>
      </c>
      <c r="H1136" s="9">
        <f t="shared" si="17"/>
        <v>23.629489603024574</v>
      </c>
      <c r="I1136" s="2" t="str" cm="1">
        <f t="array" ref="I1136">_xlfn.IFS(F1136&gt;=100,"Over weight",F1136&lt;100,"Average weight")</f>
        <v>Average weight</v>
      </c>
      <c r="J1136" s="2" t="str" cm="1">
        <f t="array" ref="J1136">_xlfn.IFS(G1136&lt;164,"Below Average height",G1136&gt;=165,"Above Average height",G1136=164,"Average height")</f>
        <v>Above Average height</v>
      </c>
      <c r="K1136" s="2" t="str" cm="1">
        <f t="array" ref="K1136">_xlfn.IFS(E1136&lt;=16,"Children",E1136&lt;=30,"Young Adults",E1136&lt;=45,"Middle-aged Adults",E1136&gt;45,"Old Adults")</f>
        <v>Young Adults</v>
      </c>
    </row>
    <row r="1137" spans="1:11" x14ac:dyDescent="0.45">
      <c r="A1137" s="2">
        <v>1332</v>
      </c>
      <c r="B1137" s="2" t="s">
        <v>1437</v>
      </c>
      <c r="C1137" s="2" t="s">
        <v>94</v>
      </c>
      <c r="D1137" s="2" t="s">
        <v>75</v>
      </c>
      <c r="E1137" s="2">
        <v>26</v>
      </c>
      <c r="F1137" s="2">
        <v>73</v>
      </c>
      <c r="G1137" s="2">
        <v>182</v>
      </c>
      <c r="H1137" s="9">
        <f t="shared" si="17"/>
        <v>22.03840115928028</v>
      </c>
      <c r="I1137" s="2" t="str" cm="1">
        <f t="array" ref="I1137">_xlfn.IFS(F1137&gt;=100,"Over weight",F1137&lt;100,"Average weight")</f>
        <v>Average weight</v>
      </c>
      <c r="J1137" s="2" t="str" cm="1">
        <f t="array" ref="J1137">_xlfn.IFS(G1137&lt;164,"Below Average height",G1137&gt;=165,"Above Average height",G1137=164,"Average height")</f>
        <v>Above Average height</v>
      </c>
      <c r="K1137" s="2" t="str" cm="1">
        <f t="array" ref="K1137">_xlfn.IFS(E1137&lt;=16,"Children",E1137&lt;=30,"Young Adults",E1137&lt;=45,"Middle-aged Adults",E1137&gt;45,"Old Adults")</f>
        <v>Young Adults</v>
      </c>
    </row>
    <row r="1138" spans="1:11" x14ac:dyDescent="0.45">
      <c r="A1138" s="2">
        <v>1334</v>
      </c>
      <c r="B1138" s="2" t="s">
        <v>1439</v>
      </c>
      <c r="C1138" s="2" t="s">
        <v>91</v>
      </c>
      <c r="D1138" s="2" t="s">
        <v>74</v>
      </c>
      <c r="E1138" s="2">
        <v>19</v>
      </c>
      <c r="F1138" s="2">
        <v>67</v>
      </c>
      <c r="G1138" s="2">
        <v>170</v>
      </c>
      <c r="H1138" s="9">
        <f t="shared" si="17"/>
        <v>23.183391003460208</v>
      </c>
      <c r="I1138" s="2" t="str" cm="1">
        <f t="array" ref="I1138">_xlfn.IFS(F1138&gt;=100,"Over weight",F1138&lt;100,"Average weight")</f>
        <v>Average weight</v>
      </c>
      <c r="J1138" s="2" t="str" cm="1">
        <f t="array" ref="J1138">_xlfn.IFS(G1138&lt;164,"Below Average height",G1138&gt;=165,"Above Average height",G1138=164,"Average height")</f>
        <v>Above Average height</v>
      </c>
      <c r="K1138" s="2" t="str" cm="1">
        <f t="array" ref="K1138">_xlfn.IFS(E1138&lt;=16,"Children",E1138&lt;=30,"Young Adults",E1138&lt;=45,"Middle-aged Adults",E1138&gt;45,"Old Adults")</f>
        <v>Young Adults</v>
      </c>
    </row>
    <row r="1139" spans="1:11" x14ac:dyDescent="0.45">
      <c r="A1139" s="2">
        <v>1335</v>
      </c>
      <c r="B1139" s="2" t="s">
        <v>1440</v>
      </c>
      <c r="C1139" s="2" t="s">
        <v>85</v>
      </c>
      <c r="D1139" s="2" t="s">
        <v>26</v>
      </c>
      <c r="E1139" s="2">
        <v>30</v>
      </c>
      <c r="F1139" s="2">
        <v>80</v>
      </c>
      <c r="G1139" s="2">
        <v>173</v>
      </c>
      <c r="H1139" s="9">
        <f t="shared" si="17"/>
        <v>26.729927495071667</v>
      </c>
      <c r="I1139" s="2" t="str" cm="1">
        <f t="array" ref="I1139">_xlfn.IFS(F1139&gt;=100,"Over weight",F1139&lt;100,"Average weight")</f>
        <v>Average weight</v>
      </c>
      <c r="J1139" s="2" t="str" cm="1">
        <f t="array" ref="J1139">_xlfn.IFS(G1139&lt;164,"Below Average height",G1139&gt;=165,"Above Average height",G1139=164,"Average height")</f>
        <v>Above Average height</v>
      </c>
      <c r="K1139" s="2" t="str" cm="1">
        <f t="array" ref="K1139">_xlfn.IFS(E1139&lt;=16,"Children",E1139&lt;=30,"Young Adults",E1139&lt;=45,"Middle-aged Adults",E1139&gt;45,"Old Adults")</f>
        <v>Young Adults</v>
      </c>
    </row>
    <row r="1140" spans="1:11" x14ac:dyDescent="0.45">
      <c r="A1140" s="2">
        <v>1336</v>
      </c>
      <c r="B1140" s="2" t="s">
        <v>1441</v>
      </c>
      <c r="C1140" s="2" t="s">
        <v>90</v>
      </c>
      <c r="D1140" s="2" t="s">
        <v>6</v>
      </c>
      <c r="E1140" s="2">
        <v>35</v>
      </c>
      <c r="F1140" s="2">
        <v>93</v>
      </c>
      <c r="G1140" s="2">
        <v>176</v>
      </c>
      <c r="H1140" s="9">
        <f t="shared" si="17"/>
        <v>30.023243801652892</v>
      </c>
      <c r="I1140" s="2" t="str" cm="1">
        <f t="array" ref="I1140">_xlfn.IFS(F1140&gt;=100,"Over weight",F1140&lt;100,"Average weight")</f>
        <v>Average weight</v>
      </c>
      <c r="J1140" s="2" t="str" cm="1">
        <f t="array" ref="J1140">_xlfn.IFS(G1140&lt;164,"Below Average height",G1140&gt;=165,"Above Average height",G1140=164,"Average height")</f>
        <v>Above Average height</v>
      </c>
      <c r="K1140" s="2" t="str" cm="1">
        <f t="array" ref="K1140">_xlfn.IFS(E1140&lt;=16,"Children",E1140&lt;=30,"Young Adults",E1140&lt;=45,"Middle-aged Adults",E1140&gt;45,"Old Adults")</f>
        <v>Middle-aged Adults</v>
      </c>
    </row>
    <row r="1141" spans="1:11" x14ac:dyDescent="0.45">
      <c r="A1141" s="2">
        <v>1337</v>
      </c>
      <c r="B1141" s="2" t="s">
        <v>1442</v>
      </c>
      <c r="C1141" s="2" t="s">
        <v>89</v>
      </c>
      <c r="D1141" s="2" t="s">
        <v>66</v>
      </c>
      <c r="E1141" s="2">
        <v>29</v>
      </c>
      <c r="F1141" s="2">
        <v>78</v>
      </c>
      <c r="G1141" s="2">
        <v>178</v>
      </c>
      <c r="H1141" s="9">
        <f t="shared" si="17"/>
        <v>24.618103774775911</v>
      </c>
      <c r="I1141" s="2" t="str" cm="1">
        <f t="array" ref="I1141">_xlfn.IFS(F1141&gt;=100,"Over weight",F1141&lt;100,"Average weight")</f>
        <v>Average weight</v>
      </c>
      <c r="J1141" s="2" t="str" cm="1">
        <f t="array" ref="J1141">_xlfn.IFS(G1141&lt;164,"Below Average height",G1141&gt;=165,"Above Average height",G1141=164,"Average height")</f>
        <v>Above Average height</v>
      </c>
      <c r="K1141" s="2" t="str" cm="1">
        <f t="array" ref="K1141">_xlfn.IFS(E1141&lt;=16,"Children",E1141&lt;=30,"Young Adults",E1141&lt;=45,"Middle-aged Adults",E1141&gt;45,"Old Adults")</f>
        <v>Young Adults</v>
      </c>
    </row>
    <row r="1142" spans="1:11" x14ac:dyDescent="0.45">
      <c r="A1142" s="2">
        <v>1338</v>
      </c>
      <c r="B1142" s="2" t="s">
        <v>1443</v>
      </c>
      <c r="C1142" s="2" t="s">
        <v>89</v>
      </c>
      <c r="D1142" s="2" t="s">
        <v>66</v>
      </c>
      <c r="E1142" s="2">
        <v>24</v>
      </c>
      <c r="F1142" s="2">
        <v>70</v>
      </c>
      <c r="G1142" s="2">
        <v>175</v>
      </c>
      <c r="H1142" s="9">
        <f t="shared" si="17"/>
        <v>22.857142857142858</v>
      </c>
      <c r="I1142" s="2" t="str" cm="1">
        <f t="array" ref="I1142">_xlfn.IFS(F1142&gt;=100,"Over weight",F1142&lt;100,"Average weight")</f>
        <v>Average weight</v>
      </c>
      <c r="J1142" s="2" t="str" cm="1">
        <f t="array" ref="J1142">_xlfn.IFS(G1142&lt;164,"Below Average height",G1142&gt;=165,"Above Average height",G1142=164,"Average height")</f>
        <v>Above Average height</v>
      </c>
      <c r="K1142" s="2" t="str" cm="1">
        <f t="array" ref="K1142">_xlfn.IFS(E1142&lt;=16,"Children",E1142&lt;=30,"Young Adults",E1142&lt;=45,"Middle-aged Adults",E1142&gt;45,"Old Adults")</f>
        <v>Young Adults</v>
      </c>
    </row>
    <row r="1143" spans="1:11" x14ac:dyDescent="0.45">
      <c r="A1143" s="2">
        <v>1339</v>
      </c>
      <c r="B1143" s="2" t="s">
        <v>1444</v>
      </c>
      <c r="C1143" s="2" t="s">
        <v>95</v>
      </c>
      <c r="D1143" s="2" t="s">
        <v>28</v>
      </c>
      <c r="E1143" s="2">
        <v>20</v>
      </c>
      <c r="F1143" s="2">
        <v>98</v>
      </c>
      <c r="G1143" s="2">
        <v>191</v>
      </c>
      <c r="H1143" s="9">
        <f t="shared" si="17"/>
        <v>26.863298703434666</v>
      </c>
      <c r="I1143" s="2" t="str" cm="1">
        <f t="array" ref="I1143">_xlfn.IFS(F1143&gt;=100,"Over weight",F1143&lt;100,"Average weight")</f>
        <v>Average weight</v>
      </c>
      <c r="J1143" s="2" t="str" cm="1">
        <f t="array" ref="J1143">_xlfn.IFS(G1143&lt;164,"Below Average height",G1143&gt;=165,"Above Average height",G1143=164,"Average height")</f>
        <v>Above Average height</v>
      </c>
      <c r="K1143" s="2" t="str" cm="1">
        <f t="array" ref="K1143">_xlfn.IFS(E1143&lt;=16,"Children",E1143&lt;=30,"Young Adults",E1143&lt;=45,"Middle-aged Adults",E1143&gt;45,"Old Adults")</f>
        <v>Young Adults</v>
      </c>
    </row>
    <row r="1144" spans="1:11" x14ac:dyDescent="0.45">
      <c r="A1144" s="2">
        <v>1340</v>
      </c>
      <c r="B1144" s="2" t="s">
        <v>1445</v>
      </c>
      <c r="C1144" s="2" t="s">
        <v>90</v>
      </c>
      <c r="D1144" s="2" t="s">
        <v>5</v>
      </c>
      <c r="E1144" s="2">
        <v>27</v>
      </c>
      <c r="F1144" s="2">
        <v>63</v>
      </c>
      <c r="G1144" s="2">
        <v>168</v>
      </c>
      <c r="H1144" s="9">
        <f t="shared" si="17"/>
        <v>22.321428571428577</v>
      </c>
      <c r="I1144" s="2" t="str" cm="1">
        <f t="array" ref="I1144">_xlfn.IFS(F1144&gt;=100,"Over weight",F1144&lt;100,"Average weight")</f>
        <v>Average weight</v>
      </c>
      <c r="J1144" s="2" t="str" cm="1">
        <f t="array" ref="J1144">_xlfn.IFS(G1144&lt;164,"Below Average height",G1144&gt;=165,"Above Average height",G1144=164,"Average height")</f>
        <v>Above Average height</v>
      </c>
      <c r="K1144" s="2" t="str" cm="1">
        <f t="array" ref="K1144">_xlfn.IFS(E1144&lt;=16,"Children",E1144&lt;=30,"Young Adults",E1144&lt;=45,"Middle-aged Adults",E1144&gt;45,"Old Adults")</f>
        <v>Young Adults</v>
      </c>
    </row>
    <row r="1145" spans="1:11" x14ac:dyDescent="0.45">
      <c r="A1145" s="2">
        <v>1341</v>
      </c>
      <c r="B1145" s="2" t="s">
        <v>1446</v>
      </c>
      <c r="C1145" s="2" t="s">
        <v>96</v>
      </c>
      <c r="D1145" s="2" t="s">
        <v>30</v>
      </c>
      <c r="E1145" s="2">
        <v>44</v>
      </c>
      <c r="F1145" s="2">
        <v>98</v>
      </c>
      <c r="G1145" s="2">
        <v>176</v>
      </c>
      <c r="H1145" s="9">
        <f t="shared" si="17"/>
        <v>31.637396694214878</v>
      </c>
      <c r="I1145" s="2" t="str" cm="1">
        <f t="array" ref="I1145">_xlfn.IFS(F1145&gt;=100,"Over weight",F1145&lt;100,"Average weight")</f>
        <v>Average weight</v>
      </c>
      <c r="J1145" s="2" t="str" cm="1">
        <f t="array" ref="J1145">_xlfn.IFS(G1145&lt;164,"Below Average height",G1145&gt;=165,"Above Average height",G1145=164,"Average height")</f>
        <v>Above Average height</v>
      </c>
      <c r="K1145" s="2" t="str" cm="1">
        <f t="array" ref="K1145">_xlfn.IFS(E1145&lt;=16,"Children",E1145&lt;=30,"Young Adults",E1145&lt;=45,"Middle-aged Adults",E1145&gt;45,"Old Adults")</f>
        <v>Middle-aged Adults</v>
      </c>
    </row>
    <row r="1146" spans="1:11" x14ac:dyDescent="0.45">
      <c r="A1146" s="2">
        <v>1342</v>
      </c>
      <c r="B1146" s="2" t="s">
        <v>1447</v>
      </c>
      <c r="C1146" s="2" t="s">
        <v>97</v>
      </c>
      <c r="D1146" s="2" t="s">
        <v>80</v>
      </c>
      <c r="E1146" s="2">
        <v>33</v>
      </c>
      <c r="F1146" s="2">
        <v>68</v>
      </c>
      <c r="G1146" s="2">
        <v>179</v>
      </c>
      <c r="H1146" s="9">
        <f t="shared" si="17"/>
        <v>21.222808276895229</v>
      </c>
      <c r="I1146" s="2" t="str" cm="1">
        <f t="array" ref="I1146">_xlfn.IFS(F1146&gt;=100,"Over weight",F1146&lt;100,"Average weight")</f>
        <v>Average weight</v>
      </c>
      <c r="J1146" s="2" t="str" cm="1">
        <f t="array" ref="J1146">_xlfn.IFS(G1146&lt;164,"Below Average height",G1146&gt;=165,"Above Average height",G1146=164,"Average height")</f>
        <v>Above Average height</v>
      </c>
      <c r="K1146" s="2" t="str" cm="1">
        <f t="array" ref="K1146">_xlfn.IFS(E1146&lt;=16,"Children",E1146&lt;=30,"Young Adults",E1146&lt;=45,"Middle-aged Adults",E1146&gt;45,"Old Adults")</f>
        <v>Middle-aged Adults</v>
      </c>
    </row>
    <row r="1147" spans="1:11" x14ac:dyDescent="0.45">
      <c r="A1147" s="2">
        <v>1343</v>
      </c>
      <c r="B1147" s="2" t="s">
        <v>1448</v>
      </c>
      <c r="C1147" s="2" t="s">
        <v>85</v>
      </c>
      <c r="D1147" s="2" t="s">
        <v>60</v>
      </c>
      <c r="E1147" s="2">
        <v>18</v>
      </c>
      <c r="F1147" s="2">
        <v>98</v>
      </c>
      <c r="G1147" s="2">
        <v>189</v>
      </c>
      <c r="H1147" s="9">
        <f t="shared" si="17"/>
        <v>27.434842249657066</v>
      </c>
      <c r="I1147" s="2" t="str" cm="1">
        <f t="array" ref="I1147">_xlfn.IFS(F1147&gt;=100,"Over weight",F1147&lt;100,"Average weight")</f>
        <v>Average weight</v>
      </c>
      <c r="J1147" s="2" t="str" cm="1">
        <f t="array" ref="J1147">_xlfn.IFS(G1147&lt;164,"Below Average height",G1147&gt;=165,"Above Average height",G1147=164,"Average height")</f>
        <v>Above Average height</v>
      </c>
      <c r="K1147" s="2" t="str" cm="1">
        <f t="array" ref="K1147">_xlfn.IFS(E1147&lt;=16,"Children",E1147&lt;=30,"Young Adults",E1147&lt;=45,"Middle-aged Adults",E1147&gt;45,"Old Adults")</f>
        <v>Young Adults</v>
      </c>
    </row>
    <row r="1148" spans="1:11" x14ac:dyDescent="0.45">
      <c r="A1148" s="2">
        <v>1344</v>
      </c>
      <c r="B1148" s="2" t="s">
        <v>1449</v>
      </c>
      <c r="C1148" s="2" t="s">
        <v>96</v>
      </c>
      <c r="D1148" s="2" t="s">
        <v>60</v>
      </c>
      <c r="E1148" s="2">
        <v>28</v>
      </c>
      <c r="F1148" s="2">
        <v>59</v>
      </c>
      <c r="G1148" s="2">
        <v>189</v>
      </c>
      <c r="H1148" s="9">
        <f t="shared" si="17"/>
        <v>16.516894823773132</v>
      </c>
      <c r="I1148" s="2" t="str" cm="1">
        <f t="array" ref="I1148">_xlfn.IFS(F1148&gt;=100,"Over weight",F1148&lt;100,"Average weight")</f>
        <v>Average weight</v>
      </c>
      <c r="J1148" s="2" t="str" cm="1">
        <f t="array" ref="J1148">_xlfn.IFS(G1148&lt;164,"Below Average height",G1148&gt;=165,"Above Average height",G1148=164,"Average height")</f>
        <v>Above Average height</v>
      </c>
      <c r="K1148" s="2" t="str" cm="1">
        <f t="array" ref="K1148">_xlfn.IFS(E1148&lt;=16,"Children",E1148&lt;=30,"Young Adults",E1148&lt;=45,"Middle-aged Adults",E1148&gt;45,"Old Adults")</f>
        <v>Young Adults</v>
      </c>
    </row>
    <row r="1149" spans="1:11" x14ac:dyDescent="0.45">
      <c r="A1149" s="2">
        <v>1345</v>
      </c>
      <c r="B1149" s="2" t="s">
        <v>1450</v>
      </c>
      <c r="C1149" s="2" t="s">
        <v>90</v>
      </c>
      <c r="D1149" s="2" t="s">
        <v>28</v>
      </c>
      <c r="E1149" s="2">
        <v>28</v>
      </c>
      <c r="F1149" s="2">
        <v>85</v>
      </c>
      <c r="G1149" s="2">
        <v>182</v>
      </c>
      <c r="H1149" s="9">
        <f t="shared" si="17"/>
        <v>25.661152034778407</v>
      </c>
      <c r="I1149" s="2" t="str" cm="1">
        <f t="array" ref="I1149">_xlfn.IFS(F1149&gt;=100,"Over weight",F1149&lt;100,"Average weight")</f>
        <v>Average weight</v>
      </c>
      <c r="J1149" s="2" t="str" cm="1">
        <f t="array" ref="J1149">_xlfn.IFS(G1149&lt;164,"Below Average height",G1149&gt;=165,"Above Average height",G1149=164,"Average height")</f>
        <v>Above Average height</v>
      </c>
      <c r="K1149" s="2" t="str" cm="1">
        <f t="array" ref="K1149">_xlfn.IFS(E1149&lt;=16,"Children",E1149&lt;=30,"Young Adults",E1149&lt;=45,"Middle-aged Adults",E1149&gt;45,"Old Adults")</f>
        <v>Young Adults</v>
      </c>
    </row>
    <row r="1150" spans="1:11" x14ac:dyDescent="0.45">
      <c r="A1150" s="2">
        <v>1346</v>
      </c>
      <c r="B1150" s="2" t="s">
        <v>1451</v>
      </c>
      <c r="C1150" s="2" t="s">
        <v>92</v>
      </c>
      <c r="D1150" s="2" t="s">
        <v>6</v>
      </c>
      <c r="E1150" s="2">
        <v>30</v>
      </c>
      <c r="F1150" s="2">
        <v>63</v>
      </c>
      <c r="G1150" s="2">
        <v>180</v>
      </c>
      <c r="H1150" s="9">
        <f t="shared" si="17"/>
        <v>19.444444444444443</v>
      </c>
      <c r="I1150" s="2" t="str" cm="1">
        <f t="array" ref="I1150">_xlfn.IFS(F1150&gt;=100,"Over weight",F1150&lt;100,"Average weight")</f>
        <v>Average weight</v>
      </c>
      <c r="J1150" s="2" t="str" cm="1">
        <f t="array" ref="J1150">_xlfn.IFS(G1150&lt;164,"Below Average height",G1150&gt;=165,"Above Average height",G1150=164,"Average height")</f>
        <v>Above Average height</v>
      </c>
      <c r="K1150" s="2" t="str" cm="1">
        <f t="array" ref="K1150">_xlfn.IFS(E1150&lt;=16,"Children",E1150&lt;=30,"Young Adults",E1150&lt;=45,"Middle-aged Adults",E1150&gt;45,"Old Adults")</f>
        <v>Young Adults</v>
      </c>
    </row>
    <row r="1151" spans="1:11" x14ac:dyDescent="0.45">
      <c r="A1151" s="2">
        <v>1347</v>
      </c>
      <c r="B1151" s="2" t="s">
        <v>1452</v>
      </c>
      <c r="C1151" s="2" t="s">
        <v>85</v>
      </c>
      <c r="D1151" s="2" t="s">
        <v>69</v>
      </c>
      <c r="E1151" s="2">
        <v>28</v>
      </c>
      <c r="F1151" s="2">
        <v>62</v>
      </c>
      <c r="G1151" s="2">
        <v>168</v>
      </c>
      <c r="H1151" s="9">
        <f t="shared" si="17"/>
        <v>21.9671201814059</v>
      </c>
      <c r="I1151" s="2" t="str" cm="1">
        <f t="array" ref="I1151">_xlfn.IFS(F1151&gt;=100,"Over weight",F1151&lt;100,"Average weight")</f>
        <v>Average weight</v>
      </c>
      <c r="J1151" s="2" t="str" cm="1">
        <f t="array" ref="J1151">_xlfn.IFS(G1151&lt;164,"Below Average height",G1151&gt;=165,"Above Average height",G1151=164,"Average height")</f>
        <v>Above Average height</v>
      </c>
      <c r="K1151" s="2" t="str" cm="1">
        <f t="array" ref="K1151">_xlfn.IFS(E1151&lt;=16,"Children",E1151&lt;=30,"Young Adults",E1151&lt;=45,"Middle-aged Adults",E1151&gt;45,"Old Adults")</f>
        <v>Young Adults</v>
      </c>
    </row>
    <row r="1152" spans="1:11" x14ac:dyDescent="0.45">
      <c r="A1152" s="2">
        <v>1348</v>
      </c>
      <c r="B1152" s="2" t="s">
        <v>1453</v>
      </c>
      <c r="C1152" s="2" t="s">
        <v>94</v>
      </c>
      <c r="D1152" s="2" t="s">
        <v>39</v>
      </c>
      <c r="E1152" s="2">
        <v>30</v>
      </c>
      <c r="F1152" s="2">
        <v>54</v>
      </c>
      <c r="G1152" s="2">
        <v>167</v>
      </c>
      <c r="H1152" s="9">
        <f t="shared" si="17"/>
        <v>19.362472659471475</v>
      </c>
      <c r="I1152" s="2" t="str" cm="1">
        <f t="array" ref="I1152">_xlfn.IFS(F1152&gt;=100,"Over weight",F1152&lt;100,"Average weight")</f>
        <v>Average weight</v>
      </c>
      <c r="J1152" s="2" t="str" cm="1">
        <f t="array" ref="J1152">_xlfn.IFS(G1152&lt;164,"Below Average height",G1152&gt;=165,"Above Average height",G1152=164,"Average height")</f>
        <v>Above Average height</v>
      </c>
      <c r="K1152" s="2" t="str" cm="1">
        <f t="array" ref="K1152">_xlfn.IFS(E1152&lt;=16,"Children",E1152&lt;=30,"Young Adults",E1152&lt;=45,"Middle-aged Adults",E1152&gt;45,"Old Adults")</f>
        <v>Young Adults</v>
      </c>
    </row>
    <row r="1153" spans="1:11" x14ac:dyDescent="0.45">
      <c r="A1153" s="2">
        <v>1349</v>
      </c>
      <c r="B1153" s="2" t="s">
        <v>1454</v>
      </c>
      <c r="C1153" s="2" t="s">
        <v>85</v>
      </c>
      <c r="D1153" s="2" t="s">
        <v>12</v>
      </c>
      <c r="E1153" s="2">
        <v>22</v>
      </c>
      <c r="F1153" s="2">
        <v>85</v>
      </c>
      <c r="G1153" s="2">
        <v>178</v>
      </c>
      <c r="H1153" s="9">
        <f t="shared" si="17"/>
        <v>26.82742078020452</v>
      </c>
      <c r="I1153" s="2" t="str" cm="1">
        <f t="array" ref="I1153">_xlfn.IFS(F1153&gt;=100,"Over weight",F1153&lt;100,"Average weight")</f>
        <v>Average weight</v>
      </c>
      <c r="J1153" s="2" t="str" cm="1">
        <f t="array" ref="J1153">_xlfn.IFS(G1153&lt;164,"Below Average height",G1153&gt;=165,"Above Average height",G1153=164,"Average height")</f>
        <v>Above Average height</v>
      </c>
      <c r="K1153" s="2" t="str" cm="1">
        <f t="array" ref="K1153">_xlfn.IFS(E1153&lt;=16,"Children",E1153&lt;=30,"Young Adults",E1153&lt;=45,"Middle-aged Adults",E1153&gt;45,"Old Adults")</f>
        <v>Young Adults</v>
      </c>
    </row>
    <row r="1154" spans="1:11" x14ac:dyDescent="0.45">
      <c r="A1154" s="2">
        <v>1350</v>
      </c>
      <c r="B1154" s="2" t="s">
        <v>1455</v>
      </c>
      <c r="C1154" s="2" t="s">
        <v>93</v>
      </c>
      <c r="D1154" s="2" t="s">
        <v>26</v>
      </c>
      <c r="E1154" s="2">
        <v>21</v>
      </c>
      <c r="F1154" s="2">
        <v>65</v>
      </c>
      <c r="G1154" s="2">
        <v>173</v>
      </c>
      <c r="H1154" s="9">
        <f t="shared" ref="H1154:H1217" si="18" xml:space="preserve"> F1154 / (( G1154/ 100) ^ 2)</f>
        <v>21.718066089745729</v>
      </c>
      <c r="I1154" s="2" t="str" cm="1">
        <f t="array" ref="I1154">_xlfn.IFS(F1154&gt;=100,"Over weight",F1154&lt;100,"Average weight")</f>
        <v>Average weight</v>
      </c>
      <c r="J1154" s="2" t="str" cm="1">
        <f t="array" ref="J1154">_xlfn.IFS(G1154&lt;164,"Below Average height",G1154&gt;=165,"Above Average height",G1154=164,"Average height")</f>
        <v>Above Average height</v>
      </c>
      <c r="K1154" s="2" t="str" cm="1">
        <f t="array" ref="K1154">_xlfn.IFS(E1154&lt;=16,"Children",E1154&lt;=30,"Young Adults",E1154&lt;=45,"Middle-aged Adults",E1154&gt;45,"Old Adults")</f>
        <v>Young Adults</v>
      </c>
    </row>
    <row r="1155" spans="1:11" x14ac:dyDescent="0.45">
      <c r="A1155" s="2">
        <v>1351</v>
      </c>
      <c r="B1155" s="2" t="s">
        <v>1456</v>
      </c>
      <c r="C1155" s="2" t="s">
        <v>93</v>
      </c>
      <c r="D1155" s="2" t="s">
        <v>14</v>
      </c>
      <c r="E1155" s="2">
        <v>37</v>
      </c>
      <c r="F1155" s="2">
        <v>60</v>
      </c>
      <c r="G1155" s="2">
        <v>168</v>
      </c>
      <c r="H1155" s="9">
        <f t="shared" si="18"/>
        <v>21.258503401360546</v>
      </c>
      <c r="I1155" s="2" t="str" cm="1">
        <f t="array" ref="I1155">_xlfn.IFS(F1155&gt;=100,"Over weight",F1155&lt;100,"Average weight")</f>
        <v>Average weight</v>
      </c>
      <c r="J1155" s="2" t="str" cm="1">
        <f t="array" ref="J1155">_xlfn.IFS(G1155&lt;164,"Below Average height",G1155&gt;=165,"Above Average height",G1155=164,"Average height")</f>
        <v>Above Average height</v>
      </c>
      <c r="K1155" s="2" t="str" cm="1">
        <f t="array" ref="K1155">_xlfn.IFS(E1155&lt;=16,"Children",E1155&lt;=30,"Young Adults",E1155&lt;=45,"Middle-aged Adults",E1155&gt;45,"Old Adults")</f>
        <v>Middle-aged Adults</v>
      </c>
    </row>
    <row r="1156" spans="1:11" x14ac:dyDescent="0.45">
      <c r="A1156" s="2">
        <v>1352</v>
      </c>
      <c r="B1156" s="2" t="s">
        <v>1457</v>
      </c>
      <c r="C1156" s="2" t="s">
        <v>90</v>
      </c>
      <c r="D1156" s="2" t="s">
        <v>70</v>
      </c>
      <c r="E1156" s="2">
        <v>32</v>
      </c>
      <c r="F1156" s="2">
        <v>93</v>
      </c>
      <c r="G1156" s="2">
        <v>196</v>
      </c>
      <c r="H1156" s="9">
        <f t="shared" si="18"/>
        <v>24.20866305705956</v>
      </c>
      <c r="I1156" s="2" t="str" cm="1">
        <f t="array" ref="I1156">_xlfn.IFS(F1156&gt;=100,"Over weight",F1156&lt;100,"Average weight")</f>
        <v>Average weight</v>
      </c>
      <c r="J1156" s="2" t="str" cm="1">
        <f t="array" ref="J1156">_xlfn.IFS(G1156&lt;164,"Below Average height",G1156&gt;=165,"Above Average height",G1156=164,"Average height")</f>
        <v>Above Average height</v>
      </c>
      <c r="K1156" s="2" t="str" cm="1">
        <f t="array" ref="K1156">_xlfn.IFS(E1156&lt;=16,"Children",E1156&lt;=30,"Young Adults",E1156&lt;=45,"Middle-aged Adults",E1156&gt;45,"Old Adults")</f>
        <v>Middle-aged Adults</v>
      </c>
    </row>
    <row r="1157" spans="1:11" x14ac:dyDescent="0.45">
      <c r="A1157" s="2">
        <v>1354</v>
      </c>
      <c r="B1157" s="2" t="s">
        <v>1459</v>
      </c>
      <c r="C1157" s="2" t="s">
        <v>95</v>
      </c>
      <c r="D1157" s="2" t="s">
        <v>79</v>
      </c>
      <c r="E1157" s="2">
        <v>40</v>
      </c>
      <c r="F1157" s="2">
        <v>90</v>
      </c>
      <c r="G1157" s="2">
        <v>170</v>
      </c>
      <c r="H1157" s="9">
        <f t="shared" si="18"/>
        <v>31.141868512110729</v>
      </c>
      <c r="I1157" s="2" t="str" cm="1">
        <f t="array" ref="I1157">_xlfn.IFS(F1157&gt;=100,"Over weight",F1157&lt;100,"Average weight")</f>
        <v>Average weight</v>
      </c>
      <c r="J1157" s="2" t="str" cm="1">
        <f t="array" ref="J1157">_xlfn.IFS(G1157&lt;164,"Below Average height",G1157&gt;=165,"Above Average height",G1157=164,"Average height")</f>
        <v>Above Average height</v>
      </c>
      <c r="K1157" s="2" t="str" cm="1">
        <f t="array" ref="K1157">_xlfn.IFS(E1157&lt;=16,"Children",E1157&lt;=30,"Young Adults",E1157&lt;=45,"Middle-aged Adults",E1157&gt;45,"Old Adults")</f>
        <v>Middle-aged Adults</v>
      </c>
    </row>
    <row r="1158" spans="1:11" x14ac:dyDescent="0.45">
      <c r="A1158" s="2">
        <v>1355</v>
      </c>
      <c r="B1158" s="2" t="s">
        <v>1460</v>
      </c>
      <c r="C1158" s="2" t="s">
        <v>90</v>
      </c>
      <c r="D1158" s="2" t="s">
        <v>14</v>
      </c>
      <c r="E1158" s="2">
        <v>39</v>
      </c>
      <c r="F1158" s="2">
        <v>100</v>
      </c>
      <c r="G1158" s="2">
        <v>184</v>
      </c>
      <c r="H1158" s="9">
        <f t="shared" si="18"/>
        <v>29.536862003780715</v>
      </c>
      <c r="I1158" s="2" t="str" cm="1">
        <f t="array" ref="I1158">_xlfn.IFS(F1158&gt;=100,"Over weight",F1158&lt;100,"Average weight")</f>
        <v>Over weight</v>
      </c>
      <c r="J1158" s="2" t="str" cm="1">
        <f t="array" ref="J1158">_xlfn.IFS(G1158&lt;164,"Below Average height",G1158&gt;=165,"Above Average height",G1158=164,"Average height")</f>
        <v>Above Average height</v>
      </c>
      <c r="K1158" s="2" t="str" cm="1">
        <f t="array" ref="K1158">_xlfn.IFS(E1158&lt;=16,"Children",E1158&lt;=30,"Young Adults",E1158&lt;=45,"Middle-aged Adults",E1158&gt;45,"Old Adults")</f>
        <v>Middle-aged Adults</v>
      </c>
    </row>
    <row r="1159" spans="1:11" x14ac:dyDescent="0.45">
      <c r="A1159" s="2">
        <v>1356</v>
      </c>
      <c r="B1159" s="2" t="s">
        <v>1461</v>
      </c>
      <c r="C1159" s="2" t="s">
        <v>87</v>
      </c>
      <c r="D1159" s="2" t="s">
        <v>75</v>
      </c>
      <c r="E1159" s="2">
        <v>23</v>
      </c>
      <c r="F1159" s="2">
        <v>63</v>
      </c>
      <c r="G1159" s="2">
        <v>173</v>
      </c>
      <c r="H1159" s="9">
        <f t="shared" si="18"/>
        <v>21.04981790236894</v>
      </c>
      <c r="I1159" s="2" t="str" cm="1">
        <f t="array" ref="I1159">_xlfn.IFS(F1159&gt;=100,"Over weight",F1159&lt;100,"Average weight")</f>
        <v>Average weight</v>
      </c>
      <c r="J1159" s="2" t="str" cm="1">
        <f t="array" ref="J1159">_xlfn.IFS(G1159&lt;164,"Below Average height",G1159&gt;=165,"Above Average height",G1159=164,"Average height")</f>
        <v>Above Average height</v>
      </c>
      <c r="K1159" s="2" t="str" cm="1">
        <f t="array" ref="K1159">_xlfn.IFS(E1159&lt;=16,"Children",E1159&lt;=30,"Young Adults",E1159&lt;=45,"Middle-aged Adults",E1159&gt;45,"Old Adults")</f>
        <v>Young Adults</v>
      </c>
    </row>
    <row r="1160" spans="1:11" x14ac:dyDescent="0.45">
      <c r="A1160" s="2">
        <v>1357</v>
      </c>
      <c r="B1160" s="2" t="s">
        <v>1462</v>
      </c>
      <c r="C1160" s="2" t="s">
        <v>90</v>
      </c>
      <c r="D1160" s="2" t="s">
        <v>14</v>
      </c>
      <c r="E1160" s="2">
        <v>27</v>
      </c>
      <c r="F1160" s="2">
        <v>101</v>
      </c>
      <c r="G1160" s="2">
        <v>186</v>
      </c>
      <c r="H1160" s="9">
        <f t="shared" si="18"/>
        <v>29.194126488611396</v>
      </c>
      <c r="I1160" s="2" t="str" cm="1">
        <f t="array" ref="I1160">_xlfn.IFS(F1160&gt;=100,"Over weight",F1160&lt;100,"Average weight")</f>
        <v>Over weight</v>
      </c>
      <c r="J1160" s="2" t="str" cm="1">
        <f t="array" ref="J1160">_xlfn.IFS(G1160&lt;164,"Below Average height",G1160&gt;=165,"Above Average height",G1160=164,"Average height")</f>
        <v>Above Average height</v>
      </c>
      <c r="K1160" s="2" t="str" cm="1">
        <f t="array" ref="K1160">_xlfn.IFS(E1160&lt;=16,"Children",E1160&lt;=30,"Young Adults",E1160&lt;=45,"Middle-aged Adults",E1160&gt;45,"Old Adults")</f>
        <v>Young Adults</v>
      </c>
    </row>
    <row r="1161" spans="1:11" x14ac:dyDescent="0.45">
      <c r="A1161" s="2">
        <v>1358</v>
      </c>
      <c r="B1161" s="2" t="s">
        <v>1463</v>
      </c>
      <c r="C1161" s="2" t="s">
        <v>96</v>
      </c>
      <c r="D1161" s="2" t="s">
        <v>74</v>
      </c>
      <c r="E1161" s="2">
        <v>38</v>
      </c>
      <c r="F1161" s="2">
        <v>59</v>
      </c>
      <c r="G1161" s="2">
        <v>169</v>
      </c>
      <c r="H1161" s="9">
        <f t="shared" si="18"/>
        <v>20.65754000210077</v>
      </c>
      <c r="I1161" s="2" t="str" cm="1">
        <f t="array" ref="I1161">_xlfn.IFS(F1161&gt;=100,"Over weight",F1161&lt;100,"Average weight")</f>
        <v>Average weight</v>
      </c>
      <c r="J1161" s="2" t="str" cm="1">
        <f t="array" ref="J1161">_xlfn.IFS(G1161&lt;164,"Below Average height",G1161&gt;=165,"Above Average height",G1161=164,"Average height")</f>
        <v>Above Average height</v>
      </c>
      <c r="K1161" s="2" t="str" cm="1">
        <f t="array" ref="K1161">_xlfn.IFS(E1161&lt;=16,"Children",E1161&lt;=30,"Young Adults",E1161&lt;=45,"Middle-aged Adults",E1161&gt;45,"Old Adults")</f>
        <v>Middle-aged Adults</v>
      </c>
    </row>
    <row r="1162" spans="1:11" x14ac:dyDescent="0.45">
      <c r="A1162" s="2">
        <v>1359</v>
      </c>
      <c r="B1162" s="2" t="s">
        <v>1464</v>
      </c>
      <c r="C1162" s="2" t="s">
        <v>91</v>
      </c>
      <c r="D1162" s="2" t="s">
        <v>60</v>
      </c>
      <c r="E1162" s="2">
        <v>35</v>
      </c>
      <c r="F1162" s="2">
        <v>96</v>
      </c>
      <c r="G1162" s="2">
        <v>187</v>
      </c>
      <c r="H1162" s="9">
        <f t="shared" si="18"/>
        <v>27.45288684263204</v>
      </c>
      <c r="I1162" s="2" t="str" cm="1">
        <f t="array" ref="I1162">_xlfn.IFS(F1162&gt;=100,"Over weight",F1162&lt;100,"Average weight")</f>
        <v>Average weight</v>
      </c>
      <c r="J1162" s="2" t="str" cm="1">
        <f t="array" ref="J1162">_xlfn.IFS(G1162&lt;164,"Below Average height",G1162&gt;=165,"Above Average height",G1162=164,"Average height")</f>
        <v>Above Average height</v>
      </c>
      <c r="K1162" s="2" t="str" cm="1">
        <f t="array" ref="K1162">_xlfn.IFS(E1162&lt;=16,"Children",E1162&lt;=30,"Young Adults",E1162&lt;=45,"Middle-aged Adults",E1162&gt;45,"Old Adults")</f>
        <v>Middle-aged Adults</v>
      </c>
    </row>
    <row r="1163" spans="1:11" x14ac:dyDescent="0.45">
      <c r="A1163" s="2">
        <v>1360</v>
      </c>
      <c r="B1163" s="2" t="s">
        <v>1465</v>
      </c>
      <c r="C1163" s="2" t="s">
        <v>100</v>
      </c>
      <c r="D1163" s="2" t="s">
        <v>80</v>
      </c>
      <c r="E1163" s="2">
        <v>30</v>
      </c>
      <c r="F1163" s="2">
        <v>83</v>
      </c>
      <c r="G1163" s="2">
        <v>183</v>
      </c>
      <c r="H1163" s="9">
        <f t="shared" si="18"/>
        <v>24.784257517393769</v>
      </c>
      <c r="I1163" s="2" t="str" cm="1">
        <f t="array" ref="I1163">_xlfn.IFS(F1163&gt;=100,"Over weight",F1163&lt;100,"Average weight")</f>
        <v>Average weight</v>
      </c>
      <c r="J1163" s="2" t="str" cm="1">
        <f t="array" ref="J1163">_xlfn.IFS(G1163&lt;164,"Below Average height",G1163&gt;=165,"Above Average height",G1163=164,"Average height")</f>
        <v>Above Average height</v>
      </c>
      <c r="K1163" s="2" t="str" cm="1">
        <f t="array" ref="K1163">_xlfn.IFS(E1163&lt;=16,"Children",E1163&lt;=30,"Young Adults",E1163&lt;=45,"Middle-aged Adults",E1163&gt;45,"Old Adults")</f>
        <v>Young Adults</v>
      </c>
    </row>
    <row r="1164" spans="1:11" x14ac:dyDescent="0.45">
      <c r="A1164" s="2">
        <v>1361</v>
      </c>
      <c r="B1164" s="2" t="s">
        <v>1466</v>
      </c>
      <c r="C1164" s="2" t="s">
        <v>91</v>
      </c>
      <c r="D1164" s="2" t="s">
        <v>74</v>
      </c>
      <c r="E1164" s="2">
        <v>27</v>
      </c>
      <c r="F1164" s="2">
        <v>89</v>
      </c>
      <c r="G1164" s="2">
        <v>185</v>
      </c>
      <c r="H1164" s="9">
        <f t="shared" si="18"/>
        <v>26.004382761139514</v>
      </c>
      <c r="I1164" s="2" t="str" cm="1">
        <f t="array" ref="I1164">_xlfn.IFS(F1164&gt;=100,"Over weight",F1164&lt;100,"Average weight")</f>
        <v>Average weight</v>
      </c>
      <c r="J1164" s="2" t="str" cm="1">
        <f t="array" ref="J1164">_xlfn.IFS(G1164&lt;164,"Below Average height",G1164&gt;=165,"Above Average height",G1164=164,"Average height")</f>
        <v>Above Average height</v>
      </c>
      <c r="K1164" s="2" t="str" cm="1">
        <f t="array" ref="K1164">_xlfn.IFS(E1164&lt;=16,"Children",E1164&lt;=30,"Young Adults",E1164&lt;=45,"Middle-aged Adults",E1164&gt;45,"Old Adults")</f>
        <v>Young Adults</v>
      </c>
    </row>
    <row r="1165" spans="1:11" x14ac:dyDescent="0.45">
      <c r="A1165" s="2">
        <v>1362</v>
      </c>
      <c r="B1165" s="2" t="s">
        <v>1467</v>
      </c>
      <c r="C1165" s="2" t="s">
        <v>94</v>
      </c>
      <c r="D1165" s="2" t="s">
        <v>35</v>
      </c>
      <c r="E1165" s="2">
        <v>25</v>
      </c>
      <c r="F1165" s="2">
        <v>74</v>
      </c>
      <c r="G1165" s="2">
        <v>175</v>
      </c>
      <c r="H1165" s="9">
        <f t="shared" si="18"/>
        <v>24.163265306122447</v>
      </c>
      <c r="I1165" s="2" t="str" cm="1">
        <f t="array" ref="I1165">_xlfn.IFS(F1165&gt;=100,"Over weight",F1165&lt;100,"Average weight")</f>
        <v>Average weight</v>
      </c>
      <c r="J1165" s="2" t="str" cm="1">
        <f t="array" ref="J1165">_xlfn.IFS(G1165&lt;164,"Below Average height",G1165&gt;=165,"Above Average height",G1165=164,"Average height")</f>
        <v>Above Average height</v>
      </c>
      <c r="K1165" s="2" t="str" cm="1">
        <f t="array" ref="K1165">_xlfn.IFS(E1165&lt;=16,"Children",E1165&lt;=30,"Young Adults",E1165&lt;=45,"Middle-aged Adults",E1165&gt;45,"Old Adults")</f>
        <v>Young Adults</v>
      </c>
    </row>
    <row r="1166" spans="1:11" x14ac:dyDescent="0.45">
      <c r="A1166" s="2">
        <v>1363</v>
      </c>
      <c r="B1166" s="2" t="s">
        <v>1468</v>
      </c>
      <c r="C1166" s="2" t="s">
        <v>91</v>
      </c>
      <c r="D1166" s="2" t="s">
        <v>14</v>
      </c>
      <c r="E1166" s="2">
        <v>30</v>
      </c>
      <c r="F1166" s="2">
        <v>94</v>
      </c>
      <c r="G1166" s="2">
        <v>191</v>
      </c>
      <c r="H1166" s="9">
        <f t="shared" si="18"/>
        <v>25.766837531865903</v>
      </c>
      <c r="I1166" s="2" t="str" cm="1">
        <f t="array" ref="I1166">_xlfn.IFS(F1166&gt;=100,"Over weight",F1166&lt;100,"Average weight")</f>
        <v>Average weight</v>
      </c>
      <c r="J1166" s="2" t="str" cm="1">
        <f t="array" ref="J1166">_xlfn.IFS(G1166&lt;164,"Below Average height",G1166&gt;=165,"Above Average height",G1166=164,"Average height")</f>
        <v>Above Average height</v>
      </c>
      <c r="K1166" s="2" t="str" cm="1">
        <f t="array" ref="K1166">_xlfn.IFS(E1166&lt;=16,"Children",E1166&lt;=30,"Young Adults",E1166&lt;=45,"Middle-aged Adults",E1166&gt;45,"Old Adults")</f>
        <v>Young Adults</v>
      </c>
    </row>
    <row r="1167" spans="1:11" x14ac:dyDescent="0.45">
      <c r="A1167" s="2">
        <v>1364</v>
      </c>
      <c r="B1167" s="2" t="s">
        <v>1469</v>
      </c>
      <c r="C1167" s="2" t="s">
        <v>87</v>
      </c>
      <c r="D1167" s="2" t="s">
        <v>25</v>
      </c>
      <c r="E1167" s="2">
        <v>28</v>
      </c>
      <c r="F1167" s="2">
        <v>80</v>
      </c>
      <c r="G1167" s="2">
        <v>185</v>
      </c>
      <c r="H1167" s="9">
        <f t="shared" si="18"/>
        <v>23.374726077428779</v>
      </c>
      <c r="I1167" s="2" t="str" cm="1">
        <f t="array" ref="I1167">_xlfn.IFS(F1167&gt;=100,"Over weight",F1167&lt;100,"Average weight")</f>
        <v>Average weight</v>
      </c>
      <c r="J1167" s="2" t="str" cm="1">
        <f t="array" ref="J1167">_xlfn.IFS(G1167&lt;164,"Below Average height",G1167&gt;=165,"Above Average height",G1167=164,"Average height")</f>
        <v>Above Average height</v>
      </c>
      <c r="K1167" s="2" t="str" cm="1">
        <f t="array" ref="K1167">_xlfn.IFS(E1167&lt;=16,"Children",E1167&lt;=30,"Young Adults",E1167&lt;=45,"Middle-aged Adults",E1167&gt;45,"Old Adults")</f>
        <v>Young Adults</v>
      </c>
    </row>
    <row r="1168" spans="1:11" x14ac:dyDescent="0.45">
      <c r="A1168" s="2">
        <v>1365</v>
      </c>
      <c r="B1168" s="2" t="s">
        <v>1470</v>
      </c>
      <c r="C1168" s="2" t="s">
        <v>91</v>
      </c>
      <c r="D1168" s="2" t="s">
        <v>25</v>
      </c>
      <c r="E1168" s="2">
        <v>32</v>
      </c>
      <c r="F1168" s="2">
        <v>90</v>
      </c>
      <c r="G1168" s="2">
        <v>185</v>
      </c>
      <c r="H1168" s="9">
        <f t="shared" si="18"/>
        <v>26.296566837107374</v>
      </c>
      <c r="I1168" s="2" t="str" cm="1">
        <f t="array" ref="I1168">_xlfn.IFS(F1168&gt;=100,"Over weight",F1168&lt;100,"Average weight")</f>
        <v>Average weight</v>
      </c>
      <c r="J1168" s="2" t="str" cm="1">
        <f t="array" ref="J1168">_xlfn.IFS(G1168&lt;164,"Below Average height",G1168&gt;=165,"Above Average height",G1168=164,"Average height")</f>
        <v>Above Average height</v>
      </c>
      <c r="K1168" s="2" t="str" cm="1">
        <f t="array" ref="K1168">_xlfn.IFS(E1168&lt;=16,"Children",E1168&lt;=30,"Young Adults",E1168&lt;=45,"Middle-aged Adults",E1168&gt;45,"Old Adults")</f>
        <v>Middle-aged Adults</v>
      </c>
    </row>
    <row r="1169" spans="1:11" x14ac:dyDescent="0.45">
      <c r="A1169" s="2">
        <v>1366</v>
      </c>
      <c r="B1169" s="2" t="s">
        <v>1471</v>
      </c>
      <c r="C1169" s="2" t="s">
        <v>86</v>
      </c>
      <c r="D1169" s="2" t="s">
        <v>80</v>
      </c>
      <c r="E1169" s="2">
        <v>24</v>
      </c>
      <c r="F1169" s="2">
        <v>59</v>
      </c>
      <c r="G1169" s="2">
        <v>188</v>
      </c>
      <c r="H1169" s="9">
        <f t="shared" si="18"/>
        <v>16.693073789044817</v>
      </c>
      <c r="I1169" s="2" t="str" cm="1">
        <f t="array" ref="I1169">_xlfn.IFS(F1169&gt;=100,"Over weight",F1169&lt;100,"Average weight")</f>
        <v>Average weight</v>
      </c>
      <c r="J1169" s="2" t="str" cm="1">
        <f t="array" ref="J1169">_xlfn.IFS(G1169&lt;164,"Below Average height",G1169&gt;=165,"Above Average height",G1169=164,"Average height")</f>
        <v>Above Average height</v>
      </c>
      <c r="K1169" s="2" t="str" cm="1">
        <f t="array" ref="K1169">_xlfn.IFS(E1169&lt;=16,"Children",E1169&lt;=30,"Young Adults",E1169&lt;=45,"Middle-aged Adults",E1169&gt;45,"Old Adults")</f>
        <v>Young Adults</v>
      </c>
    </row>
    <row r="1170" spans="1:11" x14ac:dyDescent="0.45">
      <c r="A1170" s="2">
        <v>1367</v>
      </c>
      <c r="B1170" s="2" t="s">
        <v>1472</v>
      </c>
      <c r="C1170" s="2" t="s">
        <v>91</v>
      </c>
      <c r="D1170" s="2" t="s">
        <v>60</v>
      </c>
      <c r="E1170" s="2">
        <v>21</v>
      </c>
      <c r="F1170" s="2">
        <v>112</v>
      </c>
      <c r="G1170" s="2">
        <v>193</v>
      </c>
      <c r="H1170" s="9">
        <f t="shared" si="18"/>
        <v>30.067921286477489</v>
      </c>
      <c r="I1170" s="2" t="str" cm="1">
        <f t="array" ref="I1170">_xlfn.IFS(F1170&gt;=100,"Over weight",F1170&lt;100,"Average weight")</f>
        <v>Over weight</v>
      </c>
      <c r="J1170" s="2" t="str" cm="1">
        <f t="array" ref="J1170">_xlfn.IFS(G1170&lt;164,"Below Average height",G1170&gt;=165,"Above Average height",G1170=164,"Average height")</f>
        <v>Above Average height</v>
      </c>
      <c r="K1170" s="2" t="str" cm="1">
        <f t="array" ref="K1170">_xlfn.IFS(E1170&lt;=16,"Children",E1170&lt;=30,"Young Adults",E1170&lt;=45,"Middle-aged Adults",E1170&gt;45,"Old Adults")</f>
        <v>Young Adults</v>
      </c>
    </row>
    <row r="1171" spans="1:11" x14ac:dyDescent="0.45">
      <c r="A1171" s="2">
        <v>1368</v>
      </c>
      <c r="B1171" s="2" t="s">
        <v>1473</v>
      </c>
      <c r="C1171" s="2" t="s">
        <v>95</v>
      </c>
      <c r="D1171" s="2" t="s">
        <v>76</v>
      </c>
      <c r="E1171" s="2">
        <v>24</v>
      </c>
      <c r="F1171" s="2">
        <v>68</v>
      </c>
      <c r="G1171" s="2">
        <v>175</v>
      </c>
      <c r="H1171" s="9">
        <f t="shared" si="18"/>
        <v>22.204081632653061</v>
      </c>
      <c r="I1171" s="2" t="str" cm="1">
        <f t="array" ref="I1171">_xlfn.IFS(F1171&gt;=100,"Over weight",F1171&lt;100,"Average weight")</f>
        <v>Average weight</v>
      </c>
      <c r="J1171" s="2" t="str" cm="1">
        <f t="array" ref="J1171">_xlfn.IFS(G1171&lt;164,"Below Average height",G1171&gt;=165,"Above Average height",G1171=164,"Average height")</f>
        <v>Above Average height</v>
      </c>
      <c r="K1171" s="2" t="str" cm="1">
        <f t="array" ref="K1171">_xlfn.IFS(E1171&lt;=16,"Children",E1171&lt;=30,"Young Adults",E1171&lt;=45,"Middle-aged Adults",E1171&gt;45,"Old Adults")</f>
        <v>Young Adults</v>
      </c>
    </row>
    <row r="1172" spans="1:11" x14ac:dyDescent="0.45">
      <c r="A1172" s="2">
        <v>1369</v>
      </c>
      <c r="B1172" s="2" t="s">
        <v>1474</v>
      </c>
      <c r="C1172" s="2" t="s">
        <v>91</v>
      </c>
      <c r="D1172" s="2" t="s">
        <v>17</v>
      </c>
      <c r="E1172" s="2">
        <v>20</v>
      </c>
      <c r="F1172" s="2">
        <v>69</v>
      </c>
      <c r="G1172" s="2">
        <v>172</v>
      </c>
      <c r="H1172" s="9">
        <f t="shared" si="18"/>
        <v>23.323418063818284</v>
      </c>
      <c r="I1172" s="2" t="str" cm="1">
        <f t="array" ref="I1172">_xlfn.IFS(F1172&gt;=100,"Over weight",F1172&lt;100,"Average weight")</f>
        <v>Average weight</v>
      </c>
      <c r="J1172" s="2" t="str" cm="1">
        <f t="array" ref="J1172">_xlfn.IFS(G1172&lt;164,"Below Average height",G1172&gt;=165,"Above Average height",G1172=164,"Average height")</f>
        <v>Above Average height</v>
      </c>
      <c r="K1172" s="2" t="str" cm="1">
        <f t="array" ref="K1172">_xlfn.IFS(E1172&lt;=16,"Children",E1172&lt;=30,"Young Adults",E1172&lt;=45,"Middle-aged Adults",E1172&gt;45,"Old Adults")</f>
        <v>Young Adults</v>
      </c>
    </row>
    <row r="1173" spans="1:11" x14ac:dyDescent="0.45">
      <c r="A1173" s="2">
        <v>1370</v>
      </c>
      <c r="B1173" s="2" t="s">
        <v>1475</v>
      </c>
      <c r="C1173" s="2" t="s">
        <v>98</v>
      </c>
      <c r="D1173" s="2" t="s">
        <v>17</v>
      </c>
      <c r="E1173" s="2">
        <v>26</v>
      </c>
      <c r="F1173" s="2">
        <v>63</v>
      </c>
      <c r="G1173" s="2">
        <v>168</v>
      </c>
      <c r="H1173" s="9">
        <f t="shared" si="18"/>
        <v>22.321428571428577</v>
      </c>
      <c r="I1173" s="2" t="str" cm="1">
        <f t="array" ref="I1173">_xlfn.IFS(F1173&gt;=100,"Over weight",F1173&lt;100,"Average weight")</f>
        <v>Average weight</v>
      </c>
      <c r="J1173" s="2" t="str" cm="1">
        <f t="array" ref="J1173">_xlfn.IFS(G1173&lt;164,"Below Average height",G1173&gt;=165,"Above Average height",G1173=164,"Average height")</f>
        <v>Above Average height</v>
      </c>
      <c r="K1173" s="2" t="str" cm="1">
        <f t="array" ref="K1173">_xlfn.IFS(E1173&lt;=16,"Children",E1173&lt;=30,"Young Adults",E1173&lt;=45,"Middle-aged Adults",E1173&gt;45,"Old Adults")</f>
        <v>Young Adults</v>
      </c>
    </row>
    <row r="1174" spans="1:11" x14ac:dyDescent="0.45">
      <c r="A1174" s="2">
        <v>1371</v>
      </c>
      <c r="B1174" s="2" t="s">
        <v>1476</v>
      </c>
      <c r="C1174" s="2" t="s">
        <v>92</v>
      </c>
      <c r="D1174" s="2" t="s">
        <v>26</v>
      </c>
      <c r="E1174" s="2">
        <v>18</v>
      </c>
      <c r="F1174" s="2">
        <v>60</v>
      </c>
      <c r="G1174" s="2">
        <v>174</v>
      </c>
      <c r="H1174" s="9">
        <f t="shared" si="18"/>
        <v>19.817677368212443</v>
      </c>
      <c r="I1174" s="2" t="str" cm="1">
        <f t="array" ref="I1174">_xlfn.IFS(F1174&gt;=100,"Over weight",F1174&lt;100,"Average weight")</f>
        <v>Average weight</v>
      </c>
      <c r="J1174" s="2" t="str" cm="1">
        <f t="array" ref="J1174">_xlfn.IFS(G1174&lt;164,"Below Average height",G1174&gt;=165,"Above Average height",G1174=164,"Average height")</f>
        <v>Above Average height</v>
      </c>
      <c r="K1174" s="2" t="str" cm="1">
        <f t="array" ref="K1174">_xlfn.IFS(E1174&lt;=16,"Children",E1174&lt;=30,"Young Adults",E1174&lt;=45,"Middle-aged Adults",E1174&gt;45,"Old Adults")</f>
        <v>Young Adults</v>
      </c>
    </row>
    <row r="1175" spans="1:11" x14ac:dyDescent="0.45">
      <c r="A1175" s="2">
        <v>1372</v>
      </c>
      <c r="B1175" s="2" t="s">
        <v>1477</v>
      </c>
      <c r="C1175" s="2" t="s">
        <v>96</v>
      </c>
      <c r="D1175" s="2" t="s">
        <v>30</v>
      </c>
      <c r="E1175" s="2">
        <v>34</v>
      </c>
      <c r="F1175" s="2">
        <v>59</v>
      </c>
      <c r="G1175" s="2">
        <v>177</v>
      </c>
      <c r="H1175" s="9">
        <f t="shared" si="18"/>
        <v>18.832391713747644</v>
      </c>
      <c r="I1175" s="2" t="str" cm="1">
        <f t="array" ref="I1175">_xlfn.IFS(F1175&gt;=100,"Over weight",F1175&lt;100,"Average weight")</f>
        <v>Average weight</v>
      </c>
      <c r="J1175" s="2" t="str" cm="1">
        <f t="array" ref="J1175">_xlfn.IFS(G1175&lt;164,"Below Average height",G1175&gt;=165,"Above Average height",G1175=164,"Average height")</f>
        <v>Above Average height</v>
      </c>
      <c r="K1175" s="2" t="str" cm="1">
        <f t="array" ref="K1175">_xlfn.IFS(E1175&lt;=16,"Children",E1175&lt;=30,"Young Adults",E1175&lt;=45,"Middle-aged Adults",E1175&gt;45,"Old Adults")</f>
        <v>Middle-aged Adults</v>
      </c>
    </row>
    <row r="1176" spans="1:11" x14ac:dyDescent="0.45">
      <c r="A1176" s="2">
        <v>1373</v>
      </c>
      <c r="B1176" s="2" t="s">
        <v>1478</v>
      </c>
      <c r="C1176" s="2" t="s">
        <v>98</v>
      </c>
      <c r="D1176" s="2" t="s">
        <v>26</v>
      </c>
      <c r="E1176" s="2">
        <v>20</v>
      </c>
      <c r="F1176" s="2">
        <v>78</v>
      </c>
      <c r="G1176" s="2">
        <v>183</v>
      </c>
      <c r="H1176" s="9">
        <f t="shared" si="18"/>
        <v>23.291229956104985</v>
      </c>
      <c r="I1176" s="2" t="str" cm="1">
        <f t="array" ref="I1176">_xlfn.IFS(F1176&gt;=100,"Over weight",F1176&lt;100,"Average weight")</f>
        <v>Average weight</v>
      </c>
      <c r="J1176" s="2" t="str" cm="1">
        <f t="array" ref="J1176">_xlfn.IFS(G1176&lt;164,"Below Average height",G1176&gt;=165,"Above Average height",G1176=164,"Average height")</f>
        <v>Above Average height</v>
      </c>
      <c r="K1176" s="2" t="str" cm="1">
        <f t="array" ref="K1176">_xlfn.IFS(E1176&lt;=16,"Children",E1176&lt;=30,"Young Adults",E1176&lt;=45,"Middle-aged Adults",E1176&gt;45,"Old Adults")</f>
        <v>Young Adults</v>
      </c>
    </row>
    <row r="1177" spans="1:11" x14ac:dyDescent="0.45">
      <c r="A1177" s="2">
        <v>1374</v>
      </c>
      <c r="B1177" s="2" t="s">
        <v>1479</v>
      </c>
      <c r="C1177" s="2" t="s">
        <v>95</v>
      </c>
      <c r="D1177" s="2" t="s">
        <v>66</v>
      </c>
      <c r="E1177" s="2">
        <v>22</v>
      </c>
      <c r="F1177" s="2">
        <v>70</v>
      </c>
      <c r="G1177" s="2">
        <v>176</v>
      </c>
      <c r="H1177" s="9">
        <f t="shared" si="18"/>
        <v>22.598140495867771</v>
      </c>
      <c r="I1177" s="2" t="str" cm="1">
        <f t="array" ref="I1177">_xlfn.IFS(F1177&gt;=100,"Over weight",F1177&lt;100,"Average weight")</f>
        <v>Average weight</v>
      </c>
      <c r="J1177" s="2" t="str" cm="1">
        <f t="array" ref="J1177">_xlfn.IFS(G1177&lt;164,"Below Average height",G1177&gt;=165,"Above Average height",G1177=164,"Average height")</f>
        <v>Above Average height</v>
      </c>
      <c r="K1177" s="2" t="str" cm="1">
        <f t="array" ref="K1177">_xlfn.IFS(E1177&lt;=16,"Children",E1177&lt;=30,"Young Adults",E1177&lt;=45,"Middle-aged Adults",E1177&gt;45,"Old Adults")</f>
        <v>Young Adults</v>
      </c>
    </row>
    <row r="1178" spans="1:11" x14ac:dyDescent="0.45">
      <c r="A1178" s="2">
        <v>1375</v>
      </c>
      <c r="B1178" s="2" t="s">
        <v>1480</v>
      </c>
      <c r="C1178" s="2" t="s">
        <v>94</v>
      </c>
      <c r="D1178" s="2" t="s">
        <v>63</v>
      </c>
      <c r="E1178" s="2">
        <v>24</v>
      </c>
      <c r="F1178" s="2">
        <v>55</v>
      </c>
      <c r="G1178" s="2">
        <v>170</v>
      </c>
      <c r="H1178" s="9">
        <f t="shared" si="18"/>
        <v>19.031141868512112</v>
      </c>
      <c r="I1178" s="2" t="str" cm="1">
        <f t="array" ref="I1178">_xlfn.IFS(F1178&gt;=100,"Over weight",F1178&lt;100,"Average weight")</f>
        <v>Average weight</v>
      </c>
      <c r="J1178" s="2" t="str" cm="1">
        <f t="array" ref="J1178">_xlfn.IFS(G1178&lt;164,"Below Average height",G1178&gt;=165,"Above Average height",G1178=164,"Average height")</f>
        <v>Above Average height</v>
      </c>
      <c r="K1178" s="2" t="str" cm="1">
        <f t="array" ref="K1178">_xlfn.IFS(E1178&lt;=16,"Children",E1178&lt;=30,"Young Adults",E1178&lt;=45,"Middle-aged Adults",E1178&gt;45,"Old Adults")</f>
        <v>Young Adults</v>
      </c>
    </row>
    <row r="1179" spans="1:11" x14ac:dyDescent="0.45">
      <c r="A1179" s="2">
        <v>1377</v>
      </c>
      <c r="B1179" s="2" t="s">
        <v>1482</v>
      </c>
      <c r="C1179" s="2" t="s">
        <v>95</v>
      </c>
      <c r="D1179" s="2" t="s">
        <v>52</v>
      </c>
      <c r="E1179" s="2">
        <v>27</v>
      </c>
      <c r="F1179" s="2">
        <v>70</v>
      </c>
      <c r="G1179" s="2">
        <v>173</v>
      </c>
      <c r="H1179" s="9">
        <f t="shared" si="18"/>
        <v>23.388686558187711</v>
      </c>
      <c r="I1179" s="2" t="str" cm="1">
        <f t="array" ref="I1179">_xlfn.IFS(F1179&gt;=100,"Over weight",F1179&lt;100,"Average weight")</f>
        <v>Average weight</v>
      </c>
      <c r="J1179" s="2" t="str" cm="1">
        <f t="array" ref="J1179">_xlfn.IFS(G1179&lt;164,"Below Average height",G1179&gt;=165,"Above Average height",G1179=164,"Average height")</f>
        <v>Above Average height</v>
      </c>
      <c r="K1179" s="2" t="str" cm="1">
        <f t="array" ref="K1179">_xlfn.IFS(E1179&lt;=16,"Children",E1179&lt;=30,"Young Adults",E1179&lt;=45,"Middle-aged Adults",E1179&gt;45,"Old Adults")</f>
        <v>Young Adults</v>
      </c>
    </row>
    <row r="1180" spans="1:11" x14ac:dyDescent="0.45">
      <c r="A1180" s="2">
        <v>1378</v>
      </c>
      <c r="B1180" s="2" t="s">
        <v>1483</v>
      </c>
      <c r="C1180" s="2" t="s">
        <v>85</v>
      </c>
      <c r="D1180" s="2" t="s">
        <v>6</v>
      </c>
      <c r="E1180" s="2">
        <v>24</v>
      </c>
      <c r="F1180" s="2">
        <v>61</v>
      </c>
      <c r="G1180" s="2">
        <v>168</v>
      </c>
      <c r="H1180" s="9">
        <f t="shared" si="18"/>
        <v>21.612811791383223</v>
      </c>
      <c r="I1180" s="2" t="str" cm="1">
        <f t="array" ref="I1180">_xlfn.IFS(F1180&gt;=100,"Over weight",F1180&lt;100,"Average weight")</f>
        <v>Average weight</v>
      </c>
      <c r="J1180" s="2" t="str" cm="1">
        <f t="array" ref="J1180">_xlfn.IFS(G1180&lt;164,"Below Average height",G1180&gt;=165,"Above Average height",G1180=164,"Average height")</f>
        <v>Above Average height</v>
      </c>
      <c r="K1180" s="2" t="str" cm="1">
        <f t="array" ref="K1180">_xlfn.IFS(E1180&lt;=16,"Children",E1180&lt;=30,"Young Adults",E1180&lt;=45,"Middle-aged Adults",E1180&gt;45,"Old Adults")</f>
        <v>Young Adults</v>
      </c>
    </row>
    <row r="1181" spans="1:11" x14ac:dyDescent="0.45">
      <c r="A1181" s="2">
        <v>1379</v>
      </c>
      <c r="B1181" s="2" t="s">
        <v>1484</v>
      </c>
      <c r="C1181" s="2" t="s">
        <v>94</v>
      </c>
      <c r="D1181" s="2" t="s">
        <v>23</v>
      </c>
      <c r="E1181" s="2">
        <v>37</v>
      </c>
      <c r="F1181" s="2">
        <v>80</v>
      </c>
      <c r="G1181" s="2">
        <v>181</v>
      </c>
      <c r="H1181" s="9">
        <f t="shared" si="18"/>
        <v>24.419279020786909</v>
      </c>
      <c r="I1181" s="2" t="str" cm="1">
        <f t="array" ref="I1181">_xlfn.IFS(F1181&gt;=100,"Over weight",F1181&lt;100,"Average weight")</f>
        <v>Average weight</v>
      </c>
      <c r="J1181" s="2" t="str" cm="1">
        <f t="array" ref="J1181">_xlfn.IFS(G1181&lt;164,"Below Average height",G1181&gt;=165,"Above Average height",G1181=164,"Average height")</f>
        <v>Above Average height</v>
      </c>
      <c r="K1181" s="2" t="str" cm="1">
        <f t="array" ref="K1181">_xlfn.IFS(E1181&lt;=16,"Children",E1181&lt;=30,"Young Adults",E1181&lt;=45,"Middle-aged Adults",E1181&gt;45,"Old Adults")</f>
        <v>Middle-aged Adults</v>
      </c>
    </row>
    <row r="1182" spans="1:11" x14ac:dyDescent="0.45">
      <c r="A1182" s="2">
        <v>1380</v>
      </c>
      <c r="B1182" s="2" t="s">
        <v>1485</v>
      </c>
      <c r="C1182" s="2" t="s">
        <v>93</v>
      </c>
      <c r="D1182" s="2" t="s">
        <v>75</v>
      </c>
      <c r="E1182" s="2">
        <v>27</v>
      </c>
      <c r="F1182" s="2">
        <v>67</v>
      </c>
      <c r="G1182" s="2">
        <v>171</v>
      </c>
      <c r="H1182" s="9">
        <f t="shared" si="18"/>
        <v>22.913033070004449</v>
      </c>
      <c r="I1182" s="2" t="str" cm="1">
        <f t="array" ref="I1182">_xlfn.IFS(F1182&gt;=100,"Over weight",F1182&lt;100,"Average weight")</f>
        <v>Average weight</v>
      </c>
      <c r="J1182" s="2" t="str" cm="1">
        <f t="array" ref="J1182">_xlfn.IFS(G1182&lt;164,"Below Average height",G1182&gt;=165,"Above Average height",G1182=164,"Average height")</f>
        <v>Above Average height</v>
      </c>
      <c r="K1182" s="2" t="str" cm="1">
        <f t="array" ref="K1182">_xlfn.IFS(E1182&lt;=16,"Children",E1182&lt;=30,"Young Adults",E1182&lt;=45,"Middle-aged Adults",E1182&gt;45,"Old Adults")</f>
        <v>Young Adults</v>
      </c>
    </row>
    <row r="1183" spans="1:11" x14ac:dyDescent="0.45">
      <c r="A1183" s="2">
        <v>1381</v>
      </c>
      <c r="B1183" s="2" t="s">
        <v>1486</v>
      </c>
      <c r="C1183" s="2" t="s">
        <v>98</v>
      </c>
      <c r="D1183" s="2" t="s">
        <v>39</v>
      </c>
      <c r="E1183" s="2">
        <v>25</v>
      </c>
      <c r="F1183" s="2">
        <v>60</v>
      </c>
      <c r="G1183" s="2">
        <v>166</v>
      </c>
      <c r="H1183" s="9">
        <f t="shared" si="18"/>
        <v>21.773842357381334</v>
      </c>
      <c r="I1183" s="2" t="str" cm="1">
        <f t="array" ref="I1183">_xlfn.IFS(F1183&gt;=100,"Over weight",F1183&lt;100,"Average weight")</f>
        <v>Average weight</v>
      </c>
      <c r="J1183" s="2" t="str" cm="1">
        <f t="array" ref="J1183">_xlfn.IFS(G1183&lt;164,"Below Average height",G1183&gt;=165,"Above Average height",G1183=164,"Average height")</f>
        <v>Above Average height</v>
      </c>
      <c r="K1183" s="2" t="str" cm="1">
        <f t="array" ref="K1183">_xlfn.IFS(E1183&lt;=16,"Children",E1183&lt;=30,"Young Adults",E1183&lt;=45,"Middle-aged Adults",E1183&gt;45,"Old Adults")</f>
        <v>Young Adults</v>
      </c>
    </row>
    <row r="1184" spans="1:11" x14ac:dyDescent="0.45">
      <c r="A1184" s="2">
        <v>1382</v>
      </c>
      <c r="B1184" s="2" t="s">
        <v>1487</v>
      </c>
      <c r="C1184" s="2" t="s">
        <v>94</v>
      </c>
      <c r="D1184" s="2" t="s">
        <v>21</v>
      </c>
      <c r="E1184" s="2">
        <v>32</v>
      </c>
      <c r="F1184" s="2">
        <v>65</v>
      </c>
      <c r="G1184" s="2">
        <v>174</v>
      </c>
      <c r="H1184" s="9">
        <f t="shared" si="18"/>
        <v>21.469150482230148</v>
      </c>
      <c r="I1184" s="2" t="str" cm="1">
        <f t="array" ref="I1184">_xlfn.IFS(F1184&gt;=100,"Over weight",F1184&lt;100,"Average weight")</f>
        <v>Average weight</v>
      </c>
      <c r="J1184" s="2" t="str" cm="1">
        <f t="array" ref="J1184">_xlfn.IFS(G1184&lt;164,"Below Average height",G1184&gt;=165,"Above Average height",G1184=164,"Average height")</f>
        <v>Above Average height</v>
      </c>
      <c r="K1184" s="2" t="str" cm="1">
        <f t="array" ref="K1184">_xlfn.IFS(E1184&lt;=16,"Children",E1184&lt;=30,"Young Adults",E1184&lt;=45,"Middle-aged Adults",E1184&gt;45,"Old Adults")</f>
        <v>Middle-aged Adults</v>
      </c>
    </row>
    <row r="1185" spans="1:11" x14ac:dyDescent="0.45">
      <c r="A1185" s="2">
        <v>1383</v>
      </c>
      <c r="B1185" s="2" t="s">
        <v>1488</v>
      </c>
      <c r="C1185" s="2" t="s">
        <v>95</v>
      </c>
      <c r="D1185" s="2" t="s">
        <v>39</v>
      </c>
      <c r="E1185" s="2">
        <v>25</v>
      </c>
      <c r="F1185" s="2">
        <v>81</v>
      </c>
      <c r="G1185" s="2">
        <v>180</v>
      </c>
      <c r="H1185" s="9">
        <f t="shared" si="18"/>
        <v>25</v>
      </c>
      <c r="I1185" s="2" t="str" cm="1">
        <f t="array" ref="I1185">_xlfn.IFS(F1185&gt;=100,"Over weight",F1185&lt;100,"Average weight")</f>
        <v>Average weight</v>
      </c>
      <c r="J1185" s="2" t="str" cm="1">
        <f t="array" ref="J1185">_xlfn.IFS(G1185&lt;164,"Below Average height",G1185&gt;=165,"Above Average height",G1185=164,"Average height")</f>
        <v>Above Average height</v>
      </c>
      <c r="K1185" s="2" t="str" cm="1">
        <f t="array" ref="K1185">_xlfn.IFS(E1185&lt;=16,"Children",E1185&lt;=30,"Young Adults",E1185&lt;=45,"Middle-aged Adults",E1185&gt;45,"Old Adults")</f>
        <v>Young Adults</v>
      </c>
    </row>
    <row r="1186" spans="1:11" x14ac:dyDescent="0.45">
      <c r="A1186" s="2">
        <v>1384</v>
      </c>
      <c r="B1186" s="2" t="s">
        <v>1489</v>
      </c>
      <c r="C1186" s="2" t="s">
        <v>85</v>
      </c>
      <c r="D1186" s="2" t="s">
        <v>66</v>
      </c>
      <c r="E1186" s="2">
        <v>20</v>
      </c>
      <c r="F1186" s="2">
        <v>77</v>
      </c>
      <c r="G1186" s="2">
        <v>184</v>
      </c>
      <c r="H1186" s="9">
        <f t="shared" si="18"/>
        <v>22.743383742911153</v>
      </c>
      <c r="I1186" s="2" t="str" cm="1">
        <f t="array" ref="I1186">_xlfn.IFS(F1186&gt;=100,"Over weight",F1186&lt;100,"Average weight")</f>
        <v>Average weight</v>
      </c>
      <c r="J1186" s="2" t="str" cm="1">
        <f t="array" ref="J1186">_xlfn.IFS(G1186&lt;164,"Below Average height",G1186&gt;=165,"Above Average height",G1186=164,"Average height")</f>
        <v>Above Average height</v>
      </c>
      <c r="K1186" s="2" t="str" cm="1">
        <f t="array" ref="K1186">_xlfn.IFS(E1186&lt;=16,"Children",E1186&lt;=30,"Young Adults",E1186&lt;=45,"Middle-aged Adults",E1186&gt;45,"Old Adults")</f>
        <v>Young Adults</v>
      </c>
    </row>
    <row r="1187" spans="1:11" x14ac:dyDescent="0.45">
      <c r="A1187" s="2">
        <v>1385</v>
      </c>
      <c r="B1187" s="2" t="s">
        <v>1490</v>
      </c>
      <c r="C1187" s="2" t="s">
        <v>94</v>
      </c>
      <c r="D1187" s="2" t="s">
        <v>71</v>
      </c>
      <c r="E1187" s="2">
        <v>30</v>
      </c>
      <c r="F1187" s="2">
        <v>66</v>
      </c>
      <c r="G1187" s="2">
        <v>177</v>
      </c>
      <c r="H1187" s="9">
        <f t="shared" si="18"/>
        <v>21.066743273005841</v>
      </c>
      <c r="I1187" s="2" t="str" cm="1">
        <f t="array" ref="I1187">_xlfn.IFS(F1187&gt;=100,"Over weight",F1187&lt;100,"Average weight")</f>
        <v>Average weight</v>
      </c>
      <c r="J1187" s="2" t="str" cm="1">
        <f t="array" ref="J1187">_xlfn.IFS(G1187&lt;164,"Below Average height",G1187&gt;=165,"Above Average height",G1187=164,"Average height")</f>
        <v>Above Average height</v>
      </c>
      <c r="K1187" s="2" t="str" cm="1">
        <f t="array" ref="K1187">_xlfn.IFS(E1187&lt;=16,"Children",E1187&lt;=30,"Young Adults",E1187&lt;=45,"Middle-aged Adults",E1187&gt;45,"Old Adults")</f>
        <v>Young Adults</v>
      </c>
    </row>
    <row r="1188" spans="1:11" x14ac:dyDescent="0.45">
      <c r="A1188" s="2">
        <v>1386</v>
      </c>
      <c r="B1188" s="2" t="s">
        <v>1491</v>
      </c>
      <c r="C1188" s="2" t="s">
        <v>88</v>
      </c>
      <c r="D1188" s="2" t="s">
        <v>25</v>
      </c>
      <c r="E1188" s="2">
        <v>27</v>
      </c>
      <c r="F1188" s="2">
        <v>57</v>
      </c>
      <c r="G1188" s="2">
        <v>171</v>
      </c>
      <c r="H1188" s="9">
        <f t="shared" si="18"/>
        <v>19.493177387914233</v>
      </c>
      <c r="I1188" s="2" t="str" cm="1">
        <f t="array" ref="I1188">_xlfn.IFS(F1188&gt;=100,"Over weight",F1188&lt;100,"Average weight")</f>
        <v>Average weight</v>
      </c>
      <c r="J1188" s="2" t="str" cm="1">
        <f t="array" ref="J1188">_xlfn.IFS(G1188&lt;164,"Below Average height",G1188&gt;=165,"Above Average height",G1188=164,"Average height")</f>
        <v>Above Average height</v>
      </c>
      <c r="K1188" s="2" t="str" cm="1">
        <f t="array" ref="K1188">_xlfn.IFS(E1188&lt;=16,"Children",E1188&lt;=30,"Young Adults",E1188&lt;=45,"Middle-aged Adults",E1188&gt;45,"Old Adults")</f>
        <v>Young Adults</v>
      </c>
    </row>
    <row r="1189" spans="1:11" x14ac:dyDescent="0.45">
      <c r="A1189" s="2">
        <v>1388</v>
      </c>
      <c r="B1189" s="2" t="s">
        <v>1493</v>
      </c>
      <c r="C1189" s="2" t="s">
        <v>89</v>
      </c>
      <c r="D1189" s="2" t="s">
        <v>14</v>
      </c>
      <c r="E1189" s="2">
        <v>22</v>
      </c>
      <c r="F1189" s="2">
        <v>78</v>
      </c>
      <c r="G1189" s="2">
        <v>180</v>
      </c>
      <c r="H1189" s="9">
        <f t="shared" si="18"/>
        <v>24.074074074074073</v>
      </c>
      <c r="I1189" s="2" t="str" cm="1">
        <f t="array" ref="I1189">_xlfn.IFS(F1189&gt;=100,"Over weight",F1189&lt;100,"Average weight")</f>
        <v>Average weight</v>
      </c>
      <c r="J1189" s="2" t="str" cm="1">
        <f t="array" ref="J1189">_xlfn.IFS(G1189&lt;164,"Below Average height",G1189&gt;=165,"Above Average height",G1189=164,"Average height")</f>
        <v>Above Average height</v>
      </c>
      <c r="K1189" s="2" t="str" cm="1">
        <f t="array" ref="K1189">_xlfn.IFS(E1189&lt;=16,"Children",E1189&lt;=30,"Young Adults",E1189&lt;=45,"Middle-aged Adults",E1189&gt;45,"Old Adults")</f>
        <v>Young Adults</v>
      </c>
    </row>
    <row r="1190" spans="1:11" x14ac:dyDescent="0.45">
      <c r="A1190" s="2">
        <v>1389</v>
      </c>
      <c r="B1190" s="2" t="s">
        <v>1494</v>
      </c>
      <c r="C1190" s="2" t="s">
        <v>91</v>
      </c>
      <c r="D1190" s="2" t="s">
        <v>8</v>
      </c>
      <c r="E1190" s="2">
        <v>38</v>
      </c>
      <c r="F1190" s="2">
        <v>90</v>
      </c>
      <c r="G1190" s="2">
        <v>186</v>
      </c>
      <c r="H1190" s="9">
        <f t="shared" si="18"/>
        <v>26.014568158168572</v>
      </c>
      <c r="I1190" s="2" t="str" cm="1">
        <f t="array" ref="I1190">_xlfn.IFS(F1190&gt;=100,"Over weight",F1190&lt;100,"Average weight")</f>
        <v>Average weight</v>
      </c>
      <c r="J1190" s="2" t="str" cm="1">
        <f t="array" ref="J1190">_xlfn.IFS(G1190&lt;164,"Below Average height",G1190&gt;=165,"Above Average height",G1190=164,"Average height")</f>
        <v>Above Average height</v>
      </c>
      <c r="K1190" s="2" t="str" cm="1">
        <f t="array" ref="K1190">_xlfn.IFS(E1190&lt;=16,"Children",E1190&lt;=30,"Young Adults",E1190&lt;=45,"Middle-aged Adults",E1190&gt;45,"Old Adults")</f>
        <v>Middle-aged Adults</v>
      </c>
    </row>
    <row r="1191" spans="1:11" x14ac:dyDescent="0.45">
      <c r="A1191" s="2">
        <v>1390</v>
      </c>
      <c r="B1191" s="2" t="s">
        <v>1495</v>
      </c>
      <c r="C1191" s="2" t="s">
        <v>94</v>
      </c>
      <c r="D1191" s="2" t="s">
        <v>42</v>
      </c>
      <c r="E1191" s="2">
        <v>32</v>
      </c>
      <c r="F1191" s="2">
        <v>67</v>
      </c>
      <c r="G1191" s="2">
        <v>178</v>
      </c>
      <c r="H1191" s="9">
        <f t="shared" si="18"/>
        <v>21.146319909102385</v>
      </c>
      <c r="I1191" s="2" t="str" cm="1">
        <f t="array" ref="I1191">_xlfn.IFS(F1191&gt;=100,"Over weight",F1191&lt;100,"Average weight")</f>
        <v>Average weight</v>
      </c>
      <c r="J1191" s="2" t="str" cm="1">
        <f t="array" ref="J1191">_xlfn.IFS(G1191&lt;164,"Below Average height",G1191&gt;=165,"Above Average height",G1191=164,"Average height")</f>
        <v>Above Average height</v>
      </c>
      <c r="K1191" s="2" t="str" cm="1">
        <f t="array" ref="K1191">_xlfn.IFS(E1191&lt;=16,"Children",E1191&lt;=30,"Young Adults",E1191&lt;=45,"Middle-aged Adults",E1191&gt;45,"Old Adults")</f>
        <v>Middle-aged Adults</v>
      </c>
    </row>
    <row r="1192" spans="1:11" x14ac:dyDescent="0.45">
      <c r="A1192" s="2">
        <v>1391</v>
      </c>
      <c r="B1192" s="2" t="s">
        <v>1496</v>
      </c>
      <c r="C1192" s="2" t="s">
        <v>94</v>
      </c>
      <c r="D1192" s="2" t="s">
        <v>70</v>
      </c>
      <c r="E1192" s="2">
        <v>29</v>
      </c>
      <c r="F1192" s="2">
        <v>70</v>
      </c>
      <c r="G1192" s="2">
        <v>178</v>
      </c>
      <c r="H1192" s="9">
        <f t="shared" si="18"/>
        <v>22.093170054286073</v>
      </c>
      <c r="I1192" s="2" t="str" cm="1">
        <f t="array" ref="I1192">_xlfn.IFS(F1192&gt;=100,"Over weight",F1192&lt;100,"Average weight")</f>
        <v>Average weight</v>
      </c>
      <c r="J1192" s="2" t="str" cm="1">
        <f t="array" ref="J1192">_xlfn.IFS(G1192&lt;164,"Below Average height",G1192&gt;=165,"Above Average height",G1192=164,"Average height")</f>
        <v>Above Average height</v>
      </c>
      <c r="K1192" s="2" t="str" cm="1">
        <f t="array" ref="K1192">_xlfn.IFS(E1192&lt;=16,"Children",E1192&lt;=30,"Young Adults",E1192&lt;=45,"Middle-aged Adults",E1192&gt;45,"Old Adults")</f>
        <v>Young Adults</v>
      </c>
    </row>
    <row r="1193" spans="1:11" x14ac:dyDescent="0.45">
      <c r="A1193" s="2">
        <v>1394</v>
      </c>
      <c r="B1193" s="2" t="s">
        <v>1499</v>
      </c>
      <c r="C1193" s="2" t="s">
        <v>93</v>
      </c>
      <c r="D1193" s="2" t="s">
        <v>25</v>
      </c>
      <c r="E1193" s="2">
        <v>22</v>
      </c>
      <c r="F1193" s="2">
        <v>66</v>
      </c>
      <c r="G1193" s="2">
        <v>176</v>
      </c>
      <c r="H1193" s="9">
        <f t="shared" si="18"/>
        <v>21.306818181818183</v>
      </c>
      <c r="I1193" s="2" t="str" cm="1">
        <f t="array" ref="I1193">_xlfn.IFS(F1193&gt;=100,"Over weight",F1193&lt;100,"Average weight")</f>
        <v>Average weight</v>
      </c>
      <c r="J1193" s="2" t="str" cm="1">
        <f t="array" ref="J1193">_xlfn.IFS(G1193&lt;164,"Below Average height",G1193&gt;=165,"Above Average height",G1193=164,"Average height")</f>
        <v>Above Average height</v>
      </c>
      <c r="K1193" s="2" t="str" cm="1">
        <f t="array" ref="K1193">_xlfn.IFS(E1193&lt;=16,"Children",E1193&lt;=30,"Young Adults",E1193&lt;=45,"Middle-aged Adults",E1193&gt;45,"Old Adults")</f>
        <v>Young Adults</v>
      </c>
    </row>
    <row r="1194" spans="1:11" x14ac:dyDescent="0.45">
      <c r="A1194" s="2">
        <v>1395</v>
      </c>
      <c r="B1194" s="2" t="s">
        <v>1500</v>
      </c>
      <c r="C1194" s="2" t="s">
        <v>98</v>
      </c>
      <c r="D1194" s="2" t="s">
        <v>63</v>
      </c>
      <c r="E1194" s="2">
        <v>21</v>
      </c>
      <c r="F1194" s="2">
        <v>62</v>
      </c>
      <c r="G1194" s="2">
        <v>172</v>
      </c>
      <c r="H1194" s="9">
        <f t="shared" si="18"/>
        <v>20.957274202271499</v>
      </c>
      <c r="I1194" s="2" t="str" cm="1">
        <f t="array" ref="I1194">_xlfn.IFS(F1194&gt;=100,"Over weight",F1194&lt;100,"Average weight")</f>
        <v>Average weight</v>
      </c>
      <c r="J1194" s="2" t="str" cm="1">
        <f t="array" ref="J1194">_xlfn.IFS(G1194&lt;164,"Below Average height",G1194&gt;=165,"Above Average height",G1194=164,"Average height")</f>
        <v>Above Average height</v>
      </c>
      <c r="K1194" s="2" t="str" cm="1">
        <f t="array" ref="K1194">_xlfn.IFS(E1194&lt;=16,"Children",E1194&lt;=30,"Young Adults",E1194&lt;=45,"Middle-aged Adults",E1194&gt;45,"Old Adults")</f>
        <v>Young Adults</v>
      </c>
    </row>
    <row r="1195" spans="1:11" x14ac:dyDescent="0.45">
      <c r="A1195" s="2">
        <v>1396</v>
      </c>
      <c r="B1195" s="2" t="s">
        <v>1501</v>
      </c>
      <c r="C1195" s="2" t="s">
        <v>91</v>
      </c>
      <c r="D1195" s="2" t="s">
        <v>8</v>
      </c>
      <c r="E1195" s="2">
        <v>21</v>
      </c>
      <c r="F1195" s="2">
        <v>72</v>
      </c>
      <c r="G1195" s="2">
        <v>179</v>
      </c>
      <c r="H1195" s="9">
        <f t="shared" si="18"/>
        <v>22.471208763771418</v>
      </c>
      <c r="I1195" s="2" t="str" cm="1">
        <f t="array" ref="I1195">_xlfn.IFS(F1195&gt;=100,"Over weight",F1195&lt;100,"Average weight")</f>
        <v>Average weight</v>
      </c>
      <c r="J1195" s="2" t="str" cm="1">
        <f t="array" ref="J1195">_xlfn.IFS(G1195&lt;164,"Below Average height",G1195&gt;=165,"Above Average height",G1195=164,"Average height")</f>
        <v>Above Average height</v>
      </c>
      <c r="K1195" s="2" t="str" cm="1">
        <f t="array" ref="K1195">_xlfn.IFS(E1195&lt;=16,"Children",E1195&lt;=30,"Young Adults",E1195&lt;=45,"Middle-aged Adults",E1195&gt;45,"Old Adults")</f>
        <v>Young Adults</v>
      </c>
    </row>
    <row r="1196" spans="1:11" x14ac:dyDescent="0.45">
      <c r="A1196" s="2">
        <v>1397</v>
      </c>
      <c r="B1196" s="2" t="s">
        <v>1502</v>
      </c>
      <c r="C1196" s="2" t="s">
        <v>91</v>
      </c>
      <c r="D1196" s="2" t="s">
        <v>66</v>
      </c>
      <c r="E1196" s="2">
        <v>23</v>
      </c>
      <c r="F1196" s="2">
        <v>87</v>
      </c>
      <c r="G1196" s="2">
        <v>191</v>
      </c>
      <c r="H1196" s="9">
        <f t="shared" si="18"/>
        <v>23.848030481620569</v>
      </c>
      <c r="I1196" s="2" t="str" cm="1">
        <f t="array" ref="I1196">_xlfn.IFS(F1196&gt;=100,"Over weight",F1196&lt;100,"Average weight")</f>
        <v>Average weight</v>
      </c>
      <c r="J1196" s="2" t="str" cm="1">
        <f t="array" ref="J1196">_xlfn.IFS(G1196&lt;164,"Below Average height",G1196&gt;=165,"Above Average height",G1196=164,"Average height")</f>
        <v>Above Average height</v>
      </c>
      <c r="K1196" s="2" t="str" cm="1">
        <f t="array" ref="K1196">_xlfn.IFS(E1196&lt;=16,"Children",E1196&lt;=30,"Young Adults",E1196&lt;=45,"Middle-aged Adults",E1196&gt;45,"Old Adults")</f>
        <v>Young Adults</v>
      </c>
    </row>
    <row r="1197" spans="1:11" x14ac:dyDescent="0.45">
      <c r="A1197" s="2">
        <v>1398</v>
      </c>
      <c r="B1197" s="2" t="s">
        <v>1503</v>
      </c>
      <c r="C1197" s="2" t="s">
        <v>98</v>
      </c>
      <c r="D1197" s="2" t="s">
        <v>80</v>
      </c>
      <c r="E1197" s="2">
        <v>25</v>
      </c>
      <c r="F1197" s="2">
        <v>65</v>
      </c>
      <c r="G1197" s="2">
        <v>168</v>
      </c>
      <c r="H1197" s="9">
        <f t="shared" si="18"/>
        <v>23.030045351473927</v>
      </c>
      <c r="I1197" s="2" t="str" cm="1">
        <f t="array" ref="I1197">_xlfn.IFS(F1197&gt;=100,"Over weight",F1197&lt;100,"Average weight")</f>
        <v>Average weight</v>
      </c>
      <c r="J1197" s="2" t="str" cm="1">
        <f t="array" ref="J1197">_xlfn.IFS(G1197&lt;164,"Below Average height",G1197&gt;=165,"Above Average height",G1197=164,"Average height")</f>
        <v>Above Average height</v>
      </c>
      <c r="K1197" s="2" t="str" cm="1">
        <f t="array" ref="K1197">_xlfn.IFS(E1197&lt;=16,"Children",E1197&lt;=30,"Young Adults",E1197&lt;=45,"Middle-aged Adults",E1197&gt;45,"Old Adults")</f>
        <v>Young Adults</v>
      </c>
    </row>
    <row r="1198" spans="1:11" x14ac:dyDescent="0.45">
      <c r="A1198" s="2">
        <v>1399</v>
      </c>
      <c r="B1198" s="2" t="s">
        <v>1504</v>
      </c>
      <c r="C1198" s="2" t="s">
        <v>91</v>
      </c>
      <c r="D1198" s="2" t="s">
        <v>80</v>
      </c>
      <c r="E1198" s="2">
        <v>30</v>
      </c>
      <c r="F1198" s="2">
        <v>100</v>
      </c>
      <c r="G1198" s="2">
        <v>193</v>
      </c>
      <c r="H1198" s="9">
        <f t="shared" si="18"/>
        <v>26.846358291497758</v>
      </c>
      <c r="I1198" s="2" t="str" cm="1">
        <f t="array" ref="I1198">_xlfn.IFS(F1198&gt;=100,"Over weight",F1198&lt;100,"Average weight")</f>
        <v>Over weight</v>
      </c>
      <c r="J1198" s="2" t="str" cm="1">
        <f t="array" ref="J1198">_xlfn.IFS(G1198&lt;164,"Below Average height",G1198&gt;=165,"Above Average height",G1198=164,"Average height")</f>
        <v>Above Average height</v>
      </c>
      <c r="K1198" s="2" t="str" cm="1">
        <f t="array" ref="K1198">_xlfn.IFS(E1198&lt;=16,"Children",E1198&lt;=30,"Young Adults",E1198&lt;=45,"Middle-aged Adults",E1198&gt;45,"Old Adults")</f>
        <v>Young Adults</v>
      </c>
    </row>
    <row r="1199" spans="1:11" x14ac:dyDescent="0.45">
      <c r="A1199" s="2">
        <v>1400</v>
      </c>
      <c r="B1199" s="2" t="s">
        <v>1505</v>
      </c>
      <c r="C1199" s="2" t="s">
        <v>93</v>
      </c>
      <c r="D1199" s="2" t="s">
        <v>14</v>
      </c>
      <c r="E1199" s="2">
        <v>29</v>
      </c>
      <c r="F1199" s="2">
        <v>71</v>
      </c>
      <c r="G1199" s="2">
        <v>178</v>
      </c>
      <c r="H1199" s="9">
        <f t="shared" si="18"/>
        <v>22.408786769347305</v>
      </c>
      <c r="I1199" s="2" t="str" cm="1">
        <f t="array" ref="I1199">_xlfn.IFS(F1199&gt;=100,"Over weight",F1199&lt;100,"Average weight")</f>
        <v>Average weight</v>
      </c>
      <c r="J1199" s="2" t="str" cm="1">
        <f t="array" ref="J1199">_xlfn.IFS(G1199&lt;164,"Below Average height",G1199&gt;=165,"Above Average height",G1199=164,"Average height")</f>
        <v>Above Average height</v>
      </c>
      <c r="K1199" s="2" t="str" cm="1">
        <f t="array" ref="K1199">_xlfn.IFS(E1199&lt;=16,"Children",E1199&lt;=30,"Young Adults",E1199&lt;=45,"Middle-aged Adults",E1199&gt;45,"Old Adults")</f>
        <v>Young Adults</v>
      </c>
    </row>
    <row r="1200" spans="1:11" x14ac:dyDescent="0.45">
      <c r="A1200" s="2">
        <v>1402</v>
      </c>
      <c r="B1200" s="2" t="s">
        <v>1507</v>
      </c>
      <c r="C1200" s="2" t="s">
        <v>93</v>
      </c>
      <c r="D1200" s="2" t="s">
        <v>39</v>
      </c>
      <c r="E1200" s="2">
        <v>36</v>
      </c>
      <c r="F1200" s="2">
        <v>83</v>
      </c>
      <c r="G1200" s="2">
        <v>180</v>
      </c>
      <c r="H1200" s="9">
        <f t="shared" si="18"/>
        <v>25.617283950617281</v>
      </c>
      <c r="I1200" s="2" t="str" cm="1">
        <f t="array" ref="I1200">_xlfn.IFS(F1200&gt;=100,"Over weight",F1200&lt;100,"Average weight")</f>
        <v>Average weight</v>
      </c>
      <c r="J1200" s="2" t="str" cm="1">
        <f t="array" ref="J1200">_xlfn.IFS(G1200&lt;164,"Below Average height",G1200&gt;=165,"Above Average height",G1200=164,"Average height")</f>
        <v>Above Average height</v>
      </c>
      <c r="K1200" s="2" t="str" cm="1">
        <f t="array" ref="K1200">_xlfn.IFS(E1200&lt;=16,"Children",E1200&lt;=30,"Young Adults",E1200&lt;=45,"Middle-aged Adults",E1200&gt;45,"Old Adults")</f>
        <v>Middle-aged Adults</v>
      </c>
    </row>
    <row r="1201" spans="1:11" x14ac:dyDescent="0.45">
      <c r="A1201" s="2">
        <v>1403</v>
      </c>
      <c r="B1201" s="2" t="s">
        <v>1508</v>
      </c>
      <c r="C1201" s="2" t="s">
        <v>89</v>
      </c>
      <c r="D1201" s="2" t="s">
        <v>66</v>
      </c>
      <c r="E1201" s="2">
        <v>23</v>
      </c>
      <c r="F1201" s="2">
        <v>62</v>
      </c>
      <c r="G1201" s="2">
        <v>168</v>
      </c>
      <c r="H1201" s="9">
        <f t="shared" si="18"/>
        <v>21.9671201814059</v>
      </c>
      <c r="I1201" s="2" t="str" cm="1">
        <f t="array" ref="I1201">_xlfn.IFS(F1201&gt;=100,"Over weight",F1201&lt;100,"Average weight")</f>
        <v>Average weight</v>
      </c>
      <c r="J1201" s="2" t="str" cm="1">
        <f t="array" ref="J1201">_xlfn.IFS(G1201&lt;164,"Below Average height",G1201&gt;=165,"Above Average height",G1201=164,"Average height")</f>
        <v>Above Average height</v>
      </c>
      <c r="K1201" s="2" t="str" cm="1">
        <f t="array" ref="K1201">_xlfn.IFS(E1201&lt;=16,"Children",E1201&lt;=30,"Young Adults",E1201&lt;=45,"Middle-aged Adults",E1201&gt;45,"Old Adults")</f>
        <v>Young Adults</v>
      </c>
    </row>
    <row r="1202" spans="1:11" x14ac:dyDescent="0.45">
      <c r="A1202" s="2">
        <v>1404</v>
      </c>
      <c r="B1202" s="2" t="s">
        <v>1509</v>
      </c>
      <c r="C1202" s="2" t="s">
        <v>92</v>
      </c>
      <c r="D1202" s="2" t="s">
        <v>63</v>
      </c>
      <c r="E1202" s="2">
        <v>32</v>
      </c>
      <c r="F1202" s="2">
        <v>54</v>
      </c>
      <c r="G1202" s="2">
        <v>170</v>
      </c>
      <c r="H1202" s="9">
        <f t="shared" si="18"/>
        <v>18.68512110726644</v>
      </c>
      <c r="I1202" s="2" t="str" cm="1">
        <f t="array" ref="I1202">_xlfn.IFS(F1202&gt;=100,"Over weight",F1202&lt;100,"Average weight")</f>
        <v>Average weight</v>
      </c>
      <c r="J1202" s="2" t="str" cm="1">
        <f t="array" ref="J1202">_xlfn.IFS(G1202&lt;164,"Below Average height",G1202&gt;=165,"Above Average height",G1202=164,"Average height")</f>
        <v>Above Average height</v>
      </c>
      <c r="K1202" s="2" t="str" cm="1">
        <f t="array" ref="K1202">_xlfn.IFS(E1202&lt;=16,"Children",E1202&lt;=30,"Young Adults",E1202&lt;=45,"Middle-aged Adults",E1202&gt;45,"Old Adults")</f>
        <v>Middle-aged Adults</v>
      </c>
    </row>
    <row r="1203" spans="1:11" x14ac:dyDescent="0.45">
      <c r="A1203" s="2">
        <v>1405</v>
      </c>
      <c r="B1203" s="2" t="s">
        <v>1510</v>
      </c>
      <c r="C1203" s="2" t="s">
        <v>94</v>
      </c>
      <c r="D1203" s="2" t="s">
        <v>17</v>
      </c>
      <c r="E1203" s="2">
        <v>20</v>
      </c>
      <c r="F1203" s="2">
        <v>56</v>
      </c>
      <c r="G1203" s="2">
        <v>165</v>
      </c>
      <c r="H1203" s="9">
        <f t="shared" si="18"/>
        <v>20.569329660238754</v>
      </c>
      <c r="I1203" s="2" t="str" cm="1">
        <f t="array" ref="I1203">_xlfn.IFS(F1203&gt;=100,"Over weight",F1203&lt;100,"Average weight")</f>
        <v>Average weight</v>
      </c>
      <c r="J1203" s="2" t="str" cm="1">
        <f t="array" ref="J1203">_xlfn.IFS(G1203&lt;164,"Below Average height",G1203&gt;=165,"Above Average height",G1203=164,"Average height")</f>
        <v>Above Average height</v>
      </c>
      <c r="K1203" s="2" t="str" cm="1">
        <f t="array" ref="K1203">_xlfn.IFS(E1203&lt;=16,"Children",E1203&lt;=30,"Young Adults",E1203&lt;=45,"Middle-aged Adults",E1203&gt;45,"Old Adults")</f>
        <v>Young Adults</v>
      </c>
    </row>
    <row r="1204" spans="1:11" x14ac:dyDescent="0.45">
      <c r="A1204" s="2">
        <v>1406</v>
      </c>
      <c r="B1204" s="2" t="s">
        <v>1511</v>
      </c>
      <c r="C1204" s="2" t="s">
        <v>85</v>
      </c>
      <c r="D1204" s="2" t="s">
        <v>80</v>
      </c>
      <c r="E1204" s="2">
        <v>25</v>
      </c>
      <c r="F1204" s="2">
        <v>64</v>
      </c>
      <c r="G1204" s="2">
        <v>168</v>
      </c>
      <c r="H1204" s="9">
        <f t="shared" si="18"/>
        <v>22.67573696145125</v>
      </c>
      <c r="I1204" s="2" t="str" cm="1">
        <f t="array" ref="I1204">_xlfn.IFS(F1204&gt;=100,"Over weight",F1204&lt;100,"Average weight")</f>
        <v>Average weight</v>
      </c>
      <c r="J1204" s="2" t="str" cm="1">
        <f t="array" ref="J1204">_xlfn.IFS(G1204&lt;164,"Below Average height",G1204&gt;=165,"Above Average height",G1204=164,"Average height")</f>
        <v>Above Average height</v>
      </c>
      <c r="K1204" s="2" t="str" cm="1">
        <f t="array" ref="K1204">_xlfn.IFS(E1204&lt;=16,"Children",E1204&lt;=30,"Young Adults",E1204&lt;=45,"Middle-aged Adults",E1204&gt;45,"Old Adults")</f>
        <v>Young Adults</v>
      </c>
    </row>
    <row r="1205" spans="1:11" x14ac:dyDescent="0.45">
      <c r="A1205" s="2">
        <v>1407</v>
      </c>
      <c r="B1205" s="2" t="s">
        <v>1512</v>
      </c>
      <c r="C1205" s="2" t="s">
        <v>85</v>
      </c>
      <c r="D1205" s="2" t="s">
        <v>16</v>
      </c>
      <c r="E1205" s="2">
        <v>23</v>
      </c>
      <c r="F1205" s="2">
        <v>82</v>
      </c>
      <c r="G1205" s="2">
        <v>182</v>
      </c>
      <c r="H1205" s="9">
        <f t="shared" si="18"/>
        <v>24.755464315903875</v>
      </c>
      <c r="I1205" s="2" t="str" cm="1">
        <f t="array" ref="I1205">_xlfn.IFS(F1205&gt;=100,"Over weight",F1205&lt;100,"Average weight")</f>
        <v>Average weight</v>
      </c>
      <c r="J1205" s="2" t="str" cm="1">
        <f t="array" ref="J1205">_xlfn.IFS(G1205&lt;164,"Below Average height",G1205&gt;=165,"Above Average height",G1205=164,"Average height")</f>
        <v>Above Average height</v>
      </c>
      <c r="K1205" s="2" t="str" cm="1">
        <f t="array" ref="K1205">_xlfn.IFS(E1205&lt;=16,"Children",E1205&lt;=30,"Young Adults",E1205&lt;=45,"Middle-aged Adults",E1205&gt;45,"Old Adults")</f>
        <v>Young Adults</v>
      </c>
    </row>
    <row r="1206" spans="1:11" x14ac:dyDescent="0.45">
      <c r="A1206" s="2">
        <v>1409</v>
      </c>
      <c r="B1206" s="2" t="s">
        <v>1514</v>
      </c>
      <c r="C1206" s="2" t="s">
        <v>94</v>
      </c>
      <c r="D1206" s="2" t="s">
        <v>26</v>
      </c>
      <c r="E1206" s="2">
        <v>23</v>
      </c>
      <c r="F1206" s="2">
        <v>73</v>
      </c>
      <c r="G1206" s="2">
        <v>185</v>
      </c>
      <c r="H1206" s="9">
        <f t="shared" si="18"/>
        <v>21.329437545653761</v>
      </c>
      <c r="I1206" s="2" t="str" cm="1">
        <f t="array" ref="I1206">_xlfn.IFS(F1206&gt;=100,"Over weight",F1206&lt;100,"Average weight")</f>
        <v>Average weight</v>
      </c>
      <c r="J1206" s="2" t="str" cm="1">
        <f t="array" ref="J1206">_xlfn.IFS(G1206&lt;164,"Below Average height",G1206&gt;=165,"Above Average height",G1206=164,"Average height")</f>
        <v>Above Average height</v>
      </c>
      <c r="K1206" s="2" t="str" cm="1">
        <f t="array" ref="K1206">_xlfn.IFS(E1206&lt;=16,"Children",E1206&lt;=30,"Young Adults",E1206&lt;=45,"Middle-aged Adults",E1206&gt;45,"Old Adults")</f>
        <v>Young Adults</v>
      </c>
    </row>
    <row r="1207" spans="1:11" x14ac:dyDescent="0.45">
      <c r="A1207" s="2">
        <v>1410</v>
      </c>
      <c r="B1207" s="2" t="s">
        <v>1515</v>
      </c>
      <c r="C1207" s="2" t="s">
        <v>90</v>
      </c>
      <c r="D1207" s="2" t="s">
        <v>28</v>
      </c>
      <c r="E1207" s="2">
        <v>29</v>
      </c>
      <c r="F1207" s="2">
        <v>107</v>
      </c>
      <c r="G1207" s="2">
        <v>190</v>
      </c>
      <c r="H1207" s="9">
        <f t="shared" si="18"/>
        <v>29.639889196675902</v>
      </c>
      <c r="I1207" s="2" t="str" cm="1">
        <f t="array" ref="I1207">_xlfn.IFS(F1207&gt;=100,"Over weight",F1207&lt;100,"Average weight")</f>
        <v>Over weight</v>
      </c>
      <c r="J1207" s="2" t="str" cm="1">
        <f t="array" ref="J1207">_xlfn.IFS(G1207&lt;164,"Below Average height",G1207&gt;=165,"Above Average height",G1207=164,"Average height")</f>
        <v>Above Average height</v>
      </c>
      <c r="K1207" s="2" t="str" cm="1">
        <f t="array" ref="K1207">_xlfn.IFS(E1207&lt;=16,"Children",E1207&lt;=30,"Young Adults",E1207&lt;=45,"Middle-aged Adults",E1207&gt;45,"Old Adults")</f>
        <v>Young Adults</v>
      </c>
    </row>
    <row r="1208" spans="1:11" x14ac:dyDescent="0.45">
      <c r="A1208" s="2">
        <v>1412</v>
      </c>
      <c r="B1208" s="2" t="s">
        <v>1517</v>
      </c>
      <c r="C1208" s="2" t="s">
        <v>97</v>
      </c>
      <c r="D1208" s="2" t="s">
        <v>25</v>
      </c>
      <c r="E1208" s="2">
        <v>31</v>
      </c>
      <c r="F1208" s="2">
        <v>83</v>
      </c>
      <c r="G1208" s="2">
        <v>189</v>
      </c>
      <c r="H1208" s="9">
        <f t="shared" si="18"/>
        <v>23.23563170124017</v>
      </c>
      <c r="I1208" s="2" t="str" cm="1">
        <f t="array" ref="I1208">_xlfn.IFS(F1208&gt;=100,"Over weight",F1208&lt;100,"Average weight")</f>
        <v>Average weight</v>
      </c>
      <c r="J1208" s="2" t="str" cm="1">
        <f t="array" ref="J1208">_xlfn.IFS(G1208&lt;164,"Below Average height",G1208&gt;=165,"Above Average height",G1208=164,"Average height")</f>
        <v>Above Average height</v>
      </c>
      <c r="K1208" s="2" t="str" cm="1">
        <f t="array" ref="K1208">_xlfn.IFS(E1208&lt;=16,"Children",E1208&lt;=30,"Young Adults",E1208&lt;=45,"Middle-aged Adults",E1208&gt;45,"Old Adults")</f>
        <v>Middle-aged Adults</v>
      </c>
    </row>
    <row r="1209" spans="1:11" x14ac:dyDescent="0.45">
      <c r="A1209" s="2">
        <v>1414</v>
      </c>
      <c r="B1209" s="2" t="s">
        <v>1519</v>
      </c>
      <c r="C1209" s="2" t="s">
        <v>93</v>
      </c>
      <c r="D1209" s="2" t="s">
        <v>39</v>
      </c>
      <c r="E1209" s="2">
        <v>23</v>
      </c>
      <c r="F1209" s="2">
        <v>83</v>
      </c>
      <c r="G1209" s="2">
        <v>186</v>
      </c>
      <c r="H1209" s="9">
        <f t="shared" si="18"/>
        <v>23.991212856977683</v>
      </c>
      <c r="I1209" s="2" t="str" cm="1">
        <f t="array" ref="I1209">_xlfn.IFS(F1209&gt;=100,"Over weight",F1209&lt;100,"Average weight")</f>
        <v>Average weight</v>
      </c>
      <c r="J1209" s="2" t="str" cm="1">
        <f t="array" ref="J1209">_xlfn.IFS(G1209&lt;164,"Below Average height",G1209&gt;=165,"Above Average height",G1209=164,"Average height")</f>
        <v>Above Average height</v>
      </c>
      <c r="K1209" s="2" t="str" cm="1">
        <f t="array" ref="K1209">_xlfn.IFS(E1209&lt;=16,"Children",E1209&lt;=30,"Young Adults",E1209&lt;=45,"Middle-aged Adults",E1209&gt;45,"Old Adults")</f>
        <v>Young Adults</v>
      </c>
    </row>
    <row r="1210" spans="1:11" x14ac:dyDescent="0.45">
      <c r="A1210" s="2">
        <v>1416</v>
      </c>
      <c r="B1210" s="2" t="s">
        <v>1521</v>
      </c>
      <c r="C1210" s="2" t="s">
        <v>94</v>
      </c>
      <c r="D1210" s="2" t="s">
        <v>63</v>
      </c>
      <c r="E1210" s="2">
        <v>24</v>
      </c>
      <c r="F1210" s="2">
        <v>51</v>
      </c>
      <c r="G1210" s="2">
        <v>165</v>
      </c>
      <c r="H1210" s="9">
        <f t="shared" si="18"/>
        <v>18.732782369146008</v>
      </c>
      <c r="I1210" s="2" t="str" cm="1">
        <f t="array" ref="I1210">_xlfn.IFS(F1210&gt;=100,"Over weight",F1210&lt;100,"Average weight")</f>
        <v>Average weight</v>
      </c>
      <c r="J1210" s="2" t="str" cm="1">
        <f t="array" ref="J1210">_xlfn.IFS(G1210&lt;164,"Below Average height",G1210&gt;=165,"Above Average height",G1210=164,"Average height")</f>
        <v>Above Average height</v>
      </c>
      <c r="K1210" s="2" t="str" cm="1">
        <f t="array" ref="K1210">_xlfn.IFS(E1210&lt;=16,"Children",E1210&lt;=30,"Young Adults",E1210&lt;=45,"Middle-aged Adults",E1210&gt;45,"Old Adults")</f>
        <v>Young Adults</v>
      </c>
    </row>
    <row r="1211" spans="1:11" x14ac:dyDescent="0.45">
      <c r="A1211" s="2">
        <v>1417</v>
      </c>
      <c r="B1211" s="2" t="s">
        <v>1522</v>
      </c>
      <c r="C1211" s="2" t="s">
        <v>93</v>
      </c>
      <c r="D1211" s="2" t="s">
        <v>71</v>
      </c>
      <c r="E1211" s="2">
        <v>23</v>
      </c>
      <c r="F1211" s="2">
        <v>83</v>
      </c>
      <c r="G1211" s="2">
        <v>180</v>
      </c>
      <c r="H1211" s="9">
        <f t="shared" si="18"/>
        <v>25.617283950617281</v>
      </c>
      <c r="I1211" s="2" t="str" cm="1">
        <f t="array" ref="I1211">_xlfn.IFS(F1211&gt;=100,"Over weight",F1211&lt;100,"Average weight")</f>
        <v>Average weight</v>
      </c>
      <c r="J1211" s="2" t="str" cm="1">
        <f t="array" ref="J1211">_xlfn.IFS(G1211&lt;164,"Below Average height",G1211&gt;=165,"Above Average height",G1211=164,"Average height")</f>
        <v>Above Average height</v>
      </c>
      <c r="K1211" s="2" t="str" cm="1">
        <f t="array" ref="K1211">_xlfn.IFS(E1211&lt;=16,"Children",E1211&lt;=30,"Young Adults",E1211&lt;=45,"Middle-aged Adults",E1211&gt;45,"Old Adults")</f>
        <v>Young Adults</v>
      </c>
    </row>
    <row r="1212" spans="1:11" x14ac:dyDescent="0.45">
      <c r="A1212" s="2">
        <v>1418</v>
      </c>
      <c r="B1212" s="2" t="s">
        <v>1523</v>
      </c>
      <c r="C1212" s="2" t="s">
        <v>90</v>
      </c>
      <c r="D1212" s="2" t="s">
        <v>19</v>
      </c>
      <c r="E1212" s="2">
        <v>27</v>
      </c>
      <c r="F1212" s="2">
        <v>90</v>
      </c>
      <c r="G1212" s="2">
        <v>190</v>
      </c>
      <c r="H1212" s="9">
        <f t="shared" si="18"/>
        <v>24.930747922437675</v>
      </c>
      <c r="I1212" s="2" t="str" cm="1">
        <f t="array" ref="I1212">_xlfn.IFS(F1212&gt;=100,"Over weight",F1212&lt;100,"Average weight")</f>
        <v>Average weight</v>
      </c>
      <c r="J1212" s="2" t="str" cm="1">
        <f t="array" ref="J1212">_xlfn.IFS(G1212&lt;164,"Below Average height",G1212&gt;=165,"Above Average height",G1212=164,"Average height")</f>
        <v>Above Average height</v>
      </c>
      <c r="K1212" s="2" t="str" cm="1">
        <f t="array" ref="K1212">_xlfn.IFS(E1212&lt;=16,"Children",E1212&lt;=30,"Young Adults",E1212&lt;=45,"Middle-aged Adults",E1212&gt;45,"Old Adults")</f>
        <v>Young Adults</v>
      </c>
    </row>
    <row r="1213" spans="1:11" x14ac:dyDescent="0.45">
      <c r="A1213" s="2">
        <v>1419</v>
      </c>
      <c r="B1213" s="2" t="s">
        <v>1524</v>
      </c>
      <c r="C1213" s="2" t="s">
        <v>88</v>
      </c>
      <c r="D1213" s="2" t="s">
        <v>71</v>
      </c>
      <c r="E1213" s="2">
        <v>34</v>
      </c>
      <c r="F1213" s="2">
        <v>78</v>
      </c>
      <c r="G1213" s="2">
        <v>182</v>
      </c>
      <c r="H1213" s="9">
        <f t="shared" si="18"/>
        <v>23.547880690737831</v>
      </c>
      <c r="I1213" s="2" t="str" cm="1">
        <f t="array" ref="I1213">_xlfn.IFS(F1213&gt;=100,"Over weight",F1213&lt;100,"Average weight")</f>
        <v>Average weight</v>
      </c>
      <c r="J1213" s="2" t="str" cm="1">
        <f t="array" ref="J1213">_xlfn.IFS(G1213&lt;164,"Below Average height",G1213&gt;=165,"Above Average height",G1213=164,"Average height")</f>
        <v>Above Average height</v>
      </c>
      <c r="K1213" s="2" t="str" cm="1">
        <f t="array" ref="K1213">_xlfn.IFS(E1213&lt;=16,"Children",E1213&lt;=30,"Young Adults",E1213&lt;=45,"Middle-aged Adults",E1213&gt;45,"Old Adults")</f>
        <v>Middle-aged Adults</v>
      </c>
    </row>
    <row r="1214" spans="1:11" x14ac:dyDescent="0.45">
      <c r="A1214" s="2">
        <v>1420</v>
      </c>
      <c r="B1214" s="2" t="s">
        <v>1525</v>
      </c>
      <c r="C1214" s="2" t="s">
        <v>93</v>
      </c>
      <c r="D1214" s="2" t="s">
        <v>2</v>
      </c>
      <c r="E1214" s="2">
        <v>21</v>
      </c>
      <c r="F1214" s="2">
        <v>80</v>
      </c>
      <c r="G1214" s="2">
        <v>186</v>
      </c>
      <c r="H1214" s="9">
        <f t="shared" si="18"/>
        <v>23.12406058503873</v>
      </c>
      <c r="I1214" s="2" t="str" cm="1">
        <f t="array" ref="I1214">_xlfn.IFS(F1214&gt;=100,"Over weight",F1214&lt;100,"Average weight")</f>
        <v>Average weight</v>
      </c>
      <c r="J1214" s="2" t="str" cm="1">
        <f t="array" ref="J1214">_xlfn.IFS(G1214&lt;164,"Below Average height",G1214&gt;=165,"Above Average height",G1214=164,"Average height")</f>
        <v>Above Average height</v>
      </c>
      <c r="K1214" s="2" t="str" cm="1">
        <f t="array" ref="K1214">_xlfn.IFS(E1214&lt;=16,"Children",E1214&lt;=30,"Young Adults",E1214&lt;=45,"Middle-aged Adults",E1214&gt;45,"Old Adults")</f>
        <v>Young Adults</v>
      </c>
    </row>
    <row r="1215" spans="1:11" x14ac:dyDescent="0.45">
      <c r="A1215" s="2">
        <v>1421</v>
      </c>
      <c r="B1215" s="2" t="s">
        <v>1526</v>
      </c>
      <c r="C1215" s="2" t="s">
        <v>85</v>
      </c>
      <c r="D1215" s="2" t="s">
        <v>19</v>
      </c>
      <c r="E1215" s="2">
        <v>22</v>
      </c>
      <c r="F1215" s="2">
        <v>92</v>
      </c>
      <c r="G1215" s="2">
        <v>184</v>
      </c>
      <c r="H1215" s="9">
        <f t="shared" si="18"/>
        <v>27.173913043478258</v>
      </c>
      <c r="I1215" s="2" t="str" cm="1">
        <f t="array" ref="I1215">_xlfn.IFS(F1215&gt;=100,"Over weight",F1215&lt;100,"Average weight")</f>
        <v>Average weight</v>
      </c>
      <c r="J1215" s="2" t="str" cm="1">
        <f t="array" ref="J1215">_xlfn.IFS(G1215&lt;164,"Below Average height",G1215&gt;=165,"Above Average height",G1215=164,"Average height")</f>
        <v>Above Average height</v>
      </c>
      <c r="K1215" s="2" t="str" cm="1">
        <f t="array" ref="K1215">_xlfn.IFS(E1215&lt;=16,"Children",E1215&lt;=30,"Young Adults",E1215&lt;=45,"Middle-aged Adults",E1215&gt;45,"Old Adults")</f>
        <v>Young Adults</v>
      </c>
    </row>
    <row r="1216" spans="1:11" x14ac:dyDescent="0.45">
      <c r="A1216" s="2">
        <v>1422</v>
      </c>
      <c r="B1216" s="2" t="s">
        <v>1527</v>
      </c>
      <c r="C1216" s="2" t="s">
        <v>91</v>
      </c>
      <c r="D1216" s="2" t="s">
        <v>66</v>
      </c>
      <c r="E1216" s="2">
        <v>31</v>
      </c>
      <c r="F1216" s="2">
        <v>90</v>
      </c>
      <c r="G1216" s="2">
        <v>183</v>
      </c>
      <c r="H1216" s="9">
        <f t="shared" si="18"/>
        <v>26.874496103198062</v>
      </c>
      <c r="I1216" s="2" t="str" cm="1">
        <f t="array" ref="I1216">_xlfn.IFS(F1216&gt;=100,"Over weight",F1216&lt;100,"Average weight")</f>
        <v>Average weight</v>
      </c>
      <c r="J1216" s="2" t="str" cm="1">
        <f t="array" ref="J1216">_xlfn.IFS(G1216&lt;164,"Below Average height",G1216&gt;=165,"Above Average height",G1216=164,"Average height")</f>
        <v>Above Average height</v>
      </c>
      <c r="K1216" s="2" t="str" cm="1">
        <f t="array" ref="K1216">_xlfn.IFS(E1216&lt;=16,"Children",E1216&lt;=30,"Young Adults",E1216&lt;=45,"Middle-aged Adults",E1216&gt;45,"Old Adults")</f>
        <v>Middle-aged Adults</v>
      </c>
    </row>
    <row r="1217" spans="1:11" x14ac:dyDescent="0.45">
      <c r="A1217" s="2">
        <v>1423</v>
      </c>
      <c r="B1217" s="2" t="s">
        <v>1528</v>
      </c>
      <c r="C1217" s="2" t="s">
        <v>91</v>
      </c>
      <c r="D1217" s="2" t="s">
        <v>14</v>
      </c>
      <c r="E1217" s="2">
        <v>30</v>
      </c>
      <c r="F1217" s="2">
        <v>100</v>
      </c>
      <c r="G1217" s="2">
        <v>188</v>
      </c>
      <c r="H1217" s="9">
        <f t="shared" si="18"/>
        <v>28.293345405160707</v>
      </c>
      <c r="I1217" s="2" t="str" cm="1">
        <f t="array" ref="I1217">_xlfn.IFS(F1217&gt;=100,"Over weight",F1217&lt;100,"Average weight")</f>
        <v>Over weight</v>
      </c>
      <c r="J1217" s="2" t="str" cm="1">
        <f t="array" ref="J1217">_xlfn.IFS(G1217&lt;164,"Below Average height",G1217&gt;=165,"Above Average height",G1217=164,"Average height")</f>
        <v>Above Average height</v>
      </c>
      <c r="K1217" s="2" t="str" cm="1">
        <f t="array" ref="K1217">_xlfn.IFS(E1217&lt;=16,"Children",E1217&lt;=30,"Young Adults",E1217&lt;=45,"Middle-aged Adults",E1217&gt;45,"Old Adults")</f>
        <v>Young Adults</v>
      </c>
    </row>
    <row r="1218" spans="1:11" x14ac:dyDescent="0.45">
      <c r="A1218" s="2">
        <v>1424</v>
      </c>
      <c r="B1218" s="2" t="s">
        <v>1529</v>
      </c>
      <c r="C1218" s="2" t="s">
        <v>85</v>
      </c>
      <c r="D1218" s="2" t="s">
        <v>26</v>
      </c>
      <c r="E1218" s="2">
        <v>21</v>
      </c>
      <c r="F1218" s="2">
        <v>65</v>
      </c>
      <c r="G1218" s="2">
        <v>170</v>
      </c>
      <c r="H1218" s="9">
        <f t="shared" ref="H1218:H1281" si="19" xml:space="preserve"> F1218 / (( G1218/ 100) ^ 2)</f>
        <v>22.491349480968861</v>
      </c>
      <c r="I1218" s="2" t="str" cm="1">
        <f t="array" ref="I1218">_xlfn.IFS(F1218&gt;=100,"Over weight",F1218&lt;100,"Average weight")</f>
        <v>Average weight</v>
      </c>
      <c r="J1218" s="2" t="str" cm="1">
        <f t="array" ref="J1218">_xlfn.IFS(G1218&lt;164,"Below Average height",G1218&gt;=165,"Above Average height",G1218=164,"Average height")</f>
        <v>Above Average height</v>
      </c>
      <c r="K1218" s="2" t="str" cm="1">
        <f t="array" ref="K1218">_xlfn.IFS(E1218&lt;=16,"Children",E1218&lt;=30,"Young Adults",E1218&lt;=45,"Middle-aged Adults",E1218&gt;45,"Old Adults")</f>
        <v>Young Adults</v>
      </c>
    </row>
    <row r="1219" spans="1:11" x14ac:dyDescent="0.45">
      <c r="A1219" s="2">
        <v>1425</v>
      </c>
      <c r="B1219" s="2" t="s">
        <v>1530</v>
      </c>
      <c r="C1219" s="2" t="s">
        <v>87</v>
      </c>
      <c r="D1219" s="2" t="s">
        <v>14</v>
      </c>
      <c r="E1219" s="2">
        <v>25</v>
      </c>
      <c r="F1219" s="2">
        <v>72</v>
      </c>
      <c r="G1219" s="2">
        <v>175</v>
      </c>
      <c r="H1219" s="9">
        <f t="shared" si="19"/>
        <v>23.510204081632654</v>
      </c>
      <c r="I1219" s="2" t="str" cm="1">
        <f t="array" ref="I1219">_xlfn.IFS(F1219&gt;=100,"Over weight",F1219&lt;100,"Average weight")</f>
        <v>Average weight</v>
      </c>
      <c r="J1219" s="2" t="str" cm="1">
        <f t="array" ref="J1219">_xlfn.IFS(G1219&lt;164,"Below Average height",G1219&gt;=165,"Above Average height",G1219=164,"Average height")</f>
        <v>Above Average height</v>
      </c>
      <c r="K1219" s="2" t="str" cm="1">
        <f t="array" ref="K1219">_xlfn.IFS(E1219&lt;=16,"Children",E1219&lt;=30,"Young Adults",E1219&lt;=45,"Middle-aged Adults",E1219&gt;45,"Old Adults")</f>
        <v>Young Adults</v>
      </c>
    </row>
    <row r="1220" spans="1:11" x14ac:dyDescent="0.45">
      <c r="A1220" s="2">
        <v>1426</v>
      </c>
      <c r="B1220" s="2" t="s">
        <v>1531</v>
      </c>
      <c r="C1220" s="2" t="s">
        <v>85</v>
      </c>
      <c r="D1220" s="2" t="s">
        <v>80</v>
      </c>
      <c r="E1220" s="2">
        <v>23</v>
      </c>
      <c r="F1220" s="2">
        <v>74</v>
      </c>
      <c r="G1220" s="2">
        <v>165</v>
      </c>
      <c r="H1220" s="9">
        <f t="shared" si="19"/>
        <v>27.180899908172638</v>
      </c>
      <c r="I1220" s="2" t="str" cm="1">
        <f t="array" ref="I1220">_xlfn.IFS(F1220&gt;=100,"Over weight",F1220&lt;100,"Average weight")</f>
        <v>Average weight</v>
      </c>
      <c r="J1220" s="2" t="str" cm="1">
        <f t="array" ref="J1220">_xlfn.IFS(G1220&lt;164,"Below Average height",G1220&gt;=165,"Above Average height",G1220=164,"Average height")</f>
        <v>Above Average height</v>
      </c>
      <c r="K1220" s="2" t="str" cm="1">
        <f t="array" ref="K1220">_xlfn.IFS(E1220&lt;=16,"Children",E1220&lt;=30,"Young Adults",E1220&lt;=45,"Middle-aged Adults",E1220&gt;45,"Old Adults")</f>
        <v>Young Adults</v>
      </c>
    </row>
    <row r="1221" spans="1:11" x14ac:dyDescent="0.45">
      <c r="A1221" s="2">
        <v>1427</v>
      </c>
      <c r="B1221" s="2" t="s">
        <v>1532</v>
      </c>
      <c r="C1221" s="2" t="s">
        <v>89</v>
      </c>
      <c r="D1221" s="2" t="s">
        <v>80</v>
      </c>
      <c r="E1221" s="2">
        <v>20</v>
      </c>
      <c r="F1221" s="2">
        <v>76</v>
      </c>
      <c r="G1221" s="2">
        <v>173</v>
      </c>
      <c r="H1221" s="9">
        <f t="shared" si="19"/>
        <v>25.393431120318084</v>
      </c>
      <c r="I1221" s="2" t="str" cm="1">
        <f t="array" ref="I1221">_xlfn.IFS(F1221&gt;=100,"Over weight",F1221&lt;100,"Average weight")</f>
        <v>Average weight</v>
      </c>
      <c r="J1221" s="2" t="str" cm="1">
        <f t="array" ref="J1221">_xlfn.IFS(G1221&lt;164,"Below Average height",G1221&gt;=165,"Above Average height",G1221=164,"Average height")</f>
        <v>Above Average height</v>
      </c>
      <c r="K1221" s="2" t="str" cm="1">
        <f t="array" ref="K1221">_xlfn.IFS(E1221&lt;=16,"Children",E1221&lt;=30,"Young Adults",E1221&lt;=45,"Middle-aged Adults",E1221&gt;45,"Old Adults")</f>
        <v>Young Adults</v>
      </c>
    </row>
    <row r="1222" spans="1:11" x14ac:dyDescent="0.45">
      <c r="A1222" s="2">
        <v>1428</v>
      </c>
      <c r="B1222" s="2" t="s">
        <v>1533</v>
      </c>
      <c r="C1222" s="2" t="s">
        <v>93</v>
      </c>
      <c r="D1222" s="2" t="s">
        <v>14</v>
      </c>
      <c r="E1222" s="2">
        <v>23</v>
      </c>
      <c r="F1222" s="2">
        <v>81</v>
      </c>
      <c r="G1222" s="2">
        <v>180</v>
      </c>
      <c r="H1222" s="9">
        <f t="shared" si="19"/>
        <v>25</v>
      </c>
      <c r="I1222" s="2" t="str" cm="1">
        <f t="array" ref="I1222">_xlfn.IFS(F1222&gt;=100,"Over weight",F1222&lt;100,"Average weight")</f>
        <v>Average weight</v>
      </c>
      <c r="J1222" s="2" t="str" cm="1">
        <f t="array" ref="J1222">_xlfn.IFS(G1222&lt;164,"Below Average height",G1222&gt;=165,"Above Average height",G1222=164,"Average height")</f>
        <v>Above Average height</v>
      </c>
      <c r="K1222" s="2" t="str" cm="1">
        <f t="array" ref="K1222">_xlfn.IFS(E1222&lt;=16,"Children",E1222&lt;=30,"Young Adults",E1222&lt;=45,"Middle-aged Adults",E1222&gt;45,"Old Adults")</f>
        <v>Young Adults</v>
      </c>
    </row>
    <row r="1223" spans="1:11" x14ac:dyDescent="0.45">
      <c r="A1223" s="2">
        <v>1429</v>
      </c>
      <c r="B1223" s="2" t="s">
        <v>1534</v>
      </c>
      <c r="C1223" s="2" t="s">
        <v>95</v>
      </c>
      <c r="D1223" s="2" t="s">
        <v>80</v>
      </c>
      <c r="E1223" s="2">
        <v>36</v>
      </c>
      <c r="F1223" s="2">
        <v>76</v>
      </c>
      <c r="G1223" s="2">
        <v>170</v>
      </c>
      <c r="H1223" s="9">
        <f t="shared" si="19"/>
        <v>26.297577854671282</v>
      </c>
      <c r="I1223" s="2" t="str" cm="1">
        <f t="array" ref="I1223">_xlfn.IFS(F1223&gt;=100,"Over weight",F1223&lt;100,"Average weight")</f>
        <v>Average weight</v>
      </c>
      <c r="J1223" s="2" t="str" cm="1">
        <f t="array" ref="J1223">_xlfn.IFS(G1223&lt;164,"Below Average height",G1223&gt;=165,"Above Average height",G1223=164,"Average height")</f>
        <v>Above Average height</v>
      </c>
      <c r="K1223" s="2" t="str" cm="1">
        <f t="array" ref="K1223">_xlfn.IFS(E1223&lt;=16,"Children",E1223&lt;=30,"Young Adults",E1223&lt;=45,"Middle-aged Adults",E1223&gt;45,"Old Adults")</f>
        <v>Middle-aged Adults</v>
      </c>
    </row>
    <row r="1224" spans="1:11" x14ac:dyDescent="0.45">
      <c r="A1224" s="2">
        <v>1430</v>
      </c>
      <c r="B1224" s="2" t="s">
        <v>1535</v>
      </c>
      <c r="C1224" s="2" t="s">
        <v>96</v>
      </c>
      <c r="D1224" s="2" t="s">
        <v>14</v>
      </c>
      <c r="E1224" s="2">
        <v>43</v>
      </c>
      <c r="F1224" s="2">
        <v>59</v>
      </c>
      <c r="G1224" s="2">
        <v>185</v>
      </c>
      <c r="H1224" s="9">
        <f t="shared" si="19"/>
        <v>17.238860482103725</v>
      </c>
      <c r="I1224" s="2" t="str" cm="1">
        <f t="array" ref="I1224">_xlfn.IFS(F1224&gt;=100,"Over weight",F1224&lt;100,"Average weight")</f>
        <v>Average weight</v>
      </c>
      <c r="J1224" s="2" t="str" cm="1">
        <f t="array" ref="J1224">_xlfn.IFS(G1224&lt;164,"Below Average height",G1224&gt;=165,"Above Average height",G1224=164,"Average height")</f>
        <v>Above Average height</v>
      </c>
      <c r="K1224" s="2" t="str" cm="1">
        <f t="array" ref="K1224">_xlfn.IFS(E1224&lt;=16,"Children",E1224&lt;=30,"Young Adults",E1224&lt;=45,"Middle-aged Adults",E1224&gt;45,"Old Adults")</f>
        <v>Middle-aged Adults</v>
      </c>
    </row>
    <row r="1225" spans="1:11" x14ac:dyDescent="0.45">
      <c r="A1225" s="2">
        <v>1431</v>
      </c>
      <c r="B1225" s="2" t="s">
        <v>1536</v>
      </c>
      <c r="C1225" s="2" t="s">
        <v>91</v>
      </c>
      <c r="D1225" s="2" t="s">
        <v>74</v>
      </c>
      <c r="E1225" s="2">
        <v>23</v>
      </c>
      <c r="F1225" s="2">
        <v>66</v>
      </c>
      <c r="G1225" s="2">
        <v>166</v>
      </c>
      <c r="H1225" s="9">
        <f t="shared" si="19"/>
        <v>23.951226593119468</v>
      </c>
      <c r="I1225" s="2" t="str" cm="1">
        <f t="array" ref="I1225">_xlfn.IFS(F1225&gt;=100,"Over weight",F1225&lt;100,"Average weight")</f>
        <v>Average weight</v>
      </c>
      <c r="J1225" s="2" t="str" cm="1">
        <f t="array" ref="J1225">_xlfn.IFS(G1225&lt;164,"Below Average height",G1225&gt;=165,"Above Average height",G1225=164,"Average height")</f>
        <v>Above Average height</v>
      </c>
      <c r="K1225" s="2" t="str" cm="1">
        <f t="array" ref="K1225">_xlfn.IFS(E1225&lt;=16,"Children",E1225&lt;=30,"Young Adults",E1225&lt;=45,"Middle-aged Adults",E1225&gt;45,"Old Adults")</f>
        <v>Young Adults</v>
      </c>
    </row>
    <row r="1226" spans="1:11" x14ac:dyDescent="0.45">
      <c r="A1226" s="2">
        <v>1432</v>
      </c>
      <c r="B1226" s="2" t="s">
        <v>1537</v>
      </c>
      <c r="C1226" s="2" t="s">
        <v>90</v>
      </c>
      <c r="D1226" s="2" t="s">
        <v>28</v>
      </c>
      <c r="E1226" s="2">
        <v>27</v>
      </c>
      <c r="F1226" s="2">
        <v>74</v>
      </c>
      <c r="G1226" s="2">
        <v>170</v>
      </c>
      <c r="H1226" s="9">
        <f t="shared" si="19"/>
        <v>25.605536332179934</v>
      </c>
      <c r="I1226" s="2" t="str" cm="1">
        <f t="array" ref="I1226">_xlfn.IFS(F1226&gt;=100,"Over weight",F1226&lt;100,"Average weight")</f>
        <v>Average weight</v>
      </c>
      <c r="J1226" s="2" t="str" cm="1">
        <f t="array" ref="J1226">_xlfn.IFS(G1226&lt;164,"Below Average height",G1226&gt;=165,"Above Average height",G1226=164,"Average height")</f>
        <v>Above Average height</v>
      </c>
      <c r="K1226" s="2" t="str" cm="1">
        <f t="array" ref="K1226">_xlfn.IFS(E1226&lt;=16,"Children",E1226&lt;=30,"Young Adults",E1226&lt;=45,"Middle-aged Adults",E1226&gt;45,"Old Adults")</f>
        <v>Young Adults</v>
      </c>
    </row>
    <row r="1227" spans="1:11" x14ac:dyDescent="0.45">
      <c r="A1227" s="2">
        <v>1433</v>
      </c>
      <c r="B1227" s="2" t="s">
        <v>1538</v>
      </c>
      <c r="C1227" s="2" t="s">
        <v>91</v>
      </c>
      <c r="D1227" s="2" t="s">
        <v>75</v>
      </c>
      <c r="E1227" s="2">
        <v>21</v>
      </c>
      <c r="F1227" s="2">
        <v>72</v>
      </c>
      <c r="G1227" s="2">
        <v>170</v>
      </c>
      <c r="H1227" s="9">
        <f t="shared" si="19"/>
        <v>24.913494809688583</v>
      </c>
      <c r="I1227" s="2" t="str" cm="1">
        <f t="array" ref="I1227">_xlfn.IFS(F1227&gt;=100,"Over weight",F1227&lt;100,"Average weight")</f>
        <v>Average weight</v>
      </c>
      <c r="J1227" s="2" t="str" cm="1">
        <f t="array" ref="J1227">_xlfn.IFS(G1227&lt;164,"Below Average height",G1227&gt;=165,"Above Average height",G1227=164,"Average height")</f>
        <v>Above Average height</v>
      </c>
      <c r="K1227" s="2" t="str" cm="1">
        <f t="array" ref="K1227">_xlfn.IFS(E1227&lt;=16,"Children",E1227&lt;=30,"Young Adults",E1227&lt;=45,"Middle-aged Adults",E1227&gt;45,"Old Adults")</f>
        <v>Young Adults</v>
      </c>
    </row>
    <row r="1228" spans="1:11" x14ac:dyDescent="0.45">
      <c r="A1228" s="2">
        <v>1434</v>
      </c>
      <c r="B1228" s="2" t="s">
        <v>1539</v>
      </c>
      <c r="C1228" s="2" t="s">
        <v>91</v>
      </c>
      <c r="D1228" s="2" t="s">
        <v>75</v>
      </c>
      <c r="E1228" s="2">
        <v>21</v>
      </c>
      <c r="F1228" s="2">
        <v>70</v>
      </c>
      <c r="G1228" s="2">
        <v>168</v>
      </c>
      <c r="H1228" s="9">
        <f t="shared" si="19"/>
        <v>24.801587301587304</v>
      </c>
      <c r="I1228" s="2" t="str" cm="1">
        <f t="array" ref="I1228">_xlfn.IFS(F1228&gt;=100,"Over weight",F1228&lt;100,"Average weight")</f>
        <v>Average weight</v>
      </c>
      <c r="J1228" s="2" t="str" cm="1">
        <f t="array" ref="J1228">_xlfn.IFS(G1228&lt;164,"Below Average height",G1228&gt;=165,"Above Average height",G1228=164,"Average height")</f>
        <v>Above Average height</v>
      </c>
      <c r="K1228" s="2" t="str" cm="1">
        <f t="array" ref="K1228">_xlfn.IFS(E1228&lt;=16,"Children",E1228&lt;=30,"Young Adults",E1228&lt;=45,"Middle-aged Adults",E1228&gt;45,"Old Adults")</f>
        <v>Young Adults</v>
      </c>
    </row>
    <row r="1229" spans="1:11" x14ac:dyDescent="0.45">
      <c r="A1229" s="2">
        <v>1436</v>
      </c>
      <c r="B1229" s="2" t="s">
        <v>1541</v>
      </c>
      <c r="C1229" s="2" t="s">
        <v>91</v>
      </c>
      <c r="D1229" s="2" t="s">
        <v>80</v>
      </c>
      <c r="E1229" s="2">
        <v>22</v>
      </c>
      <c r="F1229" s="2">
        <v>76</v>
      </c>
      <c r="G1229" s="2">
        <v>174</v>
      </c>
      <c r="H1229" s="9">
        <f t="shared" si="19"/>
        <v>25.102391333069097</v>
      </c>
      <c r="I1229" s="2" t="str" cm="1">
        <f t="array" ref="I1229">_xlfn.IFS(F1229&gt;=100,"Over weight",F1229&lt;100,"Average weight")</f>
        <v>Average weight</v>
      </c>
      <c r="J1229" s="2" t="str" cm="1">
        <f t="array" ref="J1229">_xlfn.IFS(G1229&lt;164,"Below Average height",G1229&gt;=165,"Above Average height",G1229=164,"Average height")</f>
        <v>Above Average height</v>
      </c>
      <c r="K1229" s="2" t="str" cm="1">
        <f t="array" ref="K1229">_xlfn.IFS(E1229&lt;=16,"Children",E1229&lt;=30,"Young Adults",E1229&lt;=45,"Middle-aged Adults",E1229&gt;45,"Old Adults")</f>
        <v>Young Adults</v>
      </c>
    </row>
    <row r="1230" spans="1:11" x14ac:dyDescent="0.45">
      <c r="A1230" s="2">
        <v>1437</v>
      </c>
      <c r="B1230" s="2" t="s">
        <v>1542</v>
      </c>
      <c r="C1230" s="2" t="s">
        <v>91</v>
      </c>
      <c r="D1230" s="2" t="s">
        <v>46</v>
      </c>
      <c r="E1230" s="2">
        <v>29</v>
      </c>
      <c r="F1230" s="2">
        <v>78</v>
      </c>
      <c r="G1230" s="2">
        <v>177</v>
      </c>
      <c r="H1230" s="9">
        <f t="shared" si="19"/>
        <v>24.897060231734173</v>
      </c>
      <c r="I1230" s="2" t="str" cm="1">
        <f t="array" ref="I1230">_xlfn.IFS(F1230&gt;=100,"Over weight",F1230&lt;100,"Average weight")</f>
        <v>Average weight</v>
      </c>
      <c r="J1230" s="2" t="str" cm="1">
        <f t="array" ref="J1230">_xlfn.IFS(G1230&lt;164,"Below Average height",G1230&gt;=165,"Above Average height",G1230=164,"Average height")</f>
        <v>Above Average height</v>
      </c>
      <c r="K1230" s="2" t="str" cm="1">
        <f t="array" ref="K1230">_xlfn.IFS(E1230&lt;=16,"Children",E1230&lt;=30,"Young Adults",E1230&lt;=45,"Middle-aged Adults",E1230&gt;45,"Old Adults")</f>
        <v>Young Adults</v>
      </c>
    </row>
    <row r="1231" spans="1:11" x14ac:dyDescent="0.45">
      <c r="A1231" s="2">
        <v>1438</v>
      </c>
      <c r="B1231" s="2" t="s">
        <v>1543</v>
      </c>
      <c r="C1231" s="2" t="s">
        <v>90</v>
      </c>
      <c r="D1231" s="2" t="s">
        <v>46</v>
      </c>
      <c r="E1231" s="2">
        <v>27</v>
      </c>
      <c r="F1231" s="2">
        <v>92</v>
      </c>
      <c r="G1231" s="2">
        <v>180</v>
      </c>
      <c r="H1231" s="9">
        <f t="shared" si="19"/>
        <v>28.39506172839506</v>
      </c>
      <c r="I1231" s="2" t="str" cm="1">
        <f t="array" ref="I1231">_xlfn.IFS(F1231&gt;=100,"Over weight",F1231&lt;100,"Average weight")</f>
        <v>Average weight</v>
      </c>
      <c r="J1231" s="2" t="str" cm="1">
        <f t="array" ref="J1231">_xlfn.IFS(G1231&lt;164,"Below Average height",G1231&gt;=165,"Above Average height",G1231=164,"Average height")</f>
        <v>Above Average height</v>
      </c>
      <c r="K1231" s="2" t="str" cm="1">
        <f t="array" ref="K1231">_xlfn.IFS(E1231&lt;=16,"Children",E1231&lt;=30,"Young Adults",E1231&lt;=45,"Middle-aged Adults",E1231&gt;45,"Old Adults")</f>
        <v>Young Adults</v>
      </c>
    </row>
    <row r="1232" spans="1:11" x14ac:dyDescent="0.45">
      <c r="A1232" s="2">
        <v>1439</v>
      </c>
      <c r="B1232" s="2" t="s">
        <v>1544</v>
      </c>
      <c r="C1232" s="2" t="s">
        <v>97</v>
      </c>
      <c r="D1232" s="2" t="s">
        <v>66</v>
      </c>
      <c r="E1232" s="2">
        <v>27</v>
      </c>
      <c r="F1232" s="2">
        <v>65</v>
      </c>
      <c r="G1232" s="2">
        <v>175</v>
      </c>
      <c r="H1232" s="9">
        <f t="shared" si="19"/>
        <v>21.224489795918366</v>
      </c>
      <c r="I1232" s="2" t="str" cm="1">
        <f t="array" ref="I1232">_xlfn.IFS(F1232&gt;=100,"Over weight",F1232&lt;100,"Average weight")</f>
        <v>Average weight</v>
      </c>
      <c r="J1232" s="2" t="str" cm="1">
        <f t="array" ref="J1232">_xlfn.IFS(G1232&lt;164,"Below Average height",G1232&gt;=165,"Above Average height",G1232=164,"Average height")</f>
        <v>Above Average height</v>
      </c>
      <c r="K1232" s="2" t="str" cm="1">
        <f t="array" ref="K1232">_xlfn.IFS(E1232&lt;=16,"Children",E1232&lt;=30,"Young Adults",E1232&lt;=45,"Middle-aged Adults",E1232&gt;45,"Old Adults")</f>
        <v>Young Adults</v>
      </c>
    </row>
    <row r="1233" spans="1:11" x14ac:dyDescent="0.45">
      <c r="A1233" s="2">
        <v>1440</v>
      </c>
      <c r="B1233" s="2" t="s">
        <v>1545</v>
      </c>
      <c r="C1233" s="2" t="s">
        <v>98</v>
      </c>
      <c r="D1233" s="2" t="s">
        <v>26</v>
      </c>
      <c r="E1233" s="2">
        <v>22</v>
      </c>
      <c r="F1233" s="2">
        <v>73</v>
      </c>
      <c r="G1233" s="2">
        <v>174</v>
      </c>
      <c r="H1233" s="9">
        <f t="shared" si="19"/>
        <v>24.111507464658473</v>
      </c>
      <c r="I1233" s="2" t="str" cm="1">
        <f t="array" ref="I1233">_xlfn.IFS(F1233&gt;=100,"Over weight",F1233&lt;100,"Average weight")</f>
        <v>Average weight</v>
      </c>
      <c r="J1233" s="2" t="str" cm="1">
        <f t="array" ref="J1233">_xlfn.IFS(G1233&lt;164,"Below Average height",G1233&gt;=165,"Above Average height",G1233=164,"Average height")</f>
        <v>Above Average height</v>
      </c>
      <c r="K1233" s="2" t="str" cm="1">
        <f t="array" ref="K1233">_xlfn.IFS(E1233&lt;=16,"Children",E1233&lt;=30,"Young Adults",E1233&lt;=45,"Middle-aged Adults",E1233&gt;45,"Old Adults")</f>
        <v>Young Adults</v>
      </c>
    </row>
    <row r="1234" spans="1:11" x14ac:dyDescent="0.45">
      <c r="A1234" s="2">
        <v>1441</v>
      </c>
      <c r="B1234" s="2" t="s">
        <v>1546</v>
      </c>
      <c r="C1234" s="2" t="s">
        <v>91</v>
      </c>
      <c r="D1234" s="2" t="s">
        <v>70</v>
      </c>
      <c r="E1234" s="2">
        <v>23</v>
      </c>
      <c r="F1234" s="2">
        <v>57</v>
      </c>
      <c r="G1234" s="2">
        <v>169</v>
      </c>
      <c r="H1234" s="9">
        <f t="shared" si="19"/>
        <v>19.957284408809219</v>
      </c>
      <c r="I1234" s="2" t="str" cm="1">
        <f t="array" ref="I1234">_xlfn.IFS(F1234&gt;=100,"Over weight",F1234&lt;100,"Average weight")</f>
        <v>Average weight</v>
      </c>
      <c r="J1234" s="2" t="str" cm="1">
        <f t="array" ref="J1234">_xlfn.IFS(G1234&lt;164,"Below Average height",G1234&gt;=165,"Above Average height",G1234=164,"Average height")</f>
        <v>Above Average height</v>
      </c>
      <c r="K1234" s="2" t="str" cm="1">
        <f t="array" ref="K1234">_xlfn.IFS(E1234&lt;=16,"Children",E1234&lt;=30,"Young Adults",E1234&lt;=45,"Middle-aged Adults",E1234&gt;45,"Old Adults")</f>
        <v>Young Adults</v>
      </c>
    </row>
    <row r="1235" spans="1:11" x14ac:dyDescent="0.45">
      <c r="A1235" s="2">
        <v>1442</v>
      </c>
      <c r="B1235" s="2" t="s">
        <v>1547</v>
      </c>
      <c r="C1235" s="2" t="s">
        <v>93</v>
      </c>
      <c r="D1235" s="2" t="s">
        <v>5</v>
      </c>
      <c r="E1235" s="2">
        <v>26</v>
      </c>
      <c r="F1235" s="2">
        <v>79</v>
      </c>
      <c r="G1235" s="2">
        <v>175</v>
      </c>
      <c r="H1235" s="9">
        <f t="shared" si="19"/>
        <v>25.795918367346939</v>
      </c>
      <c r="I1235" s="2" t="str" cm="1">
        <f t="array" ref="I1235">_xlfn.IFS(F1235&gt;=100,"Over weight",F1235&lt;100,"Average weight")</f>
        <v>Average weight</v>
      </c>
      <c r="J1235" s="2" t="str" cm="1">
        <f t="array" ref="J1235">_xlfn.IFS(G1235&lt;164,"Below Average height",G1235&gt;=165,"Above Average height",G1235=164,"Average height")</f>
        <v>Above Average height</v>
      </c>
      <c r="K1235" s="2" t="str" cm="1">
        <f t="array" ref="K1235">_xlfn.IFS(E1235&lt;=16,"Children",E1235&lt;=30,"Young Adults",E1235&lt;=45,"Middle-aged Adults",E1235&gt;45,"Old Adults")</f>
        <v>Young Adults</v>
      </c>
    </row>
    <row r="1236" spans="1:11" x14ac:dyDescent="0.45">
      <c r="A1236" s="2">
        <v>1443</v>
      </c>
      <c r="B1236" s="2" t="s">
        <v>1548</v>
      </c>
      <c r="C1236" s="2" t="s">
        <v>96</v>
      </c>
      <c r="D1236" s="2" t="s">
        <v>26</v>
      </c>
      <c r="E1236" s="2">
        <v>26</v>
      </c>
      <c r="F1236" s="2">
        <v>59</v>
      </c>
      <c r="G1236" s="2">
        <v>177</v>
      </c>
      <c r="H1236" s="9">
        <f t="shared" si="19"/>
        <v>18.832391713747644</v>
      </c>
      <c r="I1236" s="2" t="str" cm="1">
        <f t="array" ref="I1236">_xlfn.IFS(F1236&gt;=100,"Over weight",F1236&lt;100,"Average weight")</f>
        <v>Average weight</v>
      </c>
      <c r="J1236" s="2" t="str" cm="1">
        <f t="array" ref="J1236">_xlfn.IFS(G1236&lt;164,"Below Average height",G1236&gt;=165,"Above Average height",G1236=164,"Average height")</f>
        <v>Above Average height</v>
      </c>
      <c r="K1236" s="2" t="str" cm="1">
        <f t="array" ref="K1236">_xlfn.IFS(E1236&lt;=16,"Children",E1236&lt;=30,"Young Adults",E1236&lt;=45,"Middle-aged Adults",E1236&gt;45,"Old Adults")</f>
        <v>Young Adults</v>
      </c>
    </row>
    <row r="1237" spans="1:11" x14ac:dyDescent="0.45">
      <c r="A1237" s="2">
        <v>1444</v>
      </c>
      <c r="B1237" s="2" t="s">
        <v>1549</v>
      </c>
      <c r="C1237" s="2" t="s">
        <v>88</v>
      </c>
      <c r="D1237" s="2" t="s">
        <v>70</v>
      </c>
      <c r="E1237" s="2">
        <v>32</v>
      </c>
      <c r="F1237" s="2">
        <v>62</v>
      </c>
      <c r="G1237" s="2">
        <v>172</v>
      </c>
      <c r="H1237" s="9">
        <f t="shared" si="19"/>
        <v>20.957274202271499</v>
      </c>
      <c r="I1237" s="2" t="str" cm="1">
        <f t="array" ref="I1237">_xlfn.IFS(F1237&gt;=100,"Over weight",F1237&lt;100,"Average weight")</f>
        <v>Average weight</v>
      </c>
      <c r="J1237" s="2" t="str" cm="1">
        <f t="array" ref="J1237">_xlfn.IFS(G1237&lt;164,"Below Average height",G1237&gt;=165,"Above Average height",G1237=164,"Average height")</f>
        <v>Above Average height</v>
      </c>
      <c r="K1237" s="2" t="str" cm="1">
        <f t="array" ref="K1237">_xlfn.IFS(E1237&lt;=16,"Children",E1237&lt;=30,"Young Adults",E1237&lt;=45,"Middle-aged Adults",E1237&gt;45,"Old Adults")</f>
        <v>Middle-aged Adults</v>
      </c>
    </row>
    <row r="1238" spans="1:11" x14ac:dyDescent="0.45">
      <c r="A1238" s="2">
        <v>1445</v>
      </c>
      <c r="B1238" s="2" t="s">
        <v>1550</v>
      </c>
      <c r="C1238" s="2" t="s">
        <v>88</v>
      </c>
      <c r="D1238" s="2" t="s">
        <v>70</v>
      </c>
      <c r="E1238" s="2">
        <v>27</v>
      </c>
      <c r="F1238" s="2">
        <v>72</v>
      </c>
      <c r="G1238" s="2">
        <v>182</v>
      </c>
      <c r="H1238" s="9">
        <f t="shared" si="19"/>
        <v>21.736505252988767</v>
      </c>
      <c r="I1238" s="2" t="str" cm="1">
        <f t="array" ref="I1238">_xlfn.IFS(F1238&gt;=100,"Over weight",F1238&lt;100,"Average weight")</f>
        <v>Average weight</v>
      </c>
      <c r="J1238" s="2" t="str" cm="1">
        <f t="array" ref="J1238">_xlfn.IFS(G1238&lt;164,"Below Average height",G1238&gt;=165,"Above Average height",G1238=164,"Average height")</f>
        <v>Above Average height</v>
      </c>
      <c r="K1238" s="2" t="str" cm="1">
        <f t="array" ref="K1238">_xlfn.IFS(E1238&lt;=16,"Children",E1238&lt;=30,"Young Adults",E1238&lt;=45,"Middle-aged Adults",E1238&gt;45,"Old Adults")</f>
        <v>Young Adults</v>
      </c>
    </row>
    <row r="1239" spans="1:11" x14ac:dyDescent="0.45">
      <c r="A1239" s="2">
        <v>1446</v>
      </c>
      <c r="B1239" s="2" t="s">
        <v>1551</v>
      </c>
      <c r="C1239" s="2" t="s">
        <v>90</v>
      </c>
      <c r="D1239" s="2" t="s">
        <v>69</v>
      </c>
      <c r="E1239" s="2">
        <v>21</v>
      </c>
      <c r="F1239" s="2">
        <v>88</v>
      </c>
      <c r="G1239" s="2">
        <v>184</v>
      </c>
      <c r="H1239" s="9">
        <f t="shared" si="19"/>
        <v>25.992438563327031</v>
      </c>
      <c r="I1239" s="2" t="str" cm="1">
        <f t="array" ref="I1239">_xlfn.IFS(F1239&gt;=100,"Over weight",F1239&lt;100,"Average weight")</f>
        <v>Average weight</v>
      </c>
      <c r="J1239" s="2" t="str" cm="1">
        <f t="array" ref="J1239">_xlfn.IFS(G1239&lt;164,"Below Average height",G1239&gt;=165,"Above Average height",G1239=164,"Average height")</f>
        <v>Above Average height</v>
      </c>
      <c r="K1239" s="2" t="str" cm="1">
        <f t="array" ref="K1239">_xlfn.IFS(E1239&lt;=16,"Children",E1239&lt;=30,"Young Adults",E1239&lt;=45,"Middle-aged Adults",E1239&gt;45,"Old Adults")</f>
        <v>Young Adults</v>
      </c>
    </row>
    <row r="1240" spans="1:11" x14ac:dyDescent="0.45">
      <c r="A1240" s="2">
        <v>1447</v>
      </c>
      <c r="B1240" s="2" t="s">
        <v>1552</v>
      </c>
      <c r="C1240" s="2" t="s">
        <v>94</v>
      </c>
      <c r="D1240" s="2" t="s">
        <v>42</v>
      </c>
      <c r="E1240" s="2">
        <v>19</v>
      </c>
      <c r="F1240" s="2">
        <v>68</v>
      </c>
      <c r="G1240" s="2">
        <v>178</v>
      </c>
      <c r="H1240" s="9">
        <f t="shared" si="19"/>
        <v>21.461936624163616</v>
      </c>
      <c r="I1240" s="2" t="str" cm="1">
        <f t="array" ref="I1240">_xlfn.IFS(F1240&gt;=100,"Over weight",F1240&lt;100,"Average weight")</f>
        <v>Average weight</v>
      </c>
      <c r="J1240" s="2" t="str" cm="1">
        <f t="array" ref="J1240">_xlfn.IFS(G1240&lt;164,"Below Average height",G1240&gt;=165,"Above Average height",G1240=164,"Average height")</f>
        <v>Above Average height</v>
      </c>
      <c r="K1240" s="2" t="str" cm="1">
        <f t="array" ref="K1240">_xlfn.IFS(E1240&lt;=16,"Children",E1240&lt;=30,"Young Adults",E1240&lt;=45,"Middle-aged Adults",E1240&gt;45,"Old Adults")</f>
        <v>Young Adults</v>
      </c>
    </row>
    <row r="1241" spans="1:11" x14ac:dyDescent="0.45">
      <c r="A1241" s="2">
        <v>1448</v>
      </c>
      <c r="B1241" s="2" t="s">
        <v>1553</v>
      </c>
      <c r="C1241" s="2" t="s">
        <v>85</v>
      </c>
      <c r="D1241" s="2" t="s">
        <v>79</v>
      </c>
      <c r="E1241" s="2">
        <v>20</v>
      </c>
      <c r="F1241" s="2">
        <v>65</v>
      </c>
      <c r="G1241" s="2">
        <v>175</v>
      </c>
      <c r="H1241" s="9">
        <f t="shared" si="19"/>
        <v>21.224489795918366</v>
      </c>
      <c r="I1241" s="2" t="str" cm="1">
        <f t="array" ref="I1241">_xlfn.IFS(F1241&gt;=100,"Over weight",F1241&lt;100,"Average weight")</f>
        <v>Average weight</v>
      </c>
      <c r="J1241" s="2" t="str" cm="1">
        <f t="array" ref="J1241">_xlfn.IFS(G1241&lt;164,"Below Average height",G1241&gt;=165,"Above Average height",G1241=164,"Average height")</f>
        <v>Above Average height</v>
      </c>
      <c r="K1241" s="2" t="str" cm="1">
        <f t="array" ref="K1241">_xlfn.IFS(E1241&lt;=16,"Children",E1241&lt;=30,"Young Adults",E1241&lt;=45,"Middle-aged Adults",E1241&gt;45,"Old Adults")</f>
        <v>Young Adults</v>
      </c>
    </row>
    <row r="1242" spans="1:11" x14ac:dyDescent="0.45">
      <c r="A1242" s="2">
        <v>1449</v>
      </c>
      <c r="B1242" s="2" t="s">
        <v>1554</v>
      </c>
      <c r="C1242" s="2" t="s">
        <v>87</v>
      </c>
      <c r="D1242" s="2" t="s">
        <v>6</v>
      </c>
      <c r="E1242" s="2">
        <v>27</v>
      </c>
      <c r="F1242" s="2">
        <v>100</v>
      </c>
      <c r="G1242" s="2">
        <v>192</v>
      </c>
      <c r="H1242" s="9">
        <f t="shared" si="19"/>
        <v>27.126736111111111</v>
      </c>
      <c r="I1242" s="2" t="str" cm="1">
        <f t="array" ref="I1242">_xlfn.IFS(F1242&gt;=100,"Over weight",F1242&lt;100,"Average weight")</f>
        <v>Over weight</v>
      </c>
      <c r="J1242" s="2" t="str" cm="1">
        <f t="array" ref="J1242">_xlfn.IFS(G1242&lt;164,"Below Average height",G1242&gt;=165,"Above Average height",G1242=164,"Average height")</f>
        <v>Above Average height</v>
      </c>
      <c r="K1242" s="2" t="str" cm="1">
        <f t="array" ref="K1242">_xlfn.IFS(E1242&lt;=16,"Children",E1242&lt;=30,"Young Adults",E1242&lt;=45,"Middle-aged Adults",E1242&gt;45,"Old Adults")</f>
        <v>Young Adults</v>
      </c>
    </row>
    <row r="1243" spans="1:11" x14ac:dyDescent="0.45">
      <c r="A1243" s="2">
        <v>1450</v>
      </c>
      <c r="B1243" s="2" t="s">
        <v>1555</v>
      </c>
      <c r="C1243" s="2" t="s">
        <v>85</v>
      </c>
      <c r="D1243" s="2" t="s">
        <v>6</v>
      </c>
      <c r="E1243" s="2">
        <v>30</v>
      </c>
      <c r="F1243" s="2">
        <v>84</v>
      </c>
      <c r="G1243" s="2">
        <v>188</v>
      </c>
      <c r="H1243" s="9">
        <f t="shared" si="19"/>
        <v>23.766410140334994</v>
      </c>
      <c r="I1243" s="2" t="str" cm="1">
        <f t="array" ref="I1243">_xlfn.IFS(F1243&gt;=100,"Over weight",F1243&lt;100,"Average weight")</f>
        <v>Average weight</v>
      </c>
      <c r="J1243" s="2" t="str" cm="1">
        <f t="array" ref="J1243">_xlfn.IFS(G1243&lt;164,"Below Average height",G1243&gt;=165,"Above Average height",G1243=164,"Average height")</f>
        <v>Above Average height</v>
      </c>
      <c r="K1243" s="2" t="str" cm="1">
        <f t="array" ref="K1243">_xlfn.IFS(E1243&lt;=16,"Children",E1243&lt;=30,"Young Adults",E1243&lt;=45,"Middle-aged Adults",E1243&gt;45,"Old Adults")</f>
        <v>Young Adults</v>
      </c>
    </row>
    <row r="1244" spans="1:11" x14ac:dyDescent="0.45">
      <c r="A1244" s="2">
        <v>1451</v>
      </c>
      <c r="B1244" s="2" t="s">
        <v>1556</v>
      </c>
      <c r="C1244" s="2" t="s">
        <v>98</v>
      </c>
      <c r="D1244" s="2" t="s">
        <v>26</v>
      </c>
      <c r="E1244" s="2">
        <v>27</v>
      </c>
      <c r="F1244" s="2">
        <v>76</v>
      </c>
      <c r="G1244" s="2">
        <v>179</v>
      </c>
      <c r="H1244" s="9">
        <f t="shared" si="19"/>
        <v>23.719609250647608</v>
      </c>
      <c r="I1244" s="2" t="str" cm="1">
        <f t="array" ref="I1244">_xlfn.IFS(F1244&gt;=100,"Over weight",F1244&lt;100,"Average weight")</f>
        <v>Average weight</v>
      </c>
      <c r="J1244" s="2" t="str" cm="1">
        <f t="array" ref="J1244">_xlfn.IFS(G1244&lt;164,"Below Average height",G1244&gt;=165,"Above Average height",G1244=164,"Average height")</f>
        <v>Above Average height</v>
      </c>
      <c r="K1244" s="2" t="str" cm="1">
        <f t="array" ref="K1244">_xlfn.IFS(E1244&lt;=16,"Children",E1244&lt;=30,"Young Adults",E1244&lt;=45,"Middle-aged Adults",E1244&gt;45,"Old Adults")</f>
        <v>Young Adults</v>
      </c>
    </row>
    <row r="1245" spans="1:11" x14ac:dyDescent="0.45">
      <c r="A1245" s="2">
        <v>1452</v>
      </c>
      <c r="B1245" s="2" t="s">
        <v>1557</v>
      </c>
      <c r="C1245" s="2" t="s">
        <v>89</v>
      </c>
      <c r="D1245" s="2" t="s">
        <v>28</v>
      </c>
      <c r="E1245" s="2">
        <v>28</v>
      </c>
      <c r="F1245" s="2">
        <v>70</v>
      </c>
      <c r="G1245" s="2">
        <v>165</v>
      </c>
      <c r="H1245" s="9">
        <f t="shared" si="19"/>
        <v>25.711662075298442</v>
      </c>
      <c r="I1245" s="2" t="str" cm="1">
        <f t="array" ref="I1245">_xlfn.IFS(F1245&gt;=100,"Over weight",F1245&lt;100,"Average weight")</f>
        <v>Average weight</v>
      </c>
      <c r="J1245" s="2" t="str" cm="1">
        <f t="array" ref="J1245">_xlfn.IFS(G1245&lt;164,"Below Average height",G1245&gt;=165,"Above Average height",G1245=164,"Average height")</f>
        <v>Above Average height</v>
      </c>
      <c r="K1245" s="2" t="str" cm="1">
        <f t="array" ref="K1245">_xlfn.IFS(E1245&lt;=16,"Children",E1245&lt;=30,"Young Adults",E1245&lt;=45,"Middle-aged Adults",E1245&gt;45,"Old Adults")</f>
        <v>Young Adults</v>
      </c>
    </row>
    <row r="1246" spans="1:11" x14ac:dyDescent="0.45">
      <c r="A1246" s="2">
        <v>1453</v>
      </c>
      <c r="B1246" s="2" t="s">
        <v>1558</v>
      </c>
      <c r="C1246" s="2" t="s">
        <v>98</v>
      </c>
      <c r="D1246" s="2" t="s">
        <v>58</v>
      </c>
      <c r="E1246" s="2">
        <v>27</v>
      </c>
      <c r="F1246" s="2">
        <v>60</v>
      </c>
      <c r="G1246" s="2">
        <v>173</v>
      </c>
      <c r="H1246" s="9">
        <f t="shared" si="19"/>
        <v>20.047445621303751</v>
      </c>
      <c r="I1246" s="2" t="str" cm="1">
        <f t="array" ref="I1246">_xlfn.IFS(F1246&gt;=100,"Over weight",F1246&lt;100,"Average weight")</f>
        <v>Average weight</v>
      </c>
      <c r="J1246" s="2" t="str" cm="1">
        <f t="array" ref="J1246">_xlfn.IFS(G1246&lt;164,"Below Average height",G1246&gt;=165,"Above Average height",G1246=164,"Average height")</f>
        <v>Above Average height</v>
      </c>
      <c r="K1246" s="2" t="str" cm="1">
        <f t="array" ref="K1246">_xlfn.IFS(E1246&lt;=16,"Children",E1246&lt;=30,"Young Adults",E1246&lt;=45,"Middle-aged Adults",E1246&gt;45,"Old Adults")</f>
        <v>Young Adults</v>
      </c>
    </row>
    <row r="1247" spans="1:11" x14ac:dyDescent="0.45">
      <c r="A1247" s="2">
        <v>1454</v>
      </c>
      <c r="B1247" s="2" t="s">
        <v>1559</v>
      </c>
      <c r="C1247" s="2" t="s">
        <v>90</v>
      </c>
      <c r="D1247" s="2" t="s">
        <v>6</v>
      </c>
      <c r="E1247" s="2">
        <v>33</v>
      </c>
      <c r="F1247" s="2">
        <v>106</v>
      </c>
      <c r="G1247" s="2">
        <v>183</v>
      </c>
      <c r="H1247" s="9">
        <f t="shared" si="19"/>
        <v>31.652184299322162</v>
      </c>
      <c r="I1247" s="2" t="str" cm="1">
        <f t="array" ref="I1247">_xlfn.IFS(F1247&gt;=100,"Over weight",F1247&lt;100,"Average weight")</f>
        <v>Over weight</v>
      </c>
      <c r="J1247" s="2" t="str" cm="1">
        <f t="array" ref="J1247">_xlfn.IFS(G1247&lt;164,"Below Average height",G1247&gt;=165,"Above Average height",G1247=164,"Average height")</f>
        <v>Above Average height</v>
      </c>
      <c r="K1247" s="2" t="str" cm="1">
        <f t="array" ref="K1247">_xlfn.IFS(E1247&lt;=16,"Children",E1247&lt;=30,"Young Adults",E1247&lt;=45,"Middle-aged Adults",E1247&gt;45,"Old Adults")</f>
        <v>Middle-aged Adults</v>
      </c>
    </row>
    <row r="1248" spans="1:11" x14ac:dyDescent="0.45">
      <c r="A1248" s="2">
        <v>1455</v>
      </c>
      <c r="B1248" s="2" t="s">
        <v>1560</v>
      </c>
      <c r="C1248" s="2" t="s">
        <v>95</v>
      </c>
      <c r="D1248" s="2" t="s">
        <v>80</v>
      </c>
      <c r="E1248" s="2">
        <v>21</v>
      </c>
      <c r="F1248" s="2">
        <v>91</v>
      </c>
      <c r="G1248" s="2">
        <v>185</v>
      </c>
      <c r="H1248" s="9">
        <f t="shared" si="19"/>
        <v>26.588750913075234</v>
      </c>
      <c r="I1248" s="2" t="str" cm="1">
        <f t="array" ref="I1248">_xlfn.IFS(F1248&gt;=100,"Over weight",F1248&lt;100,"Average weight")</f>
        <v>Average weight</v>
      </c>
      <c r="J1248" s="2" t="str" cm="1">
        <f t="array" ref="J1248">_xlfn.IFS(G1248&lt;164,"Below Average height",G1248&gt;=165,"Above Average height",G1248=164,"Average height")</f>
        <v>Above Average height</v>
      </c>
      <c r="K1248" s="2" t="str" cm="1">
        <f t="array" ref="K1248">_xlfn.IFS(E1248&lt;=16,"Children",E1248&lt;=30,"Young Adults",E1248&lt;=45,"Middle-aged Adults",E1248&gt;45,"Old Adults")</f>
        <v>Young Adults</v>
      </c>
    </row>
    <row r="1249" spans="1:11" x14ac:dyDescent="0.45">
      <c r="A1249" s="2">
        <v>1456</v>
      </c>
      <c r="B1249" s="2" t="s">
        <v>1561</v>
      </c>
      <c r="C1249" s="2" t="s">
        <v>85</v>
      </c>
      <c r="D1249" s="2" t="s">
        <v>71</v>
      </c>
      <c r="E1249" s="2">
        <v>27</v>
      </c>
      <c r="F1249" s="2">
        <v>68</v>
      </c>
      <c r="G1249" s="2">
        <v>171</v>
      </c>
      <c r="H1249" s="9">
        <f t="shared" si="19"/>
        <v>23.255018638213471</v>
      </c>
      <c r="I1249" s="2" t="str" cm="1">
        <f t="array" ref="I1249">_xlfn.IFS(F1249&gt;=100,"Over weight",F1249&lt;100,"Average weight")</f>
        <v>Average weight</v>
      </c>
      <c r="J1249" s="2" t="str" cm="1">
        <f t="array" ref="J1249">_xlfn.IFS(G1249&lt;164,"Below Average height",G1249&gt;=165,"Above Average height",G1249=164,"Average height")</f>
        <v>Above Average height</v>
      </c>
      <c r="K1249" s="2" t="str" cm="1">
        <f t="array" ref="K1249">_xlfn.IFS(E1249&lt;=16,"Children",E1249&lt;=30,"Young Adults",E1249&lt;=45,"Middle-aged Adults",E1249&gt;45,"Old Adults")</f>
        <v>Young Adults</v>
      </c>
    </row>
    <row r="1250" spans="1:11" x14ac:dyDescent="0.45">
      <c r="A1250" s="2">
        <v>1458</v>
      </c>
      <c r="B1250" s="2" t="s">
        <v>1563</v>
      </c>
      <c r="C1250" s="2" t="s">
        <v>86</v>
      </c>
      <c r="D1250" s="2" t="s">
        <v>30</v>
      </c>
      <c r="E1250" s="2">
        <v>23</v>
      </c>
      <c r="F1250" s="2">
        <v>59</v>
      </c>
      <c r="G1250" s="2">
        <v>165</v>
      </c>
      <c r="H1250" s="9">
        <f t="shared" si="19"/>
        <v>21.6712580348944</v>
      </c>
      <c r="I1250" s="2" t="str" cm="1">
        <f t="array" ref="I1250">_xlfn.IFS(F1250&gt;=100,"Over weight",F1250&lt;100,"Average weight")</f>
        <v>Average weight</v>
      </c>
      <c r="J1250" s="2" t="str" cm="1">
        <f t="array" ref="J1250">_xlfn.IFS(G1250&lt;164,"Below Average height",G1250&gt;=165,"Above Average height",G1250=164,"Average height")</f>
        <v>Above Average height</v>
      </c>
      <c r="K1250" s="2" t="str" cm="1">
        <f t="array" ref="K1250">_xlfn.IFS(E1250&lt;=16,"Children",E1250&lt;=30,"Young Adults",E1250&lt;=45,"Middle-aged Adults",E1250&gt;45,"Old Adults")</f>
        <v>Young Adults</v>
      </c>
    </row>
    <row r="1251" spans="1:11" x14ac:dyDescent="0.45">
      <c r="A1251" s="2">
        <v>1459</v>
      </c>
      <c r="B1251" s="2" t="s">
        <v>1564</v>
      </c>
      <c r="C1251" s="2" t="s">
        <v>96</v>
      </c>
      <c r="D1251" s="2" t="s">
        <v>80</v>
      </c>
      <c r="E1251" s="2">
        <v>36</v>
      </c>
      <c r="F1251" s="2">
        <v>59</v>
      </c>
      <c r="G1251" s="2">
        <v>170</v>
      </c>
      <c r="H1251" s="9">
        <f t="shared" si="19"/>
        <v>20.415224913494811</v>
      </c>
      <c r="I1251" s="2" t="str" cm="1">
        <f t="array" ref="I1251">_xlfn.IFS(F1251&gt;=100,"Over weight",F1251&lt;100,"Average weight")</f>
        <v>Average weight</v>
      </c>
      <c r="J1251" s="2" t="str" cm="1">
        <f t="array" ref="J1251">_xlfn.IFS(G1251&lt;164,"Below Average height",G1251&gt;=165,"Above Average height",G1251=164,"Average height")</f>
        <v>Above Average height</v>
      </c>
      <c r="K1251" s="2" t="str" cm="1">
        <f t="array" ref="K1251">_xlfn.IFS(E1251&lt;=16,"Children",E1251&lt;=30,"Young Adults",E1251&lt;=45,"Middle-aged Adults",E1251&gt;45,"Old Adults")</f>
        <v>Middle-aged Adults</v>
      </c>
    </row>
    <row r="1252" spans="1:11" x14ac:dyDescent="0.45">
      <c r="A1252" s="2">
        <v>1460</v>
      </c>
      <c r="B1252" s="2" t="s">
        <v>1565</v>
      </c>
      <c r="C1252" s="2" t="s">
        <v>85</v>
      </c>
      <c r="D1252" s="2" t="s">
        <v>37</v>
      </c>
      <c r="E1252" s="2">
        <v>24</v>
      </c>
      <c r="F1252" s="2">
        <v>70</v>
      </c>
      <c r="G1252" s="2">
        <v>172</v>
      </c>
      <c r="H1252" s="9">
        <f t="shared" si="19"/>
        <v>23.661438615467823</v>
      </c>
      <c r="I1252" s="2" t="str" cm="1">
        <f t="array" ref="I1252">_xlfn.IFS(F1252&gt;=100,"Over weight",F1252&lt;100,"Average weight")</f>
        <v>Average weight</v>
      </c>
      <c r="J1252" s="2" t="str" cm="1">
        <f t="array" ref="J1252">_xlfn.IFS(G1252&lt;164,"Below Average height",G1252&gt;=165,"Above Average height",G1252=164,"Average height")</f>
        <v>Above Average height</v>
      </c>
      <c r="K1252" s="2" t="str" cm="1">
        <f t="array" ref="K1252">_xlfn.IFS(E1252&lt;=16,"Children",E1252&lt;=30,"Young Adults",E1252&lt;=45,"Middle-aged Adults",E1252&gt;45,"Old Adults")</f>
        <v>Young Adults</v>
      </c>
    </row>
    <row r="1253" spans="1:11" x14ac:dyDescent="0.45">
      <c r="A1253" s="2">
        <v>1462</v>
      </c>
      <c r="B1253" s="2" t="s">
        <v>1567</v>
      </c>
      <c r="C1253" s="2" t="s">
        <v>87</v>
      </c>
      <c r="D1253" s="2" t="s">
        <v>14</v>
      </c>
      <c r="E1253" s="2">
        <v>26</v>
      </c>
      <c r="F1253" s="2">
        <v>66</v>
      </c>
      <c r="G1253" s="2">
        <v>178</v>
      </c>
      <c r="H1253" s="9">
        <f t="shared" si="19"/>
        <v>20.830703194041156</v>
      </c>
      <c r="I1253" s="2" t="str" cm="1">
        <f t="array" ref="I1253">_xlfn.IFS(F1253&gt;=100,"Over weight",F1253&lt;100,"Average weight")</f>
        <v>Average weight</v>
      </c>
      <c r="J1253" s="2" t="str" cm="1">
        <f t="array" ref="J1253">_xlfn.IFS(G1253&lt;164,"Below Average height",G1253&gt;=165,"Above Average height",G1253=164,"Average height")</f>
        <v>Above Average height</v>
      </c>
      <c r="K1253" s="2" t="str" cm="1">
        <f t="array" ref="K1253">_xlfn.IFS(E1253&lt;=16,"Children",E1253&lt;=30,"Young Adults",E1253&lt;=45,"Middle-aged Adults",E1253&gt;45,"Old Adults")</f>
        <v>Young Adults</v>
      </c>
    </row>
    <row r="1254" spans="1:11" x14ac:dyDescent="0.45">
      <c r="A1254" s="2">
        <v>1463</v>
      </c>
      <c r="B1254" s="2" t="s">
        <v>1568</v>
      </c>
      <c r="C1254" s="2" t="s">
        <v>85</v>
      </c>
      <c r="D1254" s="2" t="s">
        <v>80</v>
      </c>
      <c r="E1254" s="2">
        <v>22</v>
      </c>
      <c r="F1254" s="2">
        <v>59</v>
      </c>
      <c r="G1254" s="2">
        <v>168</v>
      </c>
      <c r="H1254" s="9">
        <f t="shared" si="19"/>
        <v>20.904195011337873</v>
      </c>
      <c r="I1254" s="2" t="str" cm="1">
        <f t="array" ref="I1254">_xlfn.IFS(F1254&gt;=100,"Over weight",F1254&lt;100,"Average weight")</f>
        <v>Average weight</v>
      </c>
      <c r="J1254" s="2" t="str" cm="1">
        <f t="array" ref="J1254">_xlfn.IFS(G1254&lt;164,"Below Average height",G1254&gt;=165,"Above Average height",G1254=164,"Average height")</f>
        <v>Above Average height</v>
      </c>
      <c r="K1254" s="2" t="str" cm="1">
        <f t="array" ref="K1254">_xlfn.IFS(E1254&lt;=16,"Children",E1254&lt;=30,"Young Adults",E1254&lt;=45,"Middle-aged Adults",E1254&gt;45,"Old Adults")</f>
        <v>Young Adults</v>
      </c>
    </row>
    <row r="1255" spans="1:11" x14ac:dyDescent="0.45">
      <c r="A1255" s="2">
        <v>1464</v>
      </c>
      <c r="B1255" s="2" t="s">
        <v>1569</v>
      </c>
      <c r="C1255" s="2" t="s">
        <v>94</v>
      </c>
      <c r="D1255" s="2" t="s">
        <v>14</v>
      </c>
      <c r="E1255" s="2">
        <v>30</v>
      </c>
      <c r="F1255" s="2">
        <v>72</v>
      </c>
      <c r="G1255" s="2">
        <v>177</v>
      </c>
      <c r="H1255" s="9">
        <f t="shared" si="19"/>
        <v>22.981901752370007</v>
      </c>
      <c r="I1255" s="2" t="str" cm="1">
        <f t="array" ref="I1255">_xlfn.IFS(F1255&gt;=100,"Over weight",F1255&lt;100,"Average weight")</f>
        <v>Average weight</v>
      </c>
      <c r="J1255" s="2" t="str" cm="1">
        <f t="array" ref="J1255">_xlfn.IFS(G1255&lt;164,"Below Average height",G1255&gt;=165,"Above Average height",G1255=164,"Average height")</f>
        <v>Above Average height</v>
      </c>
      <c r="K1255" s="2" t="str" cm="1">
        <f t="array" ref="K1255">_xlfn.IFS(E1255&lt;=16,"Children",E1255&lt;=30,"Young Adults",E1255&lt;=45,"Middle-aged Adults",E1255&gt;45,"Old Adults")</f>
        <v>Young Adults</v>
      </c>
    </row>
    <row r="1256" spans="1:11" x14ac:dyDescent="0.45">
      <c r="A1256" s="2">
        <v>1466</v>
      </c>
      <c r="B1256" s="2" t="s">
        <v>1571</v>
      </c>
      <c r="C1256" s="2" t="s">
        <v>85</v>
      </c>
      <c r="D1256" s="2" t="s">
        <v>80</v>
      </c>
      <c r="E1256" s="2">
        <v>20</v>
      </c>
      <c r="F1256" s="2">
        <v>69</v>
      </c>
      <c r="G1256" s="2">
        <v>168</v>
      </c>
      <c r="H1256" s="9">
        <f t="shared" si="19"/>
        <v>24.447278911564631</v>
      </c>
      <c r="I1256" s="2" t="str" cm="1">
        <f t="array" ref="I1256">_xlfn.IFS(F1256&gt;=100,"Over weight",F1256&lt;100,"Average weight")</f>
        <v>Average weight</v>
      </c>
      <c r="J1256" s="2" t="str" cm="1">
        <f t="array" ref="J1256">_xlfn.IFS(G1256&lt;164,"Below Average height",G1256&gt;=165,"Above Average height",G1256=164,"Average height")</f>
        <v>Above Average height</v>
      </c>
      <c r="K1256" s="2" t="str" cm="1">
        <f t="array" ref="K1256">_xlfn.IFS(E1256&lt;=16,"Children",E1256&lt;=30,"Young Adults",E1256&lt;=45,"Middle-aged Adults",E1256&gt;45,"Old Adults")</f>
        <v>Young Adults</v>
      </c>
    </row>
    <row r="1257" spans="1:11" x14ac:dyDescent="0.45">
      <c r="A1257" s="2">
        <v>1467</v>
      </c>
      <c r="B1257" s="2" t="s">
        <v>1572</v>
      </c>
      <c r="C1257" s="2" t="s">
        <v>91</v>
      </c>
      <c r="D1257" s="2" t="s">
        <v>80</v>
      </c>
      <c r="E1257" s="2">
        <v>22</v>
      </c>
      <c r="F1257" s="2">
        <v>60</v>
      </c>
      <c r="G1257" s="2">
        <v>174</v>
      </c>
      <c r="H1257" s="9">
        <f t="shared" si="19"/>
        <v>19.817677368212443</v>
      </c>
      <c r="I1257" s="2" t="str" cm="1">
        <f t="array" ref="I1257">_xlfn.IFS(F1257&gt;=100,"Over weight",F1257&lt;100,"Average weight")</f>
        <v>Average weight</v>
      </c>
      <c r="J1257" s="2" t="str" cm="1">
        <f t="array" ref="J1257">_xlfn.IFS(G1257&lt;164,"Below Average height",G1257&gt;=165,"Above Average height",G1257=164,"Average height")</f>
        <v>Above Average height</v>
      </c>
      <c r="K1257" s="2" t="str" cm="1">
        <f t="array" ref="K1257">_xlfn.IFS(E1257&lt;=16,"Children",E1257&lt;=30,"Young Adults",E1257&lt;=45,"Middle-aged Adults",E1257&gt;45,"Old Adults")</f>
        <v>Young Adults</v>
      </c>
    </row>
    <row r="1258" spans="1:11" x14ac:dyDescent="0.45">
      <c r="A1258" s="2">
        <v>1468</v>
      </c>
      <c r="B1258" s="2" t="s">
        <v>1573</v>
      </c>
      <c r="C1258" s="2" t="s">
        <v>93</v>
      </c>
      <c r="D1258" s="2" t="s">
        <v>30</v>
      </c>
      <c r="E1258" s="2">
        <v>30</v>
      </c>
      <c r="F1258" s="2">
        <v>84</v>
      </c>
      <c r="G1258" s="2">
        <v>183</v>
      </c>
      <c r="H1258" s="9">
        <f t="shared" si="19"/>
        <v>25.082863029651524</v>
      </c>
      <c r="I1258" s="2" t="str" cm="1">
        <f t="array" ref="I1258">_xlfn.IFS(F1258&gt;=100,"Over weight",F1258&lt;100,"Average weight")</f>
        <v>Average weight</v>
      </c>
      <c r="J1258" s="2" t="str" cm="1">
        <f t="array" ref="J1258">_xlfn.IFS(G1258&lt;164,"Below Average height",G1258&gt;=165,"Above Average height",G1258=164,"Average height")</f>
        <v>Above Average height</v>
      </c>
      <c r="K1258" s="2" t="str" cm="1">
        <f t="array" ref="K1258">_xlfn.IFS(E1258&lt;=16,"Children",E1258&lt;=30,"Young Adults",E1258&lt;=45,"Middle-aged Adults",E1258&gt;45,"Old Adults")</f>
        <v>Young Adults</v>
      </c>
    </row>
    <row r="1259" spans="1:11" x14ac:dyDescent="0.45">
      <c r="A1259" s="2">
        <v>1469</v>
      </c>
      <c r="B1259" s="2" t="s">
        <v>1574</v>
      </c>
      <c r="C1259" s="2" t="s">
        <v>94</v>
      </c>
      <c r="D1259" s="2" t="s">
        <v>14</v>
      </c>
      <c r="E1259" s="2">
        <v>23</v>
      </c>
      <c r="F1259" s="2">
        <v>75</v>
      </c>
      <c r="G1259" s="2">
        <v>175</v>
      </c>
      <c r="H1259" s="9">
        <f t="shared" si="19"/>
        <v>24.489795918367346</v>
      </c>
      <c r="I1259" s="2" t="str" cm="1">
        <f t="array" ref="I1259">_xlfn.IFS(F1259&gt;=100,"Over weight",F1259&lt;100,"Average weight")</f>
        <v>Average weight</v>
      </c>
      <c r="J1259" s="2" t="str" cm="1">
        <f t="array" ref="J1259">_xlfn.IFS(G1259&lt;164,"Below Average height",G1259&gt;=165,"Above Average height",G1259=164,"Average height")</f>
        <v>Above Average height</v>
      </c>
      <c r="K1259" s="2" t="str" cm="1">
        <f t="array" ref="K1259">_xlfn.IFS(E1259&lt;=16,"Children",E1259&lt;=30,"Young Adults",E1259&lt;=45,"Middle-aged Adults",E1259&gt;45,"Old Adults")</f>
        <v>Young Adults</v>
      </c>
    </row>
    <row r="1260" spans="1:11" x14ac:dyDescent="0.45">
      <c r="A1260" s="2">
        <v>1475</v>
      </c>
      <c r="B1260" s="2" t="s">
        <v>1580</v>
      </c>
      <c r="C1260" s="2" t="s">
        <v>91</v>
      </c>
      <c r="D1260" s="2" t="s">
        <v>75</v>
      </c>
      <c r="E1260" s="2">
        <v>23</v>
      </c>
      <c r="F1260" s="2">
        <v>68</v>
      </c>
      <c r="G1260" s="2">
        <v>169</v>
      </c>
      <c r="H1260" s="9">
        <f t="shared" si="19"/>
        <v>23.808690171912751</v>
      </c>
      <c r="I1260" s="2" t="str" cm="1">
        <f t="array" ref="I1260">_xlfn.IFS(F1260&gt;=100,"Over weight",F1260&lt;100,"Average weight")</f>
        <v>Average weight</v>
      </c>
      <c r="J1260" s="2" t="str" cm="1">
        <f t="array" ref="J1260">_xlfn.IFS(G1260&lt;164,"Below Average height",G1260&gt;=165,"Above Average height",G1260=164,"Average height")</f>
        <v>Above Average height</v>
      </c>
      <c r="K1260" s="2" t="str" cm="1">
        <f t="array" ref="K1260">_xlfn.IFS(E1260&lt;=16,"Children",E1260&lt;=30,"Young Adults",E1260&lt;=45,"Middle-aged Adults",E1260&gt;45,"Old Adults")</f>
        <v>Young Adults</v>
      </c>
    </row>
    <row r="1261" spans="1:11" x14ac:dyDescent="0.45">
      <c r="A1261" s="2">
        <v>1477</v>
      </c>
      <c r="B1261" s="2" t="s">
        <v>1582</v>
      </c>
      <c r="C1261" s="2" t="s">
        <v>91</v>
      </c>
      <c r="D1261" s="2" t="s">
        <v>46</v>
      </c>
      <c r="E1261" s="2">
        <v>22</v>
      </c>
      <c r="F1261" s="2">
        <v>86</v>
      </c>
      <c r="G1261" s="2">
        <v>186</v>
      </c>
      <c r="H1261" s="9">
        <f t="shared" si="19"/>
        <v>24.858365128916635</v>
      </c>
      <c r="I1261" s="2" t="str" cm="1">
        <f t="array" ref="I1261">_xlfn.IFS(F1261&gt;=100,"Over weight",F1261&lt;100,"Average weight")</f>
        <v>Average weight</v>
      </c>
      <c r="J1261" s="2" t="str" cm="1">
        <f t="array" ref="J1261">_xlfn.IFS(G1261&lt;164,"Below Average height",G1261&gt;=165,"Above Average height",G1261=164,"Average height")</f>
        <v>Above Average height</v>
      </c>
      <c r="K1261" s="2" t="str" cm="1">
        <f t="array" ref="K1261">_xlfn.IFS(E1261&lt;=16,"Children",E1261&lt;=30,"Young Adults",E1261&lt;=45,"Middle-aged Adults",E1261&gt;45,"Old Adults")</f>
        <v>Young Adults</v>
      </c>
    </row>
    <row r="1262" spans="1:11" x14ac:dyDescent="0.45">
      <c r="A1262" s="2">
        <v>1478</v>
      </c>
      <c r="B1262" s="2" t="s">
        <v>1583</v>
      </c>
      <c r="C1262" s="2" t="s">
        <v>93</v>
      </c>
      <c r="D1262" s="2" t="s">
        <v>75</v>
      </c>
      <c r="E1262" s="2">
        <v>20</v>
      </c>
      <c r="F1262" s="2">
        <v>62</v>
      </c>
      <c r="G1262" s="2">
        <v>165</v>
      </c>
      <c r="H1262" s="9">
        <f t="shared" si="19"/>
        <v>22.77318640955005</v>
      </c>
      <c r="I1262" s="2" t="str" cm="1">
        <f t="array" ref="I1262">_xlfn.IFS(F1262&gt;=100,"Over weight",F1262&lt;100,"Average weight")</f>
        <v>Average weight</v>
      </c>
      <c r="J1262" s="2" t="str" cm="1">
        <f t="array" ref="J1262">_xlfn.IFS(G1262&lt;164,"Below Average height",G1262&gt;=165,"Above Average height",G1262=164,"Average height")</f>
        <v>Above Average height</v>
      </c>
      <c r="K1262" s="2" t="str" cm="1">
        <f t="array" ref="K1262">_xlfn.IFS(E1262&lt;=16,"Children",E1262&lt;=30,"Young Adults",E1262&lt;=45,"Middle-aged Adults",E1262&gt;45,"Old Adults")</f>
        <v>Young Adults</v>
      </c>
    </row>
    <row r="1263" spans="1:11" x14ac:dyDescent="0.45">
      <c r="A1263" s="2">
        <v>1479</v>
      </c>
      <c r="B1263" s="2" t="s">
        <v>1584</v>
      </c>
      <c r="C1263" s="2" t="s">
        <v>90</v>
      </c>
      <c r="D1263" s="2" t="s">
        <v>46</v>
      </c>
      <c r="E1263" s="2">
        <v>21</v>
      </c>
      <c r="F1263" s="2">
        <v>100</v>
      </c>
      <c r="G1263" s="2">
        <v>186</v>
      </c>
      <c r="H1263" s="9">
        <f t="shared" si="19"/>
        <v>28.905075731298414</v>
      </c>
      <c r="I1263" s="2" t="str" cm="1">
        <f t="array" ref="I1263">_xlfn.IFS(F1263&gt;=100,"Over weight",F1263&lt;100,"Average weight")</f>
        <v>Over weight</v>
      </c>
      <c r="J1263" s="2" t="str" cm="1">
        <f t="array" ref="J1263">_xlfn.IFS(G1263&lt;164,"Below Average height",G1263&gt;=165,"Above Average height",G1263=164,"Average height")</f>
        <v>Above Average height</v>
      </c>
      <c r="K1263" s="2" t="str" cm="1">
        <f t="array" ref="K1263">_xlfn.IFS(E1263&lt;=16,"Children",E1263&lt;=30,"Young Adults",E1263&lt;=45,"Middle-aged Adults",E1263&gt;45,"Old Adults")</f>
        <v>Young Adults</v>
      </c>
    </row>
    <row r="1264" spans="1:11" x14ac:dyDescent="0.45">
      <c r="A1264" s="2">
        <v>1480</v>
      </c>
      <c r="B1264" s="2" t="s">
        <v>1585</v>
      </c>
      <c r="C1264" s="2" t="s">
        <v>85</v>
      </c>
      <c r="D1264" s="2" t="s">
        <v>39</v>
      </c>
      <c r="E1264" s="2">
        <v>28</v>
      </c>
      <c r="F1264" s="2">
        <v>66</v>
      </c>
      <c r="G1264" s="2">
        <v>168</v>
      </c>
      <c r="H1264" s="9">
        <f t="shared" si="19"/>
        <v>23.384353741496604</v>
      </c>
      <c r="I1264" s="2" t="str" cm="1">
        <f t="array" ref="I1264">_xlfn.IFS(F1264&gt;=100,"Over weight",F1264&lt;100,"Average weight")</f>
        <v>Average weight</v>
      </c>
      <c r="J1264" s="2" t="str" cm="1">
        <f t="array" ref="J1264">_xlfn.IFS(G1264&lt;164,"Below Average height",G1264&gt;=165,"Above Average height",G1264=164,"Average height")</f>
        <v>Above Average height</v>
      </c>
      <c r="K1264" s="2" t="str" cm="1">
        <f t="array" ref="K1264">_xlfn.IFS(E1264&lt;=16,"Children",E1264&lt;=30,"Young Adults",E1264&lt;=45,"Middle-aged Adults",E1264&gt;45,"Old Adults")</f>
        <v>Young Adults</v>
      </c>
    </row>
    <row r="1265" spans="1:11" x14ac:dyDescent="0.45">
      <c r="A1265" s="2">
        <v>1481</v>
      </c>
      <c r="B1265" s="2" t="s">
        <v>1586</v>
      </c>
      <c r="C1265" s="2" t="s">
        <v>85</v>
      </c>
      <c r="D1265" s="2" t="s">
        <v>26</v>
      </c>
      <c r="E1265" s="2">
        <v>26</v>
      </c>
      <c r="F1265" s="2">
        <v>80</v>
      </c>
      <c r="G1265" s="2">
        <v>176</v>
      </c>
      <c r="H1265" s="9">
        <f t="shared" si="19"/>
        <v>25.826446280991735</v>
      </c>
      <c r="I1265" s="2" t="str" cm="1">
        <f t="array" ref="I1265">_xlfn.IFS(F1265&gt;=100,"Over weight",F1265&lt;100,"Average weight")</f>
        <v>Average weight</v>
      </c>
      <c r="J1265" s="2" t="str" cm="1">
        <f t="array" ref="J1265">_xlfn.IFS(G1265&lt;164,"Below Average height",G1265&gt;=165,"Above Average height",G1265=164,"Average height")</f>
        <v>Above Average height</v>
      </c>
      <c r="K1265" s="2" t="str" cm="1">
        <f t="array" ref="K1265">_xlfn.IFS(E1265&lt;=16,"Children",E1265&lt;=30,"Young Adults",E1265&lt;=45,"Middle-aged Adults",E1265&gt;45,"Old Adults")</f>
        <v>Young Adults</v>
      </c>
    </row>
    <row r="1266" spans="1:11" x14ac:dyDescent="0.45">
      <c r="A1266" s="2">
        <v>1482</v>
      </c>
      <c r="B1266" s="2" t="s">
        <v>1587</v>
      </c>
      <c r="C1266" s="2" t="s">
        <v>91</v>
      </c>
      <c r="D1266" s="2" t="s">
        <v>25</v>
      </c>
      <c r="E1266" s="2">
        <v>28</v>
      </c>
      <c r="F1266" s="2">
        <v>68</v>
      </c>
      <c r="G1266" s="2">
        <v>166</v>
      </c>
      <c r="H1266" s="9">
        <f t="shared" si="19"/>
        <v>24.677021338365513</v>
      </c>
      <c r="I1266" s="2" t="str" cm="1">
        <f t="array" ref="I1266">_xlfn.IFS(F1266&gt;=100,"Over weight",F1266&lt;100,"Average weight")</f>
        <v>Average weight</v>
      </c>
      <c r="J1266" s="2" t="str" cm="1">
        <f t="array" ref="J1266">_xlfn.IFS(G1266&lt;164,"Below Average height",G1266&gt;=165,"Above Average height",G1266=164,"Average height")</f>
        <v>Above Average height</v>
      </c>
      <c r="K1266" s="2" t="str" cm="1">
        <f t="array" ref="K1266">_xlfn.IFS(E1266&lt;=16,"Children",E1266&lt;=30,"Young Adults",E1266&lt;=45,"Middle-aged Adults",E1266&gt;45,"Old Adults")</f>
        <v>Young Adults</v>
      </c>
    </row>
    <row r="1267" spans="1:11" x14ac:dyDescent="0.45">
      <c r="A1267" s="2">
        <v>1484</v>
      </c>
      <c r="B1267" s="2" t="s">
        <v>1589</v>
      </c>
      <c r="C1267" s="2" t="s">
        <v>90</v>
      </c>
      <c r="D1267" s="2" t="s">
        <v>80</v>
      </c>
      <c r="E1267" s="2">
        <v>31</v>
      </c>
      <c r="F1267" s="2">
        <v>98</v>
      </c>
      <c r="G1267" s="2">
        <v>188</v>
      </c>
      <c r="H1267" s="9">
        <f t="shared" si="19"/>
        <v>27.727478497057493</v>
      </c>
      <c r="I1267" s="2" t="str" cm="1">
        <f t="array" ref="I1267">_xlfn.IFS(F1267&gt;=100,"Over weight",F1267&lt;100,"Average weight")</f>
        <v>Average weight</v>
      </c>
      <c r="J1267" s="2" t="str" cm="1">
        <f t="array" ref="J1267">_xlfn.IFS(G1267&lt;164,"Below Average height",G1267&gt;=165,"Above Average height",G1267=164,"Average height")</f>
        <v>Above Average height</v>
      </c>
      <c r="K1267" s="2" t="str" cm="1">
        <f t="array" ref="K1267">_xlfn.IFS(E1267&lt;=16,"Children",E1267&lt;=30,"Young Adults",E1267&lt;=45,"Middle-aged Adults",E1267&gt;45,"Old Adults")</f>
        <v>Middle-aged Adults</v>
      </c>
    </row>
    <row r="1268" spans="1:11" x14ac:dyDescent="0.45">
      <c r="A1268" s="2">
        <v>1485</v>
      </c>
      <c r="B1268" s="2" t="s">
        <v>1590</v>
      </c>
      <c r="C1268" s="2" t="s">
        <v>88</v>
      </c>
      <c r="D1268" s="2" t="s">
        <v>6</v>
      </c>
      <c r="E1268" s="2">
        <v>33</v>
      </c>
      <c r="F1268" s="2">
        <v>80</v>
      </c>
      <c r="G1268" s="2">
        <v>181</v>
      </c>
      <c r="H1268" s="9">
        <f t="shared" si="19"/>
        <v>24.419279020786909</v>
      </c>
      <c r="I1268" s="2" t="str" cm="1">
        <f t="array" ref="I1268">_xlfn.IFS(F1268&gt;=100,"Over weight",F1268&lt;100,"Average weight")</f>
        <v>Average weight</v>
      </c>
      <c r="J1268" s="2" t="str" cm="1">
        <f t="array" ref="J1268">_xlfn.IFS(G1268&lt;164,"Below Average height",G1268&gt;=165,"Above Average height",G1268=164,"Average height")</f>
        <v>Above Average height</v>
      </c>
      <c r="K1268" s="2" t="str" cm="1">
        <f t="array" ref="K1268">_xlfn.IFS(E1268&lt;=16,"Children",E1268&lt;=30,"Young Adults",E1268&lt;=45,"Middle-aged Adults",E1268&gt;45,"Old Adults")</f>
        <v>Middle-aged Adults</v>
      </c>
    </row>
    <row r="1269" spans="1:11" x14ac:dyDescent="0.45">
      <c r="A1269" s="2">
        <v>1486</v>
      </c>
      <c r="B1269" s="2" t="s">
        <v>1591</v>
      </c>
      <c r="C1269" s="2" t="s">
        <v>91</v>
      </c>
      <c r="D1269" s="2" t="s">
        <v>70</v>
      </c>
      <c r="E1269" s="2">
        <v>24</v>
      </c>
      <c r="F1269" s="2">
        <v>86</v>
      </c>
      <c r="G1269" s="2">
        <v>188</v>
      </c>
      <c r="H1269" s="9">
        <f t="shared" si="19"/>
        <v>24.332277048438208</v>
      </c>
      <c r="I1269" s="2" t="str" cm="1">
        <f t="array" ref="I1269">_xlfn.IFS(F1269&gt;=100,"Over weight",F1269&lt;100,"Average weight")</f>
        <v>Average weight</v>
      </c>
      <c r="J1269" s="2" t="str" cm="1">
        <f t="array" ref="J1269">_xlfn.IFS(G1269&lt;164,"Below Average height",G1269&gt;=165,"Above Average height",G1269=164,"Average height")</f>
        <v>Above Average height</v>
      </c>
      <c r="K1269" s="2" t="str" cm="1">
        <f t="array" ref="K1269">_xlfn.IFS(E1269&lt;=16,"Children",E1269&lt;=30,"Young Adults",E1269&lt;=45,"Middle-aged Adults",E1269&gt;45,"Old Adults")</f>
        <v>Young Adults</v>
      </c>
    </row>
    <row r="1270" spans="1:11" x14ac:dyDescent="0.45">
      <c r="A1270" s="2">
        <v>1487</v>
      </c>
      <c r="B1270" s="2" t="s">
        <v>1592</v>
      </c>
      <c r="C1270" s="2" t="s">
        <v>90</v>
      </c>
      <c r="D1270" s="2" t="s">
        <v>75</v>
      </c>
      <c r="E1270" s="2">
        <v>28</v>
      </c>
      <c r="F1270" s="2">
        <v>70</v>
      </c>
      <c r="G1270" s="2">
        <v>168</v>
      </c>
      <c r="H1270" s="9">
        <f t="shared" si="19"/>
        <v>24.801587301587304</v>
      </c>
      <c r="I1270" s="2" t="str" cm="1">
        <f t="array" ref="I1270">_xlfn.IFS(F1270&gt;=100,"Over weight",F1270&lt;100,"Average weight")</f>
        <v>Average weight</v>
      </c>
      <c r="J1270" s="2" t="str" cm="1">
        <f t="array" ref="J1270">_xlfn.IFS(G1270&lt;164,"Below Average height",G1270&gt;=165,"Above Average height",G1270=164,"Average height")</f>
        <v>Above Average height</v>
      </c>
      <c r="K1270" s="2" t="str" cm="1">
        <f t="array" ref="K1270">_xlfn.IFS(E1270&lt;=16,"Children",E1270&lt;=30,"Young Adults",E1270&lt;=45,"Middle-aged Adults",E1270&gt;45,"Old Adults")</f>
        <v>Young Adults</v>
      </c>
    </row>
    <row r="1271" spans="1:11" x14ac:dyDescent="0.45">
      <c r="A1271" s="2">
        <v>1488</v>
      </c>
      <c r="B1271" s="2" t="s">
        <v>1593</v>
      </c>
      <c r="C1271" s="2" t="s">
        <v>90</v>
      </c>
      <c r="D1271" s="2" t="s">
        <v>80</v>
      </c>
      <c r="E1271" s="2">
        <v>25</v>
      </c>
      <c r="F1271" s="2">
        <v>82</v>
      </c>
      <c r="G1271" s="2">
        <v>173</v>
      </c>
      <c r="H1271" s="9">
        <f t="shared" si="19"/>
        <v>27.398175682448461</v>
      </c>
      <c r="I1271" s="2" t="str" cm="1">
        <f t="array" ref="I1271">_xlfn.IFS(F1271&gt;=100,"Over weight",F1271&lt;100,"Average weight")</f>
        <v>Average weight</v>
      </c>
      <c r="J1271" s="2" t="str" cm="1">
        <f t="array" ref="J1271">_xlfn.IFS(G1271&lt;164,"Below Average height",G1271&gt;=165,"Above Average height",G1271=164,"Average height")</f>
        <v>Above Average height</v>
      </c>
      <c r="K1271" s="2" t="str" cm="1">
        <f t="array" ref="K1271">_xlfn.IFS(E1271&lt;=16,"Children",E1271&lt;=30,"Young Adults",E1271&lt;=45,"Middle-aged Adults",E1271&gt;45,"Old Adults")</f>
        <v>Young Adults</v>
      </c>
    </row>
    <row r="1272" spans="1:11" x14ac:dyDescent="0.45">
      <c r="A1272" s="2">
        <v>1489</v>
      </c>
      <c r="B1272" s="2" t="s">
        <v>1594</v>
      </c>
      <c r="C1272" s="2" t="s">
        <v>91</v>
      </c>
      <c r="D1272" s="2" t="s">
        <v>8</v>
      </c>
      <c r="E1272" s="2">
        <v>35</v>
      </c>
      <c r="F1272" s="2">
        <v>78</v>
      </c>
      <c r="G1272" s="2">
        <v>182</v>
      </c>
      <c r="H1272" s="9">
        <f t="shared" si="19"/>
        <v>23.547880690737831</v>
      </c>
      <c r="I1272" s="2" t="str" cm="1">
        <f t="array" ref="I1272">_xlfn.IFS(F1272&gt;=100,"Over weight",F1272&lt;100,"Average weight")</f>
        <v>Average weight</v>
      </c>
      <c r="J1272" s="2" t="str" cm="1">
        <f t="array" ref="J1272">_xlfn.IFS(G1272&lt;164,"Below Average height",G1272&gt;=165,"Above Average height",G1272=164,"Average height")</f>
        <v>Above Average height</v>
      </c>
      <c r="K1272" s="2" t="str" cm="1">
        <f t="array" ref="K1272">_xlfn.IFS(E1272&lt;=16,"Children",E1272&lt;=30,"Young Adults",E1272&lt;=45,"Middle-aged Adults",E1272&gt;45,"Old Adults")</f>
        <v>Middle-aged Adults</v>
      </c>
    </row>
    <row r="1273" spans="1:11" x14ac:dyDescent="0.45">
      <c r="A1273" s="2">
        <v>1490</v>
      </c>
      <c r="B1273" s="2" t="s">
        <v>1595</v>
      </c>
      <c r="C1273" s="2" t="s">
        <v>92</v>
      </c>
      <c r="D1273" s="2" t="s">
        <v>71</v>
      </c>
      <c r="E1273" s="2">
        <v>21</v>
      </c>
      <c r="F1273" s="2">
        <v>70</v>
      </c>
      <c r="G1273" s="2">
        <v>191</v>
      </c>
      <c r="H1273" s="9">
        <f t="shared" si="19"/>
        <v>19.188070502453332</v>
      </c>
      <c r="I1273" s="2" t="str" cm="1">
        <f t="array" ref="I1273">_xlfn.IFS(F1273&gt;=100,"Over weight",F1273&lt;100,"Average weight")</f>
        <v>Average weight</v>
      </c>
      <c r="J1273" s="2" t="str" cm="1">
        <f t="array" ref="J1273">_xlfn.IFS(G1273&lt;164,"Below Average height",G1273&gt;=165,"Above Average height",G1273=164,"Average height")</f>
        <v>Above Average height</v>
      </c>
      <c r="K1273" s="2" t="str" cm="1">
        <f t="array" ref="K1273">_xlfn.IFS(E1273&lt;=16,"Children",E1273&lt;=30,"Young Adults",E1273&lt;=45,"Middle-aged Adults",E1273&gt;45,"Old Adults")</f>
        <v>Young Adults</v>
      </c>
    </row>
    <row r="1274" spans="1:11" x14ac:dyDescent="0.45">
      <c r="A1274" s="2">
        <v>1491</v>
      </c>
      <c r="B1274" s="2" t="s">
        <v>1596</v>
      </c>
      <c r="C1274" s="2" t="s">
        <v>90</v>
      </c>
      <c r="D1274" s="2" t="s">
        <v>19</v>
      </c>
      <c r="E1274" s="2">
        <v>28</v>
      </c>
      <c r="F1274" s="2">
        <v>92</v>
      </c>
      <c r="G1274" s="2">
        <v>181</v>
      </c>
      <c r="H1274" s="9">
        <f t="shared" si="19"/>
        <v>28.082170873904946</v>
      </c>
      <c r="I1274" s="2" t="str" cm="1">
        <f t="array" ref="I1274">_xlfn.IFS(F1274&gt;=100,"Over weight",F1274&lt;100,"Average weight")</f>
        <v>Average weight</v>
      </c>
      <c r="J1274" s="2" t="str" cm="1">
        <f t="array" ref="J1274">_xlfn.IFS(G1274&lt;164,"Below Average height",G1274&gt;=165,"Above Average height",G1274=164,"Average height")</f>
        <v>Above Average height</v>
      </c>
      <c r="K1274" s="2" t="str" cm="1">
        <f t="array" ref="K1274">_xlfn.IFS(E1274&lt;=16,"Children",E1274&lt;=30,"Young Adults",E1274&lt;=45,"Middle-aged Adults",E1274&gt;45,"Old Adults")</f>
        <v>Young Adults</v>
      </c>
    </row>
    <row r="1275" spans="1:11" x14ac:dyDescent="0.45">
      <c r="A1275" s="2">
        <v>1492</v>
      </c>
      <c r="B1275" s="2" t="s">
        <v>1597</v>
      </c>
      <c r="C1275" s="2" t="s">
        <v>87</v>
      </c>
      <c r="D1275" s="2" t="s">
        <v>26</v>
      </c>
      <c r="E1275" s="2">
        <v>23</v>
      </c>
      <c r="F1275" s="2">
        <v>78</v>
      </c>
      <c r="G1275" s="2">
        <v>178</v>
      </c>
      <c r="H1275" s="9">
        <f t="shared" si="19"/>
        <v>24.618103774775911</v>
      </c>
      <c r="I1275" s="2" t="str" cm="1">
        <f t="array" ref="I1275">_xlfn.IFS(F1275&gt;=100,"Over weight",F1275&lt;100,"Average weight")</f>
        <v>Average weight</v>
      </c>
      <c r="J1275" s="2" t="str" cm="1">
        <f t="array" ref="J1275">_xlfn.IFS(G1275&lt;164,"Below Average height",G1275&gt;=165,"Above Average height",G1275=164,"Average height")</f>
        <v>Above Average height</v>
      </c>
      <c r="K1275" s="2" t="str" cm="1">
        <f t="array" ref="K1275">_xlfn.IFS(E1275&lt;=16,"Children",E1275&lt;=30,"Young Adults",E1275&lt;=45,"Middle-aged Adults",E1275&gt;45,"Old Adults")</f>
        <v>Young Adults</v>
      </c>
    </row>
    <row r="1276" spans="1:11" x14ac:dyDescent="0.45">
      <c r="A1276" s="2">
        <v>1493</v>
      </c>
      <c r="B1276" s="2" t="s">
        <v>1598</v>
      </c>
      <c r="C1276" s="2" t="s">
        <v>91</v>
      </c>
      <c r="D1276" s="2" t="s">
        <v>21</v>
      </c>
      <c r="E1276" s="2">
        <v>25</v>
      </c>
      <c r="F1276" s="2">
        <v>102</v>
      </c>
      <c r="G1276" s="2">
        <v>188</v>
      </c>
      <c r="H1276" s="9">
        <f t="shared" si="19"/>
        <v>28.859212313263921</v>
      </c>
      <c r="I1276" s="2" t="str" cm="1">
        <f t="array" ref="I1276">_xlfn.IFS(F1276&gt;=100,"Over weight",F1276&lt;100,"Average weight")</f>
        <v>Over weight</v>
      </c>
      <c r="J1276" s="2" t="str" cm="1">
        <f t="array" ref="J1276">_xlfn.IFS(G1276&lt;164,"Below Average height",G1276&gt;=165,"Above Average height",G1276=164,"Average height")</f>
        <v>Above Average height</v>
      </c>
      <c r="K1276" s="2" t="str" cm="1">
        <f t="array" ref="K1276">_xlfn.IFS(E1276&lt;=16,"Children",E1276&lt;=30,"Young Adults",E1276&lt;=45,"Middle-aged Adults",E1276&gt;45,"Old Adults")</f>
        <v>Young Adults</v>
      </c>
    </row>
    <row r="1277" spans="1:11" x14ac:dyDescent="0.45">
      <c r="A1277" s="2">
        <v>1494</v>
      </c>
      <c r="B1277" s="2" t="s">
        <v>1599</v>
      </c>
      <c r="C1277" s="2" t="s">
        <v>91</v>
      </c>
      <c r="D1277" s="2" t="s">
        <v>21</v>
      </c>
      <c r="E1277" s="2">
        <v>24</v>
      </c>
      <c r="F1277" s="2">
        <v>97</v>
      </c>
      <c r="G1277" s="2">
        <v>190</v>
      </c>
      <c r="H1277" s="9">
        <f t="shared" si="19"/>
        <v>26.869806094182827</v>
      </c>
      <c r="I1277" s="2" t="str" cm="1">
        <f t="array" ref="I1277">_xlfn.IFS(F1277&gt;=100,"Over weight",F1277&lt;100,"Average weight")</f>
        <v>Average weight</v>
      </c>
      <c r="J1277" s="2" t="str" cm="1">
        <f t="array" ref="J1277">_xlfn.IFS(G1277&lt;164,"Below Average height",G1277&gt;=165,"Above Average height",G1277=164,"Average height")</f>
        <v>Above Average height</v>
      </c>
      <c r="K1277" s="2" t="str" cm="1">
        <f t="array" ref="K1277">_xlfn.IFS(E1277&lt;=16,"Children",E1277&lt;=30,"Young Adults",E1277&lt;=45,"Middle-aged Adults",E1277&gt;45,"Old Adults")</f>
        <v>Young Adults</v>
      </c>
    </row>
    <row r="1278" spans="1:11" x14ac:dyDescent="0.45">
      <c r="A1278" s="2">
        <v>1495</v>
      </c>
      <c r="B1278" s="2" t="s">
        <v>1600</v>
      </c>
      <c r="C1278" s="2" t="s">
        <v>91</v>
      </c>
      <c r="D1278" s="2" t="s">
        <v>75</v>
      </c>
      <c r="E1278" s="2">
        <v>19</v>
      </c>
      <c r="F1278" s="2">
        <v>52</v>
      </c>
      <c r="G1278" s="2">
        <v>165</v>
      </c>
      <c r="H1278" s="9">
        <f t="shared" si="19"/>
        <v>19.100091827364558</v>
      </c>
      <c r="I1278" s="2" t="str" cm="1">
        <f t="array" ref="I1278">_xlfn.IFS(F1278&gt;=100,"Over weight",F1278&lt;100,"Average weight")</f>
        <v>Average weight</v>
      </c>
      <c r="J1278" s="2" t="str" cm="1">
        <f t="array" ref="J1278">_xlfn.IFS(G1278&lt;164,"Below Average height",G1278&gt;=165,"Above Average height",G1278=164,"Average height")</f>
        <v>Above Average height</v>
      </c>
      <c r="K1278" s="2" t="str" cm="1">
        <f t="array" ref="K1278">_xlfn.IFS(E1278&lt;=16,"Children",E1278&lt;=30,"Young Adults",E1278&lt;=45,"Middle-aged Adults",E1278&gt;45,"Old Adults")</f>
        <v>Young Adults</v>
      </c>
    </row>
    <row r="1279" spans="1:11" x14ac:dyDescent="0.45">
      <c r="A1279" s="2">
        <v>1496</v>
      </c>
      <c r="B1279" s="2" t="s">
        <v>1601</v>
      </c>
      <c r="C1279" s="2" t="s">
        <v>97</v>
      </c>
      <c r="D1279" s="2" t="s">
        <v>39</v>
      </c>
      <c r="E1279" s="2">
        <v>24</v>
      </c>
      <c r="F1279" s="2">
        <v>65</v>
      </c>
      <c r="G1279" s="2">
        <v>170</v>
      </c>
      <c r="H1279" s="9">
        <f t="shared" si="19"/>
        <v>22.491349480968861</v>
      </c>
      <c r="I1279" s="2" t="str" cm="1">
        <f t="array" ref="I1279">_xlfn.IFS(F1279&gt;=100,"Over weight",F1279&lt;100,"Average weight")</f>
        <v>Average weight</v>
      </c>
      <c r="J1279" s="2" t="str" cm="1">
        <f t="array" ref="J1279">_xlfn.IFS(G1279&lt;164,"Below Average height",G1279&gt;=165,"Above Average height",G1279=164,"Average height")</f>
        <v>Above Average height</v>
      </c>
      <c r="K1279" s="2" t="str" cm="1">
        <f t="array" ref="K1279">_xlfn.IFS(E1279&lt;=16,"Children",E1279&lt;=30,"Young Adults",E1279&lt;=45,"Middle-aged Adults",E1279&gt;45,"Old Adults")</f>
        <v>Young Adults</v>
      </c>
    </row>
    <row r="1280" spans="1:11" x14ac:dyDescent="0.45">
      <c r="A1280" s="2">
        <v>1497</v>
      </c>
      <c r="B1280" s="2" t="s">
        <v>1602</v>
      </c>
      <c r="C1280" s="2" t="s">
        <v>85</v>
      </c>
      <c r="D1280" s="2" t="s">
        <v>14</v>
      </c>
      <c r="E1280" s="2">
        <v>19</v>
      </c>
      <c r="F1280" s="2">
        <v>65</v>
      </c>
      <c r="G1280" s="2">
        <v>169</v>
      </c>
      <c r="H1280" s="9">
        <f t="shared" si="19"/>
        <v>22.758306781975424</v>
      </c>
      <c r="I1280" s="2" t="str" cm="1">
        <f t="array" ref="I1280">_xlfn.IFS(F1280&gt;=100,"Over weight",F1280&lt;100,"Average weight")</f>
        <v>Average weight</v>
      </c>
      <c r="J1280" s="2" t="str" cm="1">
        <f t="array" ref="J1280">_xlfn.IFS(G1280&lt;164,"Below Average height",G1280&gt;=165,"Above Average height",G1280=164,"Average height")</f>
        <v>Above Average height</v>
      </c>
      <c r="K1280" s="2" t="str" cm="1">
        <f t="array" ref="K1280">_xlfn.IFS(E1280&lt;=16,"Children",E1280&lt;=30,"Young Adults",E1280&lt;=45,"Middle-aged Adults",E1280&gt;45,"Old Adults")</f>
        <v>Young Adults</v>
      </c>
    </row>
    <row r="1281" spans="1:11" x14ac:dyDescent="0.45">
      <c r="A1281" s="2">
        <v>1498</v>
      </c>
      <c r="B1281" s="2" t="s">
        <v>1603</v>
      </c>
      <c r="C1281" s="2" t="s">
        <v>91</v>
      </c>
      <c r="D1281" s="2" t="s">
        <v>25</v>
      </c>
      <c r="E1281" s="2">
        <v>29</v>
      </c>
      <c r="F1281" s="2">
        <v>88</v>
      </c>
      <c r="G1281" s="2">
        <v>182</v>
      </c>
      <c r="H1281" s="9">
        <f t="shared" si="19"/>
        <v>26.566839753652939</v>
      </c>
      <c r="I1281" s="2" t="str" cm="1">
        <f t="array" ref="I1281">_xlfn.IFS(F1281&gt;=100,"Over weight",F1281&lt;100,"Average weight")</f>
        <v>Average weight</v>
      </c>
      <c r="J1281" s="2" t="str" cm="1">
        <f t="array" ref="J1281">_xlfn.IFS(G1281&lt;164,"Below Average height",G1281&gt;=165,"Above Average height",G1281=164,"Average height")</f>
        <v>Above Average height</v>
      </c>
      <c r="K1281" s="2" t="str" cm="1">
        <f t="array" ref="K1281">_xlfn.IFS(E1281&lt;=16,"Children",E1281&lt;=30,"Young Adults",E1281&lt;=45,"Middle-aged Adults",E1281&gt;45,"Old Adults")</f>
        <v>Young Adults</v>
      </c>
    </row>
    <row r="1282" spans="1:11" x14ac:dyDescent="0.45">
      <c r="A1282" s="2">
        <v>1499</v>
      </c>
      <c r="B1282" s="2" t="s">
        <v>1604</v>
      </c>
      <c r="C1282" s="2" t="s">
        <v>92</v>
      </c>
      <c r="D1282" s="2" t="s">
        <v>63</v>
      </c>
      <c r="E1282" s="2">
        <v>18</v>
      </c>
      <c r="F1282" s="2">
        <v>55</v>
      </c>
      <c r="G1282" s="2">
        <v>172</v>
      </c>
      <c r="H1282" s="9">
        <f t="shared" ref="H1282:H1345" si="20" xml:space="preserve"> F1282 / (( G1282/ 100) ^ 2)</f>
        <v>18.591130340724717</v>
      </c>
      <c r="I1282" s="2" t="str" cm="1">
        <f t="array" ref="I1282">_xlfn.IFS(F1282&gt;=100,"Over weight",F1282&lt;100,"Average weight")</f>
        <v>Average weight</v>
      </c>
      <c r="J1282" s="2" t="str" cm="1">
        <f t="array" ref="J1282">_xlfn.IFS(G1282&lt;164,"Below Average height",G1282&gt;=165,"Above Average height",G1282=164,"Average height")</f>
        <v>Above Average height</v>
      </c>
      <c r="K1282" s="2" t="str" cm="1">
        <f t="array" ref="K1282">_xlfn.IFS(E1282&lt;=16,"Children",E1282&lt;=30,"Young Adults",E1282&lt;=45,"Middle-aged Adults",E1282&gt;45,"Old Adults")</f>
        <v>Young Adults</v>
      </c>
    </row>
    <row r="1283" spans="1:11" x14ac:dyDescent="0.45">
      <c r="A1283" s="2">
        <v>1500</v>
      </c>
      <c r="B1283" s="2" t="s">
        <v>1605</v>
      </c>
      <c r="C1283" s="2" t="s">
        <v>94</v>
      </c>
      <c r="D1283" s="2" t="s">
        <v>4</v>
      </c>
      <c r="E1283" s="2">
        <v>17</v>
      </c>
      <c r="F1283" s="2">
        <v>65</v>
      </c>
      <c r="G1283" s="2">
        <v>180</v>
      </c>
      <c r="H1283" s="9">
        <f t="shared" si="20"/>
        <v>20.061728395061728</v>
      </c>
      <c r="I1283" s="2" t="str" cm="1">
        <f t="array" ref="I1283">_xlfn.IFS(F1283&gt;=100,"Over weight",F1283&lt;100,"Average weight")</f>
        <v>Average weight</v>
      </c>
      <c r="J1283" s="2" t="str" cm="1">
        <f t="array" ref="J1283">_xlfn.IFS(G1283&lt;164,"Below Average height",G1283&gt;=165,"Above Average height",G1283=164,"Average height")</f>
        <v>Above Average height</v>
      </c>
      <c r="K1283" s="2" t="str" cm="1">
        <f t="array" ref="K1283">_xlfn.IFS(E1283&lt;=16,"Children",E1283&lt;=30,"Young Adults",E1283&lt;=45,"Middle-aged Adults",E1283&gt;45,"Old Adults")</f>
        <v>Young Adults</v>
      </c>
    </row>
    <row r="1284" spans="1:11" x14ac:dyDescent="0.45">
      <c r="A1284" s="2">
        <v>1501</v>
      </c>
      <c r="B1284" s="2" t="s">
        <v>1606</v>
      </c>
      <c r="C1284" s="2" t="s">
        <v>91</v>
      </c>
      <c r="D1284" s="2" t="s">
        <v>8</v>
      </c>
      <c r="E1284" s="2">
        <v>31</v>
      </c>
      <c r="F1284" s="2">
        <v>90</v>
      </c>
      <c r="G1284" s="2">
        <v>185</v>
      </c>
      <c r="H1284" s="9">
        <f t="shared" si="20"/>
        <v>26.296566837107374</v>
      </c>
      <c r="I1284" s="2" t="str" cm="1">
        <f t="array" ref="I1284">_xlfn.IFS(F1284&gt;=100,"Over weight",F1284&lt;100,"Average weight")</f>
        <v>Average weight</v>
      </c>
      <c r="J1284" s="2" t="str" cm="1">
        <f t="array" ref="J1284">_xlfn.IFS(G1284&lt;164,"Below Average height",G1284&gt;=165,"Above Average height",G1284=164,"Average height")</f>
        <v>Above Average height</v>
      </c>
      <c r="K1284" s="2" t="str" cm="1">
        <f t="array" ref="K1284">_xlfn.IFS(E1284&lt;=16,"Children",E1284&lt;=30,"Young Adults",E1284&lt;=45,"Middle-aged Adults",E1284&gt;45,"Old Adults")</f>
        <v>Middle-aged Adults</v>
      </c>
    </row>
    <row r="1285" spans="1:11" x14ac:dyDescent="0.45">
      <c r="A1285" s="2">
        <v>1502</v>
      </c>
      <c r="B1285" s="2" t="s">
        <v>1607</v>
      </c>
      <c r="C1285" s="2" t="s">
        <v>95</v>
      </c>
      <c r="D1285" s="2" t="s">
        <v>66</v>
      </c>
      <c r="E1285" s="2">
        <v>20</v>
      </c>
      <c r="F1285" s="2">
        <v>66</v>
      </c>
      <c r="G1285" s="2">
        <v>172</v>
      </c>
      <c r="H1285" s="9">
        <f t="shared" si="20"/>
        <v>22.309356408869661</v>
      </c>
      <c r="I1285" s="2" t="str" cm="1">
        <f t="array" ref="I1285">_xlfn.IFS(F1285&gt;=100,"Over weight",F1285&lt;100,"Average weight")</f>
        <v>Average weight</v>
      </c>
      <c r="J1285" s="2" t="str" cm="1">
        <f t="array" ref="J1285">_xlfn.IFS(G1285&lt;164,"Below Average height",G1285&gt;=165,"Above Average height",G1285=164,"Average height")</f>
        <v>Above Average height</v>
      </c>
      <c r="K1285" s="2" t="str" cm="1">
        <f t="array" ref="K1285">_xlfn.IFS(E1285&lt;=16,"Children",E1285&lt;=30,"Young Adults",E1285&lt;=45,"Middle-aged Adults",E1285&gt;45,"Old Adults")</f>
        <v>Young Adults</v>
      </c>
    </row>
    <row r="1286" spans="1:11" x14ac:dyDescent="0.45">
      <c r="A1286" s="2">
        <v>1503</v>
      </c>
      <c r="B1286" s="2" t="s">
        <v>1608</v>
      </c>
      <c r="C1286" s="2" t="s">
        <v>91</v>
      </c>
      <c r="D1286" s="2" t="s">
        <v>14</v>
      </c>
      <c r="E1286" s="2">
        <v>25</v>
      </c>
      <c r="F1286" s="2">
        <v>74</v>
      </c>
      <c r="G1286" s="2">
        <v>175</v>
      </c>
      <c r="H1286" s="9">
        <f t="shared" si="20"/>
        <v>24.163265306122447</v>
      </c>
      <c r="I1286" s="2" t="str" cm="1">
        <f t="array" ref="I1286">_xlfn.IFS(F1286&gt;=100,"Over weight",F1286&lt;100,"Average weight")</f>
        <v>Average weight</v>
      </c>
      <c r="J1286" s="2" t="str" cm="1">
        <f t="array" ref="J1286">_xlfn.IFS(G1286&lt;164,"Below Average height",G1286&gt;=165,"Above Average height",G1286=164,"Average height")</f>
        <v>Above Average height</v>
      </c>
      <c r="K1286" s="2" t="str" cm="1">
        <f t="array" ref="K1286">_xlfn.IFS(E1286&lt;=16,"Children",E1286&lt;=30,"Young Adults",E1286&lt;=45,"Middle-aged Adults",E1286&gt;45,"Old Adults")</f>
        <v>Young Adults</v>
      </c>
    </row>
    <row r="1287" spans="1:11" x14ac:dyDescent="0.45">
      <c r="A1287" s="2">
        <v>1505</v>
      </c>
      <c r="B1287" s="2" t="s">
        <v>1610</v>
      </c>
      <c r="C1287" s="2" t="s">
        <v>85</v>
      </c>
      <c r="D1287" s="2" t="s">
        <v>80</v>
      </c>
      <c r="E1287" s="2">
        <v>32</v>
      </c>
      <c r="F1287" s="2">
        <v>92</v>
      </c>
      <c r="G1287" s="2">
        <v>188</v>
      </c>
      <c r="H1287" s="9">
        <f t="shared" si="20"/>
        <v>26.029877772747852</v>
      </c>
      <c r="I1287" s="2" t="str" cm="1">
        <f t="array" ref="I1287">_xlfn.IFS(F1287&gt;=100,"Over weight",F1287&lt;100,"Average weight")</f>
        <v>Average weight</v>
      </c>
      <c r="J1287" s="2" t="str" cm="1">
        <f t="array" ref="J1287">_xlfn.IFS(G1287&lt;164,"Below Average height",G1287&gt;=165,"Above Average height",G1287=164,"Average height")</f>
        <v>Above Average height</v>
      </c>
      <c r="K1287" s="2" t="str" cm="1">
        <f t="array" ref="K1287">_xlfn.IFS(E1287&lt;=16,"Children",E1287&lt;=30,"Young Adults",E1287&lt;=45,"Middle-aged Adults",E1287&gt;45,"Old Adults")</f>
        <v>Middle-aged Adults</v>
      </c>
    </row>
    <row r="1288" spans="1:11" x14ac:dyDescent="0.45">
      <c r="A1288" s="2">
        <v>1506</v>
      </c>
      <c r="B1288" s="2" t="s">
        <v>1611</v>
      </c>
      <c r="C1288" s="2" t="s">
        <v>91</v>
      </c>
      <c r="D1288" s="2" t="s">
        <v>80</v>
      </c>
      <c r="E1288" s="2">
        <v>29</v>
      </c>
      <c r="F1288" s="2">
        <v>79</v>
      </c>
      <c r="G1288" s="2">
        <v>188</v>
      </c>
      <c r="H1288" s="9">
        <f t="shared" si="20"/>
        <v>22.351742870076958</v>
      </c>
      <c r="I1288" s="2" t="str" cm="1">
        <f t="array" ref="I1288">_xlfn.IFS(F1288&gt;=100,"Over weight",F1288&lt;100,"Average weight")</f>
        <v>Average weight</v>
      </c>
      <c r="J1288" s="2" t="str" cm="1">
        <f t="array" ref="J1288">_xlfn.IFS(G1288&lt;164,"Below Average height",G1288&gt;=165,"Above Average height",G1288=164,"Average height")</f>
        <v>Above Average height</v>
      </c>
      <c r="K1288" s="2" t="str" cm="1">
        <f t="array" ref="K1288">_xlfn.IFS(E1288&lt;=16,"Children",E1288&lt;=30,"Young Adults",E1288&lt;=45,"Middle-aged Adults",E1288&gt;45,"Old Adults")</f>
        <v>Young Adults</v>
      </c>
    </row>
    <row r="1289" spans="1:11" x14ac:dyDescent="0.45">
      <c r="A1289" s="2">
        <v>1507</v>
      </c>
      <c r="B1289" s="2" t="s">
        <v>1612</v>
      </c>
      <c r="C1289" s="2" t="s">
        <v>85</v>
      </c>
      <c r="D1289" s="2" t="s">
        <v>41</v>
      </c>
      <c r="E1289" s="2">
        <v>32</v>
      </c>
      <c r="F1289" s="2">
        <v>88</v>
      </c>
      <c r="G1289" s="2">
        <v>173</v>
      </c>
      <c r="H1289" s="9">
        <f t="shared" si="20"/>
        <v>29.402920244578837</v>
      </c>
      <c r="I1289" s="2" t="str" cm="1">
        <f t="array" ref="I1289">_xlfn.IFS(F1289&gt;=100,"Over weight",F1289&lt;100,"Average weight")</f>
        <v>Average weight</v>
      </c>
      <c r="J1289" s="2" t="str" cm="1">
        <f t="array" ref="J1289">_xlfn.IFS(G1289&lt;164,"Below Average height",G1289&gt;=165,"Above Average height",G1289=164,"Average height")</f>
        <v>Above Average height</v>
      </c>
      <c r="K1289" s="2" t="str" cm="1">
        <f t="array" ref="K1289">_xlfn.IFS(E1289&lt;=16,"Children",E1289&lt;=30,"Young Adults",E1289&lt;=45,"Middle-aged Adults",E1289&gt;45,"Old Adults")</f>
        <v>Middle-aged Adults</v>
      </c>
    </row>
    <row r="1290" spans="1:11" x14ac:dyDescent="0.45">
      <c r="A1290" s="2">
        <v>1508</v>
      </c>
      <c r="B1290" s="2" t="s">
        <v>1613</v>
      </c>
      <c r="C1290" s="2" t="s">
        <v>97</v>
      </c>
      <c r="D1290" s="2" t="s">
        <v>41</v>
      </c>
      <c r="E1290" s="2">
        <v>24</v>
      </c>
      <c r="F1290" s="2">
        <v>75</v>
      </c>
      <c r="G1290" s="2">
        <v>183</v>
      </c>
      <c r="H1290" s="9">
        <f t="shared" si="20"/>
        <v>22.395413419331717</v>
      </c>
      <c r="I1290" s="2" t="str" cm="1">
        <f t="array" ref="I1290">_xlfn.IFS(F1290&gt;=100,"Over weight",F1290&lt;100,"Average weight")</f>
        <v>Average weight</v>
      </c>
      <c r="J1290" s="2" t="str" cm="1">
        <f t="array" ref="J1290">_xlfn.IFS(G1290&lt;164,"Below Average height",G1290&gt;=165,"Above Average height",G1290=164,"Average height")</f>
        <v>Above Average height</v>
      </c>
      <c r="K1290" s="2" t="str" cm="1">
        <f t="array" ref="K1290">_xlfn.IFS(E1290&lt;=16,"Children",E1290&lt;=30,"Young Adults",E1290&lt;=45,"Middle-aged Adults",E1290&gt;45,"Old Adults")</f>
        <v>Young Adults</v>
      </c>
    </row>
    <row r="1291" spans="1:11" x14ac:dyDescent="0.45">
      <c r="A1291" s="2">
        <v>1509</v>
      </c>
      <c r="B1291" s="2" t="s">
        <v>1614</v>
      </c>
      <c r="C1291" s="2" t="s">
        <v>90</v>
      </c>
      <c r="D1291" s="2" t="s">
        <v>30</v>
      </c>
      <c r="E1291" s="2">
        <v>31</v>
      </c>
      <c r="F1291" s="2">
        <v>80</v>
      </c>
      <c r="G1291" s="2">
        <v>165</v>
      </c>
      <c r="H1291" s="9">
        <f t="shared" si="20"/>
        <v>29.384756657483933</v>
      </c>
      <c r="I1291" s="2" t="str" cm="1">
        <f t="array" ref="I1291">_xlfn.IFS(F1291&gt;=100,"Over weight",F1291&lt;100,"Average weight")</f>
        <v>Average weight</v>
      </c>
      <c r="J1291" s="2" t="str" cm="1">
        <f t="array" ref="J1291">_xlfn.IFS(G1291&lt;164,"Below Average height",G1291&gt;=165,"Above Average height",G1291=164,"Average height")</f>
        <v>Above Average height</v>
      </c>
      <c r="K1291" s="2" t="str" cm="1">
        <f t="array" ref="K1291">_xlfn.IFS(E1291&lt;=16,"Children",E1291&lt;=30,"Young Adults",E1291&lt;=45,"Middle-aged Adults",E1291&gt;45,"Old Adults")</f>
        <v>Middle-aged Adults</v>
      </c>
    </row>
    <row r="1292" spans="1:11" x14ac:dyDescent="0.45">
      <c r="A1292" s="2">
        <v>1510</v>
      </c>
      <c r="B1292" s="2" t="s">
        <v>1615</v>
      </c>
      <c r="C1292" s="2" t="s">
        <v>90</v>
      </c>
      <c r="D1292" s="2" t="s">
        <v>46</v>
      </c>
      <c r="E1292" s="2">
        <v>29</v>
      </c>
      <c r="F1292" s="2">
        <v>102</v>
      </c>
      <c r="G1292" s="2">
        <v>182</v>
      </c>
      <c r="H1292" s="9">
        <f t="shared" si="20"/>
        <v>30.793382441734089</v>
      </c>
      <c r="I1292" s="2" t="str" cm="1">
        <f t="array" ref="I1292">_xlfn.IFS(F1292&gt;=100,"Over weight",F1292&lt;100,"Average weight")</f>
        <v>Over weight</v>
      </c>
      <c r="J1292" s="2" t="str" cm="1">
        <f t="array" ref="J1292">_xlfn.IFS(G1292&lt;164,"Below Average height",G1292&gt;=165,"Above Average height",G1292=164,"Average height")</f>
        <v>Above Average height</v>
      </c>
      <c r="K1292" s="2" t="str" cm="1">
        <f t="array" ref="K1292">_xlfn.IFS(E1292&lt;=16,"Children",E1292&lt;=30,"Young Adults",E1292&lt;=45,"Middle-aged Adults",E1292&gt;45,"Old Adults")</f>
        <v>Young Adults</v>
      </c>
    </row>
    <row r="1293" spans="1:11" x14ac:dyDescent="0.45">
      <c r="A1293" s="2">
        <v>1511</v>
      </c>
      <c r="B1293" s="2" t="s">
        <v>1616</v>
      </c>
      <c r="C1293" s="2" t="s">
        <v>100</v>
      </c>
      <c r="D1293" s="2" t="s">
        <v>73</v>
      </c>
      <c r="E1293" s="2">
        <v>26</v>
      </c>
      <c r="F1293" s="2">
        <v>82</v>
      </c>
      <c r="G1293" s="2">
        <v>182</v>
      </c>
      <c r="H1293" s="9">
        <f t="shared" si="20"/>
        <v>24.755464315903875</v>
      </c>
      <c r="I1293" s="2" t="str" cm="1">
        <f t="array" ref="I1293">_xlfn.IFS(F1293&gt;=100,"Over weight",F1293&lt;100,"Average weight")</f>
        <v>Average weight</v>
      </c>
      <c r="J1293" s="2" t="str" cm="1">
        <f t="array" ref="J1293">_xlfn.IFS(G1293&lt;164,"Below Average height",G1293&gt;=165,"Above Average height",G1293=164,"Average height")</f>
        <v>Above Average height</v>
      </c>
      <c r="K1293" s="2" t="str" cm="1">
        <f t="array" ref="K1293">_xlfn.IFS(E1293&lt;=16,"Children",E1293&lt;=30,"Young Adults",E1293&lt;=45,"Middle-aged Adults",E1293&gt;45,"Old Adults")</f>
        <v>Young Adults</v>
      </c>
    </row>
    <row r="1294" spans="1:11" x14ac:dyDescent="0.45">
      <c r="A1294" s="2">
        <v>1512</v>
      </c>
      <c r="B1294" s="2" t="s">
        <v>1617</v>
      </c>
      <c r="C1294" s="2" t="s">
        <v>94</v>
      </c>
      <c r="D1294" s="2" t="s">
        <v>26</v>
      </c>
      <c r="E1294" s="2">
        <v>24</v>
      </c>
      <c r="F1294" s="2">
        <v>81</v>
      </c>
      <c r="G1294" s="2">
        <v>185</v>
      </c>
      <c r="H1294" s="9">
        <f t="shared" si="20"/>
        <v>23.666910153396639</v>
      </c>
      <c r="I1294" s="2" t="str" cm="1">
        <f t="array" ref="I1294">_xlfn.IFS(F1294&gt;=100,"Over weight",F1294&lt;100,"Average weight")</f>
        <v>Average weight</v>
      </c>
      <c r="J1294" s="2" t="str" cm="1">
        <f t="array" ref="J1294">_xlfn.IFS(G1294&lt;164,"Below Average height",G1294&gt;=165,"Above Average height",G1294=164,"Average height")</f>
        <v>Above Average height</v>
      </c>
      <c r="K1294" s="2" t="str" cm="1">
        <f t="array" ref="K1294">_xlfn.IFS(E1294&lt;=16,"Children",E1294&lt;=30,"Young Adults",E1294&lt;=45,"Middle-aged Adults",E1294&gt;45,"Old Adults")</f>
        <v>Young Adults</v>
      </c>
    </row>
    <row r="1295" spans="1:11" x14ac:dyDescent="0.45">
      <c r="A1295" s="2">
        <v>1513</v>
      </c>
      <c r="B1295" s="2" t="s">
        <v>1618</v>
      </c>
      <c r="C1295" s="2" t="s">
        <v>94</v>
      </c>
      <c r="D1295" s="2" t="s">
        <v>36</v>
      </c>
      <c r="E1295" s="2">
        <v>35</v>
      </c>
      <c r="F1295" s="2">
        <v>70</v>
      </c>
      <c r="G1295" s="2">
        <v>178</v>
      </c>
      <c r="H1295" s="9">
        <f t="shared" si="20"/>
        <v>22.093170054286073</v>
      </c>
      <c r="I1295" s="2" t="str" cm="1">
        <f t="array" ref="I1295">_xlfn.IFS(F1295&gt;=100,"Over weight",F1295&lt;100,"Average weight")</f>
        <v>Average weight</v>
      </c>
      <c r="J1295" s="2" t="str" cm="1">
        <f t="array" ref="J1295">_xlfn.IFS(G1295&lt;164,"Below Average height",G1295&gt;=165,"Above Average height",G1295=164,"Average height")</f>
        <v>Above Average height</v>
      </c>
      <c r="K1295" s="2" t="str" cm="1">
        <f t="array" ref="K1295">_xlfn.IFS(E1295&lt;=16,"Children",E1295&lt;=30,"Young Adults",E1295&lt;=45,"Middle-aged Adults",E1295&gt;45,"Old Adults")</f>
        <v>Middle-aged Adults</v>
      </c>
    </row>
    <row r="1296" spans="1:11" x14ac:dyDescent="0.45">
      <c r="A1296" s="2">
        <v>1514</v>
      </c>
      <c r="B1296" s="2" t="s">
        <v>1619</v>
      </c>
      <c r="C1296" s="2" t="s">
        <v>85</v>
      </c>
      <c r="D1296" s="2" t="s">
        <v>26</v>
      </c>
      <c r="E1296" s="2">
        <v>25</v>
      </c>
      <c r="F1296" s="2">
        <v>80</v>
      </c>
      <c r="G1296" s="2">
        <v>186</v>
      </c>
      <c r="H1296" s="9">
        <f t="shared" si="20"/>
        <v>23.12406058503873</v>
      </c>
      <c r="I1296" s="2" t="str" cm="1">
        <f t="array" ref="I1296">_xlfn.IFS(F1296&gt;=100,"Over weight",F1296&lt;100,"Average weight")</f>
        <v>Average weight</v>
      </c>
      <c r="J1296" s="2" t="str" cm="1">
        <f t="array" ref="J1296">_xlfn.IFS(G1296&lt;164,"Below Average height",G1296&gt;=165,"Above Average height",G1296=164,"Average height")</f>
        <v>Above Average height</v>
      </c>
      <c r="K1296" s="2" t="str" cm="1">
        <f t="array" ref="K1296">_xlfn.IFS(E1296&lt;=16,"Children",E1296&lt;=30,"Young Adults",E1296&lt;=45,"Middle-aged Adults",E1296&gt;45,"Old Adults")</f>
        <v>Young Adults</v>
      </c>
    </row>
    <row r="1297" spans="1:11" x14ac:dyDescent="0.45">
      <c r="A1297" s="2">
        <v>1515</v>
      </c>
      <c r="B1297" s="2" t="s">
        <v>1620</v>
      </c>
      <c r="C1297" s="2" t="s">
        <v>92</v>
      </c>
      <c r="D1297" s="2" t="s">
        <v>14</v>
      </c>
      <c r="E1297" s="2">
        <v>17</v>
      </c>
      <c r="F1297" s="2">
        <v>56</v>
      </c>
      <c r="G1297" s="2">
        <v>174</v>
      </c>
      <c r="H1297" s="9">
        <f t="shared" si="20"/>
        <v>18.496498876998281</v>
      </c>
      <c r="I1297" s="2" t="str" cm="1">
        <f t="array" ref="I1297">_xlfn.IFS(F1297&gt;=100,"Over weight",F1297&lt;100,"Average weight")</f>
        <v>Average weight</v>
      </c>
      <c r="J1297" s="2" t="str" cm="1">
        <f t="array" ref="J1297">_xlfn.IFS(G1297&lt;164,"Below Average height",G1297&gt;=165,"Above Average height",G1297=164,"Average height")</f>
        <v>Above Average height</v>
      </c>
      <c r="K1297" s="2" t="str" cm="1">
        <f t="array" ref="K1297">_xlfn.IFS(E1297&lt;=16,"Children",E1297&lt;=30,"Young Adults",E1297&lt;=45,"Middle-aged Adults",E1297&gt;45,"Old Adults")</f>
        <v>Young Adults</v>
      </c>
    </row>
    <row r="1298" spans="1:11" x14ac:dyDescent="0.45">
      <c r="A1298" s="2">
        <v>1516</v>
      </c>
      <c r="B1298" s="2" t="s">
        <v>1621</v>
      </c>
      <c r="C1298" s="2" t="s">
        <v>90</v>
      </c>
      <c r="D1298" s="2" t="s">
        <v>41</v>
      </c>
      <c r="E1298" s="2">
        <v>25</v>
      </c>
      <c r="F1298" s="2">
        <v>102</v>
      </c>
      <c r="G1298" s="2">
        <v>185</v>
      </c>
      <c r="H1298" s="9">
        <f t="shared" si="20"/>
        <v>29.802775748721693</v>
      </c>
      <c r="I1298" s="2" t="str" cm="1">
        <f t="array" ref="I1298">_xlfn.IFS(F1298&gt;=100,"Over weight",F1298&lt;100,"Average weight")</f>
        <v>Over weight</v>
      </c>
      <c r="J1298" s="2" t="str" cm="1">
        <f t="array" ref="J1298">_xlfn.IFS(G1298&lt;164,"Below Average height",G1298&gt;=165,"Above Average height",G1298=164,"Average height")</f>
        <v>Above Average height</v>
      </c>
      <c r="K1298" s="2" t="str" cm="1">
        <f t="array" ref="K1298">_xlfn.IFS(E1298&lt;=16,"Children",E1298&lt;=30,"Young Adults",E1298&lt;=45,"Middle-aged Adults",E1298&gt;45,"Old Adults")</f>
        <v>Young Adults</v>
      </c>
    </row>
    <row r="1299" spans="1:11" x14ac:dyDescent="0.45">
      <c r="A1299" s="2">
        <v>1517</v>
      </c>
      <c r="B1299" s="2" t="s">
        <v>1622</v>
      </c>
      <c r="C1299" s="2" t="s">
        <v>94</v>
      </c>
      <c r="D1299" s="2" t="s">
        <v>70</v>
      </c>
      <c r="E1299" s="2">
        <v>21</v>
      </c>
      <c r="F1299" s="2">
        <v>80</v>
      </c>
      <c r="G1299" s="2">
        <v>186</v>
      </c>
      <c r="H1299" s="9">
        <f t="shared" si="20"/>
        <v>23.12406058503873</v>
      </c>
      <c r="I1299" s="2" t="str" cm="1">
        <f t="array" ref="I1299">_xlfn.IFS(F1299&gt;=100,"Over weight",F1299&lt;100,"Average weight")</f>
        <v>Average weight</v>
      </c>
      <c r="J1299" s="2" t="str" cm="1">
        <f t="array" ref="J1299">_xlfn.IFS(G1299&lt;164,"Below Average height",G1299&gt;=165,"Above Average height",G1299=164,"Average height")</f>
        <v>Above Average height</v>
      </c>
      <c r="K1299" s="2" t="str" cm="1">
        <f t="array" ref="K1299">_xlfn.IFS(E1299&lt;=16,"Children",E1299&lt;=30,"Young Adults",E1299&lt;=45,"Middle-aged Adults",E1299&gt;45,"Old Adults")</f>
        <v>Young Adults</v>
      </c>
    </row>
    <row r="1300" spans="1:11" x14ac:dyDescent="0.45">
      <c r="A1300" s="2">
        <v>1518</v>
      </c>
      <c r="B1300" s="2" t="s">
        <v>1623</v>
      </c>
      <c r="C1300" s="2" t="s">
        <v>89</v>
      </c>
      <c r="D1300" s="2" t="s">
        <v>44</v>
      </c>
      <c r="E1300" s="2">
        <v>20</v>
      </c>
      <c r="F1300" s="2">
        <v>72</v>
      </c>
      <c r="G1300" s="2">
        <v>177</v>
      </c>
      <c r="H1300" s="9">
        <f t="shared" si="20"/>
        <v>22.981901752370007</v>
      </c>
      <c r="I1300" s="2" t="str" cm="1">
        <f t="array" ref="I1300">_xlfn.IFS(F1300&gt;=100,"Over weight",F1300&lt;100,"Average weight")</f>
        <v>Average weight</v>
      </c>
      <c r="J1300" s="2" t="str" cm="1">
        <f t="array" ref="J1300">_xlfn.IFS(G1300&lt;164,"Below Average height",G1300&gt;=165,"Above Average height",G1300=164,"Average height")</f>
        <v>Above Average height</v>
      </c>
      <c r="K1300" s="2" t="str" cm="1">
        <f t="array" ref="K1300">_xlfn.IFS(E1300&lt;=16,"Children",E1300&lt;=30,"Young Adults",E1300&lt;=45,"Middle-aged Adults",E1300&gt;45,"Old Adults")</f>
        <v>Young Adults</v>
      </c>
    </row>
    <row r="1301" spans="1:11" x14ac:dyDescent="0.45">
      <c r="A1301" s="2">
        <v>1519</v>
      </c>
      <c r="B1301" s="2" t="s">
        <v>1624</v>
      </c>
      <c r="C1301" s="2" t="s">
        <v>97</v>
      </c>
      <c r="D1301" s="2" t="s">
        <v>60</v>
      </c>
      <c r="E1301" s="2">
        <v>26</v>
      </c>
      <c r="F1301" s="2">
        <v>59</v>
      </c>
      <c r="G1301" s="2">
        <v>190</v>
      </c>
      <c r="H1301" s="9">
        <f t="shared" si="20"/>
        <v>16.343490304709142</v>
      </c>
      <c r="I1301" s="2" t="str" cm="1">
        <f t="array" ref="I1301">_xlfn.IFS(F1301&gt;=100,"Over weight",F1301&lt;100,"Average weight")</f>
        <v>Average weight</v>
      </c>
      <c r="J1301" s="2" t="str" cm="1">
        <f t="array" ref="J1301">_xlfn.IFS(G1301&lt;164,"Below Average height",G1301&gt;=165,"Above Average height",G1301=164,"Average height")</f>
        <v>Above Average height</v>
      </c>
      <c r="K1301" s="2" t="str" cm="1">
        <f t="array" ref="K1301">_xlfn.IFS(E1301&lt;=16,"Children",E1301&lt;=30,"Young Adults",E1301&lt;=45,"Middle-aged Adults",E1301&gt;45,"Old Adults")</f>
        <v>Young Adults</v>
      </c>
    </row>
    <row r="1302" spans="1:11" x14ac:dyDescent="0.45">
      <c r="A1302" s="2">
        <v>1520</v>
      </c>
      <c r="B1302" s="2" t="s">
        <v>1625</v>
      </c>
      <c r="C1302" s="2" t="s">
        <v>91</v>
      </c>
      <c r="D1302" s="2" t="s">
        <v>74</v>
      </c>
      <c r="E1302" s="2">
        <v>35</v>
      </c>
      <c r="F1302" s="2">
        <v>100</v>
      </c>
      <c r="G1302" s="2">
        <v>193</v>
      </c>
      <c r="H1302" s="9">
        <f t="shared" si="20"/>
        <v>26.846358291497758</v>
      </c>
      <c r="I1302" s="2" t="str" cm="1">
        <f t="array" ref="I1302">_xlfn.IFS(F1302&gt;=100,"Over weight",F1302&lt;100,"Average weight")</f>
        <v>Over weight</v>
      </c>
      <c r="J1302" s="2" t="str" cm="1">
        <f t="array" ref="J1302">_xlfn.IFS(G1302&lt;164,"Below Average height",G1302&gt;=165,"Above Average height",G1302=164,"Average height")</f>
        <v>Above Average height</v>
      </c>
      <c r="K1302" s="2" t="str" cm="1">
        <f t="array" ref="K1302">_xlfn.IFS(E1302&lt;=16,"Children",E1302&lt;=30,"Young Adults",E1302&lt;=45,"Middle-aged Adults",E1302&gt;45,"Old Adults")</f>
        <v>Middle-aged Adults</v>
      </c>
    </row>
    <row r="1303" spans="1:11" x14ac:dyDescent="0.45">
      <c r="A1303" s="2">
        <v>1521</v>
      </c>
      <c r="B1303" s="2" t="s">
        <v>1626</v>
      </c>
      <c r="C1303" s="2" t="s">
        <v>94</v>
      </c>
      <c r="D1303" s="2" t="s">
        <v>74</v>
      </c>
      <c r="E1303" s="2">
        <v>21</v>
      </c>
      <c r="F1303" s="2">
        <v>91</v>
      </c>
      <c r="G1303" s="2">
        <v>200</v>
      </c>
      <c r="H1303" s="9">
        <f t="shared" si="20"/>
        <v>22.75</v>
      </c>
      <c r="I1303" s="2" t="str" cm="1">
        <f t="array" ref="I1303">_xlfn.IFS(F1303&gt;=100,"Over weight",F1303&lt;100,"Average weight")</f>
        <v>Average weight</v>
      </c>
      <c r="J1303" s="2" t="str" cm="1">
        <f t="array" ref="J1303">_xlfn.IFS(G1303&lt;164,"Below Average height",G1303&gt;=165,"Above Average height",G1303=164,"Average height")</f>
        <v>Above Average height</v>
      </c>
      <c r="K1303" s="2" t="str" cm="1">
        <f t="array" ref="K1303">_xlfn.IFS(E1303&lt;=16,"Children",E1303&lt;=30,"Young Adults",E1303&lt;=45,"Middle-aged Adults",E1303&gt;45,"Old Adults")</f>
        <v>Young Adults</v>
      </c>
    </row>
    <row r="1304" spans="1:11" x14ac:dyDescent="0.45">
      <c r="A1304" s="2">
        <v>1523</v>
      </c>
      <c r="B1304" s="2" t="s">
        <v>1628</v>
      </c>
      <c r="C1304" s="2" t="s">
        <v>85</v>
      </c>
      <c r="D1304" s="2" t="s">
        <v>39</v>
      </c>
      <c r="E1304" s="2">
        <v>27</v>
      </c>
      <c r="F1304" s="2">
        <v>78</v>
      </c>
      <c r="G1304" s="2">
        <v>179</v>
      </c>
      <c r="H1304" s="9">
        <f t="shared" si="20"/>
        <v>24.343809494085704</v>
      </c>
      <c r="I1304" s="2" t="str" cm="1">
        <f t="array" ref="I1304">_xlfn.IFS(F1304&gt;=100,"Over weight",F1304&lt;100,"Average weight")</f>
        <v>Average weight</v>
      </c>
      <c r="J1304" s="2" t="str" cm="1">
        <f t="array" ref="J1304">_xlfn.IFS(G1304&lt;164,"Below Average height",G1304&gt;=165,"Above Average height",G1304=164,"Average height")</f>
        <v>Above Average height</v>
      </c>
      <c r="K1304" s="2" t="str" cm="1">
        <f t="array" ref="K1304">_xlfn.IFS(E1304&lt;=16,"Children",E1304&lt;=30,"Young Adults",E1304&lt;=45,"Middle-aged Adults",E1304&gt;45,"Old Adults")</f>
        <v>Young Adults</v>
      </c>
    </row>
    <row r="1305" spans="1:11" x14ac:dyDescent="0.45">
      <c r="A1305" s="2">
        <v>1524</v>
      </c>
      <c r="B1305" s="2" t="s">
        <v>1629</v>
      </c>
      <c r="C1305" s="2" t="s">
        <v>85</v>
      </c>
      <c r="D1305" s="2" t="s">
        <v>39</v>
      </c>
      <c r="E1305" s="2">
        <v>26</v>
      </c>
      <c r="F1305" s="2">
        <v>62</v>
      </c>
      <c r="G1305" s="2">
        <v>169</v>
      </c>
      <c r="H1305" s="9">
        <f t="shared" si="20"/>
        <v>21.707923392038097</v>
      </c>
      <c r="I1305" s="2" t="str" cm="1">
        <f t="array" ref="I1305">_xlfn.IFS(F1305&gt;=100,"Over weight",F1305&lt;100,"Average weight")</f>
        <v>Average weight</v>
      </c>
      <c r="J1305" s="2" t="str" cm="1">
        <f t="array" ref="J1305">_xlfn.IFS(G1305&lt;164,"Below Average height",G1305&gt;=165,"Above Average height",G1305=164,"Average height")</f>
        <v>Above Average height</v>
      </c>
      <c r="K1305" s="2" t="str" cm="1">
        <f t="array" ref="K1305">_xlfn.IFS(E1305&lt;=16,"Children",E1305&lt;=30,"Young Adults",E1305&lt;=45,"Middle-aged Adults",E1305&gt;45,"Old Adults")</f>
        <v>Young Adults</v>
      </c>
    </row>
    <row r="1306" spans="1:11" x14ac:dyDescent="0.45">
      <c r="A1306" s="2">
        <v>1525</v>
      </c>
      <c r="B1306" s="2" t="s">
        <v>1630</v>
      </c>
      <c r="C1306" s="2" t="s">
        <v>95</v>
      </c>
      <c r="D1306" s="2" t="s">
        <v>28</v>
      </c>
      <c r="E1306" s="2">
        <v>28</v>
      </c>
      <c r="F1306" s="2">
        <v>91</v>
      </c>
      <c r="G1306" s="2">
        <v>188</v>
      </c>
      <c r="H1306" s="9">
        <f t="shared" si="20"/>
        <v>25.746944318696244</v>
      </c>
      <c r="I1306" s="2" t="str" cm="1">
        <f t="array" ref="I1306">_xlfn.IFS(F1306&gt;=100,"Over weight",F1306&lt;100,"Average weight")</f>
        <v>Average weight</v>
      </c>
      <c r="J1306" s="2" t="str" cm="1">
        <f t="array" ref="J1306">_xlfn.IFS(G1306&lt;164,"Below Average height",G1306&gt;=165,"Above Average height",G1306=164,"Average height")</f>
        <v>Above Average height</v>
      </c>
      <c r="K1306" s="2" t="str" cm="1">
        <f t="array" ref="K1306">_xlfn.IFS(E1306&lt;=16,"Children",E1306&lt;=30,"Young Adults",E1306&lt;=45,"Middle-aged Adults",E1306&gt;45,"Old Adults")</f>
        <v>Young Adults</v>
      </c>
    </row>
    <row r="1307" spans="1:11" x14ac:dyDescent="0.45">
      <c r="A1307" s="2">
        <v>1526</v>
      </c>
      <c r="B1307" s="2" t="s">
        <v>1631</v>
      </c>
      <c r="C1307" s="2" t="s">
        <v>93</v>
      </c>
      <c r="D1307" s="2" t="s">
        <v>26</v>
      </c>
      <c r="E1307" s="2">
        <v>19</v>
      </c>
      <c r="F1307" s="2">
        <v>62</v>
      </c>
      <c r="G1307" s="2">
        <v>166</v>
      </c>
      <c r="H1307" s="9">
        <f t="shared" si="20"/>
        <v>22.499637102627378</v>
      </c>
      <c r="I1307" s="2" t="str" cm="1">
        <f t="array" ref="I1307">_xlfn.IFS(F1307&gt;=100,"Over weight",F1307&lt;100,"Average weight")</f>
        <v>Average weight</v>
      </c>
      <c r="J1307" s="2" t="str" cm="1">
        <f t="array" ref="J1307">_xlfn.IFS(G1307&lt;164,"Below Average height",G1307&gt;=165,"Above Average height",G1307=164,"Average height")</f>
        <v>Above Average height</v>
      </c>
      <c r="K1307" s="2" t="str" cm="1">
        <f t="array" ref="K1307">_xlfn.IFS(E1307&lt;=16,"Children",E1307&lt;=30,"Young Adults",E1307&lt;=45,"Middle-aged Adults",E1307&gt;45,"Old Adults")</f>
        <v>Young Adults</v>
      </c>
    </row>
    <row r="1308" spans="1:11" x14ac:dyDescent="0.45">
      <c r="A1308" s="2">
        <v>1527</v>
      </c>
      <c r="B1308" s="2" t="s">
        <v>1632</v>
      </c>
      <c r="C1308" s="2" t="s">
        <v>95</v>
      </c>
      <c r="D1308" s="2" t="s">
        <v>14</v>
      </c>
      <c r="E1308" s="2">
        <v>30</v>
      </c>
      <c r="F1308" s="2">
        <v>95</v>
      </c>
      <c r="G1308" s="2">
        <v>186</v>
      </c>
      <c r="H1308" s="9">
        <f t="shared" si="20"/>
        <v>27.459821944733491</v>
      </c>
      <c r="I1308" s="2" t="str" cm="1">
        <f t="array" ref="I1308">_xlfn.IFS(F1308&gt;=100,"Over weight",F1308&lt;100,"Average weight")</f>
        <v>Average weight</v>
      </c>
      <c r="J1308" s="2" t="str" cm="1">
        <f t="array" ref="J1308">_xlfn.IFS(G1308&lt;164,"Below Average height",G1308&gt;=165,"Above Average height",G1308=164,"Average height")</f>
        <v>Above Average height</v>
      </c>
      <c r="K1308" s="2" t="str" cm="1">
        <f t="array" ref="K1308">_xlfn.IFS(E1308&lt;=16,"Children",E1308&lt;=30,"Young Adults",E1308&lt;=45,"Middle-aged Adults",E1308&gt;45,"Old Adults")</f>
        <v>Young Adults</v>
      </c>
    </row>
    <row r="1309" spans="1:11" x14ac:dyDescent="0.45">
      <c r="A1309" s="2">
        <v>1528</v>
      </c>
      <c r="B1309" s="2" t="s">
        <v>1633</v>
      </c>
      <c r="C1309" s="2" t="s">
        <v>95</v>
      </c>
      <c r="D1309" s="2" t="s">
        <v>14</v>
      </c>
      <c r="E1309" s="2">
        <v>27</v>
      </c>
      <c r="F1309" s="2">
        <v>78</v>
      </c>
      <c r="G1309" s="2">
        <v>182</v>
      </c>
      <c r="H1309" s="9">
        <f t="shared" si="20"/>
        <v>23.547880690737831</v>
      </c>
      <c r="I1309" s="2" t="str" cm="1">
        <f t="array" ref="I1309">_xlfn.IFS(F1309&gt;=100,"Over weight",F1309&lt;100,"Average weight")</f>
        <v>Average weight</v>
      </c>
      <c r="J1309" s="2" t="str" cm="1">
        <f t="array" ref="J1309">_xlfn.IFS(G1309&lt;164,"Below Average height",G1309&gt;=165,"Above Average height",G1309=164,"Average height")</f>
        <v>Above Average height</v>
      </c>
      <c r="K1309" s="2" t="str" cm="1">
        <f t="array" ref="K1309">_xlfn.IFS(E1309&lt;=16,"Children",E1309&lt;=30,"Young Adults",E1309&lt;=45,"Middle-aged Adults",E1309&gt;45,"Old Adults")</f>
        <v>Young Adults</v>
      </c>
    </row>
    <row r="1310" spans="1:11" x14ac:dyDescent="0.45">
      <c r="A1310" s="2">
        <v>1529</v>
      </c>
      <c r="B1310" s="2" t="s">
        <v>1634</v>
      </c>
      <c r="C1310" s="2" t="s">
        <v>86</v>
      </c>
      <c r="D1310" s="2" t="s">
        <v>14</v>
      </c>
      <c r="E1310" s="2">
        <v>22</v>
      </c>
      <c r="F1310" s="2">
        <v>47</v>
      </c>
      <c r="G1310" s="2">
        <v>168</v>
      </c>
      <c r="H1310" s="9">
        <f t="shared" si="20"/>
        <v>16.65249433106576</v>
      </c>
      <c r="I1310" s="2" t="str" cm="1">
        <f t="array" ref="I1310">_xlfn.IFS(F1310&gt;=100,"Over weight",F1310&lt;100,"Average weight")</f>
        <v>Average weight</v>
      </c>
      <c r="J1310" s="2" t="str" cm="1">
        <f t="array" ref="J1310">_xlfn.IFS(G1310&lt;164,"Below Average height",G1310&gt;=165,"Above Average height",G1310=164,"Average height")</f>
        <v>Above Average height</v>
      </c>
      <c r="K1310" s="2" t="str" cm="1">
        <f t="array" ref="K1310">_xlfn.IFS(E1310&lt;=16,"Children",E1310&lt;=30,"Young Adults",E1310&lt;=45,"Middle-aged Adults",E1310&gt;45,"Old Adults")</f>
        <v>Young Adults</v>
      </c>
    </row>
    <row r="1311" spans="1:11" x14ac:dyDescent="0.45">
      <c r="A1311" s="2">
        <v>1530</v>
      </c>
      <c r="B1311" s="2" t="s">
        <v>1635</v>
      </c>
      <c r="C1311" s="2" t="s">
        <v>90</v>
      </c>
      <c r="D1311" s="2" t="s">
        <v>66</v>
      </c>
      <c r="E1311" s="2">
        <v>23</v>
      </c>
      <c r="F1311" s="2">
        <v>93</v>
      </c>
      <c r="G1311" s="2">
        <v>187</v>
      </c>
      <c r="H1311" s="9">
        <f t="shared" si="20"/>
        <v>26.594984128799791</v>
      </c>
      <c r="I1311" s="2" t="str" cm="1">
        <f t="array" ref="I1311">_xlfn.IFS(F1311&gt;=100,"Over weight",F1311&lt;100,"Average weight")</f>
        <v>Average weight</v>
      </c>
      <c r="J1311" s="2" t="str" cm="1">
        <f t="array" ref="J1311">_xlfn.IFS(G1311&lt;164,"Below Average height",G1311&gt;=165,"Above Average height",G1311=164,"Average height")</f>
        <v>Above Average height</v>
      </c>
      <c r="K1311" s="2" t="str" cm="1">
        <f t="array" ref="K1311">_xlfn.IFS(E1311&lt;=16,"Children",E1311&lt;=30,"Young Adults",E1311&lt;=45,"Middle-aged Adults",E1311&gt;45,"Old Adults")</f>
        <v>Young Adults</v>
      </c>
    </row>
    <row r="1312" spans="1:11" x14ac:dyDescent="0.45">
      <c r="A1312" s="2">
        <v>1531</v>
      </c>
      <c r="B1312" s="2" t="s">
        <v>1636</v>
      </c>
      <c r="C1312" s="2" t="s">
        <v>90</v>
      </c>
      <c r="D1312" s="2" t="s">
        <v>66</v>
      </c>
      <c r="E1312" s="2">
        <v>23</v>
      </c>
      <c r="F1312" s="2">
        <v>90</v>
      </c>
      <c r="G1312" s="2">
        <v>182</v>
      </c>
      <c r="H1312" s="9">
        <f t="shared" si="20"/>
        <v>27.170631566235961</v>
      </c>
      <c r="I1312" s="2" t="str" cm="1">
        <f t="array" ref="I1312">_xlfn.IFS(F1312&gt;=100,"Over weight",F1312&lt;100,"Average weight")</f>
        <v>Average weight</v>
      </c>
      <c r="J1312" s="2" t="str" cm="1">
        <f t="array" ref="J1312">_xlfn.IFS(G1312&lt;164,"Below Average height",G1312&gt;=165,"Above Average height",G1312=164,"Average height")</f>
        <v>Above Average height</v>
      </c>
      <c r="K1312" s="2" t="str" cm="1">
        <f t="array" ref="K1312">_xlfn.IFS(E1312&lt;=16,"Children",E1312&lt;=30,"Young Adults",E1312&lt;=45,"Middle-aged Adults",E1312&gt;45,"Old Adults")</f>
        <v>Young Adults</v>
      </c>
    </row>
    <row r="1313" spans="1:11" x14ac:dyDescent="0.45">
      <c r="A1313" s="2">
        <v>1532</v>
      </c>
      <c r="B1313" s="2" t="s">
        <v>1637</v>
      </c>
      <c r="C1313" s="2" t="s">
        <v>85</v>
      </c>
      <c r="D1313" s="2" t="s">
        <v>9</v>
      </c>
      <c r="E1313" s="2">
        <v>28</v>
      </c>
      <c r="F1313" s="2">
        <v>90</v>
      </c>
      <c r="G1313" s="2">
        <v>183</v>
      </c>
      <c r="H1313" s="9">
        <f t="shared" si="20"/>
        <v>26.874496103198062</v>
      </c>
      <c r="I1313" s="2" t="str" cm="1">
        <f t="array" ref="I1313">_xlfn.IFS(F1313&gt;=100,"Over weight",F1313&lt;100,"Average weight")</f>
        <v>Average weight</v>
      </c>
      <c r="J1313" s="2" t="str" cm="1">
        <f t="array" ref="J1313">_xlfn.IFS(G1313&lt;164,"Below Average height",G1313&gt;=165,"Above Average height",G1313=164,"Average height")</f>
        <v>Above Average height</v>
      </c>
      <c r="K1313" s="2" t="str" cm="1">
        <f t="array" ref="K1313">_xlfn.IFS(E1313&lt;=16,"Children",E1313&lt;=30,"Young Adults",E1313&lt;=45,"Middle-aged Adults",E1313&gt;45,"Old Adults")</f>
        <v>Young Adults</v>
      </c>
    </row>
    <row r="1314" spans="1:11" x14ac:dyDescent="0.45">
      <c r="A1314" s="2">
        <v>1533</v>
      </c>
      <c r="B1314" s="2" t="s">
        <v>1638</v>
      </c>
      <c r="C1314" s="2" t="s">
        <v>90</v>
      </c>
      <c r="D1314" s="2" t="s">
        <v>30</v>
      </c>
      <c r="E1314" s="2">
        <v>33</v>
      </c>
      <c r="F1314" s="2">
        <v>99</v>
      </c>
      <c r="G1314" s="2">
        <v>183</v>
      </c>
      <c r="H1314" s="9">
        <f t="shared" si="20"/>
        <v>29.561945713517868</v>
      </c>
      <c r="I1314" s="2" t="str" cm="1">
        <f t="array" ref="I1314">_xlfn.IFS(F1314&gt;=100,"Over weight",F1314&lt;100,"Average weight")</f>
        <v>Average weight</v>
      </c>
      <c r="J1314" s="2" t="str" cm="1">
        <f t="array" ref="J1314">_xlfn.IFS(G1314&lt;164,"Below Average height",G1314&gt;=165,"Above Average height",G1314=164,"Average height")</f>
        <v>Above Average height</v>
      </c>
      <c r="K1314" s="2" t="str" cm="1">
        <f t="array" ref="K1314">_xlfn.IFS(E1314&lt;=16,"Children",E1314&lt;=30,"Young Adults",E1314&lt;=45,"Middle-aged Adults",E1314&gt;45,"Old Adults")</f>
        <v>Middle-aged Adults</v>
      </c>
    </row>
    <row r="1315" spans="1:11" x14ac:dyDescent="0.45">
      <c r="A1315" s="2">
        <v>1534</v>
      </c>
      <c r="B1315" s="2" t="s">
        <v>1639</v>
      </c>
      <c r="C1315" s="2" t="s">
        <v>91</v>
      </c>
      <c r="D1315" s="2" t="s">
        <v>75</v>
      </c>
      <c r="E1315" s="2">
        <v>28</v>
      </c>
      <c r="F1315" s="2">
        <v>85</v>
      </c>
      <c r="G1315" s="2">
        <v>182</v>
      </c>
      <c r="H1315" s="9">
        <f t="shared" si="20"/>
        <v>25.661152034778407</v>
      </c>
      <c r="I1315" s="2" t="str" cm="1">
        <f t="array" ref="I1315">_xlfn.IFS(F1315&gt;=100,"Over weight",F1315&lt;100,"Average weight")</f>
        <v>Average weight</v>
      </c>
      <c r="J1315" s="2" t="str" cm="1">
        <f t="array" ref="J1315">_xlfn.IFS(G1315&lt;164,"Below Average height",G1315&gt;=165,"Above Average height",G1315=164,"Average height")</f>
        <v>Above Average height</v>
      </c>
      <c r="K1315" s="2" t="str" cm="1">
        <f t="array" ref="K1315">_xlfn.IFS(E1315&lt;=16,"Children",E1315&lt;=30,"Young Adults",E1315&lt;=45,"Middle-aged Adults",E1315&gt;45,"Old Adults")</f>
        <v>Young Adults</v>
      </c>
    </row>
    <row r="1316" spans="1:11" x14ac:dyDescent="0.45">
      <c r="A1316" s="2">
        <v>1535</v>
      </c>
      <c r="B1316" s="2" t="s">
        <v>1640</v>
      </c>
      <c r="C1316" s="2" t="s">
        <v>100</v>
      </c>
      <c r="D1316" s="2" t="s">
        <v>14</v>
      </c>
      <c r="E1316" s="2">
        <v>30</v>
      </c>
      <c r="F1316" s="2">
        <v>75</v>
      </c>
      <c r="G1316" s="2">
        <v>175</v>
      </c>
      <c r="H1316" s="9">
        <f t="shared" si="20"/>
        <v>24.489795918367346</v>
      </c>
      <c r="I1316" s="2" t="str" cm="1">
        <f t="array" ref="I1316">_xlfn.IFS(F1316&gt;=100,"Over weight",F1316&lt;100,"Average weight")</f>
        <v>Average weight</v>
      </c>
      <c r="J1316" s="2" t="str" cm="1">
        <f t="array" ref="J1316">_xlfn.IFS(G1316&lt;164,"Below Average height",G1316&gt;=165,"Above Average height",G1316=164,"Average height")</f>
        <v>Above Average height</v>
      </c>
      <c r="K1316" s="2" t="str" cm="1">
        <f t="array" ref="K1316">_xlfn.IFS(E1316&lt;=16,"Children",E1316&lt;=30,"Young Adults",E1316&lt;=45,"Middle-aged Adults",E1316&gt;45,"Old Adults")</f>
        <v>Young Adults</v>
      </c>
    </row>
    <row r="1317" spans="1:11" x14ac:dyDescent="0.45">
      <c r="A1317" s="2">
        <v>1536</v>
      </c>
      <c r="B1317" s="2" t="s">
        <v>1641</v>
      </c>
      <c r="C1317" s="2" t="s">
        <v>96</v>
      </c>
      <c r="D1317" s="2" t="s">
        <v>14</v>
      </c>
      <c r="E1317" s="2">
        <v>30</v>
      </c>
      <c r="F1317" s="2">
        <v>47</v>
      </c>
      <c r="G1317" s="2">
        <v>173</v>
      </c>
      <c r="H1317" s="9">
        <f t="shared" si="20"/>
        <v>15.703832403354605</v>
      </c>
      <c r="I1317" s="2" t="str" cm="1">
        <f t="array" ref="I1317">_xlfn.IFS(F1317&gt;=100,"Over weight",F1317&lt;100,"Average weight")</f>
        <v>Average weight</v>
      </c>
      <c r="J1317" s="2" t="str" cm="1">
        <f t="array" ref="J1317">_xlfn.IFS(G1317&lt;164,"Below Average height",G1317&gt;=165,"Above Average height",G1317=164,"Average height")</f>
        <v>Above Average height</v>
      </c>
      <c r="K1317" s="2" t="str" cm="1">
        <f t="array" ref="K1317">_xlfn.IFS(E1317&lt;=16,"Children",E1317&lt;=30,"Young Adults",E1317&lt;=45,"Middle-aged Adults",E1317&gt;45,"Old Adults")</f>
        <v>Young Adults</v>
      </c>
    </row>
    <row r="1318" spans="1:11" x14ac:dyDescent="0.45">
      <c r="A1318" s="2">
        <v>1538</v>
      </c>
      <c r="B1318" s="2" t="s">
        <v>1643</v>
      </c>
      <c r="C1318" s="2" t="s">
        <v>92</v>
      </c>
      <c r="D1318" s="2" t="s">
        <v>39</v>
      </c>
      <c r="E1318" s="2">
        <v>21</v>
      </c>
      <c r="F1318" s="2">
        <v>65</v>
      </c>
      <c r="G1318" s="2">
        <v>180</v>
      </c>
      <c r="H1318" s="9">
        <f t="shared" si="20"/>
        <v>20.061728395061728</v>
      </c>
      <c r="I1318" s="2" t="str" cm="1">
        <f t="array" ref="I1318">_xlfn.IFS(F1318&gt;=100,"Over weight",F1318&lt;100,"Average weight")</f>
        <v>Average weight</v>
      </c>
      <c r="J1318" s="2" t="str" cm="1">
        <f t="array" ref="J1318">_xlfn.IFS(G1318&lt;164,"Below Average height",G1318&gt;=165,"Above Average height",G1318=164,"Average height")</f>
        <v>Above Average height</v>
      </c>
      <c r="K1318" s="2" t="str" cm="1">
        <f t="array" ref="K1318">_xlfn.IFS(E1318&lt;=16,"Children",E1318&lt;=30,"Young Adults",E1318&lt;=45,"Middle-aged Adults",E1318&gt;45,"Old Adults")</f>
        <v>Young Adults</v>
      </c>
    </row>
    <row r="1319" spans="1:11" x14ac:dyDescent="0.45">
      <c r="A1319" s="2">
        <v>1539</v>
      </c>
      <c r="B1319" s="2" t="s">
        <v>1644</v>
      </c>
      <c r="C1319" s="2" t="s">
        <v>91</v>
      </c>
      <c r="D1319" s="2" t="s">
        <v>70</v>
      </c>
      <c r="E1319" s="2">
        <v>29</v>
      </c>
      <c r="F1319" s="2">
        <v>60</v>
      </c>
      <c r="G1319" s="2">
        <v>165</v>
      </c>
      <c r="H1319" s="9">
        <f t="shared" si="20"/>
        <v>22.03856749311295</v>
      </c>
      <c r="I1319" s="2" t="str" cm="1">
        <f t="array" ref="I1319">_xlfn.IFS(F1319&gt;=100,"Over weight",F1319&lt;100,"Average weight")</f>
        <v>Average weight</v>
      </c>
      <c r="J1319" s="2" t="str" cm="1">
        <f t="array" ref="J1319">_xlfn.IFS(G1319&lt;164,"Below Average height",G1319&gt;=165,"Above Average height",G1319=164,"Average height")</f>
        <v>Above Average height</v>
      </c>
      <c r="K1319" s="2" t="str" cm="1">
        <f t="array" ref="K1319">_xlfn.IFS(E1319&lt;=16,"Children",E1319&lt;=30,"Young Adults",E1319&lt;=45,"Middle-aged Adults",E1319&gt;45,"Old Adults")</f>
        <v>Young Adults</v>
      </c>
    </row>
    <row r="1320" spans="1:11" x14ac:dyDescent="0.45">
      <c r="A1320" s="2">
        <v>1540</v>
      </c>
      <c r="B1320" s="2" t="s">
        <v>1645</v>
      </c>
      <c r="C1320" s="2" t="s">
        <v>88</v>
      </c>
      <c r="D1320" s="2" t="s">
        <v>21</v>
      </c>
      <c r="E1320" s="2">
        <v>25</v>
      </c>
      <c r="F1320" s="2">
        <v>72</v>
      </c>
      <c r="G1320" s="2">
        <v>181</v>
      </c>
      <c r="H1320" s="9">
        <f t="shared" si="20"/>
        <v>21.977351118708221</v>
      </c>
      <c r="I1320" s="2" t="str" cm="1">
        <f t="array" ref="I1320">_xlfn.IFS(F1320&gt;=100,"Over weight",F1320&lt;100,"Average weight")</f>
        <v>Average weight</v>
      </c>
      <c r="J1320" s="2" t="str" cm="1">
        <f t="array" ref="J1320">_xlfn.IFS(G1320&lt;164,"Below Average height",G1320&gt;=165,"Above Average height",G1320=164,"Average height")</f>
        <v>Above Average height</v>
      </c>
      <c r="K1320" s="2" t="str" cm="1">
        <f t="array" ref="K1320">_xlfn.IFS(E1320&lt;=16,"Children",E1320&lt;=30,"Young Adults",E1320&lt;=45,"Middle-aged Adults",E1320&gt;45,"Old Adults")</f>
        <v>Young Adults</v>
      </c>
    </row>
    <row r="1321" spans="1:11" x14ac:dyDescent="0.45">
      <c r="A1321" s="2">
        <v>1541</v>
      </c>
      <c r="B1321" s="2" t="s">
        <v>1646</v>
      </c>
      <c r="C1321" s="2" t="s">
        <v>92</v>
      </c>
      <c r="D1321" s="2" t="s">
        <v>6</v>
      </c>
      <c r="E1321" s="2">
        <v>23</v>
      </c>
      <c r="F1321" s="2">
        <v>67</v>
      </c>
      <c r="G1321" s="2">
        <v>184</v>
      </c>
      <c r="H1321" s="9">
        <f t="shared" si="20"/>
        <v>19.78969754253308</v>
      </c>
      <c r="I1321" s="2" t="str" cm="1">
        <f t="array" ref="I1321">_xlfn.IFS(F1321&gt;=100,"Over weight",F1321&lt;100,"Average weight")</f>
        <v>Average weight</v>
      </c>
      <c r="J1321" s="2" t="str" cm="1">
        <f t="array" ref="J1321">_xlfn.IFS(G1321&lt;164,"Below Average height",G1321&gt;=165,"Above Average height",G1321=164,"Average height")</f>
        <v>Above Average height</v>
      </c>
      <c r="K1321" s="2" t="str" cm="1">
        <f t="array" ref="K1321">_xlfn.IFS(E1321&lt;=16,"Children",E1321&lt;=30,"Young Adults",E1321&lt;=45,"Middle-aged Adults",E1321&gt;45,"Old Adults")</f>
        <v>Young Adults</v>
      </c>
    </row>
    <row r="1322" spans="1:11" x14ac:dyDescent="0.45">
      <c r="A1322" s="2">
        <v>1542</v>
      </c>
      <c r="B1322" s="2" t="s">
        <v>1647</v>
      </c>
      <c r="C1322" s="2" t="s">
        <v>90</v>
      </c>
      <c r="D1322" s="2" t="s">
        <v>80</v>
      </c>
      <c r="E1322" s="2">
        <v>28</v>
      </c>
      <c r="F1322" s="2">
        <v>102</v>
      </c>
      <c r="G1322" s="2">
        <v>188</v>
      </c>
      <c r="H1322" s="9">
        <f t="shared" si="20"/>
        <v>28.859212313263921</v>
      </c>
      <c r="I1322" s="2" t="str" cm="1">
        <f t="array" ref="I1322">_xlfn.IFS(F1322&gt;=100,"Over weight",F1322&lt;100,"Average weight")</f>
        <v>Over weight</v>
      </c>
      <c r="J1322" s="2" t="str" cm="1">
        <f t="array" ref="J1322">_xlfn.IFS(G1322&lt;164,"Below Average height",G1322&gt;=165,"Above Average height",G1322=164,"Average height")</f>
        <v>Above Average height</v>
      </c>
      <c r="K1322" s="2" t="str" cm="1">
        <f t="array" ref="K1322">_xlfn.IFS(E1322&lt;=16,"Children",E1322&lt;=30,"Young Adults",E1322&lt;=45,"Middle-aged Adults",E1322&gt;45,"Old Adults")</f>
        <v>Young Adults</v>
      </c>
    </row>
    <row r="1323" spans="1:11" x14ac:dyDescent="0.45">
      <c r="A1323" s="2">
        <v>1543</v>
      </c>
      <c r="B1323" s="2" t="s">
        <v>1648</v>
      </c>
      <c r="C1323" s="2" t="s">
        <v>94</v>
      </c>
      <c r="D1323" s="2" t="s">
        <v>39</v>
      </c>
      <c r="E1323" s="2">
        <v>28</v>
      </c>
      <c r="F1323" s="2">
        <v>70</v>
      </c>
      <c r="G1323" s="2">
        <v>175</v>
      </c>
      <c r="H1323" s="9">
        <f t="shared" si="20"/>
        <v>22.857142857142858</v>
      </c>
      <c r="I1323" s="2" t="str" cm="1">
        <f t="array" ref="I1323">_xlfn.IFS(F1323&gt;=100,"Over weight",F1323&lt;100,"Average weight")</f>
        <v>Average weight</v>
      </c>
      <c r="J1323" s="2" t="str" cm="1">
        <f t="array" ref="J1323">_xlfn.IFS(G1323&lt;164,"Below Average height",G1323&gt;=165,"Above Average height",G1323=164,"Average height")</f>
        <v>Above Average height</v>
      </c>
      <c r="K1323" s="2" t="str" cm="1">
        <f t="array" ref="K1323">_xlfn.IFS(E1323&lt;=16,"Children",E1323&lt;=30,"Young Adults",E1323&lt;=45,"Middle-aged Adults",E1323&gt;45,"Old Adults")</f>
        <v>Young Adults</v>
      </c>
    </row>
    <row r="1324" spans="1:11" x14ac:dyDescent="0.45">
      <c r="A1324" s="2">
        <v>1544</v>
      </c>
      <c r="B1324" s="2" t="s">
        <v>1649</v>
      </c>
      <c r="C1324" s="2" t="s">
        <v>94</v>
      </c>
      <c r="D1324" s="2" t="s">
        <v>66</v>
      </c>
      <c r="E1324" s="2">
        <v>23</v>
      </c>
      <c r="F1324" s="2">
        <v>72</v>
      </c>
      <c r="G1324" s="2">
        <v>176</v>
      </c>
      <c r="H1324" s="9">
        <f t="shared" si="20"/>
        <v>23.243801652892564</v>
      </c>
      <c r="I1324" s="2" t="str" cm="1">
        <f t="array" ref="I1324">_xlfn.IFS(F1324&gt;=100,"Over weight",F1324&lt;100,"Average weight")</f>
        <v>Average weight</v>
      </c>
      <c r="J1324" s="2" t="str" cm="1">
        <f t="array" ref="J1324">_xlfn.IFS(G1324&lt;164,"Below Average height",G1324&gt;=165,"Above Average height",G1324=164,"Average height")</f>
        <v>Above Average height</v>
      </c>
      <c r="K1324" s="2" t="str" cm="1">
        <f t="array" ref="K1324">_xlfn.IFS(E1324&lt;=16,"Children",E1324&lt;=30,"Young Adults",E1324&lt;=45,"Middle-aged Adults",E1324&gt;45,"Old Adults")</f>
        <v>Young Adults</v>
      </c>
    </row>
    <row r="1325" spans="1:11" x14ac:dyDescent="0.45">
      <c r="A1325" s="2">
        <v>1545</v>
      </c>
      <c r="B1325" s="2" t="s">
        <v>1650</v>
      </c>
      <c r="C1325" s="2" t="s">
        <v>93</v>
      </c>
      <c r="D1325" s="2" t="s">
        <v>14</v>
      </c>
      <c r="E1325" s="2">
        <v>22</v>
      </c>
      <c r="F1325" s="2">
        <v>76</v>
      </c>
      <c r="G1325" s="2">
        <v>180</v>
      </c>
      <c r="H1325" s="9">
        <f t="shared" si="20"/>
        <v>23.456790123456788</v>
      </c>
      <c r="I1325" s="2" t="str" cm="1">
        <f t="array" ref="I1325">_xlfn.IFS(F1325&gt;=100,"Over weight",F1325&lt;100,"Average weight")</f>
        <v>Average weight</v>
      </c>
      <c r="J1325" s="2" t="str" cm="1">
        <f t="array" ref="J1325">_xlfn.IFS(G1325&lt;164,"Below Average height",G1325&gt;=165,"Above Average height",G1325=164,"Average height")</f>
        <v>Above Average height</v>
      </c>
      <c r="K1325" s="2" t="str" cm="1">
        <f t="array" ref="K1325">_xlfn.IFS(E1325&lt;=16,"Children",E1325&lt;=30,"Young Adults",E1325&lt;=45,"Middle-aged Adults",E1325&gt;45,"Old Adults")</f>
        <v>Young Adults</v>
      </c>
    </row>
    <row r="1326" spans="1:11" x14ac:dyDescent="0.45">
      <c r="A1326" s="2">
        <v>1547</v>
      </c>
      <c r="B1326" s="2" t="s">
        <v>1652</v>
      </c>
      <c r="C1326" s="2" t="s">
        <v>91</v>
      </c>
      <c r="D1326" s="2" t="s">
        <v>66</v>
      </c>
      <c r="E1326" s="2">
        <v>32</v>
      </c>
      <c r="F1326" s="2">
        <v>91</v>
      </c>
      <c r="G1326" s="2">
        <v>188</v>
      </c>
      <c r="H1326" s="9">
        <f t="shared" si="20"/>
        <v>25.746944318696244</v>
      </c>
      <c r="I1326" s="2" t="str" cm="1">
        <f t="array" ref="I1326">_xlfn.IFS(F1326&gt;=100,"Over weight",F1326&lt;100,"Average weight")</f>
        <v>Average weight</v>
      </c>
      <c r="J1326" s="2" t="str" cm="1">
        <f t="array" ref="J1326">_xlfn.IFS(G1326&lt;164,"Below Average height",G1326&gt;=165,"Above Average height",G1326=164,"Average height")</f>
        <v>Above Average height</v>
      </c>
      <c r="K1326" s="2" t="str" cm="1">
        <f t="array" ref="K1326">_xlfn.IFS(E1326&lt;=16,"Children",E1326&lt;=30,"Young Adults",E1326&lt;=45,"Middle-aged Adults",E1326&gt;45,"Old Adults")</f>
        <v>Middle-aged Adults</v>
      </c>
    </row>
    <row r="1327" spans="1:11" x14ac:dyDescent="0.45">
      <c r="A1327" s="2">
        <v>1548</v>
      </c>
      <c r="B1327" s="2" t="s">
        <v>1653</v>
      </c>
      <c r="C1327" s="2" t="s">
        <v>86</v>
      </c>
      <c r="D1327" s="2" t="s">
        <v>79</v>
      </c>
      <c r="E1327" s="2">
        <v>31</v>
      </c>
      <c r="F1327" s="2">
        <v>47</v>
      </c>
      <c r="G1327" s="2">
        <v>187</v>
      </c>
      <c r="H1327" s="9">
        <f t="shared" si="20"/>
        <v>13.440475850038604</v>
      </c>
      <c r="I1327" s="2" t="str" cm="1">
        <f t="array" ref="I1327">_xlfn.IFS(F1327&gt;=100,"Over weight",F1327&lt;100,"Average weight")</f>
        <v>Average weight</v>
      </c>
      <c r="J1327" s="2" t="str" cm="1">
        <f t="array" ref="J1327">_xlfn.IFS(G1327&lt;164,"Below Average height",G1327&gt;=165,"Above Average height",G1327=164,"Average height")</f>
        <v>Above Average height</v>
      </c>
      <c r="K1327" s="2" t="str" cm="1">
        <f t="array" ref="K1327">_xlfn.IFS(E1327&lt;=16,"Children",E1327&lt;=30,"Young Adults",E1327&lt;=45,"Middle-aged Adults",E1327&gt;45,"Old Adults")</f>
        <v>Middle-aged Adults</v>
      </c>
    </row>
    <row r="1328" spans="1:11" x14ac:dyDescent="0.45">
      <c r="A1328" s="2">
        <v>1549</v>
      </c>
      <c r="B1328" s="2" t="s">
        <v>1654</v>
      </c>
      <c r="C1328" s="2" t="s">
        <v>92</v>
      </c>
      <c r="D1328" s="2" t="s">
        <v>14</v>
      </c>
      <c r="E1328" s="2">
        <v>18</v>
      </c>
      <c r="F1328" s="2">
        <v>70</v>
      </c>
      <c r="G1328" s="2">
        <v>186</v>
      </c>
      <c r="H1328" s="9">
        <f t="shared" si="20"/>
        <v>20.233553011908889</v>
      </c>
      <c r="I1328" s="2" t="str" cm="1">
        <f t="array" ref="I1328">_xlfn.IFS(F1328&gt;=100,"Over weight",F1328&lt;100,"Average weight")</f>
        <v>Average weight</v>
      </c>
      <c r="J1328" s="2" t="str" cm="1">
        <f t="array" ref="J1328">_xlfn.IFS(G1328&lt;164,"Below Average height",G1328&gt;=165,"Above Average height",G1328=164,"Average height")</f>
        <v>Above Average height</v>
      </c>
      <c r="K1328" s="2" t="str" cm="1">
        <f t="array" ref="K1328">_xlfn.IFS(E1328&lt;=16,"Children",E1328&lt;=30,"Young Adults",E1328&lt;=45,"Middle-aged Adults",E1328&gt;45,"Old Adults")</f>
        <v>Young Adults</v>
      </c>
    </row>
    <row r="1329" spans="1:11" x14ac:dyDescent="0.45">
      <c r="A1329" s="2">
        <v>1550</v>
      </c>
      <c r="B1329" s="2" t="s">
        <v>1655</v>
      </c>
      <c r="C1329" s="2" t="s">
        <v>87</v>
      </c>
      <c r="D1329" s="2" t="s">
        <v>5</v>
      </c>
      <c r="E1329" s="2">
        <v>25</v>
      </c>
      <c r="F1329" s="2">
        <v>67</v>
      </c>
      <c r="G1329" s="2">
        <v>171</v>
      </c>
      <c r="H1329" s="9">
        <f t="shared" si="20"/>
        <v>22.913033070004449</v>
      </c>
      <c r="I1329" s="2" t="str" cm="1">
        <f t="array" ref="I1329">_xlfn.IFS(F1329&gt;=100,"Over weight",F1329&lt;100,"Average weight")</f>
        <v>Average weight</v>
      </c>
      <c r="J1329" s="2" t="str" cm="1">
        <f t="array" ref="J1329">_xlfn.IFS(G1329&lt;164,"Below Average height",G1329&gt;=165,"Above Average height",G1329=164,"Average height")</f>
        <v>Above Average height</v>
      </c>
      <c r="K1329" s="2" t="str" cm="1">
        <f t="array" ref="K1329">_xlfn.IFS(E1329&lt;=16,"Children",E1329&lt;=30,"Young Adults",E1329&lt;=45,"Middle-aged Adults",E1329&gt;45,"Old Adults")</f>
        <v>Young Adults</v>
      </c>
    </row>
    <row r="1330" spans="1:11" x14ac:dyDescent="0.45">
      <c r="A1330" s="2">
        <v>1551</v>
      </c>
      <c r="B1330" s="2" t="s">
        <v>1656</v>
      </c>
      <c r="C1330" s="2" t="s">
        <v>96</v>
      </c>
      <c r="D1330" s="2" t="s">
        <v>14</v>
      </c>
      <c r="E1330" s="2">
        <v>31</v>
      </c>
      <c r="F1330" s="2">
        <v>47</v>
      </c>
      <c r="G1330" s="2">
        <v>188</v>
      </c>
      <c r="H1330" s="9">
        <f t="shared" si="20"/>
        <v>13.297872340425533</v>
      </c>
      <c r="I1330" s="2" t="str" cm="1">
        <f t="array" ref="I1330">_xlfn.IFS(F1330&gt;=100,"Over weight",F1330&lt;100,"Average weight")</f>
        <v>Average weight</v>
      </c>
      <c r="J1330" s="2" t="str" cm="1">
        <f t="array" ref="J1330">_xlfn.IFS(G1330&lt;164,"Below Average height",G1330&gt;=165,"Above Average height",G1330=164,"Average height")</f>
        <v>Above Average height</v>
      </c>
      <c r="K1330" s="2" t="str" cm="1">
        <f t="array" ref="K1330">_xlfn.IFS(E1330&lt;=16,"Children",E1330&lt;=30,"Young Adults",E1330&lt;=45,"Middle-aged Adults",E1330&gt;45,"Old Adults")</f>
        <v>Middle-aged Adults</v>
      </c>
    </row>
    <row r="1331" spans="1:11" x14ac:dyDescent="0.45">
      <c r="A1331" s="2">
        <v>1552</v>
      </c>
      <c r="B1331" s="2" t="s">
        <v>1657</v>
      </c>
      <c r="C1331" s="2" t="s">
        <v>89</v>
      </c>
      <c r="D1331" s="2" t="s">
        <v>14</v>
      </c>
      <c r="E1331" s="2">
        <v>24</v>
      </c>
      <c r="F1331" s="2">
        <v>81</v>
      </c>
      <c r="G1331" s="2">
        <v>183</v>
      </c>
      <c r="H1331" s="9">
        <f t="shared" si="20"/>
        <v>24.187046492878256</v>
      </c>
      <c r="I1331" s="2" t="str" cm="1">
        <f t="array" ref="I1331">_xlfn.IFS(F1331&gt;=100,"Over weight",F1331&lt;100,"Average weight")</f>
        <v>Average weight</v>
      </c>
      <c r="J1331" s="2" t="str" cm="1">
        <f t="array" ref="J1331">_xlfn.IFS(G1331&lt;164,"Below Average height",G1331&gt;=165,"Above Average height",G1331=164,"Average height")</f>
        <v>Above Average height</v>
      </c>
      <c r="K1331" s="2" t="str" cm="1">
        <f t="array" ref="K1331">_xlfn.IFS(E1331&lt;=16,"Children",E1331&lt;=30,"Young Adults",E1331&lt;=45,"Middle-aged Adults",E1331&gt;45,"Old Adults")</f>
        <v>Young Adults</v>
      </c>
    </row>
    <row r="1332" spans="1:11" x14ac:dyDescent="0.45">
      <c r="A1332" s="2">
        <v>1553</v>
      </c>
      <c r="B1332" s="2" t="s">
        <v>1658</v>
      </c>
      <c r="C1332" s="2" t="s">
        <v>91</v>
      </c>
      <c r="D1332" s="2" t="s">
        <v>14</v>
      </c>
      <c r="E1332" s="2">
        <v>31</v>
      </c>
      <c r="F1332" s="2">
        <v>93</v>
      </c>
      <c r="G1332" s="2">
        <v>183</v>
      </c>
      <c r="H1332" s="9">
        <f t="shared" si="20"/>
        <v>27.77031263997133</v>
      </c>
      <c r="I1332" s="2" t="str" cm="1">
        <f t="array" ref="I1332">_xlfn.IFS(F1332&gt;=100,"Over weight",F1332&lt;100,"Average weight")</f>
        <v>Average weight</v>
      </c>
      <c r="J1332" s="2" t="str" cm="1">
        <f t="array" ref="J1332">_xlfn.IFS(G1332&lt;164,"Below Average height",G1332&gt;=165,"Above Average height",G1332=164,"Average height")</f>
        <v>Above Average height</v>
      </c>
      <c r="K1332" s="2" t="str" cm="1">
        <f t="array" ref="K1332">_xlfn.IFS(E1332&lt;=16,"Children",E1332&lt;=30,"Young Adults",E1332&lt;=45,"Middle-aged Adults",E1332&gt;45,"Old Adults")</f>
        <v>Middle-aged Adults</v>
      </c>
    </row>
    <row r="1333" spans="1:11" x14ac:dyDescent="0.45">
      <c r="A1333" s="2">
        <v>1554</v>
      </c>
      <c r="B1333" s="2" t="s">
        <v>1659</v>
      </c>
      <c r="C1333" s="2" t="s">
        <v>87</v>
      </c>
      <c r="D1333" s="2" t="s">
        <v>80</v>
      </c>
      <c r="E1333" s="2">
        <v>28</v>
      </c>
      <c r="F1333" s="2">
        <v>74</v>
      </c>
      <c r="G1333" s="2">
        <v>173</v>
      </c>
      <c r="H1333" s="9">
        <f t="shared" si="20"/>
        <v>24.725182932941294</v>
      </c>
      <c r="I1333" s="2" t="str" cm="1">
        <f t="array" ref="I1333">_xlfn.IFS(F1333&gt;=100,"Over weight",F1333&lt;100,"Average weight")</f>
        <v>Average weight</v>
      </c>
      <c r="J1333" s="2" t="str" cm="1">
        <f t="array" ref="J1333">_xlfn.IFS(G1333&lt;164,"Below Average height",G1333&gt;=165,"Above Average height",G1333=164,"Average height")</f>
        <v>Above Average height</v>
      </c>
      <c r="K1333" s="2" t="str" cm="1">
        <f t="array" ref="K1333">_xlfn.IFS(E1333&lt;=16,"Children",E1333&lt;=30,"Young Adults",E1333&lt;=45,"Middle-aged Adults",E1333&gt;45,"Old Adults")</f>
        <v>Young Adults</v>
      </c>
    </row>
    <row r="1334" spans="1:11" x14ac:dyDescent="0.45">
      <c r="A1334" s="2">
        <v>1556</v>
      </c>
      <c r="B1334" s="2" t="s">
        <v>1661</v>
      </c>
      <c r="C1334" s="2" t="s">
        <v>94</v>
      </c>
      <c r="D1334" s="2" t="s">
        <v>12</v>
      </c>
      <c r="E1334" s="2">
        <v>34</v>
      </c>
      <c r="F1334" s="2">
        <v>54</v>
      </c>
      <c r="G1334" s="2">
        <v>170</v>
      </c>
      <c r="H1334" s="9">
        <f t="shared" si="20"/>
        <v>18.68512110726644</v>
      </c>
      <c r="I1334" s="2" t="str" cm="1">
        <f t="array" ref="I1334">_xlfn.IFS(F1334&gt;=100,"Over weight",F1334&lt;100,"Average weight")</f>
        <v>Average weight</v>
      </c>
      <c r="J1334" s="2" t="str" cm="1">
        <f t="array" ref="J1334">_xlfn.IFS(G1334&lt;164,"Below Average height",G1334&gt;=165,"Above Average height",G1334=164,"Average height")</f>
        <v>Above Average height</v>
      </c>
      <c r="K1334" s="2" t="str" cm="1">
        <f t="array" ref="K1334">_xlfn.IFS(E1334&lt;=16,"Children",E1334&lt;=30,"Young Adults",E1334&lt;=45,"Middle-aged Adults",E1334&gt;45,"Old Adults")</f>
        <v>Middle-aged Adults</v>
      </c>
    </row>
    <row r="1335" spans="1:11" x14ac:dyDescent="0.45">
      <c r="A1335" s="2">
        <v>1557</v>
      </c>
      <c r="B1335" s="2" t="s">
        <v>1662</v>
      </c>
      <c r="C1335" s="2" t="s">
        <v>90</v>
      </c>
      <c r="D1335" s="2" t="s">
        <v>14</v>
      </c>
      <c r="E1335" s="2">
        <v>31</v>
      </c>
      <c r="F1335" s="2">
        <v>72</v>
      </c>
      <c r="G1335" s="2">
        <v>178</v>
      </c>
      <c r="H1335" s="9">
        <f t="shared" si="20"/>
        <v>22.724403484408533</v>
      </c>
      <c r="I1335" s="2" t="str" cm="1">
        <f t="array" ref="I1335">_xlfn.IFS(F1335&gt;=100,"Over weight",F1335&lt;100,"Average weight")</f>
        <v>Average weight</v>
      </c>
      <c r="J1335" s="2" t="str" cm="1">
        <f t="array" ref="J1335">_xlfn.IFS(G1335&lt;164,"Below Average height",G1335&gt;=165,"Above Average height",G1335=164,"Average height")</f>
        <v>Above Average height</v>
      </c>
      <c r="K1335" s="2" t="str" cm="1">
        <f t="array" ref="K1335">_xlfn.IFS(E1335&lt;=16,"Children",E1335&lt;=30,"Young Adults",E1335&lt;=45,"Middle-aged Adults",E1335&gt;45,"Old Adults")</f>
        <v>Middle-aged Adults</v>
      </c>
    </row>
    <row r="1336" spans="1:11" x14ac:dyDescent="0.45">
      <c r="A1336" s="2">
        <v>1558</v>
      </c>
      <c r="B1336" s="2" t="s">
        <v>1663</v>
      </c>
      <c r="C1336" s="2" t="s">
        <v>90</v>
      </c>
      <c r="D1336" s="2" t="s">
        <v>63</v>
      </c>
      <c r="E1336" s="2">
        <v>25</v>
      </c>
      <c r="F1336" s="2">
        <v>90</v>
      </c>
      <c r="G1336" s="2">
        <v>186</v>
      </c>
      <c r="H1336" s="9">
        <f t="shared" si="20"/>
        <v>26.014568158168572</v>
      </c>
      <c r="I1336" s="2" t="str" cm="1">
        <f t="array" ref="I1336">_xlfn.IFS(F1336&gt;=100,"Over weight",F1336&lt;100,"Average weight")</f>
        <v>Average weight</v>
      </c>
      <c r="J1336" s="2" t="str" cm="1">
        <f t="array" ref="J1336">_xlfn.IFS(G1336&lt;164,"Below Average height",G1336&gt;=165,"Above Average height",G1336=164,"Average height")</f>
        <v>Above Average height</v>
      </c>
      <c r="K1336" s="2" t="str" cm="1">
        <f t="array" ref="K1336">_xlfn.IFS(E1336&lt;=16,"Children",E1336&lt;=30,"Young Adults",E1336&lt;=45,"Middle-aged Adults",E1336&gt;45,"Old Adults")</f>
        <v>Young Adults</v>
      </c>
    </row>
    <row r="1337" spans="1:11" x14ac:dyDescent="0.45">
      <c r="A1337" s="2">
        <v>1559</v>
      </c>
      <c r="B1337" s="2" t="s">
        <v>1664</v>
      </c>
      <c r="C1337" s="2" t="s">
        <v>87</v>
      </c>
      <c r="D1337" s="2" t="s">
        <v>75</v>
      </c>
      <c r="E1337" s="2">
        <v>20</v>
      </c>
      <c r="F1337" s="2">
        <v>64</v>
      </c>
      <c r="G1337" s="2">
        <v>168</v>
      </c>
      <c r="H1337" s="9">
        <f t="shared" si="20"/>
        <v>22.67573696145125</v>
      </c>
      <c r="I1337" s="2" t="str" cm="1">
        <f t="array" ref="I1337">_xlfn.IFS(F1337&gt;=100,"Over weight",F1337&lt;100,"Average weight")</f>
        <v>Average weight</v>
      </c>
      <c r="J1337" s="2" t="str" cm="1">
        <f t="array" ref="J1337">_xlfn.IFS(G1337&lt;164,"Below Average height",G1337&gt;=165,"Above Average height",G1337=164,"Average height")</f>
        <v>Above Average height</v>
      </c>
      <c r="K1337" s="2" t="str" cm="1">
        <f t="array" ref="K1337">_xlfn.IFS(E1337&lt;=16,"Children",E1337&lt;=30,"Young Adults",E1337&lt;=45,"Middle-aged Adults",E1337&gt;45,"Old Adults")</f>
        <v>Young Adults</v>
      </c>
    </row>
    <row r="1338" spans="1:11" x14ac:dyDescent="0.45">
      <c r="A1338" s="2">
        <v>1560</v>
      </c>
      <c r="B1338" s="2" t="s">
        <v>1665</v>
      </c>
      <c r="C1338" s="2" t="s">
        <v>96</v>
      </c>
      <c r="D1338" s="2" t="s">
        <v>75</v>
      </c>
      <c r="E1338" s="2">
        <v>25</v>
      </c>
      <c r="F1338" s="2">
        <v>47</v>
      </c>
      <c r="G1338" s="2">
        <v>184</v>
      </c>
      <c r="H1338" s="9">
        <f t="shared" si="20"/>
        <v>13.882325141776937</v>
      </c>
      <c r="I1338" s="2" t="str" cm="1">
        <f t="array" ref="I1338">_xlfn.IFS(F1338&gt;=100,"Over weight",F1338&lt;100,"Average weight")</f>
        <v>Average weight</v>
      </c>
      <c r="J1338" s="2" t="str" cm="1">
        <f t="array" ref="J1338">_xlfn.IFS(G1338&lt;164,"Below Average height",G1338&gt;=165,"Above Average height",G1338=164,"Average height")</f>
        <v>Above Average height</v>
      </c>
      <c r="K1338" s="2" t="str" cm="1">
        <f t="array" ref="K1338">_xlfn.IFS(E1338&lt;=16,"Children",E1338&lt;=30,"Young Adults",E1338&lt;=45,"Middle-aged Adults",E1338&gt;45,"Old Adults")</f>
        <v>Young Adults</v>
      </c>
    </row>
    <row r="1339" spans="1:11" x14ac:dyDescent="0.45">
      <c r="A1339" s="2">
        <v>1561</v>
      </c>
      <c r="B1339" s="2" t="s">
        <v>1666</v>
      </c>
      <c r="C1339" s="2" t="s">
        <v>89</v>
      </c>
      <c r="D1339" s="2" t="s">
        <v>5</v>
      </c>
      <c r="E1339" s="2">
        <v>26</v>
      </c>
      <c r="F1339" s="2">
        <v>70</v>
      </c>
      <c r="G1339" s="2">
        <v>172</v>
      </c>
      <c r="H1339" s="9">
        <f t="shared" si="20"/>
        <v>23.661438615467823</v>
      </c>
      <c r="I1339" s="2" t="str" cm="1">
        <f t="array" ref="I1339">_xlfn.IFS(F1339&gt;=100,"Over weight",F1339&lt;100,"Average weight")</f>
        <v>Average weight</v>
      </c>
      <c r="J1339" s="2" t="str" cm="1">
        <f t="array" ref="J1339">_xlfn.IFS(G1339&lt;164,"Below Average height",G1339&gt;=165,"Above Average height",G1339=164,"Average height")</f>
        <v>Above Average height</v>
      </c>
      <c r="K1339" s="2" t="str" cm="1">
        <f t="array" ref="K1339">_xlfn.IFS(E1339&lt;=16,"Children",E1339&lt;=30,"Young Adults",E1339&lt;=45,"Middle-aged Adults",E1339&gt;45,"Old Adults")</f>
        <v>Young Adults</v>
      </c>
    </row>
    <row r="1340" spans="1:11" x14ac:dyDescent="0.45">
      <c r="A1340" s="2">
        <v>1562</v>
      </c>
      <c r="B1340" s="2" t="s">
        <v>1667</v>
      </c>
      <c r="C1340" s="2" t="s">
        <v>96</v>
      </c>
      <c r="D1340" s="2" t="s">
        <v>30</v>
      </c>
      <c r="E1340" s="2">
        <v>19</v>
      </c>
      <c r="F1340" s="2">
        <v>47</v>
      </c>
      <c r="G1340" s="2">
        <v>173</v>
      </c>
      <c r="H1340" s="9">
        <f t="shared" si="20"/>
        <v>15.703832403354605</v>
      </c>
      <c r="I1340" s="2" t="str" cm="1">
        <f t="array" ref="I1340">_xlfn.IFS(F1340&gt;=100,"Over weight",F1340&lt;100,"Average weight")</f>
        <v>Average weight</v>
      </c>
      <c r="J1340" s="2" t="str" cm="1">
        <f t="array" ref="J1340">_xlfn.IFS(G1340&lt;164,"Below Average height",G1340&gt;=165,"Above Average height",G1340=164,"Average height")</f>
        <v>Above Average height</v>
      </c>
      <c r="K1340" s="2" t="str" cm="1">
        <f t="array" ref="K1340">_xlfn.IFS(E1340&lt;=16,"Children",E1340&lt;=30,"Young Adults",E1340&lt;=45,"Middle-aged Adults",E1340&gt;45,"Old Adults")</f>
        <v>Young Adults</v>
      </c>
    </row>
    <row r="1341" spans="1:11" x14ac:dyDescent="0.45">
      <c r="A1341" s="2">
        <v>1564</v>
      </c>
      <c r="B1341" s="2" t="s">
        <v>1669</v>
      </c>
      <c r="C1341" s="2" t="s">
        <v>89</v>
      </c>
      <c r="D1341" s="2" t="s">
        <v>58</v>
      </c>
      <c r="E1341" s="2">
        <v>23</v>
      </c>
      <c r="F1341" s="2">
        <v>80</v>
      </c>
      <c r="G1341" s="2">
        <v>185</v>
      </c>
      <c r="H1341" s="9">
        <f t="shared" si="20"/>
        <v>23.374726077428779</v>
      </c>
      <c r="I1341" s="2" t="str" cm="1">
        <f t="array" ref="I1341">_xlfn.IFS(F1341&gt;=100,"Over weight",F1341&lt;100,"Average weight")</f>
        <v>Average weight</v>
      </c>
      <c r="J1341" s="2" t="str" cm="1">
        <f t="array" ref="J1341">_xlfn.IFS(G1341&lt;164,"Below Average height",G1341&gt;=165,"Above Average height",G1341=164,"Average height")</f>
        <v>Above Average height</v>
      </c>
      <c r="K1341" s="2" t="str" cm="1">
        <f t="array" ref="K1341">_xlfn.IFS(E1341&lt;=16,"Children",E1341&lt;=30,"Young Adults",E1341&lt;=45,"Middle-aged Adults",E1341&gt;45,"Old Adults")</f>
        <v>Young Adults</v>
      </c>
    </row>
    <row r="1342" spans="1:11" x14ac:dyDescent="0.45">
      <c r="A1342" s="2">
        <v>1565</v>
      </c>
      <c r="B1342" s="2" t="s">
        <v>1670</v>
      </c>
      <c r="C1342" s="2" t="s">
        <v>91</v>
      </c>
      <c r="D1342" s="2" t="s">
        <v>28</v>
      </c>
      <c r="E1342" s="2">
        <v>21</v>
      </c>
      <c r="F1342" s="2">
        <v>98</v>
      </c>
      <c r="G1342" s="2">
        <v>193</v>
      </c>
      <c r="H1342" s="9">
        <f t="shared" si="20"/>
        <v>26.309431125667803</v>
      </c>
      <c r="I1342" s="2" t="str" cm="1">
        <f t="array" ref="I1342">_xlfn.IFS(F1342&gt;=100,"Over weight",F1342&lt;100,"Average weight")</f>
        <v>Average weight</v>
      </c>
      <c r="J1342" s="2" t="str" cm="1">
        <f t="array" ref="J1342">_xlfn.IFS(G1342&lt;164,"Below Average height",G1342&gt;=165,"Above Average height",G1342=164,"Average height")</f>
        <v>Above Average height</v>
      </c>
      <c r="K1342" s="2" t="str" cm="1">
        <f t="array" ref="K1342">_xlfn.IFS(E1342&lt;=16,"Children",E1342&lt;=30,"Young Adults",E1342&lt;=45,"Middle-aged Adults",E1342&gt;45,"Old Adults")</f>
        <v>Young Adults</v>
      </c>
    </row>
    <row r="1343" spans="1:11" x14ac:dyDescent="0.45">
      <c r="A1343" s="2">
        <v>1566</v>
      </c>
      <c r="B1343" s="2" t="s">
        <v>1671</v>
      </c>
      <c r="C1343" s="2" t="s">
        <v>91</v>
      </c>
      <c r="D1343" s="2" t="s">
        <v>28</v>
      </c>
      <c r="E1343" s="2">
        <v>24</v>
      </c>
      <c r="F1343" s="2">
        <v>88</v>
      </c>
      <c r="G1343" s="2">
        <v>183</v>
      </c>
      <c r="H1343" s="9">
        <f t="shared" si="20"/>
        <v>26.277285078682549</v>
      </c>
      <c r="I1343" s="2" t="str" cm="1">
        <f t="array" ref="I1343">_xlfn.IFS(F1343&gt;=100,"Over weight",F1343&lt;100,"Average weight")</f>
        <v>Average weight</v>
      </c>
      <c r="J1343" s="2" t="str" cm="1">
        <f t="array" ref="J1343">_xlfn.IFS(G1343&lt;164,"Below Average height",G1343&gt;=165,"Above Average height",G1343=164,"Average height")</f>
        <v>Above Average height</v>
      </c>
      <c r="K1343" s="2" t="str" cm="1">
        <f t="array" ref="K1343">_xlfn.IFS(E1343&lt;=16,"Children",E1343&lt;=30,"Young Adults",E1343&lt;=45,"Middle-aged Adults",E1343&gt;45,"Old Adults")</f>
        <v>Young Adults</v>
      </c>
    </row>
    <row r="1344" spans="1:11" x14ac:dyDescent="0.45">
      <c r="A1344" s="2">
        <v>1567</v>
      </c>
      <c r="B1344" s="2" t="s">
        <v>1672</v>
      </c>
      <c r="C1344" s="2" t="s">
        <v>88</v>
      </c>
      <c r="D1344" s="2" t="s">
        <v>44</v>
      </c>
      <c r="E1344" s="2">
        <v>21</v>
      </c>
      <c r="F1344" s="2">
        <v>53</v>
      </c>
      <c r="G1344" s="2">
        <v>165</v>
      </c>
      <c r="H1344" s="9">
        <f t="shared" si="20"/>
        <v>19.467401285583104</v>
      </c>
      <c r="I1344" s="2" t="str" cm="1">
        <f t="array" ref="I1344">_xlfn.IFS(F1344&gt;=100,"Over weight",F1344&lt;100,"Average weight")</f>
        <v>Average weight</v>
      </c>
      <c r="J1344" s="2" t="str" cm="1">
        <f t="array" ref="J1344">_xlfn.IFS(G1344&lt;164,"Below Average height",G1344&gt;=165,"Above Average height",G1344=164,"Average height")</f>
        <v>Above Average height</v>
      </c>
      <c r="K1344" s="2" t="str" cm="1">
        <f t="array" ref="K1344">_xlfn.IFS(E1344&lt;=16,"Children",E1344&lt;=30,"Young Adults",E1344&lt;=45,"Middle-aged Adults",E1344&gt;45,"Old Adults")</f>
        <v>Young Adults</v>
      </c>
    </row>
    <row r="1345" spans="1:11" x14ac:dyDescent="0.45">
      <c r="A1345" s="2">
        <v>1568</v>
      </c>
      <c r="B1345" s="2" t="s">
        <v>1673</v>
      </c>
      <c r="C1345" s="2" t="s">
        <v>89</v>
      </c>
      <c r="D1345" s="2" t="s">
        <v>44</v>
      </c>
      <c r="E1345" s="2">
        <v>27</v>
      </c>
      <c r="F1345" s="2">
        <v>76</v>
      </c>
      <c r="G1345" s="2">
        <v>184</v>
      </c>
      <c r="H1345" s="9">
        <f t="shared" si="20"/>
        <v>22.448015122873343</v>
      </c>
      <c r="I1345" s="2" t="str" cm="1">
        <f t="array" ref="I1345">_xlfn.IFS(F1345&gt;=100,"Over weight",F1345&lt;100,"Average weight")</f>
        <v>Average weight</v>
      </c>
      <c r="J1345" s="2" t="str" cm="1">
        <f t="array" ref="J1345">_xlfn.IFS(G1345&lt;164,"Below Average height",G1345&gt;=165,"Above Average height",G1345=164,"Average height")</f>
        <v>Above Average height</v>
      </c>
      <c r="K1345" s="2" t="str" cm="1">
        <f t="array" ref="K1345">_xlfn.IFS(E1345&lt;=16,"Children",E1345&lt;=30,"Young Adults",E1345&lt;=45,"Middle-aged Adults",E1345&gt;45,"Old Adults")</f>
        <v>Young Adults</v>
      </c>
    </row>
    <row r="1346" spans="1:11" x14ac:dyDescent="0.45">
      <c r="A1346" s="2">
        <v>1570</v>
      </c>
      <c r="B1346" s="2" t="s">
        <v>1675</v>
      </c>
      <c r="C1346" s="2" t="s">
        <v>93</v>
      </c>
      <c r="D1346" s="2" t="s">
        <v>41</v>
      </c>
      <c r="E1346" s="2">
        <v>26</v>
      </c>
      <c r="F1346" s="2">
        <v>64</v>
      </c>
      <c r="G1346" s="2">
        <v>166</v>
      </c>
      <c r="H1346" s="9">
        <f t="shared" ref="H1346:H1409" si="21" xml:space="preserve"> F1346 / (( G1346/ 100) ^ 2)</f>
        <v>23.225431847873423</v>
      </c>
      <c r="I1346" s="2" t="str" cm="1">
        <f t="array" ref="I1346">_xlfn.IFS(F1346&gt;=100,"Over weight",F1346&lt;100,"Average weight")</f>
        <v>Average weight</v>
      </c>
      <c r="J1346" s="2" t="str" cm="1">
        <f t="array" ref="J1346">_xlfn.IFS(G1346&lt;164,"Below Average height",G1346&gt;=165,"Above Average height",G1346=164,"Average height")</f>
        <v>Above Average height</v>
      </c>
      <c r="K1346" s="2" t="str" cm="1">
        <f t="array" ref="K1346">_xlfn.IFS(E1346&lt;=16,"Children",E1346&lt;=30,"Young Adults",E1346&lt;=45,"Middle-aged Adults",E1346&gt;45,"Old Adults")</f>
        <v>Young Adults</v>
      </c>
    </row>
    <row r="1347" spans="1:11" x14ac:dyDescent="0.45">
      <c r="A1347" s="2">
        <v>1571</v>
      </c>
      <c r="B1347" s="2" t="s">
        <v>1676</v>
      </c>
      <c r="C1347" s="2" t="s">
        <v>94</v>
      </c>
      <c r="D1347" s="2" t="s">
        <v>25</v>
      </c>
      <c r="E1347" s="2">
        <v>28</v>
      </c>
      <c r="F1347" s="2">
        <v>63</v>
      </c>
      <c r="G1347" s="2">
        <v>174</v>
      </c>
      <c r="H1347" s="9">
        <f t="shared" si="21"/>
        <v>20.808561236623067</v>
      </c>
      <c r="I1347" s="2" t="str" cm="1">
        <f t="array" ref="I1347">_xlfn.IFS(F1347&gt;=100,"Over weight",F1347&lt;100,"Average weight")</f>
        <v>Average weight</v>
      </c>
      <c r="J1347" s="2" t="str" cm="1">
        <f t="array" ref="J1347">_xlfn.IFS(G1347&lt;164,"Below Average height",G1347&gt;=165,"Above Average height",G1347=164,"Average height")</f>
        <v>Above Average height</v>
      </c>
      <c r="K1347" s="2" t="str" cm="1">
        <f t="array" ref="K1347">_xlfn.IFS(E1347&lt;=16,"Children",E1347&lt;=30,"Young Adults",E1347&lt;=45,"Middle-aged Adults",E1347&gt;45,"Old Adults")</f>
        <v>Young Adults</v>
      </c>
    </row>
    <row r="1348" spans="1:11" x14ac:dyDescent="0.45">
      <c r="A1348" s="2">
        <v>1573</v>
      </c>
      <c r="B1348" s="2" t="s">
        <v>1678</v>
      </c>
      <c r="C1348" s="2" t="s">
        <v>96</v>
      </c>
      <c r="D1348" s="2" t="s">
        <v>30</v>
      </c>
      <c r="E1348" s="2">
        <v>31</v>
      </c>
      <c r="F1348" s="2">
        <v>47</v>
      </c>
      <c r="G1348" s="2">
        <v>178</v>
      </c>
      <c r="H1348" s="9">
        <f t="shared" si="21"/>
        <v>14.833985607877793</v>
      </c>
      <c r="I1348" s="2" t="str" cm="1">
        <f t="array" ref="I1348">_xlfn.IFS(F1348&gt;=100,"Over weight",F1348&lt;100,"Average weight")</f>
        <v>Average weight</v>
      </c>
      <c r="J1348" s="2" t="str" cm="1">
        <f t="array" ref="J1348">_xlfn.IFS(G1348&lt;164,"Below Average height",G1348&gt;=165,"Above Average height",G1348=164,"Average height")</f>
        <v>Above Average height</v>
      </c>
      <c r="K1348" s="2" t="str" cm="1">
        <f t="array" ref="K1348">_xlfn.IFS(E1348&lt;=16,"Children",E1348&lt;=30,"Young Adults",E1348&lt;=45,"Middle-aged Adults",E1348&gt;45,"Old Adults")</f>
        <v>Middle-aged Adults</v>
      </c>
    </row>
    <row r="1349" spans="1:11" x14ac:dyDescent="0.45">
      <c r="A1349" s="2">
        <v>1575</v>
      </c>
      <c r="B1349" s="2" t="s">
        <v>1680</v>
      </c>
      <c r="C1349" s="2" t="s">
        <v>94</v>
      </c>
      <c r="D1349" s="2" t="s">
        <v>10</v>
      </c>
      <c r="E1349" s="2">
        <v>28</v>
      </c>
      <c r="F1349" s="2">
        <v>81</v>
      </c>
      <c r="G1349" s="2">
        <v>193</v>
      </c>
      <c r="H1349" s="9">
        <f t="shared" si="21"/>
        <v>21.745550216113184</v>
      </c>
      <c r="I1349" s="2" t="str" cm="1">
        <f t="array" ref="I1349">_xlfn.IFS(F1349&gt;=100,"Over weight",F1349&lt;100,"Average weight")</f>
        <v>Average weight</v>
      </c>
      <c r="J1349" s="2" t="str" cm="1">
        <f t="array" ref="J1349">_xlfn.IFS(G1349&lt;164,"Below Average height",G1349&gt;=165,"Above Average height",G1349=164,"Average height")</f>
        <v>Above Average height</v>
      </c>
      <c r="K1349" s="2" t="str" cm="1">
        <f t="array" ref="K1349">_xlfn.IFS(E1349&lt;=16,"Children",E1349&lt;=30,"Young Adults",E1349&lt;=45,"Middle-aged Adults",E1349&gt;45,"Old Adults")</f>
        <v>Young Adults</v>
      </c>
    </row>
    <row r="1350" spans="1:11" x14ac:dyDescent="0.45">
      <c r="A1350" s="2">
        <v>1576</v>
      </c>
      <c r="B1350" s="2" t="s">
        <v>1681</v>
      </c>
      <c r="C1350" s="2" t="s">
        <v>91</v>
      </c>
      <c r="D1350" s="2" t="s">
        <v>74</v>
      </c>
      <c r="E1350" s="2">
        <v>29</v>
      </c>
      <c r="F1350" s="2">
        <v>109</v>
      </c>
      <c r="G1350" s="2">
        <v>191</v>
      </c>
      <c r="H1350" s="9">
        <f t="shared" si="21"/>
        <v>29.878566925248762</v>
      </c>
      <c r="I1350" s="2" t="str" cm="1">
        <f t="array" ref="I1350">_xlfn.IFS(F1350&gt;=100,"Over weight",F1350&lt;100,"Average weight")</f>
        <v>Over weight</v>
      </c>
      <c r="J1350" s="2" t="str" cm="1">
        <f t="array" ref="J1350">_xlfn.IFS(G1350&lt;164,"Below Average height",G1350&gt;=165,"Above Average height",G1350=164,"Average height")</f>
        <v>Above Average height</v>
      </c>
      <c r="K1350" s="2" t="str" cm="1">
        <f t="array" ref="K1350">_xlfn.IFS(E1350&lt;=16,"Children",E1350&lt;=30,"Young Adults",E1350&lt;=45,"Middle-aged Adults",E1350&gt;45,"Old Adults")</f>
        <v>Young Adults</v>
      </c>
    </row>
    <row r="1351" spans="1:11" x14ac:dyDescent="0.45">
      <c r="A1351" s="2">
        <v>1577</v>
      </c>
      <c r="B1351" s="2" t="s">
        <v>1682</v>
      </c>
      <c r="C1351" s="2" t="s">
        <v>87</v>
      </c>
      <c r="D1351" s="2" t="s">
        <v>14</v>
      </c>
      <c r="E1351" s="2">
        <v>21</v>
      </c>
      <c r="F1351" s="2">
        <v>62</v>
      </c>
      <c r="G1351" s="2">
        <v>168</v>
      </c>
      <c r="H1351" s="9">
        <f t="shared" si="21"/>
        <v>21.9671201814059</v>
      </c>
      <c r="I1351" s="2" t="str" cm="1">
        <f t="array" ref="I1351">_xlfn.IFS(F1351&gt;=100,"Over weight",F1351&lt;100,"Average weight")</f>
        <v>Average weight</v>
      </c>
      <c r="J1351" s="2" t="str" cm="1">
        <f t="array" ref="J1351">_xlfn.IFS(G1351&lt;164,"Below Average height",G1351&gt;=165,"Above Average height",G1351=164,"Average height")</f>
        <v>Above Average height</v>
      </c>
      <c r="K1351" s="2" t="str" cm="1">
        <f t="array" ref="K1351">_xlfn.IFS(E1351&lt;=16,"Children",E1351&lt;=30,"Young Adults",E1351&lt;=45,"Middle-aged Adults",E1351&gt;45,"Old Adults")</f>
        <v>Young Adults</v>
      </c>
    </row>
    <row r="1352" spans="1:11" x14ac:dyDescent="0.45">
      <c r="A1352" s="2">
        <v>1578</v>
      </c>
      <c r="B1352" s="2" t="s">
        <v>1683</v>
      </c>
      <c r="C1352" s="2" t="s">
        <v>94</v>
      </c>
      <c r="D1352" s="2" t="s">
        <v>5</v>
      </c>
      <c r="E1352" s="2">
        <v>32</v>
      </c>
      <c r="F1352" s="2">
        <v>82</v>
      </c>
      <c r="G1352" s="2">
        <v>191</v>
      </c>
      <c r="H1352" s="9">
        <f t="shared" si="21"/>
        <v>22.477454017159619</v>
      </c>
      <c r="I1352" s="2" t="str" cm="1">
        <f t="array" ref="I1352">_xlfn.IFS(F1352&gt;=100,"Over weight",F1352&lt;100,"Average weight")</f>
        <v>Average weight</v>
      </c>
      <c r="J1352" s="2" t="str" cm="1">
        <f t="array" ref="J1352">_xlfn.IFS(G1352&lt;164,"Below Average height",G1352&gt;=165,"Above Average height",G1352=164,"Average height")</f>
        <v>Above Average height</v>
      </c>
      <c r="K1352" s="2" t="str" cm="1">
        <f t="array" ref="K1352">_xlfn.IFS(E1352&lt;=16,"Children",E1352&lt;=30,"Young Adults",E1352&lt;=45,"Middle-aged Adults",E1352&gt;45,"Old Adults")</f>
        <v>Middle-aged Adults</v>
      </c>
    </row>
    <row r="1353" spans="1:11" x14ac:dyDescent="0.45">
      <c r="A1353" s="2">
        <v>1579</v>
      </c>
      <c r="B1353" s="2" t="s">
        <v>1684</v>
      </c>
      <c r="C1353" s="2" t="s">
        <v>94</v>
      </c>
      <c r="D1353" s="2" t="s">
        <v>30</v>
      </c>
      <c r="E1353" s="2">
        <v>19</v>
      </c>
      <c r="F1353" s="2">
        <v>75</v>
      </c>
      <c r="G1353" s="2">
        <v>180</v>
      </c>
      <c r="H1353" s="9">
        <f t="shared" si="21"/>
        <v>23.148148148148145</v>
      </c>
      <c r="I1353" s="2" t="str" cm="1">
        <f t="array" ref="I1353">_xlfn.IFS(F1353&gt;=100,"Over weight",F1353&lt;100,"Average weight")</f>
        <v>Average weight</v>
      </c>
      <c r="J1353" s="2" t="str" cm="1">
        <f t="array" ref="J1353">_xlfn.IFS(G1353&lt;164,"Below Average height",G1353&gt;=165,"Above Average height",G1353=164,"Average height")</f>
        <v>Above Average height</v>
      </c>
      <c r="K1353" s="2" t="str" cm="1">
        <f t="array" ref="K1353">_xlfn.IFS(E1353&lt;=16,"Children",E1353&lt;=30,"Young Adults",E1353&lt;=45,"Middle-aged Adults",E1353&gt;45,"Old Adults")</f>
        <v>Young Adults</v>
      </c>
    </row>
    <row r="1354" spans="1:11" x14ac:dyDescent="0.45">
      <c r="A1354" s="2">
        <v>1580</v>
      </c>
      <c r="B1354" s="2" t="s">
        <v>1685</v>
      </c>
      <c r="C1354" s="2" t="s">
        <v>91</v>
      </c>
      <c r="D1354" s="2" t="s">
        <v>46</v>
      </c>
      <c r="E1354" s="2">
        <v>25</v>
      </c>
      <c r="F1354" s="2">
        <v>85</v>
      </c>
      <c r="G1354" s="2">
        <v>188</v>
      </c>
      <c r="H1354" s="9">
        <f t="shared" si="21"/>
        <v>24.049343594386603</v>
      </c>
      <c r="I1354" s="2" t="str" cm="1">
        <f t="array" ref="I1354">_xlfn.IFS(F1354&gt;=100,"Over weight",F1354&lt;100,"Average weight")</f>
        <v>Average weight</v>
      </c>
      <c r="J1354" s="2" t="str" cm="1">
        <f t="array" ref="J1354">_xlfn.IFS(G1354&lt;164,"Below Average height",G1354&gt;=165,"Above Average height",G1354=164,"Average height")</f>
        <v>Above Average height</v>
      </c>
      <c r="K1354" s="2" t="str" cm="1">
        <f t="array" ref="K1354">_xlfn.IFS(E1354&lt;=16,"Children",E1354&lt;=30,"Young Adults",E1354&lt;=45,"Middle-aged Adults",E1354&gt;45,"Old Adults")</f>
        <v>Young Adults</v>
      </c>
    </row>
    <row r="1355" spans="1:11" x14ac:dyDescent="0.45">
      <c r="A1355" s="2">
        <v>1582</v>
      </c>
      <c r="B1355" s="2" t="s">
        <v>1687</v>
      </c>
      <c r="C1355" s="2" t="s">
        <v>85</v>
      </c>
      <c r="D1355" s="2" t="s">
        <v>74</v>
      </c>
      <c r="E1355" s="2">
        <v>27</v>
      </c>
      <c r="F1355" s="2">
        <v>94</v>
      </c>
      <c r="G1355" s="2">
        <v>189</v>
      </c>
      <c r="H1355" s="9">
        <f t="shared" si="21"/>
        <v>26.315052770079227</v>
      </c>
      <c r="I1355" s="2" t="str" cm="1">
        <f t="array" ref="I1355">_xlfn.IFS(F1355&gt;=100,"Over weight",F1355&lt;100,"Average weight")</f>
        <v>Average weight</v>
      </c>
      <c r="J1355" s="2" t="str" cm="1">
        <f t="array" ref="J1355">_xlfn.IFS(G1355&lt;164,"Below Average height",G1355&gt;=165,"Above Average height",G1355=164,"Average height")</f>
        <v>Above Average height</v>
      </c>
      <c r="K1355" s="2" t="str" cm="1">
        <f t="array" ref="K1355">_xlfn.IFS(E1355&lt;=16,"Children",E1355&lt;=30,"Young Adults",E1355&lt;=45,"Middle-aged Adults",E1355&gt;45,"Old Adults")</f>
        <v>Young Adults</v>
      </c>
    </row>
    <row r="1356" spans="1:11" x14ac:dyDescent="0.45">
      <c r="A1356" s="2">
        <v>1583</v>
      </c>
      <c r="B1356" s="2" t="s">
        <v>1688</v>
      </c>
      <c r="C1356" s="2" t="s">
        <v>91</v>
      </c>
      <c r="D1356" s="2" t="s">
        <v>74</v>
      </c>
      <c r="E1356" s="2">
        <v>18</v>
      </c>
      <c r="F1356" s="2">
        <v>69</v>
      </c>
      <c r="G1356" s="2">
        <v>172</v>
      </c>
      <c r="H1356" s="9">
        <f t="shared" si="21"/>
        <v>23.323418063818284</v>
      </c>
      <c r="I1356" s="2" t="str" cm="1">
        <f t="array" ref="I1356">_xlfn.IFS(F1356&gt;=100,"Over weight",F1356&lt;100,"Average weight")</f>
        <v>Average weight</v>
      </c>
      <c r="J1356" s="2" t="str" cm="1">
        <f t="array" ref="J1356">_xlfn.IFS(G1356&lt;164,"Below Average height",G1356&gt;=165,"Above Average height",G1356=164,"Average height")</f>
        <v>Above Average height</v>
      </c>
      <c r="K1356" s="2" t="str" cm="1">
        <f t="array" ref="K1356">_xlfn.IFS(E1356&lt;=16,"Children",E1356&lt;=30,"Young Adults",E1356&lt;=45,"Middle-aged Adults",E1356&gt;45,"Old Adults")</f>
        <v>Young Adults</v>
      </c>
    </row>
    <row r="1357" spans="1:11" x14ac:dyDescent="0.45">
      <c r="A1357" s="2">
        <v>1584</v>
      </c>
      <c r="B1357" s="2" t="s">
        <v>1689</v>
      </c>
      <c r="C1357" s="2" t="s">
        <v>97</v>
      </c>
      <c r="D1357" s="2" t="s">
        <v>14</v>
      </c>
      <c r="E1357" s="2">
        <v>32</v>
      </c>
      <c r="F1357" s="2">
        <v>71</v>
      </c>
      <c r="G1357" s="2">
        <v>178</v>
      </c>
      <c r="H1357" s="9">
        <f t="shared" si="21"/>
        <v>22.408786769347305</v>
      </c>
      <c r="I1357" s="2" t="str" cm="1">
        <f t="array" ref="I1357">_xlfn.IFS(F1357&gt;=100,"Over weight",F1357&lt;100,"Average weight")</f>
        <v>Average weight</v>
      </c>
      <c r="J1357" s="2" t="str" cm="1">
        <f t="array" ref="J1357">_xlfn.IFS(G1357&lt;164,"Below Average height",G1357&gt;=165,"Above Average height",G1357=164,"Average height")</f>
        <v>Above Average height</v>
      </c>
      <c r="K1357" s="2" t="str" cm="1">
        <f t="array" ref="K1357">_xlfn.IFS(E1357&lt;=16,"Children",E1357&lt;=30,"Young Adults",E1357&lt;=45,"Middle-aged Adults",E1357&gt;45,"Old Adults")</f>
        <v>Middle-aged Adults</v>
      </c>
    </row>
    <row r="1358" spans="1:11" x14ac:dyDescent="0.45">
      <c r="A1358" s="2">
        <v>1585</v>
      </c>
      <c r="B1358" s="2" t="s">
        <v>1690</v>
      </c>
      <c r="C1358" s="2" t="s">
        <v>97</v>
      </c>
      <c r="D1358" s="2" t="s">
        <v>66</v>
      </c>
      <c r="E1358" s="2">
        <v>20</v>
      </c>
      <c r="F1358" s="2">
        <v>68</v>
      </c>
      <c r="G1358" s="2">
        <v>182</v>
      </c>
      <c r="H1358" s="9">
        <f t="shared" si="21"/>
        <v>20.528921627822726</v>
      </c>
      <c r="I1358" s="2" t="str" cm="1">
        <f t="array" ref="I1358">_xlfn.IFS(F1358&gt;=100,"Over weight",F1358&lt;100,"Average weight")</f>
        <v>Average weight</v>
      </c>
      <c r="J1358" s="2" t="str" cm="1">
        <f t="array" ref="J1358">_xlfn.IFS(G1358&lt;164,"Below Average height",G1358&gt;=165,"Above Average height",G1358=164,"Average height")</f>
        <v>Above Average height</v>
      </c>
      <c r="K1358" s="2" t="str" cm="1">
        <f t="array" ref="K1358">_xlfn.IFS(E1358&lt;=16,"Children",E1358&lt;=30,"Young Adults",E1358&lt;=45,"Middle-aged Adults",E1358&gt;45,"Old Adults")</f>
        <v>Young Adults</v>
      </c>
    </row>
    <row r="1359" spans="1:11" x14ac:dyDescent="0.45">
      <c r="A1359" s="2">
        <v>1586</v>
      </c>
      <c r="B1359" s="2" t="s">
        <v>1691</v>
      </c>
      <c r="C1359" s="2" t="s">
        <v>91</v>
      </c>
      <c r="D1359" s="2" t="s">
        <v>75</v>
      </c>
      <c r="E1359" s="2">
        <v>23</v>
      </c>
      <c r="F1359" s="2">
        <v>57</v>
      </c>
      <c r="G1359" s="2">
        <v>167</v>
      </c>
      <c r="H1359" s="9">
        <f t="shared" si="21"/>
        <v>20.43816558499767</v>
      </c>
      <c r="I1359" s="2" t="str" cm="1">
        <f t="array" ref="I1359">_xlfn.IFS(F1359&gt;=100,"Over weight",F1359&lt;100,"Average weight")</f>
        <v>Average weight</v>
      </c>
      <c r="J1359" s="2" t="str" cm="1">
        <f t="array" ref="J1359">_xlfn.IFS(G1359&lt;164,"Below Average height",G1359&gt;=165,"Above Average height",G1359=164,"Average height")</f>
        <v>Above Average height</v>
      </c>
      <c r="K1359" s="2" t="str" cm="1">
        <f t="array" ref="K1359">_xlfn.IFS(E1359&lt;=16,"Children",E1359&lt;=30,"Young Adults",E1359&lt;=45,"Middle-aged Adults",E1359&gt;45,"Old Adults")</f>
        <v>Young Adults</v>
      </c>
    </row>
    <row r="1360" spans="1:11" x14ac:dyDescent="0.45">
      <c r="A1360" s="2">
        <v>1587</v>
      </c>
      <c r="B1360" s="2" t="s">
        <v>1692</v>
      </c>
      <c r="C1360" s="2" t="s">
        <v>91</v>
      </c>
      <c r="D1360" s="2" t="s">
        <v>66</v>
      </c>
      <c r="E1360" s="2">
        <v>34</v>
      </c>
      <c r="F1360" s="2">
        <v>91</v>
      </c>
      <c r="G1360" s="2">
        <v>183</v>
      </c>
      <c r="H1360" s="9">
        <f t="shared" si="21"/>
        <v>27.173101615455817</v>
      </c>
      <c r="I1360" s="2" t="str" cm="1">
        <f t="array" ref="I1360">_xlfn.IFS(F1360&gt;=100,"Over weight",F1360&lt;100,"Average weight")</f>
        <v>Average weight</v>
      </c>
      <c r="J1360" s="2" t="str" cm="1">
        <f t="array" ref="J1360">_xlfn.IFS(G1360&lt;164,"Below Average height",G1360&gt;=165,"Above Average height",G1360=164,"Average height")</f>
        <v>Above Average height</v>
      </c>
      <c r="K1360" s="2" t="str" cm="1">
        <f t="array" ref="K1360">_xlfn.IFS(E1360&lt;=16,"Children",E1360&lt;=30,"Young Adults",E1360&lt;=45,"Middle-aged Adults",E1360&gt;45,"Old Adults")</f>
        <v>Middle-aged Adults</v>
      </c>
    </row>
    <row r="1361" spans="1:11" x14ac:dyDescent="0.45">
      <c r="A1361" s="2">
        <v>1588</v>
      </c>
      <c r="B1361" s="2" t="s">
        <v>1693</v>
      </c>
      <c r="C1361" s="2" t="s">
        <v>89</v>
      </c>
      <c r="D1361" s="2" t="s">
        <v>41</v>
      </c>
      <c r="E1361" s="2">
        <v>27</v>
      </c>
      <c r="F1361" s="2">
        <v>70</v>
      </c>
      <c r="G1361" s="2">
        <v>174</v>
      </c>
      <c r="H1361" s="9">
        <f t="shared" si="21"/>
        <v>23.120623596247853</v>
      </c>
      <c r="I1361" s="2" t="str" cm="1">
        <f t="array" ref="I1361">_xlfn.IFS(F1361&gt;=100,"Over weight",F1361&lt;100,"Average weight")</f>
        <v>Average weight</v>
      </c>
      <c r="J1361" s="2" t="str" cm="1">
        <f t="array" ref="J1361">_xlfn.IFS(G1361&lt;164,"Below Average height",G1361&gt;=165,"Above Average height",G1361=164,"Average height")</f>
        <v>Above Average height</v>
      </c>
      <c r="K1361" s="2" t="str" cm="1">
        <f t="array" ref="K1361">_xlfn.IFS(E1361&lt;=16,"Children",E1361&lt;=30,"Young Adults",E1361&lt;=45,"Middle-aged Adults",E1361&gt;45,"Old Adults")</f>
        <v>Young Adults</v>
      </c>
    </row>
    <row r="1362" spans="1:11" x14ac:dyDescent="0.45">
      <c r="A1362" s="2">
        <v>1591</v>
      </c>
      <c r="B1362" s="2" t="s">
        <v>1696</v>
      </c>
      <c r="C1362" s="2" t="s">
        <v>85</v>
      </c>
      <c r="D1362" s="2" t="s">
        <v>35</v>
      </c>
      <c r="E1362" s="2">
        <v>24</v>
      </c>
      <c r="F1362" s="2">
        <v>71</v>
      </c>
      <c r="G1362" s="2">
        <v>170</v>
      </c>
      <c r="H1362" s="9">
        <f t="shared" si="21"/>
        <v>24.567474048442911</v>
      </c>
      <c r="I1362" s="2" t="str" cm="1">
        <f t="array" ref="I1362">_xlfn.IFS(F1362&gt;=100,"Over weight",F1362&lt;100,"Average weight")</f>
        <v>Average weight</v>
      </c>
      <c r="J1362" s="2" t="str" cm="1">
        <f t="array" ref="J1362">_xlfn.IFS(G1362&lt;164,"Below Average height",G1362&gt;=165,"Above Average height",G1362=164,"Average height")</f>
        <v>Above Average height</v>
      </c>
      <c r="K1362" s="2" t="str" cm="1">
        <f t="array" ref="K1362">_xlfn.IFS(E1362&lt;=16,"Children",E1362&lt;=30,"Young Adults",E1362&lt;=45,"Middle-aged Adults",E1362&gt;45,"Old Adults")</f>
        <v>Young Adults</v>
      </c>
    </row>
    <row r="1363" spans="1:11" x14ac:dyDescent="0.45">
      <c r="A1363" s="2">
        <v>1592</v>
      </c>
      <c r="B1363" s="2" t="s">
        <v>1697</v>
      </c>
      <c r="C1363" s="2" t="s">
        <v>85</v>
      </c>
      <c r="D1363" s="2" t="s">
        <v>65</v>
      </c>
      <c r="E1363" s="2">
        <v>29</v>
      </c>
      <c r="F1363" s="2">
        <v>70</v>
      </c>
      <c r="G1363" s="2">
        <v>170</v>
      </c>
      <c r="H1363" s="9">
        <f t="shared" si="21"/>
        <v>24.221453287197235</v>
      </c>
      <c r="I1363" s="2" t="str" cm="1">
        <f t="array" ref="I1363">_xlfn.IFS(F1363&gt;=100,"Over weight",F1363&lt;100,"Average weight")</f>
        <v>Average weight</v>
      </c>
      <c r="J1363" s="2" t="str" cm="1">
        <f t="array" ref="J1363">_xlfn.IFS(G1363&lt;164,"Below Average height",G1363&gt;=165,"Above Average height",G1363=164,"Average height")</f>
        <v>Above Average height</v>
      </c>
      <c r="K1363" s="2" t="str" cm="1">
        <f t="array" ref="K1363">_xlfn.IFS(E1363&lt;=16,"Children",E1363&lt;=30,"Young Adults",E1363&lt;=45,"Middle-aged Adults",E1363&gt;45,"Old Adults")</f>
        <v>Young Adults</v>
      </c>
    </row>
    <row r="1364" spans="1:11" x14ac:dyDescent="0.45">
      <c r="A1364" s="2">
        <v>1593</v>
      </c>
      <c r="B1364" s="2" t="s">
        <v>1698</v>
      </c>
      <c r="C1364" s="2" t="s">
        <v>90</v>
      </c>
      <c r="D1364" s="2" t="s">
        <v>80</v>
      </c>
      <c r="E1364" s="2">
        <v>23</v>
      </c>
      <c r="F1364" s="2">
        <v>100</v>
      </c>
      <c r="G1364" s="2">
        <v>191</v>
      </c>
      <c r="H1364" s="9">
        <f t="shared" si="21"/>
        <v>27.411529289219047</v>
      </c>
      <c r="I1364" s="2" t="str" cm="1">
        <f t="array" ref="I1364">_xlfn.IFS(F1364&gt;=100,"Over weight",F1364&lt;100,"Average weight")</f>
        <v>Over weight</v>
      </c>
      <c r="J1364" s="2" t="str" cm="1">
        <f t="array" ref="J1364">_xlfn.IFS(G1364&lt;164,"Below Average height",G1364&gt;=165,"Above Average height",G1364=164,"Average height")</f>
        <v>Above Average height</v>
      </c>
      <c r="K1364" s="2" t="str" cm="1">
        <f t="array" ref="K1364">_xlfn.IFS(E1364&lt;=16,"Children",E1364&lt;=30,"Young Adults",E1364&lt;=45,"Middle-aged Adults",E1364&gt;45,"Old Adults")</f>
        <v>Young Adults</v>
      </c>
    </row>
    <row r="1365" spans="1:11" x14ac:dyDescent="0.45">
      <c r="A1365" s="2">
        <v>1594</v>
      </c>
      <c r="B1365" s="2" t="s">
        <v>1699</v>
      </c>
      <c r="C1365" s="2" t="s">
        <v>90</v>
      </c>
      <c r="D1365" s="2" t="s">
        <v>70</v>
      </c>
      <c r="E1365" s="2">
        <v>32</v>
      </c>
      <c r="F1365" s="2">
        <v>100</v>
      </c>
      <c r="G1365" s="2">
        <v>189</v>
      </c>
      <c r="H1365" s="9">
        <f t="shared" si="21"/>
        <v>27.994736989445986</v>
      </c>
      <c r="I1365" s="2" t="str" cm="1">
        <f t="array" ref="I1365">_xlfn.IFS(F1365&gt;=100,"Over weight",F1365&lt;100,"Average weight")</f>
        <v>Over weight</v>
      </c>
      <c r="J1365" s="2" t="str" cm="1">
        <f t="array" ref="J1365">_xlfn.IFS(G1365&lt;164,"Below Average height",G1365&gt;=165,"Above Average height",G1365=164,"Average height")</f>
        <v>Above Average height</v>
      </c>
      <c r="K1365" s="2" t="str" cm="1">
        <f t="array" ref="K1365">_xlfn.IFS(E1365&lt;=16,"Children",E1365&lt;=30,"Young Adults",E1365&lt;=45,"Middle-aged Adults",E1365&gt;45,"Old Adults")</f>
        <v>Middle-aged Adults</v>
      </c>
    </row>
    <row r="1366" spans="1:11" x14ac:dyDescent="0.45">
      <c r="A1366" s="2">
        <v>1595</v>
      </c>
      <c r="B1366" s="2" t="s">
        <v>1700</v>
      </c>
      <c r="C1366" s="2" t="s">
        <v>94</v>
      </c>
      <c r="D1366" s="2" t="s">
        <v>41</v>
      </c>
      <c r="E1366" s="2">
        <v>25</v>
      </c>
      <c r="F1366" s="2">
        <v>61</v>
      </c>
      <c r="G1366" s="2">
        <v>167</v>
      </c>
      <c r="H1366" s="9">
        <f t="shared" si="21"/>
        <v>21.872422819032593</v>
      </c>
      <c r="I1366" s="2" t="str" cm="1">
        <f t="array" ref="I1366">_xlfn.IFS(F1366&gt;=100,"Over weight",F1366&lt;100,"Average weight")</f>
        <v>Average weight</v>
      </c>
      <c r="J1366" s="2" t="str" cm="1">
        <f t="array" ref="J1366">_xlfn.IFS(G1366&lt;164,"Below Average height",G1366&gt;=165,"Above Average height",G1366=164,"Average height")</f>
        <v>Above Average height</v>
      </c>
      <c r="K1366" s="2" t="str" cm="1">
        <f t="array" ref="K1366">_xlfn.IFS(E1366&lt;=16,"Children",E1366&lt;=30,"Young Adults",E1366&lt;=45,"Middle-aged Adults",E1366&gt;45,"Old Adults")</f>
        <v>Young Adults</v>
      </c>
    </row>
    <row r="1367" spans="1:11" x14ac:dyDescent="0.45">
      <c r="A1367" s="2">
        <v>1596</v>
      </c>
      <c r="B1367" s="2" t="s">
        <v>1701</v>
      </c>
      <c r="C1367" s="2" t="s">
        <v>91</v>
      </c>
      <c r="D1367" s="2" t="s">
        <v>14</v>
      </c>
      <c r="E1367" s="2">
        <v>25</v>
      </c>
      <c r="F1367" s="2">
        <v>99</v>
      </c>
      <c r="G1367" s="2">
        <v>193</v>
      </c>
      <c r="H1367" s="9">
        <f t="shared" si="21"/>
        <v>26.577894708582782</v>
      </c>
      <c r="I1367" s="2" t="str" cm="1">
        <f t="array" ref="I1367">_xlfn.IFS(F1367&gt;=100,"Over weight",F1367&lt;100,"Average weight")</f>
        <v>Average weight</v>
      </c>
      <c r="J1367" s="2" t="str" cm="1">
        <f t="array" ref="J1367">_xlfn.IFS(G1367&lt;164,"Below Average height",G1367&gt;=165,"Above Average height",G1367=164,"Average height")</f>
        <v>Above Average height</v>
      </c>
      <c r="K1367" s="2" t="str" cm="1">
        <f t="array" ref="K1367">_xlfn.IFS(E1367&lt;=16,"Children",E1367&lt;=30,"Young Adults",E1367&lt;=45,"Middle-aged Adults",E1367&gt;45,"Old Adults")</f>
        <v>Young Adults</v>
      </c>
    </row>
    <row r="1368" spans="1:11" x14ac:dyDescent="0.45">
      <c r="A1368" s="2">
        <v>1598</v>
      </c>
      <c r="B1368" s="2" t="s">
        <v>1703</v>
      </c>
      <c r="C1368" s="2" t="s">
        <v>94</v>
      </c>
      <c r="D1368" s="2" t="s">
        <v>41</v>
      </c>
      <c r="E1368" s="2">
        <v>31</v>
      </c>
      <c r="F1368" s="2">
        <v>59</v>
      </c>
      <c r="G1368" s="2">
        <v>170</v>
      </c>
      <c r="H1368" s="9">
        <f t="shared" si="21"/>
        <v>20.415224913494811</v>
      </c>
      <c r="I1368" s="2" t="str" cm="1">
        <f t="array" ref="I1368">_xlfn.IFS(F1368&gt;=100,"Over weight",F1368&lt;100,"Average weight")</f>
        <v>Average weight</v>
      </c>
      <c r="J1368" s="2" t="str" cm="1">
        <f t="array" ref="J1368">_xlfn.IFS(G1368&lt;164,"Below Average height",G1368&gt;=165,"Above Average height",G1368=164,"Average height")</f>
        <v>Above Average height</v>
      </c>
      <c r="K1368" s="2" t="str" cm="1">
        <f t="array" ref="K1368">_xlfn.IFS(E1368&lt;=16,"Children",E1368&lt;=30,"Young Adults",E1368&lt;=45,"Middle-aged Adults",E1368&gt;45,"Old Adults")</f>
        <v>Middle-aged Adults</v>
      </c>
    </row>
    <row r="1369" spans="1:11" x14ac:dyDescent="0.45">
      <c r="A1369" s="2">
        <v>1599</v>
      </c>
      <c r="B1369" s="2" t="s">
        <v>1704</v>
      </c>
      <c r="C1369" s="2" t="s">
        <v>91</v>
      </c>
      <c r="D1369" s="2" t="s">
        <v>46</v>
      </c>
      <c r="E1369" s="2">
        <v>40</v>
      </c>
      <c r="F1369" s="2">
        <v>78</v>
      </c>
      <c r="G1369" s="2">
        <v>177</v>
      </c>
      <c r="H1369" s="9">
        <f t="shared" si="21"/>
        <v>24.897060231734173</v>
      </c>
      <c r="I1369" s="2" t="str" cm="1">
        <f t="array" ref="I1369">_xlfn.IFS(F1369&gt;=100,"Over weight",F1369&lt;100,"Average weight")</f>
        <v>Average weight</v>
      </c>
      <c r="J1369" s="2" t="str" cm="1">
        <f t="array" ref="J1369">_xlfn.IFS(G1369&lt;164,"Below Average height",G1369&gt;=165,"Above Average height",G1369=164,"Average height")</f>
        <v>Above Average height</v>
      </c>
      <c r="K1369" s="2" t="str" cm="1">
        <f t="array" ref="K1369">_xlfn.IFS(E1369&lt;=16,"Children",E1369&lt;=30,"Young Adults",E1369&lt;=45,"Middle-aged Adults",E1369&gt;45,"Old Adults")</f>
        <v>Middle-aged Adults</v>
      </c>
    </row>
    <row r="1370" spans="1:11" x14ac:dyDescent="0.45">
      <c r="A1370" s="2">
        <v>1602</v>
      </c>
      <c r="B1370" s="2" t="s">
        <v>1707</v>
      </c>
      <c r="C1370" s="2" t="s">
        <v>93</v>
      </c>
      <c r="D1370" s="2" t="s">
        <v>14</v>
      </c>
      <c r="E1370" s="2">
        <v>35</v>
      </c>
      <c r="F1370" s="2">
        <v>82</v>
      </c>
      <c r="G1370" s="2">
        <v>178</v>
      </c>
      <c r="H1370" s="9">
        <f t="shared" si="21"/>
        <v>25.880570635020831</v>
      </c>
      <c r="I1370" s="2" t="str" cm="1">
        <f t="array" ref="I1370">_xlfn.IFS(F1370&gt;=100,"Over weight",F1370&lt;100,"Average weight")</f>
        <v>Average weight</v>
      </c>
      <c r="J1370" s="2" t="str" cm="1">
        <f t="array" ref="J1370">_xlfn.IFS(G1370&lt;164,"Below Average height",G1370&gt;=165,"Above Average height",G1370=164,"Average height")</f>
        <v>Above Average height</v>
      </c>
      <c r="K1370" s="2" t="str" cm="1">
        <f t="array" ref="K1370">_xlfn.IFS(E1370&lt;=16,"Children",E1370&lt;=30,"Young Adults",E1370&lt;=45,"Middle-aged Adults",E1370&gt;45,"Old Adults")</f>
        <v>Middle-aged Adults</v>
      </c>
    </row>
    <row r="1371" spans="1:11" x14ac:dyDescent="0.45">
      <c r="A1371" s="2">
        <v>1603</v>
      </c>
      <c r="B1371" s="2" t="s">
        <v>1708</v>
      </c>
      <c r="C1371" s="2" t="s">
        <v>85</v>
      </c>
      <c r="D1371" s="2" t="s">
        <v>14</v>
      </c>
      <c r="E1371" s="2">
        <v>21</v>
      </c>
      <c r="F1371" s="2">
        <v>84</v>
      </c>
      <c r="G1371" s="2">
        <v>180</v>
      </c>
      <c r="H1371" s="9">
        <f t="shared" si="21"/>
        <v>25.925925925925924</v>
      </c>
      <c r="I1371" s="2" t="str" cm="1">
        <f t="array" ref="I1371">_xlfn.IFS(F1371&gt;=100,"Over weight",F1371&lt;100,"Average weight")</f>
        <v>Average weight</v>
      </c>
      <c r="J1371" s="2" t="str" cm="1">
        <f t="array" ref="J1371">_xlfn.IFS(G1371&lt;164,"Below Average height",G1371&gt;=165,"Above Average height",G1371=164,"Average height")</f>
        <v>Above Average height</v>
      </c>
      <c r="K1371" s="2" t="str" cm="1">
        <f t="array" ref="K1371">_xlfn.IFS(E1371&lt;=16,"Children",E1371&lt;=30,"Young Adults",E1371&lt;=45,"Middle-aged Adults",E1371&gt;45,"Old Adults")</f>
        <v>Young Adults</v>
      </c>
    </row>
    <row r="1372" spans="1:11" x14ac:dyDescent="0.45">
      <c r="A1372" s="2">
        <v>1604</v>
      </c>
      <c r="B1372" s="2" t="s">
        <v>1709</v>
      </c>
      <c r="C1372" s="2" t="s">
        <v>89</v>
      </c>
      <c r="D1372" s="2" t="s">
        <v>66</v>
      </c>
      <c r="E1372" s="2">
        <v>32</v>
      </c>
      <c r="F1372" s="2">
        <v>65</v>
      </c>
      <c r="G1372" s="2">
        <v>166</v>
      </c>
      <c r="H1372" s="9">
        <f t="shared" si="21"/>
        <v>23.588329220496444</v>
      </c>
      <c r="I1372" s="2" t="str" cm="1">
        <f t="array" ref="I1372">_xlfn.IFS(F1372&gt;=100,"Over weight",F1372&lt;100,"Average weight")</f>
        <v>Average weight</v>
      </c>
      <c r="J1372" s="2" t="str" cm="1">
        <f t="array" ref="J1372">_xlfn.IFS(G1372&lt;164,"Below Average height",G1372&gt;=165,"Above Average height",G1372=164,"Average height")</f>
        <v>Above Average height</v>
      </c>
      <c r="K1372" s="2" t="str" cm="1">
        <f t="array" ref="K1372">_xlfn.IFS(E1372&lt;=16,"Children",E1372&lt;=30,"Young Adults",E1372&lt;=45,"Middle-aged Adults",E1372&gt;45,"Old Adults")</f>
        <v>Middle-aged Adults</v>
      </c>
    </row>
    <row r="1373" spans="1:11" x14ac:dyDescent="0.45">
      <c r="A1373" s="2">
        <v>1606</v>
      </c>
      <c r="B1373" s="2" t="s">
        <v>1711</v>
      </c>
      <c r="C1373" s="2" t="s">
        <v>85</v>
      </c>
      <c r="D1373" s="2" t="s">
        <v>4</v>
      </c>
      <c r="E1373" s="2">
        <v>22</v>
      </c>
      <c r="F1373" s="2">
        <v>79</v>
      </c>
      <c r="G1373" s="2">
        <v>179</v>
      </c>
      <c r="H1373" s="9">
        <f t="shared" si="21"/>
        <v>24.655909615804749</v>
      </c>
      <c r="I1373" s="2" t="str" cm="1">
        <f t="array" ref="I1373">_xlfn.IFS(F1373&gt;=100,"Over weight",F1373&lt;100,"Average weight")</f>
        <v>Average weight</v>
      </c>
      <c r="J1373" s="2" t="str" cm="1">
        <f t="array" ref="J1373">_xlfn.IFS(G1373&lt;164,"Below Average height",G1373&gt;=165,"Above Average height",G1373=164,"Average height")</f>
        <v>Above Average height</v>
      </c>
      <c r="K1373" s="2" t="str" cm="1">
        <f t="array" ref="K1373">_xlfn.IFS(E1373&lt;=16,"Children",E1373&lt;=30,"Young Adults",E1373&lt;=45,"Middle-aged Adults",E1373&gt;45,"Old Adults")</f>
        <v>Young Adults</v>
      </c>
    </row>
    <row r="1374" spans="1:11" x14ac:dyDescent="0.45">
      <c r="A1374" s="2">
        <v>1607</v>
      </c>
      <c r="B1374" s="2" t="s">
        <v>1712</v>
      </c>
      <c r="C1374" s="2" t="s">
        <v>89</v>
      </c>
      <c r="D1374" s="2" t="s">
        <v>14</v>
      </c>
      <c r="E1374" s="2">
        <v>24</v>
      </c>
      <c r="F1374" s="2">
        <v>73</v>
      </c>
      <c r="G1374" s="2">
        <v>171</v>
      </c>
      <c r="H1374" s="9">
        <f t="shared" si="21"/>
        <v>24.964946479258579</v>
      </c>
      <c r="I1374" s="2" t="str" cm="1">
        <f t="array" ref="I1374">_xlfn.IFS(F1374&gt;=100,"Over weight",F1374&lt;100,"Average weight")</f>
        <v>Average weight</v>
      </c>
      <c r="J1374" s="2" t="str" cm="1">
        <f t="array" ref="J1374">_xlfn.IFS(G1374&lt;164,"Below Average height",G1374&gt;=165,"Above Average height",G1374=164,"Average height")</f>
        <v>Above Average height</v>
      </c>
      <c r="K1374" s="2" t="str" cm="1">
        <f t="array" ref="K1374">_xlfn.IFS(E1374&lt;=16,"Children",E1374&lt;=30,"Young Adults",E1374&lt;=45,"Middle-aged Adults",E1374&gt;45,"Old Adults")</f>
        <v>Young Adults</v>
      </c>
    </row>
    <row r="1375" spans="1:11" x14ac:dyDescent="0.45">
      <c r="A1375" s="2">
        <v>1609</v>
      </c>
      <c r="B1375" s="2" t="s">
        <v>1714</v>
      </c>
      <c r="C1375" s="2" t="s">
        <v>87</v>
      </c>
      <c r="D1375" s="2" t="s">
        <v>75</v>
      </c>
      <c r="E1375" s="2">
        <v>29</v>
      </c>
      <c r="F1375" s="2">
        <v>88</v>
      </c>
      <c r="G1375" s="2">
        <v>182</v>
      </c>
      <c r="H1375" s="9">
        <f t="shared" si="21"/>
        <v>26.566839753652939</v>
      </c>
      <c r="I1375" s="2" t="str" cm="1">
        <f t="array" ref="I1375">_xlfn.IFS(F1375&gt;=100,"Over weight",F1375&lt;100,"Average weight")</f>
        <v>Average weight</v>
      </c>
      <c r="J1375" s="2" t="str" cm="1">
        <f t="array" ref="J1375">_xlfn.IFS(G1375&lt;164,"Below Average height",G1375&gt;=165,"Above Average height",G1375=164,"Average height")</f>
        <v>Above Average height</v>
      </c>
      <c r="K1375" s="2" t="str" cm="1">
        <f t="array" ref="K1375">_xlfn.IFS(E1375&lt;=16,"Children",E1375&lt;=30,"Young Adults",E1375&lt;=45,"Middle-aged Adults",E1375&gt;45,"Old Adults")</f>
        <v>Young Adults</v>
      </c>
    </row>
    <row r="1376" spans="1:11" x14ac:dyDescent="0.45">
      <c r="A1376" s="2">
        <v>1610</v>
      </c>
      <c r="B1376" s="2" t="s">
        <v>1715</v>
      </c>
      <c r="C1376" s="2" t="s">
        <v>92</v>
      </c>
      <c r="D1376" s="2" t="s">
        <v>28</v>
      </c>
      <c r="E1376" s="2">
        <v>31</v>
      </c>
      <c r="F1376" s="2">
        <v>65</v>
      </c>
      <c r="G1376" s="2">
        <v>181</v>
      </c>
      <c r="H1376" s="9">
        <f t="shared" si="21"/>
        <v>19.840664204389366</v>
      </c>
      <c r="I1376" s="2" t="str" cm="1">
        <f t="array" ref="I1376">_xlfn.IFS(F1376&gt;=100,"Over weight",F1376&lt;100,"Average weight")</f>
        <v>Average weight</v>
      </c>
      <c r="J1376" s="2" t="str" cm="1">
        <f t="array" ref="J1376">_xlfn.IFS(G1376&lt;164,"Below Average height",G1376&gt;=165,"Above Average height",G1376=164,"Average height")</f>
        <v>Above Average height</v>
      </c>
      <c r="K1376" s="2" t="str" cm="1">
        <f t="array" ref="K1376">_xlfn.IFS(E1376&lt;=16,"Children",E1376&lt;=30,"Young Adults",E1376&lt;=45,"Middle-aged Adults",E1376&gt;45,"Old Adults")</f>
        <v>Middle-aged Adults</v>
      </c>
    </row>
    <row r="1377" spans="1:11" x14ac:dyDescent="0.45">
      <c r="A1377" s="2">
        <v>1611</v>
      </c>
      <c r="B1377" s="2" t="s">
        <v>1716</v>
      </c>
      <c r="C1377" s="2" t="s">
        <v>99</v>
      </c>
      <c r="D1377" s="2" t="s">
        <v>28</v>
      </c>
      <c r="E1377" s="2">
        <v>23</v>
      </c>
      <c r="F1377" s="2">
        <v>59</v>
      </c>
      <c r="G1377" s="2">
        <v>165</v>
      </c>
      <c r="H1377" s="9">
        <f t="shared" si="21"/>
        <v>21.6712580348944</v>
      </c>
      <c r="I1377" s="2" t="str" cm="1">
        <f t="array" ref="I1377">_xlfn.IFS(F1377&gt;=100,"Over weight",F1377&lt;100,"Average weight")</f>
        <v>Average weight</v>
      </c>
      <c r="J1377" s="2" t="str" cm="1">
        <f t="array" ref="J1377">_xlfn.IFS(G1377&lt;164,"Below Average height",G1377&gt;=165,"Above Average height",G1377=164,"Average height")</f>
        <v>Above Average height</v>
      </c>
      <c r="K1377" s="2" t="str" cm="1">
        <f t="array" ref="K1377">_xlfn.IFS(E1377&lt;=16,"Children",E1377&lt;=30,"Young Adults",E1377&lt;=45,"Middle-aged Adults",E1377&gt;45,"Old Adults")</f>
        <v>Young Adults</v>
      </c>
    </row>
    <row r="1378" spans="1:11" x14ac:dyDescent="0.45">
      <c r="A1378" s="2">
        <v>1612</v>
      </c>
      <c r="B1378" s="2" t="s">
        <v>1717</v>
      </c>
      <c r="C1378" s="2" t="s">
        <v>85</v>
      </c>
      <c r="D1378" s="2" t="s">
        <v>28</v>
      </c>
      <c r="E1378" s="2">
        <v>25</v>
      </c>
      <c r="F1378" s="2">
        <v>86</v>
      </c>
      <c r="G1378" s="2">
        <v>184</v>
      </c>
      <c r="H1378" s="9">
        <f t="shared" si="21"/>
        <v>25.401701323251416</v>
      </c>
      <c r="I1378" s="2" t="str" cm="1">
        <f t="array" ref="I1378">_xlfn.IFS(F1378&gt;=100,"Over weight",F1378&lt;100,"Average weight")</f>
        <v>Average weight</v>
      </c>
      <c r="J1378" s="2" t="str" cm="1">
        <f t="array" ref="J1378">_xlfn.IFS(G1378&lt;164,"Below Average height",G1378&gt;=165,"Above Average height",G1378=164,"Average height")</f>
        <v>Above Average height</v>
      </c>
      <c r="K1378" s="2" t="str" cm="1">
        <f t="array" ref="K1378">_xlfn.IFS(E1378&lt;=16,"Children",E1378&lt;=30,"Young Adults",E1378&lt;=45,"Middle-aged Adults",E1378&gt;45,"Old Adults")</f>
        <v>Young Adults</v>
      </c>
    </row>
    <row r="1379" spans="1:11" x14ac:dyDescent="0.45">
      <c r="A1379" s="2">
        <v>1613</v>
      </c>
      <c r="B1379" s="2" t="s">
        <v>1718</v>
      </c>
      <c r="C1379" s="2" t="s">
        <v>91</v>
      </c>
      <c r="D1379" s="2" t="s">
        <v>74</v>
      </c>
      <c r="E1379" s="2">
        <v>23</v>
      </c>
      <c r="F1379" s="2">
        <v>64</v>
      </c>
      <c r="G1379" s="2">
        <v>165</v>
      </c>
      <c r="H1379" s="9">
        <f t="shared" si="21"/>
        <v>23.507805325987146</v>
      </c>
      <c r="I1379" s="2" t="str" cm="1">
        <f t="array" ref="I1379">_xlfn.IFS(F1379&gt;=100,"Over weight",F1379&lt;100,"Average weight")</f>
        <v>Average weight</v>
      </c>
      <c r="J1379" s="2" t="str" cm="1">
        <f t="array" ref="J1379">_xlfn.IFS(G1379&lt;164,"Below Average height",G1379&gt;=165,"Above Average height",G1379=164,"Average height")</f>
        <v>Above Average height</v>
      </c>
      <c r="K1379" s="2" t="str" cm="1">
        <f t="array" ref="K1379">_xlfn.IFS(E1379&lt;=16,"Children",E1379&lt;=30,"Young Adults",E1379&lt;=45,"Middle-aged Adults",E1379&gt;45,"Old Adults")</f>
        <v>Young Adults</v>
      </c>
    </row>
    <row r="1380" spans="1:11" x14ac:dyDescent="0.45">
      <c r="A1380" s="2">
        <v>1614</v>
      </c>
      <c r="B1380" s="2" t="s">
        <v>1719</v>
      </c>
      <c r="C1380" s="2" t="s">
        <v>94</v>
      </c>
      <c r="D1380" s="2" t="s">
        <v>80</v>
      </c>
      <c r="E1380" s="2">
        <v>26</v>
      </c>
      <c r="F1380" s="2">
        <v>73</v>
      </c>
      <c r="G1380" s="2">
        <v>178</v>
      </c>
      <c r="H1380" s="9">
        <f t="shared" si="21"/>
        <v>23.040020199469762</v>
      </c>
      <c r="I1380" s="2" t="str" cm="1">
        <f t="array" ref="I1380">_xlfn.IFS(F1380&gt;=100,"Over weight",F1380&lt;100,"Average weight")</f>
        <v>Average weight</v>
      </c>
      <c r="J1380" s="2" t="str" cm="1">
        <f t="array" ref="J1380">_xlfn.IFS(G1380&lt;164,"Below Average height",G1380&gt;=165,"Above Average height",G1380=164,"Average height")</f>
        <v>Above Average height</v>
      </c>
      <c r="K1380" s="2" t="str" cm="1">
        <f t="array" ref="K1380">_xlfn.IFS(E1380&lt;=16,"Children",E1380&lt;=30,"Young Adults",E1380&lt;=45,"Middle-aged Adults",E1380&gt;45,"Old Adults")</f>
        <v>Young Adults</v>
      </c>
    </row>
    <row r="1381" spans="1:11" x14ac:dyDescent="0.45">
      <c r="A1381" s="2">
        <v>1615</v>
      </c>
      <c r="B1381" s="2" t="s">
        <v>1720</v>
      </c>
      <c r="C1381" s="2" t="s">
        <v>95</v>
      </c>
      <c r="D1381" s="2" t="s">
        <v>80</v>
      </c>
      <c r="E1381" s="2">
        <v>32</v>
      </c>
      <c r="F1381" s="2">
        <v>94</v>
      </c>
      <c r="G1381" s="2">
        <v>191</v>
      </c>
      <c r="H1381" s="9">
        <f t="shared" si="21"/>
        <v>25.766837531865903</v>
      </c>
      <c r="I1381" s="2" t="str" cm="1">
        <f t="array" ref="I1381">_xlfn.IFS(F1381&gt;=100,"Over weight",F1381&lt;100,"Average weight")</f>
        <v>Average weight</v>
      </c>
      <c r="J1381" s="2" t="str" cm="1">
        <f t="array" ref="J1381">_xlfn.IFS(G1381&lt;164,"Below Average height",G1381&gt;=165,"Above Average height",G1381=164,"Average height")</f>
        <v>Above Average height</v>
      </c>
      <c r="K1381" s="2" t="str" cm="1">
        <f t="array" ref="K1381">_xlfn.IFS(E1381&lt;=16,"Children",E1381&lt;=30,"Young Adults",E1381&lt;=45,"Middle-aged Adults",E1381&gt;45,"Old Adults")</f>
        <v>Middle-aged Adults</v>
      </c>
    </row>
    <row r="1382" spans="1:11" x14ac:dyDescent="0.45">
      <c r="A1382" s="2">
        <v>1616</v>
      </c>
      <c r="B1382" s="2" t="s">
        <v>1721</v>
      </c>
      <c r="C1382" s="2" t="s">
        <v>96</v>
      </c>
      <c r="D1382" s="2" t="s">
        <v>80</v>
      </c>
      <c r="E1382" s="2">
        <v>33</v>
      </c>
      <c r="F1382" s="2">
        <v>47</v>
      </c>
      <c r="G1382" s="2">
        <v>173</v>
      </c>
      <c r="H1382" s="9">
        <f t="shared" si="21"/>
        <v>15.703832403354605</v>
      </c>
      <c r="I1382" s="2" t="str" cm="1">
        <f t="array" ref="I1382">_xlfn.IFS(F1382&gt;=100,"Over weight",F1382&lt;100,"Average weight")</f>
        <v>Average weight</v>
      </c>
      <c r="J1382" s="2" t="str" cm="1">
        <f t="array" ref="J1382">_xlfn.IFS(G1382&lt;164,"Below Average height",G1382&gt;=165,"Above Average height",G1382=164,"Average height")</f>
        <v>Above Average height</v>
      </c>
      <c r="K1382" s="2" t="str" cm="1">
        <f t="array" ref="K1382">_xlfn.IFS(E1382&lt;=16,"Children",E1382&lt;=30,"Young Adults",E1382&lt;=45,"Middle-aged Adults",E1382&gt;45,"Old Adults")</f>
        <v>Middle-aged Adults</v>
      </c>
    </row>
    <row r="1383" spans="1:11" x14ac:dyDescent="0.45">
      <c r="A1383" s="2">
        <v>1618</v>
      </c>
      <c r="B1383" s="2" t="s">
        <v>1723</v>
      </c>
      <c r="C1383" s="2" t="s">
        <v>91</v>
      </c>
      <c r="D1383" s="2" t="s">
        <v>14</v>
      </c>
      <c r="E1383" s="2">
        <v>36</v>
      </c>
      <c r="F1383" s="2">
        <v>91</v>
      </c>
      <c r="G1383" s="2">
        <v>185</v>
      </c>
      <c r="H1383" s="9">
        <f t="shared" si="21"/>
        <v>26.588750913075234</v>
      </c>
      <c r="I1383" s="2" t="str" cm="1">
        <f t="array" ref="I1383">_xlfn.IFS(F1383&gt;=100,"Over weight",F1383&lt;100,"Average weight")</f>
        <v>Average weight</v>
      </c>
      <c r="J1383" s="2" t="str" cm="1">
        <f t="array" ref="J1383">_xlfn.IFS(G1383&lt;164,"Below Average height",G1383&gt;=165,"Above Average height",G1383=164,"Average height")</f>
        <v>Above Average height</v>
      </c>
      <c r="K1383" s="2" t="str" cm="1">
        <f t="array" ref="K1383">_xlfn.IFS(E1383&lt;=16,"Children",E1383&lt;=30,"Young Adults",E1383&lt;=45,"Middle-aged Adults",E1383&gt;45,"Old Adults")</f>
        <v>Middle-aged Adults</v>
      </c>
    </row>
    <row r="1384" spans="1:11" x14ac:dyDescent="0.45">
      <c r="A1384" s="2">
        <v>1619</v>
      </c>
      <c r="B1384" s="2" t="s">
        <v>1724</v>
      </c>
      <c r="C1384" s="2" t="s">
        <v>89</v>
      </c>
      <c r="D1384" s="2" t="s">
        <v>63</v>
      </c>
      <c r="E1384" s="2">
        <v>25</v>
      </c>
      <c r="F1384" s="2">
        <v>78</v>
      </c>
      <c r="G1384" s="2">
        <v>180</v>
      </c>
      <c r="H1384" s="9">
        <f t="shared" si="21"/>
        <v>24.074074074074073</v>
      </c>
      <c r="I1384" s="2" t="str" cm="1">
        <f t="array" ref="I1384">_xlfn.IFS(F1384&gt;=100,"Over weight",F1384&lt;100,"Average weight")</f>
        <v>Average weight</v>
      </c>
      <c r="J1384" s="2" t="str" cm="1">
        <f t="array" ref="J1384">_xlfn.IFS(G1384&lt;164,"Below Average height",G1384&gt;=165,"Above Average height",G1384=164,"Average height")</f>
        <v>Above Average height</v>
      </c>
      <c r="K1384" s="2" t="str" cm="1">
        <f t="array" ref="K1384">_xlfn.IFS(E1384&lt;=16,"Children",E1384&lt;=30,"Young Adults",E1384&lt;=45,"Middle-aged Adults",E1384&gt;45,"Old Adults")</f>
        <v>Young Adults</v>
      </c>
    </row>
    <row r="1385" spans="1:11" x14ac:dyDescent="0.45">
      <c r="A1385" s="2">
        <v>1620</v>
      </c>
      <c r="B1385" s="2" t="s">
        <v>1725</v>
      </c>
      <c r="C1385" s="2" t="s">
        <v>89</v>
      </c>
      <c r="D1385" s="2" t="s">
        <v>25</v>
      </c>
      <c r="E1385" s="2">
        <v>28</v>
      </c>
      <c r="F1385" s="2">
        <v>81</v>
      </c>
      <c r="G1385" s="2">
        <v>185</v>
      </c>
      <c r="H1385" s="9">
        <f t="shared" si="21"/>
        <v>23.666910153396639</v>
      </c>
      <c r="I1385" s="2" t="str" cm="1">
        <f t="array" ref="I1385">_xlfn.IFS(F1385&gt;=100,"Over weight",F1385&lt;100,"Average weight")</f>
        <v>Average weight</v>
      </c>
      <c r="J1385" s="2" t="str" cm="1">
        <f t="array" ref="J1385">_xlfn.IFS(G1385&lt;164,"Below Average height",G1385&gt;=165,"Above Average height",G1385=164,"Average height")</f>
        <v>Above Average height</v>
      </c>
      <c r="K1385" s="2" t="str" cm="1">
        <f t="array" ref="K1385">_xlfn.IFS(E1385&lt;=16,"Children",E1385&lt;=30,"Young Adults",E1385&lt;=45,"Middle-aged Adults",E1385&gt;45,"Old Adults")</f>
        <v>Young Adults</v>
      </c>
    </row>
    <row r="1386" spans="1:11" x14ac:dyDescent="0.45">
      <c r="A1386" s="2">
        <v>1621</v>
      </c>
      <c r="B1386" s="2" t="s">
        <v>1726</v>
      </c>
      <c r="C1386" s="2" t="s">
        <v>90</v>
      </c>
      <c r="D1386" s="2" t="s">
        <v>63</v>
      </c>
      <c r="E1386" s="2">
        <v>28</v>
      </c>
      <c r="F1386" s="2">
        <v>95</v>
      </c>
      <c r="G1386" s="2">
        <v>191</v>
      </c>
      <c r="H1386" s="9">
        <f t="shared" si="21"/>
        <v>26.040952824758094</v>
      </c>
      <c r="I1386" s="2" t="str" cm="1">
        <f t="array" ref="I1386">_xlfn.IFS(F1386&gt;=100,"Over weight",F1386&lt;100,"Average weight")</f>
        <v>Average weight</v>
      </c>
      <c r="J1386" s="2" t="str" cm="1">
        <f t="array" ref="J1386">_xlfn.IFS(G1386&lt;164,"Below Average height",G1386&gt;=165,"Above Average height",G1386=164,"Average height")</f>
        <v>Above Average height</v>
      </c>
      <c r="K1386" s="2" t="str" cm="1">
        <f t="array" ref="K1386">_xlfn.IFS(E1386&lt;=16,"Children",E1386&lt;=30,"Young Adults",E1386&lt;=45,"Middle-aged Adults",E1386&gt;45,"Old Adults")</f>
        <v>Young Adults</v>
      </c>
    </row>
    <row r="1387" spans="1:11" x14ac:dyDescent="0.45">
      <c r="A1387" s="2">
        <v>1622</v>
      </c>
      <c r="B1387" s="2" t="s">
        <v>1727</v>
      </c>
      <c r="C1387" s="2" t="s">
        <v>85</v>
      </c>
      <c r="D1387" s="2" t="s">
        <v>48</v>
      </c>
      <c r="E1387" s="2">
        <v>25</v>
      </c>
      <c r="F1387" s="2">
        <v>60</v>
      </c>
      <c r="G1387" s="2">
        <v>167</v>
      </c>
      <c r="H1387" s="9">
        <f t="shared" si="21"/>
        <v>21.513858510523864</v>
      </c>
      <c r="I1387" s="2" t="str" cm="1">
        <f t="array" ref="I1387">_xlfn.IFS(F1387&gt;=100,"Over weight",F1387&lt;100,"Average weight")</f>
        <v>Average weight</v>
      </c>
      <c r="J1387" s="2" t="str" cm="1">
        <f t="array" ref="J1387">_xlfn.IFS(G1387&lt;164,"Below Average height",G1387&gt;=165,"Above Average height",G1387=164,"Average height")</f>
        <v>Above Average height</v>
      </c>
      <c r="K1387" s="2" t="str" cm="1">
        <f t="array" ref="K1387">_xlfn.IFS(E1387&lt;=16,"Children",E1387&lt;=30,"Young Adults",E1387&lt;=45,"Middle-aged Adults",E1387&gt;45,"Old Adults")</f>
        <v>Young Adults</v>
      </c>
    </row>
    <row r="1388" spans="1:11" x14ac:dyDescent="0.45">
      <c r="A1388" s="2">
        <v>1623</v>
      </c>
      <c r="B1388" s="2" t="s">
        <v>1728</v>
      </c>
      <c r="C1388" s="2" t="s">
        <v>91</v>
      </c>
      <c r="D1388" s="2" t="s">
        <v>25</v>
      </c>
      <c r="E1388" s="2">
        <v>29</v>
      </c>
      <c r="F1388" s="2">
        <v>85</v>
      </c>
      <c r="G1388" s="2">
        <v>183</v>
      </c>
      <c r="H1388" s="9">
        <f t="shared" si="21"/>
        <v>25.381468541909282</v>
      </c>
      <c r="I1388" s="2" t="str" cm="1">
        <f t="array" ref="I1388">_xlfn.IFS(F1388&gt;=100,"Over weight",F1388&lt;100,"Average weight")</f>
        <v>Average weight</v>
      </c>
      <c r="J1388" s="2" t="str" cm="1">
        <f t="array" ref="J1388">_xlfn.IFS(G1388&lt;164,"Below Average height",G1388&gt;=165,"Above Average height",G1388=164,"Average height")</f>
        <v>Above Average height</v>
      </c>
      <c r="K1388" s="2" t="str" cm="1">
        <f t="array" ref="K1388">_xlfn.IFS(E1388&lt;=16,"Children",E1388&lt;=30,"Young Adults",E1388&lt;=45,"Middle-aged Adults",E1388&gt;45,"Old Adults")</f>
        <v>Young Adults</v>
      </c>
    </row>
    <row r="1389" spans="1:11" x14ac:dyDescent="0.45">
      <c r="A1389" s="2">
        <v>1624</v>
      </c>
      <c r="B1389" s="2" t="s">
        <v>1729</v>
      </c>
      <c r="C1389" s="2" t="s">
        <v>91</v>
      </c>
      <c r="D1389" s="2" t="s">
        <v>66</v>
      </c>
      <c r="E1389" s="2">
        <v>27</v>
      </c>
      <c r="F1389" s="2">
        <v>100</v>
      </c>
      <c r="G1389" s="2">
        <v>191</v>
      </c>
      <c r="H1389" s="9">
        <f t="shared" si="21"/>
        <v>27.411529289219047</v>
      </c>
      <c r="I1389" s="2" t="str" cm="1">
        <f t="array" ref="I1389">_xlfn.IFS(F1389&gt;=100,"Over weight",F1389&lt;100,"Average weight")</f>
        <v>Over weight</v>
      </c>
      <c r="J1389" s="2" t="str" cm="1">
        <f t="array" ref="J1389">_xlfn.IFS(G1389&lt;164,"Below Average height",G1389&gt;=165,"Above Average height",G1389=164,"Average height")</f>
        <v>Above Average height</v>
      </c>
      <c r="K1389" s="2" t="str" cm="1">
        <f t="array" ref="K1389">_xlfn.IFS(E1389&lt;=16,"Children",E1389&lt;=30,"Young Adults",E1389&lt;=45,"Middle-aged Adults",E1389&gt;45,"Old Adults")</f>
        <v>Young Adults</v>
      </c>
    </row>
    <row r="1390" spans="1:11" x14ac:dyDescent="0.45">
      <c r="A1390" s="2">
        <v>1625</v>
      </c>
      <c r="B1390" s="2" t="s">
        <v>1730</v>
      </c>
      <c r="C1390" s="2" t="s">
        <v>88</v>
      </c>
      <c r="D1390" s="2" t="s">
        <v>74</v>
      </c>
      <c r="E1390" s="2">
        <v>26</v>
      </c>
      <c r="F1390" s="2">
        <v>63</v>
      </c>
      <c r="G1390" s="2">
        <v>178</v>
      </c>
      <c r="H1390" s="9">
        <f t="shared" si="21"/>
        <v>19.883853048857468</v>
      </c>
      <c r="I1390" s="2" t="str" cm="1">
        <f t="array" ref="I1390">_xlfn.IFS(F1390&gt;=100,"Over weight",F1390&lt;100,"Average weight")</f>
        <v>Average weight</v>
      </c>
      <c r="J1390" s="2" t="str" cm="1">
        <f t="array" ref="J1390">_xlfn.IFS(G1390&lt;164,"Below Average height",G1390&gt;=165,"Above Average height",G1390=164,"Average height")</f>
        <v>Above Average height</v>
      </c>
      <c r="K1390" s="2" t="str" cm="1">
        <f t="array" ref="K1390">_xlfn.IFS(E1390&lt;=16,"Children",E1390&lt;=30,"Young Adults",E1390&lt;=45,"Middle-aged Adults",E1390&gt;45,"Old Adults")</f>
        <v>Young Adults</v>
      </c>
    </row>
    <row r="1391" spans="1:11" x14ac:dyDescent="0.45">
      <c r="A1391" s="2">
        <v>1626</v>
      </c>
      <c r="B1391" s="2" t="s">
        <v>1731</v>
      </c>
      <c r="C1391" s="2" t="s">
        <v>88</v>
      </c>
      <c r="D1391" s="2" t="s">
        <v>74</v>
      </c>
      <c r="E1391" s="2">
        <v>27</v>
      </c>
      <c r="F1391" s="2">
        <v>80</v>
      </c>
      <c r="G1391" s="2">
        <v>190</v>
      </c>
      <c r="H1391" s="9">
        <f t="shared" si="21"/>
        <v>22.1606648199446</v>
      </c>
      <c r="I1391" s="2" t="str" cm="1">
        <f t="array" ref="I1391">_xlfn.IFS(F1391&gt;=100,"Over weight",F1391&lt;100,"Average weight")</f>
        <v>Average weight</v>
      </c>
      <c r="J1391" s="2" t="str" cm="1">
        <f t="array" ref="J1391">_xlfn.IFS(G1391&lt;164,"Below Average height",G1391&gt;=165,"Above Average height",G1391=164,"Average height")</f>
        <v>Above Average height</v>
      </c>
      <c r="K1391" s="2" t="str" cm="1">
        <f t="array" ref="K1391">_xlfn.IFS(E1391&lt;=16,"Children",E1391&lt;=30,"Young Adults",E1391&lt;=45,"Middle-aged Adults",E1391&gt;45,"Old Adults")</f>
        <v>Young Adults</v>
      </c>
    </row>
    <row r="1392" spans="1:11" x14ac:dyDescent="0.45">
      <c r="A1392" s="2">
        <v>1627</v>
      </c>
      <c r="B1392" s="2" t="s">
        <v>1732</v>
      </c>
      <c r="C1392" s="2" t="s">
        <v>95</v>
      </c>
      <c r="D1392" s="2" t="s">
        <v>70</v>
      </c>
      <c r="E1392" s="2">
        <v>28</v>
      </c>
      <c r="F1392" s="2">
        <v>80</v>
      </c>
      <c r="G1392" s="2">
        <v>177</v>
      </c>
      <c r="H1392" s="9">
        <f t="shared" si="21"/>
        <v>25.535446391522228</v>
      </c>
      <c r="I1392" s="2" t="str" cm="1">
        <f t="array" ref="I1392">_xlfn.IFS(F1392&gt;=100,"Over weight",F1392&lt;100,"Average weight")</f>
        <v>Average weight</v>
      </c>
      <c r="J1392" s="2" t="str" cm="1">
        <f t="array" ref="J1392">_xlfn.IFS(G1392&lt;164,"Below Average height",G1392&gt;=165,"Above Average height",G1392=164,"Average height")</f>
        <v>Above Average height</v>
      </c>
      <c r="K1392" s="2" t="str" cm="1">
        <f t="array" ref="K1392">_xlfn.IFS(E1392&lt;=16,"Children",E1392&lt;=30,"Young Adults",E1392&lt;=45,"Middle-aged Adults",E1392&gt;45,"Old Adults")</f>
        <v>Young Adults</v>
      </c>
    </row>
    <row r="1393" spans="1:11" x14ac:dyDescent="0.45">
      <c r="A1393" s="2">
        <v>1628</v>
      </c>
      <c r="B1393" s="2" t="s">
        <v>1733</v>
      </c>
      <c r="C1393" s="2" t="s">
        <v>87</v>
      </c>
      <c r="D1393" s="2" t="s">
        <v>41</v>
      </c>
      <c r="E1393" s="2">
        <v>24</v>
      </c>
      <c r="F1393" s="2">
        <v>65</v>
      </c>
      <c r="G1393" s="2">
        <v>165</v>
      </c>
      <c r="H1393" s="9">
        <f t="shared" si="21"/>
        <v>23.875114784205696</v>
      </c>
      <c r="I1393" s="2" t="str" cm="1">
        <f t="array" ref="I1393">_xlfn.IFS(F1393&gt;=100,"Over weight",F1393&lt;100,"Average weight")</f>
        <v>Average weight</v>
      </c>
      <c r="J1393" s="2" t="str" cm="1">
        <f t="array" ref="J1393">_xlfn.IFS(G1393&lt;164,"Below Average height",G1393&gt;=165,"Above Average height",G1393=164,"Average height")</f>
        <v>Above Average height</v>
      </c>
      <c r="K1393" s="2" t="str" cm="1">
        <f t="array" ref="K1393">_xlfn.IFS(E1393&lt;=16,"Children",E1393&lt;=30,"Young Adults",E1393&lt;=45,"Middle-aged Adults",E1393&gt;45,"Old Adults")</f>
        <v>Young Adults</v>
      </c>
    </row>
    <row r="1394" spans="1:11" x14ac:dyDescent="0.45">
      <c r="A1394" s="2">
        <v>1629</v>
      </c>
      <c r="B1394" s="2" t="s">
        <v>1734</v>
      </c>
      <c r="C1394" s="2" t="s">
        <v>91</v>
      </c>
      <c r="D1394" s="2" t="s">
        <v>25</v>
      </c>
      <c r="E1394" s="2">
        <v>28</v>
      </c>
      <c r="F1394" s="2">
        <v>90</v>
      </c>
      <c r="G1394" s="2">
        <v>183</v>
      </c>
      <c r="H1394" s="9">
        <f t="shared" si="21"/>
        <v>26.874496103198062</v>
      </c>
      <c r="I1394" s="2" t="str" cm="1">
        <f t="array" ref="I1394">_xlfn.IFS(F1394&gt;=100,"Over weight",F1394&lt;100,"Average weight")</f>
        <v>Average weight</v>
      </c>
      <c r="J1394" s="2" t="str" cm="1">
        <f t="array" ref="J1394">_xlfn.IFS(G1394&lt;164,"Below Average height",G1394&gt;=165,"Above Average height",G1394=164,"Average height")</f>
        <v>Above Average height</v>
      </c>
      <c r="K1394" s="2" t="str" cm="1">
        <f t="array" ref="K1394">_xlfn.IFS(E1394&lt;=16,"Children",E1394&lt;=30,"Young Adults",E1394&lt;=45,"Middle-aged Adults",E1394&gt;45,"Old Adults")</f>
        <v>Young Adults</v>
      </c>
    </row>
    <row r="1395" spans="1:11" x14ac:dyDescent="0.45">
      <c r="A1395" s="2">
        <v>1630</v>
      </c>
      <c r="B1395" s="2" t="s">
        <v>1735</v>
      </c>
      <c r="C1395" s="2" t="s">
        <v>87</v>
      </c>
      <c r="D1395" s="2" t="s">
        <v>14</v>
      </c>
      <c r="E1395" s="2">
        <v>30</v>
      </c>
      <c r="F1395" s="2">
        <v>77</v>
      </c>
      <c r="G1395" s="2">
        <v>177</v>
      </c>
      <c r="H1395" s="9">
        <f t="shared" si="21"/>
        <v>24.577867151840145</v>
      </c>
      <c r="I1395" s="2" t="str" cm="1">
        <f t="array" ref="I1395">_xlfn.IFS(F1395&gt;=100,"Over weight",F1395&lt;100,"Average weight")</f>
        <v>Average weight</v>
      </c>
      <c r="J1395" s="2" t="str" cm="1">
        <f t="array" ref="J1395">_xlfn.IFS(G1395&lt;164,"Below Average height",G1395&gt;=165,"Above Average height",G1395=164,"Average height")</f>
        <v>Above Average height</v>
      </c>
      <c r="K1395" s="2" t="str" cm="1">
        <f t="array" ref="K1395">_xlfn.IFS(E1395&lt;=16,"Children",E1395&lt;=30,"Young Adults",E1395&lt;=45,"Middle-aged Adults",E1395&gt;45,"Old Adults")</f>
        <v>Young Adults</v>
      </c>
    </row>
    <row r="1396" spans="1:11" x14ac:dyDescent="0.45">
      <c r="A1396" s="2">
        <v>1631</v>
      </c>
      <c r="B1396" s="2" t="s">
        <v>1736</v>
      </c>
      <c r="C1396" s="2" t="s">
        <v>91</v>
      </c>
      <c r="D1396" s="2" t="s">
        <v>46</v>
      </c>
      <c r="E1396" s="2">
        <v>33</v>
      </c>
      <c r="F1396" s="2">
        <v>78</v>
      </c>
      <c r="G1396" s="2">
        <v>177</v>
      </c>
      <c r="H1396" s="9">
        <f t="shared" si="21"/>
        <v>24.897060231734173</v>
      </c>
      <c r="I1396" s="2" t="str" cm="1">
        <f t="array" ref="I1396">_xlfn.IFS(F1396&gt;=100,"Over weight",F1396&lt;100,"Average weight")</f>
        <v>Average weight</v>
      </c>
      <c r="J1396" s="2" t="str" cm="1">
        <f t="array" ref="J1396">_xlfn.IFS(G1396&lt;164,"Below Average height",G1396&gt;=165,"Above Average height",G1396=164,"Average height")</f>
        <v>Above Average height</v>
      </c>
      <c r="K1396" s="2" t="str" cm="1">
        <f t="array" ref="K1396">_xlfn.IFS(E1396&lt;=16,"Children",E1396&lt;=30,"Young Adults",E1396&lt;=45,"Middle-aged Adults",E1396&gt;45,"Old Adults")</f>
        <v>Middle-aged Adults</v>
      </c>
    </row>
    <row r="1397" spans="1:11" x14ac:dyDescent="0.45">
      <c r="A1397" s="2">
        <v>1632</v>
      </c>
      <c r="B1397" s="2" t="s">
        <v>1737</v>
      </c>
      <c r="C1397" s="2" t="s">
        <v>85</v>
      </c>
      <c r="D1397" s="2" t="s">
        <v>47</v>
      </c>
      <c r="E1397" s="2">
        <v>25</v>
      </c>
      <c r="F1397" s="2">
        <v>60</v>
      </c>
      <c r="G1397" s="2">
        <v>168</v>
      </c>
      <c r="H1397" s="9">
        <f t="shared" si="21"/>
        <v>21.258503401360546</v>
      </c>
      <c r="I1397" s="2" t="str" cm="1">
        <f t="array" ref="I1397">_xlfn.IFS(F1397&gt;=100,"Over weight",F1397&lt;100,"Average weight")</f>
        <v>Average weight</v>
      </c>
      <c r="J1397" s="2" t="str" cm="1">
        <f t="array" ref="J1397">_xlfn.IFS(G1397&lt;164,"Below Average height",G1397&gt;=165,"Above Average height",G1397=164,"Average height")</f>
        <v>Above Average height</v>
      </c>
      <c r="K1397" s="2" t="str" cm="1">
        <f t="array" ref="K1397">_xlfn.IFS(E1397&lt;=16,"Children",E1397&lt;=30,"Young Adults",E1397&lt;=45,"Middle-aged Adults",E1397&gt;45,"Old Adults")</f>
        <v>Young Adults</v>
      </c>
    </row>
    <row r="1398" spans="1:11" x14ac:dyDescent="0.45">
      <c r="A1398" s="2">
        <v>1633</v>
      </c>
      <c r="B1398" s="2" t="s">
        <v>1738</v>
      </c>
      <c r="C1398" s="2" t="s">
        <v>85</v>
      </c>
      <c r="D1398" s="2" t="s">
        <v>29</v>
      </c>
      <c r="E1398" s="2">
        <v>35</v>
      </c>
      <c r="F1398" s="2">
        <v>85</v>
      </c>
      <c r="G1398" s="2">
        <v>180</v>
      </c>
      <c r="H1398" s="9">
        <f t="shared" si="21"/>
        <v>26.234567901234566</v>
      </c>
      <c r="I1398" s="2" t="str" cm="1">
        <f t="array" ref="I1398">_xlfn.IFS(F1398&gt;=100,"Over weight",F1398&lt;100,"Average weight")</f>
        <v>Average weight</v>
      </c>
      <c r="J1398" s="2" t="str" cm="1">
        <f t="array" ref="J1398">_xlfn.IFS(G1398&lt;164,"Below Average height",G1398&gt;=165,"Above Average height",G1398=164,"Average height")</f>
        <v>Above Average height</v>
      </c>
      <c r="K1398" s="2" t="str" cm="1">
        <f t="array" ref="K1398">_xlfn.IFS(E1398&lt;=16,"Children",E1398&lt;=30,"Young Adults",E1398&lt;=45,"Middle-aged Adults",E1398&gt;45,"Old Adults")</f>
        <v>Middle-aged Adults</v>
      </c>
    </row>
    <row r="1399" spans="1:11" x14ac:dyDescent="0.45">
      <c r="A1399" s="2">
        <v>1634</v>
      </c>
      <c r="B1399" s="2" t="s">
        <v>1739</v>
      </c>
      <c r="C1399" s="2" t="s">
        <v>85</v>
      </c>
      <c r="D1399" s="2" t="s">
        <v>30</v>
      </c>
      <c r="E1399" s="2">
        <v>25</v>
      </c>
      <c r="F1399" s="2">
        <v>89</v>
      </c>
      <c r="G1399" s="2">
        <v>182</v>
      </c>
      <c r="H1399" s="9">
        <f t="shared" si="21"/>
        <v>26.868735659944448</v>
      </c>
      <c r="I1399" s="2" t="str" cm="1">
        <f t="array" ref="I1399">_xlfn.IFS(F1399&gt;=100,"Over weight",F1399&lt;100,"Average weight")</f>
        <v>Average weight</v>
      </c>
      <c r="J1399" s="2" t="str" cm="1">
        <f t="array" ref="J1399">_xlfn.IFS(G1399&lt;164,"Below Average height",G1399&gt;=165,"Above Average height",G1399=164,"Average height")</f>
        <v>Above Average height</v>
      </c>
      <c r="K1399" s="2" t="str" cm="1">
        <f t="array" ref="K1399">_xlfn.IFS(E1399&lt;=16,"Children",E1399&lt;=30,"Young Adults",E1399&lt;=45,"Middle-aged Adults",E1399&gt;45,"Old Adults")</f>
        <v>Young Adults</v>
      </c>
    </row>
    <row r="1400" spans="1:11" x14ac:dyDescent="0.45">
      <c r="A1400" s="2">
        <v>1635</v>
      </c>
      <c r="B1400" s="2" t="s">
        <v>1740</v>
      </c>
      <c r="C1400" s="2" t="s">
        <v>93</v>
      </c>
      <c r="D1400" s="2" t="s">
        <v>75</v>
      </c>
      <c r="E1400" s="2">
        <v>27</v>
      </c>
      <c r="F1400" s="2">
        <v>58</v>
      </c>
      <c r="G1400" s="2">
        <v>170</v>
      </c>
      <c r="H1400" s="9">
        <f t="shared" si="21"/>
        <v>20.069204152249139</v>
      </c>
      <c r="I1400" s="2" t="str" cm="1">
        <f t="array" ref="I1400">_xlfn.IFS(F1400&gt;=100,"Over weight",F1400&lt;100,"Average weight")</f>
        <v>Average weight</v>
      </c>
      <c r="J1400" s="2" t="str" cm="1">
        <f t="array" ref="J1400">_xlfn.IFS(G1400&lt;164,"Below Average height",G1400&gt;=165,"Above Average height",G1400=164,"Average height")</f>
        <v>Above Average height</v>
      </c>
      <c r="K1400" s="2" t="str" cm="1">
        <f t="array" ref="K1400">_xlfn.IFS(E1400&lt;=16,"Children",E1400&lt;=30,"Young Adults",E1400&lt;=45,"Middle-aged Adults",E1400&gt;45,"Old Adults")</f>
        <v>Young Adults</v>
      </c>
    </row>
    <row r="1401" spans="1:11" x14ac:dyDescent="0.45">
      <c r="A1401" s="2">
        <v>1636</v>
      </c>
      <c r="B1401" s="2" t="s">
        <v>1741</v>
      </c>
      <c r="C1401" s="2" t="s">
        <v>85</v>
      </c>
      <c r="D1401" s="2" t="s">
        <v>26</v>
      </c>
      <c r="E1401" s="2">
        <v>21</v>
      </c>
      <c r="F1401" s="2">
        <v>65</v>
      </c>
      <c r="G1401" s="2">
        <v>177</v>
      </c>
      <c r="H1401" s="9">
        <f t="shared" si="21"/>
        <v>20.747550193111813</v>
      </c>
      <c r="I1401" s="2" t="str" cm="1">
        <f t="array" ref="I1401">_xlfn.IFS(F1401&gt;=100,"Over weight",F1401&lt;100,"Average weight")</f>
        <v>Average weight</v>
      </c>
      <c r="J1401" s="2" t="str" cm="1">
        <f t="array" ref="J1401">_xlfn.IFS(G1401&lt;164,"Below Average height",G1401&gt;=165,"Above Average height",G1401=164,"Average height")</f>
        <v>Above Average height</v>
      </c>
      <c r="K1401" s="2" t="str" cm="1">
        <f t="array" ref="K1401">_xlfn.IFS(E1401&lt;=16,"Children",E1401&lt;=30,"Young Adults",E1401&lt;=45,"Middle-aged Adults",E1401&gt;45,"Old Adults")</f>
        <v>Young Adults</v>
      </c>
    </row>
    <row r="1402" spans="1:11" x14ac:dyDescent="0.45">
      <c r="A1402" s="2">
        <v>1637</v>
      </c>
      <c r="B1402" s="2" t="s">
        <v>1742</v>
      </c>
      <c r="C1402" s="2" t="s">
        <v>93</v>
      </c>
      <c r="D1402" s="2" t="s">
        <v>41</v>
      </c>
      <c r="E1402" s="2">
        <v>22</v>
      </c>
      <c r="F1402" s="2">
        <v>77</v>
      </c>
      <c r="G1402" s="2">
        <v>177</v>
      </c>
      <c r="H1402" s="9">
        <f t="shared" si="21"/>
        <v>24.577867151840145</v>
      </c>
      <c r="I1402" s="2" t="str" cm="1">
        <f t="array" ref="I1402">_xlfn.IFS(F1402&gt;=100,"Over weight",F1402&lt;100,"Average weight")</f>
        <v>Average weight</v>
      </c>
      <c r="J1402" s="2" t="str" cm="1">
        <f t="array" ref="J1402">_xlfn.IFS(G1402&lt;164,"Below Average height",G1402&gt;=165,"Above Average height",G1402=164,"Average height")</f>
        <v>Above Average height</v>
      </c>
      <c r="K1402" s="2" t="str" cm="1">
        <f t="array" ref="K1402">_xlfn.IFS(E1402&lt;=16,"Children",E1402&lt;=30,"Young Adults",E1402&lt;=45,"Middle-aged Adults",E1402&gt;45,"Old Adults")</f>
        <v>Young Adults</v>
      </c>
    </row>
    <row r="1403" spans="1:11" x14ac:dyDescent="0.45">
      <c r="A1403" s="2">
        <v>1638</v>
      </c>
      <c r="B1403" s="2" t="s">
        <v>1743</v>
      </c>
      <c r="C1403" s="2" t="s">
        <v>89</v>
      </c>
      <c r="D1403" s="2" t="s">
        <v>44</v>
      </c>
      <c r="E1403" s="2">
        <v>20</v>
      </c>
      <c r="F1403" s="2">
        <v>56</v>
      </c>
      <c r="G1403" s="2">
        <v>168</v>
      </c>
      <c r="H1403" s="9">
        <f t="shared" si="21"/>
        <v>19.841269841269845</v>
      </c>
      <c r="I1403" s="2" t="str" cm="1">
        <f t="array" ref="I1403">_xlfn.IFS(F1403&gt;=100,"Over weight",F1403&lt;100,"Average weight")</f>
        <v>Average weight</v>
      </c>
      <c r="J1403" s="2" t="str" cm="1">
        <f t="array" ref="J1403">_xlfn.IFS(G1403&lt;164,"Below Average height",G1403&gt;=165,"Above Average height",G1403=164,"Average height")</f>
        <v>Above Average height</v>
      </c>
      <c r="K1403" s="2" t="str" cm="1">
        <f t="array" ref="K1403">_xlfn.IFS(E1403&lt;=16,"Children",E1403&lt;=30,"Young Adults",E1403&lt;=45,"Middle-aged Adults",E1403&gt;45,"Old Adults")</f>
        <v>Young Adults</v>
      </c>
    </row>
    <row r="1404" spans="1:11" x14ac:dyDescent="0.45">
      <c r="A1404" s="2">
        <v>1639</v>
      </c>
      <c r="B1404" s="2" t="s">
        <v>1744</v>
      </c>
      <c r="C1404" s="2" t="s">
        <v>96</v>
      </c>
      <c r="D1404" s="2" t="s">
        <v>74</v>
      </c>
      <c r="E1404" s="2">
        <v>43</v>
      </c>
      <c r="F1404" s="2">
        <v>47</v>
      </c>
      <c r="G1404" s="2">
        <v>174</v>
      </c>
      <c r="H1404" s="9">
        <f t="shared" si="21"/>
        <v>15.523847271766416</v>
      </c>
      <c r="I1404" s="2" t="str" cm="1">
        <f t="array" ref="I1404">_xlfn.IFS(F1404&gt;=100,"Over weight",F1404&lt;100,"Average weight")</f>
        <v>Average weight</v>
      </c>
      <c r="J1404" s="2" t="str" cm="1">
        <f t="array" ref="J1404">_xlfn.IFS(G1404&lt;164,"Below Average height",G1404&gt;=165,"Above Average height",G1404=164,"Average height")</f>
        <v>Above Average height</v>
      </c>
      <c r="K1404" s="2" t="str" cm="1">
        <f t="array" ref="K1404">_xlfn.IFS(E1404&lt;=16,"Children",E1404&lt;=30,"Young Adults",E1404&lt;=45,"Middle-aged Adults",E1404&gt;45,"Old Adults")</f>
        <v>Middle-aged Adults</v>
      </c>
    </row>
    <row r="1405" spans="1:11" x14ac:dyDescent="0.45">
      <c r="A1405" s="2">
        <v>1640</v>
      </c>
      <c r="B1405" s="2" t="s">
        <v>1745</v>
      </c>
      <c r="C1405" s="2" t="s">
        <v>91</v>
      </c>
      <c r="D1405" s="2" t="s">
        <v>74</v>
      </c>
      <c r="E1405" s="2">
        <v>18</v>
      </c>
      <c r="F1405" s="2">
        <v>68</v>
      </c>
      <c r="G1405" s="2">
        <v>168</v>
      </c>
      <c r="H1405" s="9">
        <f t="shared" si="21"/>
        <v>24.092970521541954</v>
      </c>
      <c r="I1405" s="2" t="str" cm="1">
        <f t="array" ref="I1405">_xlfn.IFS(F1405&gt;=100,"Over weight",F1405&lt;100,"Average weight")</f>
        <v>Average weight</v>
      </c>
      <c r="J1405" s="2" t="str" cm="1">
        <f t="array" ref="J1405">_xlfn.IFS(G1405&lt;164,"Below Average height",G1405&gt;=165,"Above Average height",G1405=164,"Average height")</f>
        <v>Above Average height</v>
      </c>
      <c r="K1405" s="2" t="str" cm="1">
        <f t="array" ref="K1405">_xlfn.IFS(E1405&lt;=16,"Children",E1405&lt;=30,"Young Adults",E1405&lt;=45,"Middle-aged Adults",E1405&gt;45,"Old Adults")</f>
        <v>Young Adults</v>
      </c>
    </row>
    <row r="1406" spans="1:11" x14ac:dyDescent="0.45">
      <c r="A1406" s="2">
        <v>1642</v>
      </c>
      <c r="B1406" s="2" t="s">
        <v>1747</v>
      </c>
      <c r="C1406" s="2" t="s">
        <v>85</v>
      </c>
      <c r="D1406" s="2" t="s">
        <v>7</v>
      </c>
      <c r="E1406" s="2">
        <v>35</v>
      </c>
      <c r="F1406" s="2">
        <v>80</v>
      </c>
      <c r="G1406" s="2">
        <v>189</v>
      </c>
      <c r="H1406" s="9">
        <f t="shared" si="21"/>
        <v>22.395789591556788</v>
      </c>
      <c r="I1406" s="2" t="str" cm="1">
        <f t="array" ref="I1406">_xlfn.IFS(F1406&gt;=100,"Over weight",F1406&lt;100,"Average weight")</f>
        <v>Average weight</v>
      </c>
      <c r="J1406" s="2" t="str" cm="1">
        <f t="array" ref="J1406">_xlfn.IFS(G1406&lt;164,"Below Average height",G1406&gt;=165,"Above Average height",G1406=164,"Average height")</f>
        <v>Above Average height</v>
      </c>
      <c r="K1406" s="2" t="str" cm="1">
        <f t="array" ref="K1406">_xlfn.IFS(E1406&lt;=16,"Children",E1406&lt;=30,"Young Adults",E1406&lt;=45,"Middle-aged Adults",E1406&gt;45,"Old Adults")</f>
        <v>Middle-aged Adults</v>
      </c>
    </row>
    <row r="1407" spans="1:11" x14ac:dyDescent="0.45">
      <c r="A1407" s="2">
        <v>1645</v>
      </c>
      <c r="B1407" s="2" t="s">
        <v>1750</v>
      </c>
      <c r="C1407" s="2" t="s">
        <v>88</v>
      </c>
      <c r="D1407" s="2" t="s">
        <v>8</v>
      </c>
      <c r="E1407" s="2">
        <v>30</v>
      </c>
      <c r="F1407" s="2">
        <v>75</v>
      </c>
      <c r="G1407" s="2">
        <v>184</v>
      </c>
      <c r="H1407" s="9">
        <f t="shared" si="21"/>
        <v>22.152646502835537</v>
      </c>
      <c r="I1407" s="2" t="str" cm="1">
        <f t="array" ref="I1407">_xlfn.IFS(F1407&gt;=100,"Over weight",F1407&lt;100,"Average weight")</f>
        <v>Average weight</v>
      </c>
      <c r="J1407" s="2" t="str" cm="1">
        <f t="array" ref="J1407">_xlfn.IFS(G1407&lt;164,"Below Average height",G1407&gt;=165,"Above Average height",G1407=164,"Average height")</f>
        <v>Above Average height</v>
      </c>
      <c r="K1407" s="2" t="str" cm="1">
        <f t="array" ref="K1407">_xlfn.IFS(E1407&lt;=16,"Children",E1407&lt;=30,"Young Adults",E1407&lt;=45,"Middle-aged Adults",E1407&gt;45,"Old Adults")</f>
        <v>Young Adults</v>
      </c>
    </row>
    <row r="1408" spans="1:11" x14ac:dyDescent="0.45">
      <c r="A1408" s="2">
        <v>1646</v>
      </c>
      <c r="B1408" s="2" t="s">
        <v>1750</v>
      </c>
      <c r="C1408" s="2" t="s">
        <v>94</v>
      </c>
      <c r="D1408" s="2" t="s">
        <v>66</v>
      </c>
      <c r="E1408" s="2">
        <v>29</v>
      </c>
      <c r="F1408" s="2">
        <v>80</v>
      </c>
      <c r="G1408" s="2">
        <v>182</v>
      </c>
      <c r="H1408" s="9">
        <f t="shared" si="21"/>
        <v>24.151672503320853</v>
      </c>
      <c r="I1408" s="2" t="str" cm="1">
        <f t="array" ref="I1408">_xlfn.IFS(F1408&gt;=100,"Over weight",F1408&lt;100,"Average weight")</f>
        <v>Average weight</v>
      </c>
      <c r="J1408" s="2" t="str" cm="1">
        <f t="array" ref="J1408">_xlfn.IFS(G1408&lt;164,"Below Average height",G1408&gt;=165,"Above Average height",G1408=164,"Average height")</f>
        <v>Above Average height</v>
      </c>
      <c r="K1408" s="2" t="str" cm="1">
        <f t="array" ref="K1408">_xlfn.IFS(E1408&lt;=16,"Children",E1408&lt;=30,"Young Adults",E1408&lt;=45,"Middle-aged Adults",E1408&gt;45,"Old Adults")</f>
        <v>Young Adults</v>
      </c>
    </row>
    <row r="1409" spans="1:11" x14ac:dyDescent="0.45">
      <c r="A1409" s="2">
        <v>1647</v>
      </c>
      <c r="B1409" s="2" t="s">
        <v>1751</v>
      </c>
      <c r="C1409" s="2" t="s">
        <v>86</v>
      </c>
      <c r="D1409" s="2" t="s">
        <v>66</v>
      </c>
      <c r="E1409" s="2">
        <v>28</v>
      </c>
      <c r="F1409" s="2">
        <v>61</v>
      </c>
      <c r="G1409" s="2">
        <v>179</v>
      </c>
      <c r="H1409" s="9">
        <f t="shared" si="21"/>
        <v>19.038107424861895</v>
      </c>
      <c r="I1409" s="2" t="str" cm="1">
        <f t="array" ref="I1409">_xlfn.IFS(F1409&gt;=100,"Over weight",F1409&lt;100,"Average weight")</f>
        <v>Average weight</v>
      </c>
      <c r="J1409" s="2" t="str" cm="1">
        <f t="array" ref="J1409">_xlfn.IFS(G1409&lt;164,"Below Average height",G1409&gt;=165,"Above Average height",G1409=164,"Average height")</f>
        <v>Above Average height</v>
      </c>
      <c r="K1409" s="2" t="str" cm="1">
        <f t="array" ref="K1409">_xlfn.IFS(E1409&lt;=16,"Children",E1409&lt;=30,"Young Adults",E1409&lt;=45,"Middle-aged Adults",E1409&gt;45,"Old Adults")</f>
        <v>Young Adults</v>
      </c>
    </row>
    <row r="1410" spans="1:11" x14ac:dyDescent="0.45">
      <c r="A1410" s="2">
        <v>1648</v>
      </c>
      <c r="B1410" s="2" t="s">
        <v>1752</v>
      </c>
      <c r="C1410" s="2" t="s">
        <v>85</v>
      </c>
      <c r="D1410" s="2" t="s">
        <v>19</v>
      </c>
      <c r="E1410" s="2">
        <v>20</v>
      </c>
      <c r="F1410" s="2">
        <v>69</v>
      </c>
      <c r="G1410" s="2">
        <v>166</v>
      </c>
      <c r="H1410" s="9">
        <f t="shared" ref="H1410:H1473" si="22" xml:space="preserve"> F1410 / (( G1410/ 100) ^ 2)</f>
        <v>25.039918710988534</v>
      </c>
      <c r="I1410" s="2" t="str" cm="1">
        <f t="array" ref="I1410">_xlfn.IFS(F1410&gt;=100,"Over weight",F1410&lt;100,"Average weight")</f>
        <v>Average weight</v>
      </c>
      <c r="J1410" s="2" t="str" cm="1">
        <f t="array" ref="J1410">_xlfn.IFS(G1410&lt;164,"Below Average height",G1410&gt;=165,"Above Average height",G1410=164,"Average height")</f>
        <v>Above Average height</v>
      </c>
      <c r="K1410" s="2" t="str" cm="1">
        <f t="array" ref="K1410">_xlfn.IFS(E1410&lt;=16,"Children",E1410&lt;=30,"Young Adults",E1410&lt;=45,"Middle-aged Adults",E1410&gt;45,"Old Adults")</f>
        <v>Young Adults</v>
      </c>
    </row>
    <row r="1411" spans="1:11" x14ac:dyDescent="0.45">
      <c r="A1411" s="2">
        <v>1649</v>
      </c>
      <c r="B1411" s="2" t="s">
        <v>1753</v>
      </c>
      <c r="C1411" s="2" t="s">
        <v>94</v>
      </c>
      <c r="D1411" s="2" t="s">
        <v>49</v>
      </c>
      <c r="E1411" s="2">
        <v>25</v>
      </c>
      <c r="F1411" s="2">
        <v>84</v>
      </c>
      <c r="G1411" s="2">
        <v>188</v>
      </c>
      <c r="H1411" s="9">
        <f t="shared" si="22"/>
        <v>23.766410140334994</v>
      </c>
      <c r="I1411" s="2" t="str" cm="1">
        <f t="array" ref="I1411">_xlfn.IFS(F1411&gt;=100,"Over weight",F1411&lt;100,"Average weight")</f>
        <v>Average weight</v>
      </c>
      <c r="J1411" s="2" t="str" cm="1">
        <f t="array" ref="J1411">_xlfn.IFS(G1411&lt;164,"Below Average height",G1411&gt;=165,"Above Average height",G1411=164,"Average height")</f>
        <v>Above Average height</v>
      </c>
      <c r="K1411" s="2" t="str" cm="1">
        <f t="array" ref="K1411">_xlfn.IFS(E1411&lt;=16,"Children",E1411&lt;=30,"Young Adults",E1411&lt;=45,"Middle-aged Adults",E1411&gt;45,"Old Adults")</f>
        <v>Young Adults</v>
      </c>
    </row>
    <row r="1412" spans="1:11" x14ac:dyDescent="0.45">
      <c r="A1412" s="2">
        <v>1651</v>
      </c>
      <c r="B1412" s="2" t="s">
        <v>1755</v>
      </c>
      <c r="C1412" s="2" t="s">
        <v>93</v>
      </c>
      <c r="D1412" s="2" t="s">
        <v>21</v>
      </c>
      <c r="E1412" s="2">
        <v>28</v>
      </c>
      <c r="F1412" s="2">
        <v>85</v>
      </c>
      <c r="G1412" s="2">
        <v>185</v>
      </c>
      <c r="H1412" s="9">
        <f t="shared" si="22"/>
        <v>24.835646457268076</v>
      </c>
      <c r="I1412" s="2" t="str" cm="1">
        <f t="array" ref="I1412">_xlfn.IFS(F1412&gt;=100,"Over weight",F1412&lt;100,"Average weight")</f>
        <v>Average weight</v>
      </c>
      <c r="J1412" s="2" t="str" cm="1">
        <f t="array" ref="J1412">_xlfn.IFS(G1412&lt;164,"Below Average height",G1412&gt;=165,"Above Average height",G1412=164,"Average height")</f>
        <v>Above Average height</v>
      </c>
      <c r="K1412" s="2" t="str" cm="1">
        <f t="array" ref="K1412">_xlfn.IFS(E1412&lt;=16,"Children",E1412&lt;=30,"Young Adults",E1412&lt;=45,"Middle-aged Adults",E1412&gt;45,"Old Adults")</f>
        <v>Young Adults</v>
      </c>
    </row>
    <row r="1413" spans="1:11" x14ac:dyDescent="0.45">
      <c r="A1413" s="2">
        <v>1653</v>
      </c>
      <c r="B1413" s="2" t="s">
        <v>1757</v>
      </c>
      <c r="C1413" s="2" t="s">
        <v>86</v>
      </c>
      <c r="D1413" s="2" t="s">
        <v>25</v>
      </c>
      <c r="E1413" s="2">
        <v>26</v>
      </c>
      <c r="F1413" s="2">
        <v>61</v>
      </c>
      <c r="G1413" s="2">
        <v>180</v>
      </c>
      <c r="H1413" s="9">
        <f t="shared" si="22"/>
        <v>18.827160493827158</v>
      </c>
      <c r="I1413" s="2" t="str" cm="1">
        <f t="array" ref="I1413">_xlfn.IFS(F1413&gt;=100,"Over weight",F1413&lt;100,"Average weight")</f>
        <v>Average weight</v>
      </c>
      <c r="J1413" s="2" t="str" cm="1">
        <f t="array" ref="J1413">_xlfn.IFS(G1413&lt;164,"Below Average height",G1413&gt;=165,"Above Average height",G1413=164,"Average height")</f>
        <v>Above Average height</v>
      </c>
      <c r="K1413" s="2" t="str" cm="1">
        <f t="array" ref="K1413">_xlfn.IFS(E1413&lt;=16,"Children",E1413&lt;=30,"Young Adults",E1413&lt;=45,"Middle-aged Adults",E1413&gt;45,"Old Adults")</f>
        <v>Young Adults</v>
      </c>
    </row>
    <row r="1414" spans="1:11" x14ac:dyDescent="0.45">
      <c r="A1414" s="2">
        <v>1654</v>
      </c>
      <c r="B1414" s="2" t="s">
        <v>1758</v>
      </c>
      <c r="C1414" s="2" t="s">
        <v>91</v>
      </c>
      <c r="D1414" s="2" t="s">
        <v>75</v>
      </c>
      <c r="E1414" s="2">
        <v>23</v>
      </c>
      <c r="F1414" s="2">
        <v>67</v>
      </c>
      <c r="G1414" s="2">
        <v>173</v>
      </c>
      <c r="H1414" s="9">
        <f t="shared" si="22"/>
        <v>22.386314277122523</v>
      </c>
      <c r="I1414" s="2" t="str" cm="1">
        <f t="array" ref="I1414">_xlfn.IFS(F1414&gt;=100,"Over weight",F1414&lt;100,"Average weight")</f>
        <v>Average weight</v>
      </c>
      <c r="J1414" s="2" t="str" cm="1">
        <f t="array" ref="J1414">_xlfn.IFS(G1414&lt;164,"Below Average height",G1414&gt;=165,"Above Average height",G1414=164,"Average height")</f>
        <v>Above Average height</v>
      </c>
      <c r="K1414" s="2" t="str" cm="1">
        <f t="array" ref="K1414">_xlfn.IFS(E1414&lt;=16,"Children",E1414&lt;=30,"Young Adults",E1414&lt;=45,"Middle-aged Adults",E1414&gt;45,"Old Adults")</f>
        <v>Young Adults</v>
      </c>
    </row>
    <row r="1415" spans="1:11" x14ac:dyDescent="0.45">
      <c r="A1415" s="2">
        <v>1655</v>
      </c>
      <c r="B1415" s="2" t="s">
        <v>1759</v>
      </c>
      <c r="C1415" s="2" t="s">
        <v>90</v>
      </c>
      <c r="D1415" s="2" t="s">
        <v>30</v>
      </c>
      <c r="E1415" s="2">
        <v>33</v>
      </c>
      <c r="F1415" s="2">
        <v>114</v>
      </c>
      <c r="G1415" s="2">
        <v>191</v>
      </c>
      <c r="H1415" s="9">
        <f t="shared" si="22"/>
        <v>31.249143389709712</v>
      </c>
      <c r="I1415" s="2" t="str" cm="1">
        <f t="array" ref="I1415">_xlfn.IFS(F1415&gt;=100,"Over weight",F1415&lt;100,"Average weight")</f>
        <v>Over weight</v>
      </c>
      <c r="J1415" s="2" t="str" cm="1">
        <f t="array" ref="J1415">_xlfn.IFS(G1415&lt;164,"Below Average height",G1415&gt;=165,"Above Average height",G1415=164,"Average height")</f>
        <v>Above Average height</v>
      </c>
      <c r="K1415" s="2" t="str" cm="1">
        <f t="array" ref="K1415">_xlfn.IFS(E1415&lt;=16,"Children",E1415&lt;=30,"Young Adults",E1415&lt;=45,"Middle-aged Adults",E1415&gt;45,"Old Adults")</f>
        <v>Middle-aged Adults</v>
      </c>
    </row>
    <row r="1416" spans="1:11" x14ac:dyDescent="0.45">
      <c r="A1416" s="2">
        <v>1656</v>
      </c>
      <c r="B1416" s="2" t="s">
        <v>1760</v>
      </c>
      <c r="C1416" s="2" t="s">
        <v>85</v>
      </c>
      <c r="D1416" s="2" t="s">
        <v>80</v>
      </c>
      <c r="E1416" s="2">
        <v>28</v>
      </c>
      <c r="F1416" s="2">
        <v>95</v>
      </c>
      <c r="G1416" s="2">
        <v>193</v>
      </c>
      <c r="H1416" s="9">
        <f t="shared" si="22"/>
        <v>25.50404037692287</v>
      </c>
      <c r="I1416" s="2" t="str" cm="1">
        <f t="array" ref="I1416">_xlfn.IFS(F1416&gt;=100,"Over weight",F1416&lt;100,"Average weight")</f>
        <v>Average weight</v>
      </c>
      <c r="J1416" s="2" t="str" cm="1">
        <f t="array" ref="J1416">_xlfn.IFS(G1416&lt;164,"Below Average height",G1416&gt;=165,"Above Average height",G1416=164,"Average height")</f>
        <v>Above Average height</v>
      </c>
      <c r="K1416" s="2" t="str" cm="1">
        <f t="array" ref="K1416">_xlfn.IFS(E1416&lt;=16,"Children",E1416&lt;=30,"Young Adults",E1416&lt;=45,"Middle-aged Adults",E1416&gt;45,"Old Adults")</f>
        <v>Young Adults</v>
      </c>
    </row>
    <row r="1417" spans="1:11" x14ac:dyDescent="0.45">
      <c r="A1417" s="2">
        <v>1657</v>
      </c>
      <c r="B1417" s="2" t="s">
        <v>1761</v>
      </c>
      <c r="C1417" s="2" t="s">
        <v>94</v>
      </c>
      <c r="D1417" s="2" t="s">
        <v>28</v>
      </c>
      <c r="E1417" s="2">
        <v>32</v>
      </c>
      <c r="F1417" s="2">
        <v>60</v>
      </c>
      <c r="G1417" s="2">
        <v>168</v>
      </c>
      <c r="H1417" s="9">
        <f t="shared" si="22"/>
        <v>21.258503401360546</v>
      </c>
      <c r="I1417" s="2" t="str" cm="1">
        <f t="array" ref="I1417">_xlfn.IFS(F1417&gt;=100,"Over weight",F1417&lt;100,"Average weight")</f>
        <v>Average weight</v>
      </c>
      <c r="J1417" s="2" t="str" cm="1">
        <f t="array" ref="J1417">_xlfn.IFS(G1417&lt;164,"Below Average height",G1417&gt;=165,"Above Average height",G1417=164,"Average height")</f>
        <v>Above Average height</v>
      </c>
      <c r="K1417" s="2" t="str" cm="1">
        <f t="array" ref="K1417">_xlfn.IFS(E1417&lt;=16,"Children",E1417&lt;=30,"Young Adults",E1417&lt;=45,"Middle-aged Adults",E1417&gt;45,"Old Adults")</f>
        <v>Middle-aged Adults</v>
      </c>
    </row>
    <row r="1418" spans="1:11" x14ac:dyDescent="0.45">
      <c r="A1418" s="2">
        <v>1659</v>
      </c>
      <c r="B1418" s="2" t="s">
        <v>1763</v>
      </c>
      <c r="C1418" s="2" t="s">
        <v>85</v>
      </c>
      <c r="D1418" s="2" t="s">
        <v>37</v>
      </c>
      <c r="E1418" s="2">
        <v>36</v>
      </c>
      <c r="F1418" s="2">
        <v>74</v>
      </c>
      <c r="G1418" s="2">
        <v>175</v>
      </c>
      <c r="H1418" s="9">
        <f t="shared" si="22"/>
        <v>24.163265306122447</v>
      </c>
      <c r="I1418" s="2" t="str" cm="1">
        <f t="array" ref="I1418">_xlfn.IFS(F1418&gt;=100,"Over weight",F1418&lt;100,"Average weight")</f>
        <v>Average weight</v>
      </c>
      <c r="J1418" s="2" t="str" cm="1">
        <f t="array" ref="J1418">_xlfn.IFS(G1418&lt;164,"Below Average height",G1418&gt;=165,"Above Average height",G1418=164,"Average height")</f>
        <v>Above Average height</v>
      </c>
      <c r="K1418" s="2" t="str" cm="1">
        <f t="array" ref="K1418">_xlfn.IFS(E1418&lt;=16,"Children",E1418&lt;=30,"Young Adults",E1418&lt;=45,"Middle-aged Adults",E1418&gt;45,"Old Adults")</f>
        <v>Middle-aged Adults</v>
      </c>
    </row>
    <row r="1419" spans="1:11" x14ac:dyDescent="0.45">
      <c r="A1419" s="2">
        <v>1660</v>
      </c>
      <c r="B1419" s="2" t="s">
        <v>1764</v>
      </c>
      <c r="C1419" s="2" t="s">
        <v>89</v>
      </c>
      <c r="D1419" s="2" t="s">
        <v>41</v>
      </c>
      <c r="E1419" s="2">
        <v>26</v>
      </c>
      <c r="F1419" s="2">
        <v>74</v>
      </c>
      <c r="G1419" s="2">
        <v>173</v>
      </c>
      <c r="H1419" s="9">
        <f t="shared" si="22"/>
        <v>24.725182932941294</v>
      </c>
      <c r="I1419" s="2" t="str" cm="1">
        <f t="array" ref="I1419">_xlfn.IFS(F1419&gt;=100,"Over weight",F1419&lt;100,"Average weight")</f>
        <v>Average weight</v>
      </c>
      <c r="J1419" s="2" t="str" cm="1">
        <f t="array" ref="J1419">_xlfn.IFS(G1419&lt;164,"Below Average height",G1419&gt;=165,"Above Average height",G1419=164,"Average height")</f>
        <v>Above Average height</v>
      </c>
      <c r="K1419" s="2" t="str" cm="1">
        <f t="array" ref="K1419">_xlfn.IFS(E1419&lt;=16,"Children",E1419&lt;=30,"Young Adults",E1419&lt;=45,"Middle-aged Adults",E1419&gt;45,"Old Adults")</f>
        <v>Young Adults</v>
      </c>
    </row>
    <row r="1420" spans="1:11" x14ac:dyDescent="0.45">
      <c r="A1420" s="2">
        <v>1662</v>
      </c>
      <c r="B1420" s="2" t="s">
        <v>1766</v>
      </c>
      <c r="C1420" s="2" t="s">
        <v>95</v>
      </c>
      <c r="D1420" s="2" t="s">
        <v>39</v>
      </c>
      <c r="E1420" s="2">
        <v>32</v>
      </c>
      <c r="F1420" s="2">
        <v>83</v>
      </c>
      <c r="G1420" s="2">
        <v>177</v>
      </c>
      <c r="H1420" s="9">
        <f t="shared" si="22"/>
        <v>26.493025631204315</v>
      </c>
      <c r="I1420" s="2" t="str" cm="1">
        <f t="array" ref="I1420">_xlfn.IFS(F1420&gt;=100,"Over weight",F1420&lt;100,"Average weight")</f>
        <v>Average weight</v>
      </c>
      <c r="J1420" s="2" t="str" cm="1">
        <f t="array" ref="J1420">_xlfn.IFS(G1420&lt;164,"Below Average height",G1420&gt;=165,"Above Average height",G1420=164,"Average height")</f>
        <v>Above Average height</v>
      </c>
      <c r="K1420" s="2" t="str" cm="1">
        <f t="array" ref="K1420">_xlfn.IFS(E1420&lt;=16,"Children",E1420&lt;=30,"Young Adults",E1420&lt;=45,"Middle-aged Adults",E1420&gt;45,"Old Adults")</f>
        <v>Middle-aged Adults</v>
      </c>
    </row>
    <row r="1421" spans="1:11" x14ac:dyDescent="0.45">
      <c r="A1421" s="2">
        <v>1665</v>
      </c>
      <c r="B1421" s="2" t="s">
        <v>1769</v>
      </c>
      <c r="C1421" s="2" t="s">
        <v>87</v>
      </c>
      <c r="D1421" s="2" t="s">
        <v>26</v>
      </c>
      <c r="E1421" s="2">
        <v>25</v>
      </c>
      <c r="F1421" s="2">
        <v>74</v>
      </c>
      <c r="G1421" s="2">
        <v>171</v>
      </c>
      <c r="H1421" s="9">
        <f t="shared" si="22"/>
        <v>25.306932047467601</v>
      </c>
      <c r="I1421" s="2" t="str" cm="1">
        <f t="array" ref="I1421">_xlfn.IFS(F1421&gt;=100,"Over weight",F1421&lt;100,"Average weight")</f>
        <v>Average weight</v>
      </c>
      <c r="J1421" s="2" t="str" cm="1">
        <f t="array" ref="J1421">_xlfn.IFS(G1421&lt;164,"Below Average height",G1421&gt;=165,"Above Average height",G1421=164,"Average height")</f>
        <v>Above Average height</v>
      </c>
      <c r="K1421" s="2" t="str" cm="1">
        <f t="array" ref="K1421">_xlfn.IFS(E1421&lt;=16,"Children",E1421&lt;=30,"Young Adults",E1421&lt;=45,"Middle-aged Adults",E1421&gt;45,"Old Adults")</f>
        <v>Young Adults</v>
      </c>
    </row>
    <row r="1422" spans="1:11" x14ac:dyDescent="0.45">
      <c r="A1422" s="2">
        <v>1668</v>
      </c>
      <c r="B1422" s="2" t="s">
        <v>1772</v>
      </c>
      <c r="C1422" s="2" t="s">
        <v>91</v>
      </c>
      <c r="D1422" s="2" t="s">
        <v>74</v>
      </c>
      <c r="E1422" s="2">
        <v>28</v>
      </c>
      <c r="F1422" s="2">
        <v>89</v>
      </c>
      <c r="G1422" s="2">
        <v>182</v>
      </c>
      <c r="H1422" s="9">
        <f t="shared" si="22"/>
        <v>26.868735659944448</v>
      </c>
      <c r="I1422" s="2" t="str" cm="1">
        <f t="array" ref="I1422">_xlfn.IFS(F1422&gt;=100,"Over weight",F1422&lt;100,"Average weight")</f>
        <v>Average weight</v>
      </c>
      <c r="J1422" s="2" t="str" cm="1">
        <f t="array" ref="J1422">_xlfn.IFS(G1422&lt;164,"Below Average height",G1422&gt;=165,"Above Average height",G1422=164,"Average height")</f>
        <v>Above Average height</v>
      </c>
      <c r="K1422" s="2" t="str" cm="1">
        <f t="array" ref="K1422">_xlfn.IFS(E1422&lt;=16,"Children",E1422&lt;=30,"Young Adults",E1422&lt;=45,"Middle-aged Adults",E1422&gt;45,"Old Adults")</f>
        <v>Young Adults</v>
      </c>
    </row>
    <row r="1423" spans="1:11" x14ac:dyDescent="0.45">
      <c r="A1423" s="2">
        <v>1669</v>
      </c>
      <c r="B1423" s="2" t="s">
        <v>1773</v>
      </c>
      <c r="C1423" s="2" t="s">
        <v>89</v>
      </c>
      <c r="D1423" s="2" t="s">
        <v>58</v>
      </c>
      <c r="E1423" s="2">
        <v>21</v>
      </c>
      <c r="F1423" s="2">
        <v>63</v>
      </c>
      <c r="G1423" s="2">
        <v>165</v>
      </c>
      <c r="H1423" s="9">
        <f t="shared" si="22"/>
        <v>23.140495867768596</v>
      </c>
      <c r="I1423" s="2" t="str" cm="1">
        <f t="array" ref="I1423">_xlfn.IFS(F1423&gt;=100,"Over weight",F1423&lt;100,"Average weight")</f>
        <v>Average weight</v>
      </c>
      <c r="J1423" s="2" t="str" cm="1">
        <f t="array" ref="J1423">_xlfn.IFS(G1423&lt;164,"Below Average height",G1423&gt;=165,"Above Average height",G1423=164,"Average height")</f>
        <v>Above Average height</v>
      </c>
      <c r="K1423" s="2" t="str" cm="1">
        <f t="array" ref="K1423">_xlfn.IFS(E1423&lt;=16,"Children",E1423&lt;=30,"Young Adults",E1423&lt;=45,"Middle-aged Adults",E1423&gt;45,"Old Adults")</f>
        <v>Young Adults</v>
      </c>
    </row>
    <row r="1424" spans="1:11" x14ac:dyDescent="0.45">
      <c r="A1424" s="2">
        <v>1670</v>
      </c>
      <c r="B1424" s="2" t="s">
        <v>1774</v>
      </c>
      <c r="C1424" s="2" t="s">
        <v>85</v>
      </c>
      <c r="D1424" s="2" t="s">
        <v>62</v>
      </c>
      <c r="E1424" s="2">
        <v>16</v>
      </c>
      <c r="F1424" s="2">
        <v>60</v>
      </c>
      <c r="G1424" s="2">
        <v>165</v>
      </c>
      <c r="H1424" s="9">
        <f t="shared" si="22"/>
        <v>22.03856749311295</v>
      </c>
      <c r="I1424" s="2" t="str" cm="1">
        <f t="array" ref="I1424">_xlfn.IFS(F1424&gt;=100,"Over weight",F1424&lt;100,"Average weight")</f>
        <v>Average weight</v>
      </c>
      <c r="J1424" s="2" t="str" cm="1">
        <f t="array" ref="J1424">_xlfn.IFS(G1424&lt;164,"Below Average height",G1424&gt;=165,"Above Average height",G1424=164,"Average height")</f>
        <v>Above Average height</v>
      </c>
      <c r="K1424" s="2" t="str" cm="1">
        <f t="array" ref="K1424">_xlfn.IFS(E1424&lt;=16,"Children",E1424&lt;=30,"Young Adults",E1424&lt;=45,"Middle-aged Adults",E1424&gt;45,"Old Adults")</f>
        <v>Children</v>
      </c>
    </row>
    <row r="1425" spans="1:11" x14ac:dyDescent="0.45">
      <c r="A1425" s="2">
        <v>1671</v>
      </c>
      <c r="B1425" s="2" t="s">
        <v>1775</v>
      </c>
      <c r="C1425" s="2" t="s">
        <v>85</v>
      </c>
      <c r="D1425" s="2" t="s">
        <v>62</v>
      </c>
      <c r="E1425" s="2">
        <v>18</v>
      </c>
      <c r="F1425" s="2">
        <v>60</v>
      </c>
      <c r="G1425" s="2">
        <v>168</v>
      </c>
      <c r="H1425" s="9">
        <f t="shared" si="22"/>
        <v>21.258503401360546</v>
      </c>
      <c r="I1425" s="2" t="str" cm="1">
        <f t="array" ref="I1425">_xlfn.IFS(F1425&gt;=100,"Over weight",F1425&lt;100,"Average weight")</f>
        <v>Average weight</v>
      </c>
      <c r="J1425" s="2" t="str" cm="1">
        <f t="array" ref="J1425">_xlfn.IFS(G1425&lt;164,"Below Average height",G1425&gt;=165,"Above Average height",G1425=164,"Average height")</f>
        <v>Above Average height</v>
      </c>
      <c r="K1425" s="2" t="str" cm="1">
        <f t="array" ref="K1425">_xlfn.IFS(E1425&lt;=16,"Children",E1425&lt;=30,"Young Adults",E1425&lt;=45,"Middle-aged Adults",E1425&gt;45,"Old Adults")</f>
        <v>Young Adults</v>
      </c>
    </row>
    <row r="1426" spans="1:11" x14ac:dyDescent="0.45">
      <c r="A1426" s="2">
        <v>1672</v>
      </c>
      <c r="B1426" s="2" t="s">
        <v>1776</v>
      </c>
      <c r="C1426" s="2" t="s">
        <v>87</v>
      </c>
      <c r="D1426" s="2" t="s">
        <v>6</v>
      </c>
      <c r="E1426" s="2">
        <v>19</v>
      </c>
      <c r="F1426" s="2">
        <v>63</v>
      </c>
      <c r="G1426" s="2">
        <v>170</v>
      </c>
      <c r="H1426" s="9">
        <f t="shared" si="22"/>
        <v>21.79930795847751</v>
      </c>
      <c r="I1426" s="2" t="str" cm="1">
        <f t="array" ref="I1426">_xlfn.IFS(F1426&gt;=100,"Over weight",F1426&lt;100,"Average weight")</f>
        <v>Average weight</v>
      </c>
      <c r="J1426" s="2" t="str" cm="1">
        <f t="array" ref="J1426">_xlfn.IFS(G1426&lt;164,"Below Average height",G1426&gt;=165,"Above Average height",G1426=164,"Average height")</f>
        <v>Above Average height</v>
      </c>
      <c r="K1426" s="2" t="str" cm="1">
        <f t="array" ref="K1426">_xlfn.IFS(E1426&lt;=16,"Children",E1426&lt;=30,"Young Adults",E1426&lt;=45,"Middle-aged Adults",E1426&gt;45,"Old Adults")</f>
        <v>Young Adults</v>
      </c>
    </row>
    <row r="1427" spans="1:11" x14ac:dyDescent="0.45">
      <c r="A1427" s="2">
        <v>1673</v>
      </c>
      <c r="B1427" s="2" t="s">
        <v>1777</v>
      </c>
      <c r="C1427" s="2" t="s">
        <v>94</v>
      </c>
      <c r="D1427" s="2" t="s">
        <v>78</v>
      </c>
      <c r="E1427" s="2">
        <v>25</v>
      </c>
      <c r="F1427" s="2">
        <v>70</v>
      </c>
      <c r="G1427" s="2">
        <v>174</v>
      </c>
      <c r="H1427" s="9">
        <f t="shared" si="22"/>
        <v>23.120623596247853</v>
      </c>
      <c r="I1427" s="2" t="str" cm="1">
        <f t="array" ref="I1427">_xlfn.IFS(F1427&gt;=100,"Over weight",F1427&lt;100,"Average weight")</f>
        <v>Average weight</v>
      </c>
      <c r="J1427" s="2" t="str" cm="1">
        <f t="array" ref="J1427">_xlfn.IFS(G1427&lt;164,"Below Average height",G1427&gt;=165,"Above Average height",G1427=164,"Average height")</f>
        <v>Above Average height</v>
      </c>
      <c r="K1427" s="2" t="str" cm="1">
        <f t="array" ref="K1427">_xlfn.IFS(E1427&lt;=16,"Children",E1427&lt;=30,"Young Adults",E1427&lt;=45,"Middle-aged Adults",E1427&gt;45,"Old Adults")</f>
        <v>Young Adults</v>
      </c>
    </row>
    <row r="1428" spans="1:11" x14ac:dyDescent="0.45">
      <c r="A1428" s="2">
        <v>1674</v>
      </c>
      <c r="B1428" s="2" t="s">
        <v>1778</v>
      </c>
      <c r="C1428" s="2" t="s">
        <v>95</v>
      </c>
      <c r="D1428" s="2" t="s">
        <v>41</v>
      </c>
      <c r="E1428" s="2">
        <v>31</v>
      </c>
      <c r="F1428" s="2">
        <v>87</v>
      </c>
      <c r="G1428" s="2">
        <v>185</v>
      </c>
      <c r="H1428" s="9">
        <f t="shared" si="22"/>
        <v>25.420014609203797</v>
      </c>
      <c r="I1428" s="2" t="str" cm="1">
        <f t="array" ref="I1428">_xlfn.IFS(F1428&gt;=100,"Over weight",F1428&lt;100,"Average weight")</f>
        <v>Average weight</v>
      </c>
      <c r="J1428" s="2" t="str" cm="1">
        <f t="array" ref="J1428">_xlfn.IFS(G1428&lt;164,"Below Average height",G1428&gt;=165,"Above Average height",G1428=164,"Average height")</f>
        <v>Above Average height</v>
      </c>
      <c r="K1428" s="2" t="str" cm="1">
        <f t="array" ref="K1428">_xlfn.IFS(E1428&lt;=16,"Children",E1428&lt;=30,"Young Adults",E1428&lt;=45,"Middle-aged Adults",E1428&gt;45,"Old Adults")</f>
        <v>Middle-aged Adults</v>
      </c>
    </row>
    <row r="1429" spans="1:11" x14ac:dyDescent="0.45">
      <c r="A1429" s="2">
        <v>1675</v>
      </c>
      <c r="B1429" s="2" t="s">
        <v>1779</v>
      </c>
      <c r="C1429" s="2" t="s">
        <v>89</v>
      </c>
      <c r="D1429" s="2" t="s">
        <v>44</v>
      </c>
      <c r="E1429" s="2">
        <v>24</v>
      </c>
      <c r="F1429" s="2">
        <v>53</v>
      </c>
      <c r="G1429" s="2">
        <v>165</v>
      </c>
      <c r="H1429" s="9">
        <f t="shared" si="22"/>
        <v>19.467401285583104</v>
      </c>
      <c r="I1429" s="2" t="str" cm="1">
        <f t="array" ref="I1429">_xlfn.IFS(F1429&gt;=100,"Over weight",F1429&lt;100,"Average weight")</f>
        <v>Average weight</v>
      </c>
      <c r="J1429" s="2" t="str" cm="1">
        <f t="array" ref="J1429">_xlfn.IFS(G1429&lt;164,"Below Average height",G1429&gt;=165,"Above Average height",G1429=164,"Average height")</f>
        <v>Above Average height</v>
      </c>
      <c r="K1429" s="2" t="str" cm="1">
        <f t="array" ref="K1429">_xlfn.IFS(E1429&lt;=16,"Children",E1429&lt;=30,"Young Adults",E1429&lt;=45,"Middle-aged Adults",E1429&gt;45,"Old Adults")</f>
        <v>Young Adults</v>
      </c>
    </row>
    <row r="1430" spans="1:11" x14ac:dyDescent="0.45">
      <c r="A1430" s="2">
        <v>1676</v>
      </c>
      <c r="B1430" s="2" t="s">
        <v>1780</v>
      </c>
      <c r="C1430" s="2" t="s">
        <v>91</v>
      </c>
      <c r="D1430" s="2" t="s">
        <v>74</v>
      </c>
      <c r="E1430" s="2">
        <v>33</v>
      </c>
      <c r="F1430" s="2">
        <v>100</v>
      </c>
      <c r="G1430" s="2">
        <v>191</v>
      </c>
      <c r="H1430" s="9">
        <f t="shared" si="22"/>
        <v>27.411529289219047</v>
      </c>
      <c r="I1430" s="2" t="str" cm="1">
        <f t="array" ref="I1430">_xlfn.IFS(F1430&gt;=100,"Over weight",F1430&lt;100,"Average weight")</f>
        <v>Over weight</v>
      </c>
      <c r="J1430" s="2" t="str" cm="1">
        <f t="array" ref="J1430">_xlfn.IFS(G1430&lt;164,"Below Average height",G1430&gt;=165,"Above Average height",G1430=164,"Average height")</f>
        <v>Above Average height</v>
      </c>
      <c r="K1430" s="2" t="str" cm="1">
        <f t="array" ref="K1430">_xlfn.IFS(E1430&lt;=16,"Children",E1430&lt;=30,"Young Adults",E1430&lt;=45,"Middle-aged Adults",E1430&gt;45,"Old Adults")</f>
        <v>Middle-aged Adults</v>
      </c>
    </row>
    <row r="1431" spans="1:11" x14ac:dyDescent="0.45">
      <c r="A1431" s="2">
        <v>1677</v>
      </c>
      <c r="B1431" s="2" t="s">
        <v>1781</v>
      </c>
      <c r="C1431" s="2" t="s">
        <v>96</v>
      </c>
      <c r="D1431" s="2" t="s">
        <v>41</v>
      </c>
      <c r="E1431" s="2">
        <v>20</v>
      </c>
      <c r="F1431" s="2">
        <v>61</v>
      </c>
      <c r="G1431" s="2">
        <v>165</v>
      </c>
      <c r="H1431" s="9">
        <f t="shared" si="22"/>
        <v>22.4058769513315</v>
      </c>
      <c r="I1431" s="2" t="str" cm="1">
        <f t="array" ref="I1431">_xlfn.IFS(F1431&gt;=100,"Over weight",F1431&lt;100,"Average weight")</f>
        <v>Average weight</v>
      </c>
      <c r="J1431" s="2" t="str" cm="1">
        <f t="array" ref="J1431">_xlfn.IFS(G1431&lt;164,"Below Average height",G1431&gt;=165,"Above Average height",G1431=164,"Average height")</f>
        <v>Above Average height</v>
      </c>
      <c r="K1431" s="2" t="str" cm="1">
        <f t="array" ref="K1431">_xlfn.IFS(E1431&lt;=16,"Children",E1431&lt;=30,"Young Adults",E1431&lt;=45,"Middle-aged Adults",E1431&gt;45,"Old Adults")</f>
        <v>Young Adults</v>
      </c>
    </row>
    <row r="1432" spans="1:11" x14ac:dyDescent="0.45">
      <c r="A1432" s="2">
        <v>1678</v>
      </c>
      <c r="B1432" s="2" t="s">
        <v>1782</v>
      </c>
      <c r="C1432" s="2" t="s">
        <v>98</v>
      </c>
      <c r="D1432" s="2" t="s">
        <v>80</v>
      </c>
      <c r="E1432" s="2">
        <v>27</v>
      </c>
      <c r="F1432" s="2">
        <v>68</v>
      </c>
      <c r="G1432" s="2">
        <v>170</v>
      </c>
      <c r="H1432" s="9">
        <f t="shared" si="22"/>
        <v>23.529411764705884</v>
      </c>
      <c r="I1432" s="2" t="str" cm="1">
        <f t="array" ref="I1432">_xlfn.IFS(F1432&gt;=100,"Over weight",F1432&lt;100,"Average weight")</f>
        <v>Average weight</v>
      </c>
      <c r="J1432" s="2" t="str" cm="1">
        <f t="array" ref="J1432">_xlfn.IFS(G1432&lt;164,"Below Average height",G1432&gt;=165,"Above Average height",G1432=164,"Average height")</f>
        <v>Above Average height</v>
      </c>
      <c r="K1432" s="2" t="str" cm="1">
        <f t="array" ref="K1432">_xlfn.IFS(E1432&lt;=16,"Children",E1432&lt;=30,"Young Adults",E1432&lt;=45,"Middle-aged Adults",E1432&gt;45,"Old Adults")</f>
        <v>Young Adults</v>
      </c>
    </row>
    <row r="1433" spans="1:11" x14ac:dyDescent="0.45">
      <c r="A1433" s="2">
        <v>1679</v>
      </c>
      <c r="B1433" s="2" t="s">
        <v>1783</v>
      </c>
      <c r="C1433" s="2" t="s">
        <v>89</v>
      </c>
      <c r="D1433" s="2" t="s">
        <v>41</v>
      </c>
      <c r="E1433" s="2">
        <v>25</v>
      </c>
      <c r="F1433" s="2">
        <v>73</v>
      </c>
      <c r="G1433" s="2">
        <v>175</v>
      </c>
      <c r="H1433" s="9">
        <f t="shared" si="22"/>
        <v>23.836734693877553</v>
      </c>
      <c r="I1433" s="2" t="str" cm="1">
        <f t="array" ref="I1433">_xlfn.IFS(F1433&gt;=100,"Over weight",F1433&lt;100,"Average weight")</f>
        <v>Average weight</v>
      </c>
      <c r="J1433" s="2" t="str" cm="1">
        <f t="array" ref="J1433">_xlfn.IFS(G1433&lt;164,"Below Average height",G1433&gt;=165,"Above Average height",G1433=164,"Average height")</f>
        <v>Above Average height</v>
      </c>
      <c r="K1433" s="2" t="str" cm="1">
        <f t="array" ref="K1433">_xlfn.IFS(E1433&lt;=16,"Children",E1433&lt;=30,"Young Adults",E1433&lt;=45,"Middle-aged Adults",E1433&gt;45,"Old Adults")</f>
        <v>Young Adults</v>
      </c>
    </row>
    <row r="1434" spans="1:11" x14ac:dyDescent="0.45">
      <c r="A1434" s="2">
        <v>1680</v>
      </c>
      <c r="B1434" s="2" t="s">
        <v>1784</v>
      </c>
      <c r="C1434" s="2" t="s">
        <v>89</v>
      </c>
      <c r="D1434" s="2" t="s">
        <v>41</v>
      </c>
      <c r="E1434" s="2">
        <v>29</v>
      </c>
      <c r="F1434" s="2">
        <v>72</v>
      </c>
      <c r="G1434" s="2">
        <v>172</v>
      </c>
      <c r="H1434" s="9">
        <f t="shared" si="22"/>
        <v>24.337479718766904</v>
      </c>
      <c r="I1434" s="2" t="str" cm="1">
        <f t="array" ref="I1434">_xlfn.IFS(F1434&gt;=100,"Over weight",F1434&lt;100,"Average weight")</f>
        <v>Average weight</v>
      </c>
      <c r="J1434" s="2" t="str" cm="1">
        <f t="array" ref="J1434">_xlfn.IFS(G1434&lt;164,"Below Average height",G1434&gt;=165,"Above Average height",G1434=164,"Average height")</f>
        <v>Above Average height</v>
      </c>
      <c r="K1434" s="2" t="str" cm="1">
        <f t="array" ref="K1434">_xlfn.IFS(E1434&lt;=16,"Children",E1434&lt;=30,"Young Adults",E1434&lt;=45,"Middle-aged Adults",E1434&gt;45,"Old Adults")</f>
        <v>Young Adults</v>
      </c>
    </row>
    <row r="1435" spans="1:11" x14ac:dyDescent="0.45">
      <c r="A1435" s="2">
        <v>1681</v>
      </c>
      <c r="B1435" s="2" t="s">
        <v>1785</v>
      </c>
      <c r="C1435" s="2" t="s">
        <v>94</v>
      </c>
      <c r="D1435" s="2" t="s">
        <v>23</v>
      </c>
      <c r="E1435" s="2">
        <v>19</v>
      </c>
      <c r="F1435" s="2">
        <v>60</v>
      </c>
      <c r="G1435" s="2">
        <v>165</v>
      </c>
      <c r="H1435" s="9">
        <f t="shared" si="22"/>
        <v>22.03856749311295</v>
      </c>
      <c r="I1435" s="2" t="str" cm="1">
        <f t="array" ref="I1435">_xlfn.IFS(F1435&gt;=100,"Over weight",F1435&lt;100,"Average weight")</f>
        <v>Average weight</v>
      </c>
      <c r="J1435" s="2" t="str" cm="1">
        <f t="array" ref="J1435">_xlfn.IFS(G1435&lt;164,"Below Average height",G1435&gt;=165,"Above Average height",G1435=164,"Average height")</f>
        <v>Above Average height</v>
      </c>
      <c r="K1435" s="2" t="str" cm="1">
        <f t="array" ref="K1435">_xlfn.IFS(E1435&lt;=16,"Children",E1435&lt;=30,"Young Adults",E1435&lt;=45,"Middle-aged Adults",E1435&gt;45,"Old Adults")</f>
        <v>Young Adults</v>
      </c>
    </row>
    <row r="1436" spans="1:11" x14ac:dyDescent="0.45">
      <c r="A1436" s="2">
        <v>1682</v>
      </c>
      <c r="B1436" s="2" t="s">
        <v>1786</v>
      </c>
      <c r="C1436" s="2" t="s">
        <v>92</v>
      </c>
      <c r="D1436" s="2" t="s">
        <v>41</v>
      </c>
      <c r="E1436" s="2">
        <v>39</v>
      </c>
      <c r="F1436" s="2">
        <v>52</v>
      </c>
      <c r="G1436" s="2">
        <v>165</v>
      </c>
      <c r="H1436" s="9">
        <f t="shared" si="22"/>
        <v>19.100091827364558</v>
      </c>
      <c r="I1436" s="2" t="str" cm="1">
        <f t="array" ref="I1436">_xlfn.IFS(F1436&gt;=100,"Over weight",F1436&lt;100,"Average weight")</f>
        <v>Average weight</v>
      </c>
      <c r="J1436" s="2" t="str" cm="1">
        <f t="array" ref="J1436">_xlfn.IFS(G1436&lt;164,"Below Average height",G1436&gt;=165,"Above Average height",G1436=164,"Average height")</f>
        <v>Above Average height</v>
      </c>
      <c r="K1436" s="2" t="str" cm="1">
        <f t="array" ref="K1436">_xlfn.IFS(E1436&lt;=16,"Children",E1436&lt;=30,"Young Adults",E1436&lt;=45,"Middle-aged Adults",E1436&gt;45,"Old Adults")</f>
        <v>Middle-aged Adults</v>
      </c>
    </row>
    <row r="1437" spans="1:11" x14ac:dyDescent="0.45">
      <c r="A1437" s="2">
        <v>1686</v>
      </c>
      <c r="B1437" s="2" t="s">
        <v>1790</v>
      </c>
      <c r="C1437" s="2" t="s">
        <v>91</v>
      </c>
      <c r="D1437" s="2" t="s">
        <v>60</v>
      </c>
      <c r="E1437" s="2">
        <v>24</v>
      </c>
      <c r="F1437" s="2">
        <v>79</v>
      </c>
      <c r="G1437" s="2">
        <v>179</v>
      </c>
      <c r="H1437" s="9">
        <f t="shared" si="22"/>
        <v>24.655909615804749</v>
      </c>
      <c r="I1437" s="2" t="str" cm="1">
        <f t="array" ref="I1437">_xlfn.IFS(F1437&gt;=100,"Over weight",F1437&lt;100,"Average weight")</f>
        <v>Average weight</v>
      </c>
      <c r="J1437" s="2" t="str" cm="1">
        <f t="array" ref="J1437">_xlfn.IFS(G1437&lt;164,"Below Average height",G1437&gt;=165,"Above Average height",G1437=164,"Average height")</f>
        <v>Above Average height</v>
      </c>
      <c r="K1437" s="2" t="str" cm="1">
        <f t="array" ref="K1437">_xlfn.IFS(E1437&lt;=16,"Children",E1437&lt;=30,"Young Adults",E1437&lt;=45,"Middle-aged Adults",E1437&gt;45,"Old Adults")</f>
        <v>Young Adults</v>
      </c>
    </row>
    <row r="1438" spans="1:11" x14ac:dyDescent="0.45">
      <c r="A1438" s="2">
        <v>1687</v>
      </c>
      <c r="B1438" s="2" t="s">
        <v>1791</v>
      </c>
      <c r="C1438" s="2" t="s">
        <v>92</v>
      </c>
      <c r="D1438" s="2" t="s">
        <v>25</v>
      </c>
      <c r="E1438" s="2">
        <v>25</v>
      </c>
      <c r="F1438" s="2">
        <v>58</v>
      </c>
      <c r="G1438" s="2">
        <v>175</v>
      </c>
      <c r="H1438" s="9">
        <f t="shared" si="22"/>
        <v>18.938775510204081</v>
      </c>
      <c r="I1438" s="2" t="str" cm="1">
        <f t="array" ref="I1438">_xlfn.IFS(F1438&gt;=100,"Over weight",F1438&lt;100,"Average weight")</f>
        <v>Average weight</v>
      </c>
      <c r="J1438" s="2" t="str" cm="1">
        <f t="array" ref="J1438">_xlfn.IFS(G1438&lt;164,"Below Average height",G1438&gt;=165,"Above Average height",G1438=164,"Average height")</f>
        <v>Above Average height</v>
      </c>
      <c r="K1438" s="2" t="str" cm="1">
        <f t="array" ref="K1438">_xlfn.IFS(E1438&lt;=16,"Children",E1438&lt;=30,"Young Adults",E1438&lt;=45,"Middle-aged Adults",E1438&gt;45,"Old Adults")</f>
        <v>Young Adults</v>
      </c>
    </row>
    <row r="1439" spans="1:11" x14ac:dyDescent="0.45">
      <c r="A1439" s="2">
        <v>1689</v>
      </c>
      <c r="B1439" s="2" t="s">
        <v>1793</v>
      </c>
      <c r="C1439" s="2" t="s">
        <v>90</v>
      </c>
      <c r="D1439" s="2" t="s">
        <v>80</v>
      </c>
      <c r="E1439" s="2">
        <v>22</v>
      </c>
      <c r="F1439" s="2">
        <v>103</v>
      </c>
      <c r="G1439" s="2">
        <v>188</v>
      </c>
      <c r="H1439" s="9">
        <f t="shared" si="22"/>
        <v>29.14214576731553</v>
      </c>
      <c r="I1439" s="2" t="str" cm="1">
        <f t="array" ref="I1439">_xlfn.IFS(F1439&gt;=100,"Over weight",F1439&lt;100,"Average weight")</f>
        <v>Over weight</v>
      </c>
      <c r="J1439" s="2" t="str" cm="1">
        <f t="array" ref="J1439">_xlfn.IFS(G1439&lt;164,"Below Average height",G1439&gt;=165,"Above Average height",G1439=164,"Average height")</f>
        <v>Above Average height</v>
      </c>
      <c r="K1439" s="2" t="str" cm="1">
        <f t="array" ref="K1439">_xlfn.IFS(E1439&lt;=16,"Children",E1439&lt;=30,"Young Adults",E1439&lt;=45,"Middle-aged Adults",E1439&gt;45,"Old Adults")</f>
        <v>Young Adults</v>
      </c>
    </row>
    <row r="1440" spans="1:11" x14ac:dyDescent="0.45">
      <c r="A1440" s="2">
        <v>1690</v>
      </c>
      <c r="B1440" s="2" t="s">
        <v>1794</v>
      </c>
      <c r="C1440" s="2" t="s">
        <v>94</v>
      </c>
      <c r="D1440" s="2" t="s">
        <v>74</v>
      </c>
      <c r="E1440" s="2">
        <v>33</v>
      </c>
      <c r="F1440" s="2">
        <v>60</v>
      </c>
      <c r="G1440" s="2">
        <v>165</v>
      </c>
      <c r="H1440" s="9">
        <f t="shared" si="22"/>
        <v>22.03856749311295</v>
      </c>
      <c r="I1440" s="2" t="str" cm="1">
        <f t="array" ref="I1440">_xlfn.IFS(F1440&gt;=100,"Over weight",F1440&lt;100,"Average weight")</f>
        <v>Average weight</v>
      </c>
      <c r="J1440" s="2" t="str" cm="1">
        <f t="array" ref="J1440">_xlfn.IFS(G1440&lt;164,"Below Average height",G1440&gt;=165,"Above Average height",G1440=164,"Average height")</f>
        <v>Above Average height</v>
      </c>
      <c r="K1440" s="2" t="str" cm="1">
        <f t="array" ref="K1440">_xlfn.IFS(E1440&lt;=16,"Children",E1440&lt;=30,"Young Adults",E1440&lt;=45,"Middle-aged Adults",E1440&gt;45,"Old Adults")</f>
        <v>Middle-aged Adults</v>
      </c>
    </row>
    <row r="1441" spans="1:11" x14ac:dyDescent="0.45">
      <c r="A1441" s="2">
        <v>1691</v>
      </c>
      <c r="B1441" s="2" t="s">
        <v>1795</v>
      </c>
      <c r="C1441" s="2" t="s">
        <v>85</v>
      </c>
      <c r="D1441" s="2" t="s">
        <v>74</v>
      </c>
      <c r="E1441" s="2">
        <v>25</v>
      </c>
      <c r="F1441" s="2">
        <v>102</v>
      </c>
      <c r="G1441" s="2">
        <v>187</v>
      </c>
      <c r="H1441" s="9">
        <f t="shared" si="22"/>
        <v>29.168692270296543</v>
      </c>
      <c r="I1441" s="2" t="str" cm="1">
        <f t="array" ref="I1441">_xlfn.IFS(F1441&gt;=100,"Over weight",F1441&lt;100,"Average weight")</f>
        <v>Over weight</v>
      </c>
      <c r="J1441" s="2" t="str" cm="1">
        <f t="array" ref="J1441">_xlfn.IFS(G1441&lt;164,"Below Average height",G1441&gt;=165,"Above Average height",G1441=164,"Average height")</f>
        <v>Above Average height</v>
      </c>
      <c r="K1441" s="2" t="str" cm="1">
        <f t="array" ref="K1441">_xlfn.IFS(E1441&lt;=16,"Children",E1441&lt;=30,"Young Adults",E1441&lt;=45,"Middle-aged Adults",E1441&gt;45,"Old Adults")</f>
        <v>Young Adults</v>
      </c>
    </row>
    <row r="1442" spans="1:11" x14ac:dyDescent="0.45">
      <c r="A1442" s="2">
        <v>1692</v>
      </c>
      <c r="B1442" s="2" t="s">
        <v>1796</v>
      </c>
      <c r="C1442" s="2" t="s">
        <v>94</v>
      </c>
      <c r="D1442" s="2" t="s">
        <v>74</v>
      </c>
      <c r="E1442" s="2">
        <v>29</v>
      </c>
      <c r="F1442" s="2">
        <v>61</v>
      </c>
      <c r="G1442" s="2">
        <v>181</v>
      </c>
      <c r="H1442" s="9">
        <f t="shared" si="22"/>
        <v>18.619700253350018</v>
      </c>
      <c r="I1442" s="2" t="str" cm="1">
        <f t="array" ref="I1442">_xlfn.IFS(F1442&gt;=100,"Over weight",F1442&lt;100,"Average weight")</f>
        <v>Average weight</v>
      </c>
      <c r="J1442" s="2" t="str" cm="1">
        <f t="array" ref="J1442">_xlfn.IFS(G1442&lt;164,"Below Average height",G1442&gt;=165,"Above Average height",G1442=164,"Average height")</f>
        <v>Above Average height</v>
      </c>
      <c r="K1442" s="2" t="str" cm="1">
        <f t="array" ref="K1442">_xlfn.IFS(E1442&lt;=16,"Children",E1442&lt;=30,"Young Adults",E1442&lt;=45,"Middle-aged Adults",E1442&gt;45,"Old Adults")</f>
        <v>Young Adults</v>
      </c>
    </row>
    <row r="1443" spans="1:11" x14ac:dyDescent="0.45">
      <c r="A1443" s="2">
        <v>1693</v>
      </c>
      <c r="B1443" s="2" t="s">
        <v>1797</v>
      </c>
      <c r="C1443" s="2" t="s">
        <v>87</v>
      </c>
      <c r="D1443" s="2" t="s">
        <v>14</v>
      </c>
      <c r="E1443" s="2">
        <v>31</v>
      </c>
      <c r="F1443" s="2">
        <v>63</v>
      </c>
      <c r="G1443" s="2">
        <v>177</v>
      </c>
      <c r="H1443" s="9">
        <f t="shared" si="22"/>
        <v>20.109164033323754</v>
      </c>
      <c r="I1443" s="2" t="str" cm="1">
        <f t="array" ref="I1443">_xlfn.IFS(F1443&gt;=100,"Over weight",F1443&lt;100,"Average weight")</f>
        <v>Average weight</v>
      </c>
      <c r="J1443" s="2" t="str" cm="1">
        <f t="array" ref="J1443">_xlfn.IFS(G1443&lt;164,"Below Average height",G1443&gt;=165,"Above Average height",G1443=164,"Average height")</f>
        <v>Above Average height</v>
      </c>
      <c r="K1443" s="2" t="str" cm="1">
        <f t="array" ref="K1443">_xlfn.IFS(E1443&lt;=16,"Children",E1443&lt;=30,"Young Adults",E1443&lt;=45,"Middle-aged Adults",E1443&gt;45,"Old Adults")</f>
        <v>Middle-aged Adults</v>
      </c>
    </row>
    <row r="1444" spans="1:11" x14ac:dyDescent="0.45">
      <c r="A1444" s="2">
        <v>1694</v>
      </c>
      <c r="B1444" s="2" t="s">
        <v>1798</v>
      </c>
      <c r="C1444" s="2" t="s">
        <v>94</v>
      </c>
      <c r="D1444" s="2" t="s">
        <v>41</v>
      </c>
      <c r="E1444" s="2">
        <v>29</v>
      </c>
      <c r="F1444" s="2">
        <v>78</v>
      </c>
      <c r="G1444" s="2">
        <v>180</v>
      </c>
      <c r="H1444" s="9">
        <f t="shared" si="22"/>
        <v>24.074074074074073</v>
      </c>
      <c r="I1444" s="2" t="str" cm="1">
        <f t="array" ref="I1444">_xlfn.IFS(F1444&gt;=100,"Over weight",F1444&lt;100,"Average weight")</f>
        <v>Average weight</v>
      </c>
      <c r="J1444" s="2" t="str" cm="1">
        <f t="array" ref="J1444">_xlfn.IFS(G1444&lt;164,"Below Average height",G1444&gt;=165,"Above Average height",G1444=164,"Average height")</f>
        <v>Above Average height</v>
      </c>
      <c r="K1444" s="2" t="str" cm="1">
        <f t="array" ref="K1444">_xlfn.IFS(E1444&lt;=16,"Children",E1444&lt;=30,"Young Adults",E1444&lt;=45,"Middle-aged Adults",E1444&gt;45,"Old Adults")</f>
        <v>Young Adults</v>
      </c>
    </row>
    <row r="1445" spans="1:11" x14ac:dyDescent="0.45">
      <c r="A1445" s="2">
        <v>1695</v>
      </c>
      <c r="B1445" s="2" t="s">
        <v>1799</v>
      </c>
      <c r="C1445" s="2" t="s">
        <v>91</v>
      </c>
      <c r="D1445" s="2" t="s">
        <v>66</v>
      </c>
      <c r="E1445" s="2">
        <v>31</v>
      </c>
      <c r="F1445" s="2">
        <v>78</v>
      </c>
      <c r="G1445" s="2">
        <v>178</v>
      </c>
      <c r="H1445" s="9">
        <f t="shared" si="22"/>
        <v>24.618103774775911</v>
      </c>
      <c r="I1445" s="2" t="str" cm="1">
        <f t="array" ref="I1445">_xlfn.IFS(F1445&gt;=100,"Over weight",F1445&lt;100,"Average weight")</f>
        <v>Average weight</v>
      </c>
      <c r="J1445" s="2" t="str" cm="1">
        <f t="array" ref="J1445">_xlfn.IFS(G1445&lt;164,"Below Average height",G1445&gt;=165,"Above Average height",G1445=164,"Average height")</f>
        <v>Above Average height</v>
      </c>
      <c r="K1445" s="2" t="str" cm="1">
        <f t="array" ref="K1445">_xlfn.IFS(E1445&lt;=16,"Children",E1445&lt;=30,"Young Adults",E1445&lt;=45,"Middle-aged Adults",E1445&gt;45,"Old Adults")</f>
        <v>Middle-aged Adults</v>
      </c>
    </row>
    <row r="1446" spans="1:11" x14ac:dyDescent="0.45">
      <c r="A1446" s="2">
        <v>1696</v>
      </c>
      <c r="B1446" s="2" t="s">
        <v>1800</v>
      </c>
      <c r="C1446" s="2" t="s">
        <v>85</v>
      </c>
      <c r="D1446" s="2" t="s">
        <v>23</v>
      </c>
      <c r="E1446" s="2">
        <v>27</v>
      </c>
      <c r="F1446" s="2">
        <v>77</v>
      </c>
      <c r="G1446" s="2">
        <v>174</v>
      </c>
      <c r="H1446" s="9">
        <f t="shared" si="22"/>
        <v>25.432685955872639</v>
      </c>
      <c r="I1446" s="2" t="str" cm="1">
        <f t="array" ref="I1446">_xlfn.IFS(F1446&gt;=100,"Over weight",F1446&lt;100,"Average weight")</f>
        <v>Average weight</v>
      </c>
      <c r="J1446" s="2" t="str" cm="1">
        <f t="array" ref="J1446">_xlfn.IFS(G1446&lt;164,"Below Average height",G1446&gt;=165,"Above Average height",G1446=164,"Average height")</f>
        <v>Above Average height</v>
      </c>
      <c r="K1446" s="2" t="str" cm="1">
        <f t="array" ref="K1446">_xlfn.IFS(E1446&lt;=16,"Children",E1446&lt;=30,"Young Adults",E1446&lt;=45,"Middle-aged Adults",E1446&gt;45,"Old Adults")</f>
        <v>Young Adults</v>
      </c>
    </row>
    <row r="1447" spans="1:11" x14ac:dyDescent="0.45">
      <c r="A1447" s="2">
        <v>1697</v>
      </c>
      <c r="B1447" s="2" t="s">
        <v>1801</v>
      </c>
      <c r="C1447" s="2" t="s">
        <v>97</v>
      </c>
      <c r="D1447" s="2" t="s">
        <v>71</v>
      </c>
      <c r="E1447" s="2">
        <v>23</v>
      </c>
      <c r="F1447" s="2">
        <v>67</v>
      </c>
      <c r="G1447" s="2">
        <v>172</v>
      </c>
      <c r="H1447" s="9">
        <f t="shared" si="22"/>
        <v>22.647376960519203</v>
      </c>
      <c r="I1447" s="2" t="str" cm="1">
        <f t="array" ref="I1447">_xlfn.IFS(F1447&gt;=100,"Over weight",F1447&lt;100,"Average weight")</f>
        <v>Average weight</v>
      </c>
      <c r="J1447" s="2" t="str" cm="1">
        <f t="array" ref="J1447">_xlfn.IFS(G1447&lt;164,"Below Average height",G1447&gt;=165,"Above Average height",G1447=164,"Average height")</f>
        <v>Above Average height</v>
      </c>
      <c r="K1447" s="2" t="str" cm="1">
        <f t="array" ref="K1447">_xlfn.IFS(E1447&lt;=16,"Children",E1447&lt;=30,"Young Adults",E1447&lt;=45,"Middle-aged Adults",E1447&gt;45,"Old Adults")</f>
        <v>Young Adults</v>
      </c>
    </row>
    <row r="1448" spans="1:11" x14ac:dyDescent="0.45">
      <c r="A1448" s="2">
        <v>1698</v>
      </c>
      <c r="B1448" s="2" t="s">
        <v>1802</v>
      </c>
      <c r="C1448" s="2" t="s">
        <v>90</v>
      </c>
      <c r="D1448" s="2" t="s">
        <v>66</v>
      </c>
      <c r="E1448" s="2">
        <v>27</v>
      </c>
      <c r="F1448" s="2">
        <v>100</v>
      </c>
      <c r="G1448" s="2">
        <v>188</v>
      </c>
      <c r="H1448" s="9">
        <f t="shared" si="22"/>
        <v>28.293345405160707</v>
      </c>
      <c r="I1448" s="2" t="str" cm="1">
        <f t="array" ref="I1448">_xlfn.IFS(F1448&gt;=100,"Over weight",F1448&lt;100,"Average weight")</f>
        <v>Over weight</v>
      </c>
      <c r="J1448" s="2" t="str" cm="1">
        <f t="array" ref="J1448">_xlfn.IFS(G1448&lt;164,"Below Average height",G1448&gt;=165,"Above Average height",G1448=164,"Average height")</f>
        <v>Above Average height</v>
      </c>
      <c r="K1448" s="2" t="str" cm="1">
        <f t="array" ref="K1448">_xlfn.IFS(E1448&lt;=16,"Children",E1448&lt;=30,"Young Adults",E1448&lt;=45,"Middle-aged Adults",E1448&gt;45,"Old Adults")</f>
        <v>Young Adults</v>
      </c>
    </row>
    <row r="1449" spans="1:11" x14ac:dyDescent="0.45">
      <c r="A1449" s="2">
        <v>1699</v>
      </c>
      <c r="B1449" s="2" t="s">
        <v>1803</v>
      </c>
      <c r="C1449" s="2" t="s">
        <v>94</v>
      </c>
      <c r="D1449" s="2" t="s">
        <v>73</v>
      </c>
      <c r="E1449" s="2">
        <v>23</v>
      </c>
      <c r="F1449" s="2">
        <v>55</v>
      </c>
      <c r="G1449" s="2">
        <v>173</v>
      </c>
      <c r="H1449" s="9">
        <f t="shared" si="22"/>
        <v>18.376825152861773</v>
      </c>
      <c r="I1449" s="2" t="str" cm="1">
        <f t="array" ref="I1449">_xlfn.IFS(F1449&gt;=100,"Over weight",F1449&lt;100,"Average weight")</f>
        <v>Average weight</v>
      </c>
      <c r="J1449" s="2" t="str" cm="1">
        <f t="array" ref="J1449">_xlfn.IFS(G1449&lt;164,"Below Average height",G1449&gt;=165,"Above Average height",G1449=164,"Average height")</f>
        <v>Above Average height</v>
      </c>
      <c r="K1449" s="2" t="str" cm="1">
        <f t="array" ref="K1449">_xlfn.IFS(E1449&lt;=16,"Children",E1449&lt;=30,"Young Adults",E1449&lt;=45,"Middle-aged Adults",E1449&gt;45,"Old Adults")</f>
        <v>Young Adults</v>
      </c>
    </row>
    <row r="1450" spans="1:11" x14ac:dyDescent="0.45">
      <c r="A1450" s="2">
        <v>1700</v>
      </c>
      <c r="B1450" s="2" t="s">
        <v>1804</v>
      </c>
      <c r="C1450" s="2" t="s">
        <v>95</v>
      </c>
      <c r="D1450" s="2" t="s">
        <v>46</v>
      </c>
      <c r="E1450" s="2">
        <v>37</v>
      </c>
      <c r="F1450" s="2">
        <v>85</v>
      </c>
      <c r="G1450" s="2">
        <v>175</v>
      </c>
      <c r="H1450" s="9">
        <f t="shared" si="22"/>
        <v>27.755102040816325</v>
      </c>
      <c r="I1450" s="2" t="str" cm="1">
        <f t="array" ref="I1450">_xlfn.IFS(F1450&gt;=100,"Over weight",F1450&lt;100,"Average weight")</f>
        <v>Average weight</v>
      </c>
      <c r="J1450" s="2" t="str" cm="1">
        <f t="array" ref="J1450">_xlfn.IFS(G1450&lt;164,"Below Average height",G1450&gt;=165,"Above Average height",G1450=164,"Average height")</f>
        <v>Above Average height</v>
      </c>
      <c r="K1450" s="2" t="str" cm="1">
        <f t="array" ref="K1450">_xlfn.IFS(E1450&lt;=16,"Children",E1450&lt;=30,"Young Adults",E1450&lt;=45,"Middle-aged Adults",E1450&gt;45,"Old Adults")</f>
        <v>Middle-aged Adults</v>
      </c>
    </row>
    <row r="1451" spans="1:11" x14ac:dyDescent="0.45">
      <c r="A1451" s="2">
        <v>1701</v>
      </c>
      <c r="B1451" s="2" t="s">
        <v>1805</v>
      </c>
      <c r="C1451" s="2" t="s">
        <v>91</v>
      </c>
      <c r="D1451" s="2" t="s">
        <v>80</v>
      </c>
      <c r="E1451" s="2">
        <v>29</v>
      </c>
      <c r="F1451" s="2">
        <v>99</v>
      </c>
      <c r="G1451" s="2">
        <v>188</v>
      </c>
      <c r="H1451" s="9">
        <f t="shared" si="22"/>
        <v>28.010411951109102</v>
      </c>
      <c r="I1451" s="2" t="str" cm="1">
        <f t="array" ref="I1451">_xlfn.IFS(F1451&gt;=100,"Over weight",F1451&lt;100,"Average weight")</f>
        <v>Average weight</v>
      </c>
      <c r="J1451" s="2" t="str" cm="1">
        <f t="array" ref="J1451">_xlfn.IFS(G1451&lt;164,"Below Average height",G1451&gt;=165,"Above Average height",G1451=164,"Average height")</f>
        <v>Above Average height</v>
      </c>
      <c r="K1451" s="2" t="str" cm="1">
        <f t="array" ref="K1451">_xlfn.IFS(E1451&lt;=16,"Children",E1451&lt;=30,"Young Adults",E1451&lt;=45,"Middle-aged Adults",E1451&gt;45,"Old Adults")</f>
        <v>Young Adults</v>
      </c>
    </row>
    <row r="1452" spans="1:11" x14ac:dyDescent="0.45">
      <c r="A1452" s="2">
        <v>1703</v>
      </c>
      <c r="B1452" s="2" t="s">
        <v>1807</v>
      </c>
      <c r="C1452" s="2" t="s">
        <v>85</v>
      </c>
      <c r="D1452" s="2" t="s">
        <v>14</v>
      </c>
      <c r="E1452" s="2">
        <v>26</v>
      </c>
      <c r="F1452" s="2">
        <v>94</v>
      </c>
      <c r="G1452" s="2">
        <v>183</v>
      </c>
      <c r="H1452" s="9">
        <f t="shared" si="22"/>
        <v>28.068918152229088</v>
      </c>
      <c r="I1452" s="2" t="str" cm="1">
        <f t="array" ref="I1452">_xlfn.IFS(F1452&gt;=100,"Over weight",F1452&lt;100,"Average weight")</f>
        <v>Average weight</v>
      </c>
      <c r="J1452" s="2" t="str" cm="1">
        <f t="array" ref="J1452">_xlfn.IFS(G1452&lt;164,"Below Average height",G1452&gt;=165,"Above Average height",G1452=164,"Average height")</f>
        <v>Above Average height</v>
      </c>
      <c r="K1452" s="2" t="str" cm="1">
        <f t="array" ref="K1452">_xlfn.IFS(E1452&lt;=16,"Children",E1452&lt;=30,"Young Adults",E1452&lt;=45,"Middle-aged Adults",E1452&gt;45,"Old Adults")</f>
        <v>Young Adults</v>
      </c>
    </row>
    <row r="1453" spans="1:11" x14ac:dyDescent="0.45">
      <c r="A1453" s="2">
        <v>1705</v>
      </c>
      <c r="B1453" s="2" t="s">
        <v>1809</v>
      </c>
      <c r="C1453" s="2" t="s">
        <v>91</v>
      </c>
      <c r="D1453" s="2" t="s">
        <v>74</v>
      </c>
      <c r="E1453" s="2">
        <v>19</v>
      </c>
      <c r="F1453" s="2">
        <v>65</v>
      </c>
      <c r="G1453" s="2">
        <v>166</v>
      </c>
      <c r="H1453" s="9">
        <f t="shared" si="22"/>
        <v>23.588329220496444</v>
      </c>
      <c r="I1453" s="2" t="str" cm="1">
        <f t="array" ref="I1453">_xlfn.IFS(F1453&gt;=100,"Over weight",F1453&lt;100,"Average weight")</f>
        <v>Average weight</v>
      </c>
      <c r="J1453" s="2" t="str" cm="1">
        <f t="array" ref="J1453">_xlfn.IFS(G1453&lt;164,"Below Average height",G1453&gt;=165,"Above Average height",G1453=164,"Average height")</f>
        <v>Above Average height</v>
      </c>
      <c r="K1453" s="2" t="str" cm="1">
        <f t="array" ref="K1453">_xlfn.IFS(E1453&lt;=16,"Children",E1453&lt;=30,"Young Adults",E1453&lt;=45,"Middle-aged Adults",E1453&gt;45,"Old Adults")</f>
        <v>Young Adults</v>
      </c>
    </row>
    <row r="1454" spans="1:11" x14ac:dyDescent="0.45">
      <c r="A1454" s="2">
        <v>1706</v>
      </c>
      <c r="B1454" s="2" t="s">
        <v>1810</v>
      </c>
      <c r="C1454" s="2" t="s">
        <v>100</v>
      </c>
      <c r="D1454" s="2" t="s">
        <v>75</v>
      </c>
      <c r="E1454" s="2">
        <v>30</v>
      </c>
      <c r="F1454" s="2">
        <v>85</v>
      </c>
      <c r="G1454" s="2">
        <v>185</v>
      </c>
      <c r="H1454" s="9">
        <f t="shared" si="22"/>
        <v>24.835646457268076</v>
      </c>
      <c r="I1454" s="2" t="str" cm="1">
        <f t="array" ref="I1454">_xlfn.IFS(F1454&gt;=100,"Over weight",F1454&lt;100,"Average weight")</f>
        <v>Average weight</v>
      </c>
      <c r="J1454" s="2" t="str" cm="1">
        <f t="array" ref="J1454">_xlfn.IFS(G1454&lt;164,"Below Average height",G1454&gt;=165,"Above Average height",G1454=164,"Average height")</f>
        <v>Above Average height</v>
      </c>
      <c r="K1454" s="2" t="str" cm="1">
        <f t="array" ref="K1454">_xlfn.IFS(E1454&lt;=16,"Children",E1454&lt;=30,"Young Adults",E1454&lt;=45,"Middle-aged Adults",E1454&gt;45,"Old Adults")</f>
        <v>Young Adults</v>
      </c>
    </row>
    <row r="1455" spans="1:11" x14ac:dyDescent="0.45">
      <c r="A1455" s="2">
        <v>1707</v>
      </c>
      <c r="B1455" s="2" t="s">
        <v>1811</v>
      </c>
      <c r="C1455" s="2" t="s">
        <v>96</v>
      </c>
      <c r="D1455" s="2" t="s">
        <v>75</v>
      </c>
      <c r="E1455" s="2">
        <v>38</v>
      </c>
      <c r="F1455" s="2">
        <v>61</v>
      </c>
      <c r="G1455" s="2">
        <v>165</v>
      </c>
      <c r="H1455" s="9">
        <f t="shared" si="22"/>
        <v>22.4058769513315</v>
      </c>
      <c r="I1455" s="2" t="str" cm="1">
        <f t="array" ref="I1455">_xlfn.IFS(F1455&gt;=100,"Over weight",F1455&lt;100,"Average weight")</f>
        <v>Average weight</v>
      </c>
      <c r="J1455" s="2" t="str" cm="1">
        <f t="array" ref="J1455">_xlfn.IFS(G1455&lt;164,"Below Average height",G1455&gt;=165,"Above Average height",G1455=164,"Average height")</f>
        <v>Above Average height</v>
      </c>
      <c r="K1455" s="2" t="str" cm="1">
        <f t="array" ref="K1455">_xlfn.IFS(E1455&lt;=16,"Children",E1455&lt;=30,"Young Adults",E1455&lt;=45,"Middle-aged Adults",E1455&gt;45,"Old Adults")</f>
        <v>Middle-aged Adults</v>
      </c>
    </row>
    <row r="1456" spans="1:11" x14ac:dyDescent="0.45">
      <c r="A1456" s="2">
        <v>1708</v>
      </c>
      <c r="B1456" s="2" t="s">
        <v>1812</v>
      </c>
      <c r="C1456" s="2" t="s">
        <v>89</v>
      </c>
      <c r="D1456" s="2" t="s">
        <v>14</v>
      </c>
      <c r="E1456" s="2">
        <v>22</v>
      </c>
      <c r="F1456" s="2">
        <v>65</v>
      </c>
      <c r="G1456" s="2">
        <v>174</v>
      </c>
      <c r="H1456" s="9">
        <f t="shared" si="22"/>
        <v>21.469150482230148</v>
      </c>
      <c r="I1456" s="2" t="str" cm="1">
        <f t="array" ref="I1456">_xlfn.IFS(F1456&gt;=100,"Over weight",F1456&lt;100,"Average weight")</f>
        <v>Average weight</v>
      </c>
      <c r="J1456" s="2" t="str" cm="1">
        <f t="array" ref="J1456">_xlfn.IFS(G1456&lt;164,"Below Average height",G1456&gt;=165,"Above Average height",G1456=164,"Average height")</f>
        <v>Above Average height</v>
      </c>
      <c r="K1456" s="2" t="str" cm="1">
        <f t="array" ref="K1456">_xlfn.IFS(E1456&lt;=16,"Children",E1456&lt;=30,"Young Adults",E1456&lt;=45,"Middle-aged Adults",E1456&gt;45,"Old Adults")</f>
        <v>Young Adults</v>
      </c>
    </row>
    <row r="1457" spans="1:11" x14ac:dyDescent="0.45">
      <c r="A1457" s="2">
        <v>1709</v>
      </c>
      <c r="B1457" s="2" t="s">
        <v>1813</v>
      </c>
      <c r="C1457" s="2" t="s">
        <v>91</v>
      </c>
      <c r="D1457" s="2" t="s">
        <v>14</v>
      </c>
      <c r="E1457" s="2">
        <v>30</v>
      </c>
      <c r="F1457" s="2">
        <v>78</v>
      </c>
      <c r="G1457" s="2">
        <v>180</v>
      </c>
      <c r="H1457" s="9">
        <f t="shared" si="22"/>
        <v>24.074074074074073</v>
      </c>
      <c r="I1457" s="2" t="str" cm="1">
        <f t="array" ref="I1457">_xlfn.IFS(F1457&gt;=100,"Over weight",F1457&lt;100,"Average weight")</f>
        <v>Average weight</v>
      </c>
      <c r="J1457" s="2" t="str" cm="1">
        <f t="array" ref="J1457">_xlfn.IFS(G1457&lt;164,"Below Average height",G1457&gt;=165,"Above Average height",G1457=164,"Average height")</f>
        <v>Above Average height</v>
      </c>
      <c r="K1457" s="2" t="str" cm="1">
        <f t="array" ref="K1457">_xlfn.IFS(E1457&lt;=16,"Children",E1457&lt;=30,"Young Adults",E1457&lt;=45,"Middle-aged Adults",E1457&gt;45,"Old Adults")</f>
        <v>Young Adults</v>
      </c>
    </row>
    <row r="1458" spans="1:11" x14ac:dyDescent="0.45">
      <c r="A1458" s="2">
        <v>1710</v>
      </c>
      <c r="B1458" s="2" t="s">
        <v>1814</v>
      </c>
      <c r="C1458" s="2" t="s">
        <v>91</v>
      </c>
      <c r="D1458" s="2" t="s">
        <v>66</v>
      </c>
      <c r="E1458" s="2">
        <v>24</v>
      </c>
      <c r="F1458" s="2">
        <v>99</v>
      </c>
      <c r="G1458" s="2">
        <v>188</v>
      </c>
      <c r="H1458" s="9">
        <f t="shared" si="22"/>
        <v>28.010411951109102</v>
      </c>
      <c r="I1458" s="2" t="str" cm="1">
        <f t="array" ref="I1458">_xlfn.IFS(F1458&gt;=100,"Over weight",F1458&lt;100,"Average weight")</f>
        <v>Average weight</v>
      </c>
      <c r="J1458" s="2" t="str" cm="1">
        <f t="array" ref="J1458">_xlfn.IFS(G1458&lt;164,"Below Average height",G1458&gt;=165,"Above Average height",G1458=164,"Average height")</f>
        <v>Above Average height</v>
      </c>
      <c r="K1458" s="2" t="str" cm="1">
        <f t="array" ref="K1458">_xlfn.IFS(E1458&lt;=16,"Children",E1458&lt;=30,"Young Adults",E1458&lt;=45,"Middle-aged Adults",E1458&gt;45,"Old Adults")</f>
        <v>Young Adults</v>
      </c>
    </row>
    <row r="1459" spans="1:11" x14ac:dyDescent="0.45">
      <c r="A1459" s="2">
        <v>1711</v>
      </c>
      <c r="B1459" s="2" t="s">
        <v>1815</v>
      </c>
      <c r="C1459" s="2" t="s">
        <v>87</v>
      </c>
      <c r="D1459" s="2" t="s">
        <v>5</v>
      </c>
      <c r="E1459" s="2">
        <v>31</v>
      </c>
      <c r="F1459" s="2">
        <v>63</v>
      </c>
      <c r="G1459" s="2">
        <v>168</v>
      </c>
      <c r="H1459" s="9">
        <f t="shared" si="22"/>
        <v>22.321428571428577</v>
      </c>
      <c r="I1459" s="2" t="str" cm="1">
        <f t="array" ref="I1459">_xlfn.IFS(F1459&gt;=100,"Over weight",F1459&lt;100,"Average weight")</f>
        <v>Average weight</v>
      </c>
      <c r="J1459" s="2" t="str" cm="1">
        <f t="array" ref="J1459">_xlfn.IFS(G1459&lt;164,"Below Average height",G1459&gt;=165,"Above Average height",G1459=164,"Average height")</f>
        <v>Above Average height</v>
      </c>
      <c r="K1459" s="2" t="str" cm="1">
        <f t="array" ref="K1459">_xlfn.IFS(E1459&lt;=16,"Children",E1459&lt;=30,"Young Adults",E1459&lt;=45,"Middle-aged Adults",E1459&gt;45,"Old Adults")</f>
        <v>Middle-aged Adults</v>
      </c>
    </row>
    <row r="1460" spans="1:11" x14ac:dyDescent="0.45">
      <c r="A1460" s="2">
        <v>1712</v>
      </c>
      <c r="B1460" s="2" t="s">
        <v>1816</v>
      </c>
      <c r="C1460" s="2" t="s">
        <v>87</v>
      </c>
      <c r="D1460" s="2" t="s">
        <v>41</v>
      </c>
      <c r="E1460" s="2">
        <v>22</v>
      </c>
      <c r="F1460" s="2">
        <v>65</v>
      </c>
      <c r="G1460" s="2">
        <v>165</v>
      </c>
      <c r="H1460" s="9">
        <f t="shared" si="22"/>
        <v>23.875114784205696</v>
      </c>
      <c r="I1460" s="2" t="str" cm="1">
        <f t="array" ref="I1460">_xlfn.IFS(F1460&gt;=100,"Over weight",F1460&lt;100,"Average weight")</f>
        <v>Average weight</v>
      </c>
      <c r="J1460" s="2" t="str" cm="1">
        <f t="array" ref="J1460">_xlfn.IFS(G1460&lt;164,"Below Average height",G1460&gt;=165,"Above Average height",G1460=164,"Average height")</f>
        <v>Above Average height</v>
      </c>
      <c r="K1460" s="2" t="str" cm="1">
        <f t="array" ref="K1460">_xlfn.IFS(E1460&lt;=16,"Children",E1460&lt;=30,"Young Adults",E1460&lt;=45,"Middle-aged Adults",E1460&gt;45,"Old Adults")</f>
        <v>Young Adults</v>
      </c>
    </row>
    <row r="1461" spans="1:11" x14ac:dyDescent="0.45">
      <c r="A1461" s="2">
        <v>1714</v>
      </c>
      <c r="B1461" s="2" t="s">
        <v>1818</v>
      </c>
      <c r="C1461" s="2" t="s">
        <v>94</v>
      </c>
      <c r="D1461" s="2" t="s">
        <v>25</v>
      </c>
      <c r="E1461" s="2">
        <v>23</v>
      </c>
      <c r="F1461" s="2">
        <v>77</v>
      </c>
      <c r="G1461" s="2">
        <v>180</v>
      </c>
      <c r="H1461" s="9">
        <f t="shared" si="22"/>
        <v>23.76543209876543</v>
      </c>
      <c r="I1461" s="2" t="str" cm="1">
        <f t="array" ref="I1461">_xlfn.IFS(F1461&gt;=100,"Over weight",F1461&lt;100,"Average weight")</f>
        <v>Average weight</v>
      </c>
      <c r="J1461" s="2" t="str" cm="1">
        <f t="array" ref="J1461">_xlfn.IFS(G1461&lt;164,"Below Average height",G1461&gt;=165,"Above Average height",G1461=164,"Average height")</f>
        <v>Above Average height</v>
      </c>
      <c r="K1461" s="2" t="str" cm="1">
        <f t="array" ref="K1461">_xlfn.IFS(E1461&lt;=16,"Children",E1461&lt;=30,"Young Adults",E1461&lt;=45,"Middle-aged Adults",E1461&gt;45,"Old Adults")</f>
        <v>Young Adults</v>
      </c>
    </row>
    <row r="1462" spans="1:11" x14ac:dyDescent="0.45">
      <c r="A1462" s="2">
        <v>1715</v>
      </c>
      <c r="B1462" s="2" t="s">
        <v>1819</v>
      </c>
      <c r="C1462" s="2" t="s">
        <v>90</v>
      </c>
      <c r="D1462" s="2" t="s">
        <v>80</v>
      </c>
      <c r="E1462" s="2">
        <v>29</v>
      </c>
      <c r="F1462" s="2">
        <v>76</v>
      </c>
      <c r="G1462" s="2">
        <v>170</v>
      </c>
      <c r="H1462" s="9">
        <f t="shared" si="22"/>
        <v>26.297577854671282</v>
      </c>
      <c r="I1462" s="2" t="str" cm="1">
        <f t="array" ref="I1462">_xlfn.IFS(F1462&gt;=100,"Over weight",F1462&lt;100,"Average weight")</f>
        <v>Average weight</v>
      </c>
      <c r="J1462" s="2" t="str" cm="1">
        <f t="array" ref="J1462">_xlfn.IFS(G1462&lt;164,"Below Average height",G1462&gt;=165,"Above Average height",G1462=164,"Average height")</f>
        <v>Above Average height</v>
      </c>
      <c r="K1462" s="2" t="str" cm="1">
        <f t="array" ref="K1462">_xlfn.IFS(E1462&lt;=16,"Children",E1462&lt;=30,"Young Adults",E1462&lt;=45,"Middle-aged Adults",E1462&gt;45,"Old Adults")</f>
        <v>Young Adults</v>
      </c>
    </row>
    <row r="1463" spans="1:11" x14ac:dyDescent="0.45">
      <c r="A1463" s="2">
        <v>1716</v>
      </c>
      <c r="B1463" s="2" t="s">
        <v>1820</v>
      </c>
      <c r="C1463" s="2" t="s">
        <v>88</v>
      </c>
      <c r="D1463" s="2" t="s">
        <v>73</v>
      </c>
      <c r="E1463" s="2">
        <v>21</v>
      </c>
      <c r="F1463" s="2">
        <v>53</v>
      </c>
      <c r="G1463" s="2">
        <v>165</v>
      </c>
      <c r="H1463" s="9">
        <f t="shared" si="22"/>
        <v>19.467401285583104</v>
      </c>
      <c r="I1463" s="2" t="str" cm="1">
        <f t="array" ref="I1463">_xlfn.IFS(F1463&gt;=100,"Over weight",F1463&lt;100,"Average weight")</f>
        <v>Average weight</v>
      </c>
      <c r="J1463" s="2" t="str" cm="1">
        <f t="array" ref="J1463">_xlfn.IFS(G1463&lt;164,"Below Average height",G1463&gt;=165,"Above Average height",G1463=164,"Average height")</f>
        <v>Above Average height</v>
      </c>
      <c r="K1463" s="2" t="str" cm="1">
        <f t="array" ref="K1463">_xlfn.IFS(E1463&lt;=16,"Children",E1463&lt;=30,"Young Adults",E1463&lt;=45,"Middle-aged Adults",E1463&gt;45,"Old Adults")</f>
        <v>Young Adults</v>
      </c>
    </row>
    <row r="1464" spans="1:11" x14ac:dyDescent="0.45">
      <c r="A1464" s="2">
        <v>1717</v>
      </c>
      <c r="B1464" s="2" t="s">
        <v>1821</v>
      </c>
      <c r="C1464" s="2" t="s">
        <v>85</v>
      </c>
      <c r="D1464" s="2" t="s">
        <v>74</v>
      </c>
      <c r="E1464" s="2">
        <v>28</v>
      </c>
      <c r="F1464" s="2">
        <v>82</v>
      </c>
      <c r="G1464" s="2">
        <v>170</v>
      </c>
      <c r="H1464" s="9">
        <f t="shared" si="22"/>
        <v>28.373702422145332</v>
      </c>
      <c r="I1464" s="2" t="str" cm="1">
        <f t="array" ref="I1464">_xlfn.IFS(F1464&gt;=100,"Over weight",F1464&lt;100,"Average weight")</f>
        <v>Average weight</v>
      </c>
      <c r="J1464" s="2" t="str" cm="1">
        <f t="array" ref="J1464">_xlfn.IFS(G1464&lt;164,"Below Average height",G1464&gt;=165,"Above Average height",G1464=164,"Average height")</f>
        <v>Above Average height</v>
      </c>
      <c r="K1464" s="2" t="str" cm="1">
        <f t="array" ref="K1464">_xlfn.IFS(E1464&lt;=16,"Children",E1464&lt;=30,"Young Adults",E1464&lt;=45,"Middle-aged Adults",E1464&gt;45,"Old Adults")</f>
        <v>Young Adults</v>
      </c>
    </row>
    <row r="1465" spans="1:11" x14ac:dyDescent="0.45">
      <c r="A1465" s="2">
        <v>1718</v>
      </c>
      <c r="B1465" s="2" t="s">
        <v>1822</v>
      </c>
      <c r="C1465" s="2" t="s">
        <v>91</v>
      </c>
      <c r="D1465" s="2" t="s">
        <v>74</v>
      </c>
      <c r="E1465" s="2">
        <v>32</v>
      </c>
      <c r="F1465" s="2">
        <v>94</v>
      </c>
      <c r="G1465" s="2">
        <v>181</v>
      </c>
      <c r="H1465" s="9">
        <f t="shared" si="22"/>
        <v>28.692652849424622</v>
      </c>
      <c r="I1465" s="2" t="str" cm="1">
        <f t="array" ref="I1465">_xlfn.IFS(F1465&gt;=100,"Over weight",F1465&lt;100,"Average weight")</f>
        <v>Average weight</v>
      </c>
      <c r="J1465" s="2" t="str" cm="1">
        <f t="array" ref="J1465">_xlfn.IFS(G1465&lt;164,"Below Average height",G1465&gt;=165,"Above Average height",G1465=164,"Average height")</f>
        <v>Above Average height</v>
      </c>
      <c r="K1465" s="2" t="str" cm="1">
        <f t="array" ref="K1465">_xlfn.IFS(E1465&lt;=16,"Children",E1465&lt;=30,"Young Adults",E1465&lt;=45,"Middle-aged Adults",E1465&gt;45,"Old Adults")</f>
        <v>Middle-aged Adults</v>
      </c>
    </row>
    <row r="1466" spans="1:11" x14ac:dyDescent="0.45">
      <c r="A1466" s="2">
        <v>1719</v>
      </c>
      <c r="B1466" s="2" t="s">
        <v>1823</v>
      </c>
      <c r="C1466" s="2" t="s">
        <v>100</v>
      </c>
      <c r="D1466" s="2" t="s">
        <v>14</v>
      </c>
      <c r="E1466" s="2">
        <v>39</v>
      </c>
      <c r="F1466" s="2">
        <v>90</v>
      </c>
      <c r="G1466" s="2">
        <v>190</v>
      </c>
      <c r="H1466" s="9">
        <f t="shared" si="22"/>
        <v>24.930747922437675</v>
      </c>
      <c r="I1466" s="2" t="str" cm="1">
        <f t="array" ref="I1466">_xlfn.IFS(F1466&gt;=100,"Over weight",F1466&lt;100,"Average weight")</f>
        <v>Average weight</v>
      </c>
      <c r="J1466" s="2" t="str" cm="1">
        <f t="array" ref="J1466">_xlfn.IFS(G1466&lt;164,"Below Average height",G1466&gt;=165,"Above Average height",G1466=164,"Average height")</f>
        <v>Above Average height</v>
      </c>
      <c r="K1466" s="2" t="str" cm="1">
        <f t="array" ref="K1466">_xlfn.IFS(E1466&lt;=16,"Children",E1466&lt;=30,"Young Adults",E1466&lt;=45,"Middle-aged Adults",E1466&gt;45,"Old Adults")</f>
        <v>Middle-aged Adults</v>
      </c>
    </row>
    <row r="1467" spans="1:11" x14ac:dyDescent="0.45">
      <c r="A1467" s="2">
        <v>1720</v>
      </c>
      <c r="B1467" s="2" t="s">
        <v>1824</v>
      </c>
      <c r="C1467" s="2" t="s">
        <v>94</v>
      </c>
      <c r="D1467" s="2" t="s">
        <v>46</v>
      </c>
      <c r="E1467" s="2">
        <v>26</v>
      </c>
      <c r="F1467" s="2">
        <v>80</v>
      </c>
      <c r="G1467" s="2">
        <v>180</v>
      </c>
      <c r="H1467" s="9">
        <f t="shared" si="22"/>
        <v>24.691358024691358</v>
      </c>
      <c r="I1467" s="2" t="str" cm="1">
        <f t="array" ref="I1467">_xlfn.IFS(F1467&gt;=100,"Over weight",F1467&lt;100,"Average weight")</f>
        <v>Average weight</v>
      </c>
      <c r="J1467" s="2" t="str" cm="1">
        <f t="array" ref="J1467">_xlfn.IFS(G1467&lt;164,"Below Average height",G1467&gt;=165,"Above Average height",G1467=164,"Average height")</f>
        <v>Above Average height</v>
      </c>
      <c r="K1467" s="2" t="str" cm="1">
        <f t="array" ref="K1467">_xlfn.IFS(E1467&lt;=16,"Children",E1467&lt;=30,"Young Adults",E1467&lt;=45,"Middle-aged Adults",E1467&gt;45,"Old Adults")</f>
        <v>Young Adults</v>
      </c>
    </row>
    <row r="1468" spans="1:11" x14ac:dyDescent="0.45">
      <c r="A1468" s="2">
        <v>1721</v>
      </c>
      <c r="B1468" s="2" t="s">
        <v>1825</v>
      </c>
      <c r="C1468" s="2" t="s">
        <v>94</v>
      </c>
      <c r="D1468" s="2" t="s">
        <v>74</v>
      </c>
      <c r="E1468" s="2">
        <v>24</v>
      </c>
      <c r="F1468" s="2">
        <v>64</v>
      </c>
      <c r="G1468" s="2">
        <v>173</v>
      </c>
      <c r="H1468" s="9">
        <f t="shared" si="22"/>
        <v>21.383941996057334</v>
      </c>
      <c r="I1468" s="2" t="str" cm="1">
        <f t="array" ref="I1468">_xlfn.IFS(F1468&gt;=100,"Over weight",F1468&lt;100,"Average weight")</f>
        <v>Average weight</v>
      </c>
      <c r="J1468" s="2" t="str" cm="1">
        <f t="array" ref="J1468">_xlfn.IFS(G1468&lt;164,"Below Average height",G1468&gt;=165,"Above Average height",G1468=164,"Average height")</f>
        <v>Above Average height</v>
      </c>
      <c r="K1468" s="2" t="str" cm="1">
        <f t="array" ref="K1468">_xlfn.IFS(E1468&lt;=16,"Children",E1468&lt;=30,"Young Adults",E1468&lt;=45,"Middle-aged Adults",E1468&gt;45,"Old Adults")</f>
        <v>Young Adults</v>
      </c>
    </row>
    <row r="1469" spans="1:11" x14ac:dyDescent="0.45">
      <c r="A1469" s="2">
        <v>1722</v>
      </c>
      <c r="B1469" s="2" t="s">
        <v>1826</v>
      </c>
      <c r="C1469" s="2" t="s">
        <v>91</v>
      </c>
      <c r="D1469" s="2" t="s">
        <v>70</v>
      </c>
      <c r="E1469" s="2">
        <v>37</v>
      </c>
      <c r="F1469" s="2">
        <v>83</v>
      </c>
      <c r="G1469" s="2">
        <v>179</v>
      </c>
      <c r="H1469" s="9">
        <f t="shared" si="22"/>
        <v>25.904310102680942</v>
      </c>
      <c r="I1469" s="2" t="str" cm="1">
        <f t="array" ref="I1469">_xlfn.IFS(F1469&gt;=100,"Over weight",F1469&lt;100,"Average weight")</f>
        <v>Average weight</v>
      </c>
      <c r="J1469" s="2" t="str" cm="1">
        <f t="array" ref="J1469">_xlfn.IFS(G1469&lt;164,"Below Average height",G1469&gt;=165,"Above Average height",G1469=164,"Average height")</f>
        <v>Above Average height</v>
      </c>
      <c r="K1469" s="2" t="str" cm="1">
        <f t="array" ref="K1469">_xlfn.IFS(E1469&lt;=16,"Children",E1469&lt;=30,"Young Adults",E1469&lt;=45,"Middle-aged Adults",E1469&gt;45,"Old Adults")</f>
        <v>Middle-aged Adults</v>
      </c>
    </row>
    <row r="1470" spans="1:11" x14ac:dyDescent="0.45">
      <c r="A1470" s="2">
        <v>1724</v>
      </c>
      <c r="B1470" s="2" t="s">
        <v>1828</v>
      </c>
      <c r="C1470" s="2" t="s">
        <v>88</v>
      </c>
      <c r="D1470" s="2" t="s">
        <v>63</v>
      </c>
      <c r="E1470" s="2">
        <v>26</v>
      </c>
      <c r="F1470" s="2">
        <v>56</v>
      </c>
      <c r="G1470" s="2">
        <v>165</v>
      </c>
      <c r="H1470" s="9">
        <f t="shared" si="22"/>
        <v>20.569329660238754</v>
      </c>
      <c r="I1470" s="2" t="str" cm="1">
        <f t="array" ref="I1470">_xlfn.IFS(F1470&gt;=100,"Over weight",F1470&lt;100,"Average weight")</f>
        <v>Average weight</v>
      </c>
      <c r="J1470" s="2" t="str" cm="1">
        <f t="array" ref="J1470">_xlfn.IFS(G1470&lt;164,"Below Average height",G1470&gt;=165,"Above Average height",G1470=164,"Average height")</f>
        <v>Above Average height</v>
      </c>
      <c r="K1470" s="2" t="str" cm="1">
        <f t="array" ref="K1470">_xlfn.IFS(E1470&lt;=16,"Children",E1470&lt;=30,"Young Adults",E1470&lt;=45,"Middle-aged Adults",E1470&gt;45,"Old Adults")</f>
        <v>Young Adults</v>
      </c>
    </row>
    <row r="1471" spans="1:11" x14ac:dyDescent="0.45">
      <c r="A1471" s="2">
        <v>1726</v>
      </c>
      <c r="B1471" s="2" t="s">
        <v>1830</v>
      </c>
      <c r="C1471" s="2" t="s">
        <v>98</v>
      </c>
      <c r="D1471" s="2" t="s">
        <v>13</v>
      </c>
      <c r="E1471" s="2">
        <v>25</v>
      </c>
      <c r="F1471" s="2">
        <v>67</v>
      </c>
      <c r="G1471" s="2">
        <v>174</v>
      </c>
      <c r="H1471" s="9">
        <f t="shared" si="22"/>
        <v>22.129739727837229</v>
      </c>
      <c r="I1471" s="2" t="str" cm="1">
        <f t="array" ref="I1471">_xlfn.IFS(F1471&gt;=100,"Over weight",F1471&lt;100,"Average weight")</f>
        <v>Average weight</v>
      </c>
      <c r="J1471" s="2" t="str" cm="1">
        <f t="array" ref="J1471">_xlfn.IFS(G1471&lt;164,"Below Average height",G1471&gt;=165,"Above Average height",G1471=164,"Average height")</f>
        <v>Above Average height</v>
      </c>
      <c r="K1471" s="2" t="str" cm="1">
        <f t="array" ref="K1471">_xlfn.IFS(E1471&lt;=16,"Children",E1471&lt;=30,"Young Adults",E1471&lt;=45,"Middle-aged Adults",E1471&gt;45,"Old Adults")</f>
        <v>Young Adults</v>
      </c>
    </row>
    <row r="1472" spans="1:11" x14ac:dyDescent="0.45">
      <c r="A1472" s="2">
        <v>1728</v>
      </c>
      <c r="B1472" s="2" t="s">
        <v>1832</v>
      </c>
      <c r="C1472" s="2" t="s">
        <v>94</v>
      </c>
      <c r="D1472" s="2" t="s">
        <v>66</v>
      </c>
      <c r="E1472" s="2">
        <v>27</v>
      </c>
      <c r="F1472" s="2">
        <v>69</v>
      </c>
      <c r="G1472" s="2">
        <v>178</v>
      </c>
      <c r="H1472" s="9">
        <f t="shared" si="22"/>
        <v>21.777553339224845</v>
      </c>
      <c r="I1472" s="2" t="str" cm="1">
        <f t="array" ref="I1472">_xlfn.IFS(F1472&gt;=100,"Over weight",F1472&lt;100,"Average weight")</f>
        <v>Average weight</v>
      </c>
      <c r="J1472" s="2" t="str" cm="1">
        <f t="array" ref="J1472">_xlfn.IFS(G1472&lt;164,"Below Average height",G1472&gt;=165,"Above Average height",G1472=164,"Average height")</f>
        <v>Above Average height</v>
      </c>
      <c r="K1472" s="2" t="str" cm="1">
        <f t="array" ref="K1472">_xlfn.IFS(E1472&lt;=16,"Children",E1472&lt;=30,"Young Adults",E1472&lt;=45,"Middle-aged Adults",E1472&gt;45,"Old Adults")</f>
        <v>Young Adults</v>
      </c>
    </row>
    <row r="1473" spans="1:11" x14ac:dyDescent="0.45">
      <c r="A1473" s="2">
        <v>1729</v>
      </c>
      <c r="B1473" s="2" t="s">
        <v>1833</v>
      </c>
      <c r="C1473" s="2" t="s">
        <v>94</v>
      </c>
      <c r="D1473" s="2" t="s">
        <v>66</v>
      </c>
      <c r="E1473" s="2">
        <v>20</v>
      </c>
      <c r="F1473" s="2">
        <v>78</v>
      </c>
      <c r="G1473" s="2">
        <v>184</v>
      </c>
      <c r="H1473" s="9">
        <f t="shared" si="22"/>
        <v>23.038752362948959</v>
      </c>
      <c r="I1473" s="2" t="str" cm="1">
        <f t="array" ref="I1473">_xlfn.IFS(F1473&gt;=100,"Over weight",F1473&lt;100,"Average weight")</f>
        <v>Average weight</v>
      </c>
      <c r="J1473" s="2" t="str" cm="1">
        <f t="array" ref="J1473">_xlfn.IFS(G1473&lt;164,"Below Average height",G1473&gt;=165,"Above Average height",G1473=164,"Average height")</f>
        <v>Above Average height</v>
      </c>
      <c r="K1473" s="2" t="str" cm="1">
        <f t="array" ref="K1473">_xlfn.IFS(E1473&lt;=16,"Children",E1473&lt;=30,"Young Adults",E1473&lt;=45,"Middle-aged Adults",E1473&gt;45,"Old Adults")</f>
        <v>Young Adults</v>
      </c>
    </row>
    <row r="1474" spans="1:11" x14ac:dyDescent="0.45">
      <c r="A1474" s="2">
        <v>1730</v>
      </c>
      <c r="B1474" s="2" t="s">
        <v>1834</v>
      </c>
      <c r="C1474" s="2" t="s">
        <v>85</v>
      </c>
      <c r="D1474" s="2" t="s">
        <v>20</v>
      </c>
      <c r="E1474" s="2">
        <v>21</v>
      </c>
      <c r="F1474" s="2">
        <v>75</v>
      </c>
      <c r="G1474" s="2">
        <v>176</v>
      </c>
      <c r="H1474" s="9">
        <f t="shared" ref="H1474:H1537" si="23" xml:space="preserve"> F1474 / (( G1474/ 100) ^ 2)</f>
        <v>24.212293388429753</v>
      </c>
      <c r="I1474" s="2" t="str" cm="1">
        <f t="array" ref="I1474">_xlfn.IFS(F1474&gt;=100,"Over weight",F1474&lt;100,"Average weight")</f>
        <v>Average weight</v>
      </c>
      <c r="J1474" s="2" t="str" cm="1">
        <f t="array" ref="J1474">_xlfn.IFS(G1474&lt;164,"Below Average height",G1474&gt;=165,"Above Average height",G1474=164,"Average height")</f>
        <v>Above Average height</v>
      </c>
      <c r="K1474" s="2" t="str" cm="1">
        <f t="array" ref="K1474">_xlfn.IFS(E1474&lt;=16,"Children",E1474&lt;=30,"Young Adults",E1474&lt;=45,"Middle-aged Adults",E1474&gt;45,"Old Adults")</f>
        <v>Young Adults</v>
      </c>
    </row>
    <row r="1475" spans="1:11" x14ac:dyDescent="0.45">
      <c r="A1475" s="2">
        <v>1732</v>
      </c>
      <c r="B1475" s="2" t="s">
        <v>1836</v>
      </c>
      <c r="C1475" s="2" t="s">
        <v>95</v>
      </c>
      <c r="D1475" s="2" t="s">
        <v>13</v>
      </c>
      <c r="E1475" s="2">
        <v>23</v>
      </c>
      <c r="F1475" s="2">
        <v>80</v>
      </c>
      <c r="G1475" s="2">
        <v>180</v>
      </c>
      <c r="H1475" s="9">
        <f t="shared" si="23"/>
        <v>24.691358024691358</v>
      </c>
      <c r="I1475" s="2" t="str" cm="1">
        <f t="array" ref="I1475">_xlfn.IFS(F1475&gt;=100,"Over weight",F1475&lt;100,"Average weight")</f>
        <v>Average weight</v>
      </c>
      <c r="J1475" s="2" t="str" cm="1">
        <f t="array" ref="J1475">_xlfn.IFS(G1475&lt;164,"Below Average height",G1475&gt;=165,"Above Average height",G1475=164,"Average height")</f>
        <v>Above Average height</v>
      </c>
      <c r="K1475" s="2" t="str" cm="1">
        <f t="array" ref="K1475">_xlfn.IFS(E1475&lt;=16,"Children",E1475&lt;=30,"Young Adults",E1475&lt;=45,"Middle-aged Adults",E1475&gt;45,"Old Adults")</f>
        <v>Young Adults</v>
      </c>
    </row>
    <row r="1476" spans="1:11" x14ac:dyDescent="0.45">
      <c r="A1476" s="2">
        <v>1733</v>
      </c>
      <c r="B1476" s="2" t="s">
        <v>1837</v>
      </c>
      <c r="C1476" s="2" t="s">
        <v>85</v>
      </c>
      <c r="D1476" s="2" t="s">
        <v>39</v>
      </c>
      <c r="E1476" s="2">
        <v>20</v>
      </c>
      <c r="F1476" s="2">
        <v>96</v>
      </c>
      <c r="G1476" s="2">
        <v>183</v>
      </c>
      <c r="H1476" s="9">
        <f t="shared" si="23"/>
        <v>28.666129176744597</v>
      </c>
      <c r="I1476" s="2" t="str" cm="1">
        <f t="array" ref="I1476">_xlfn.IFS(F1476&gt;=100,"Over weight",F1476&lt;100,"Average weight")</f>
        <v>Average weight</v>
      </c>
      <c r="J1476" s="2" t="str" cm="1">
        <f t="array" ref="J1476">_xlfn.IFS(G1476&lt;164,"Below Average height",G1476&gt;=165,"Above Average height",G1476=164,"Average height")</f>
        <v>Above Average height</v>
      </c>
      <c r="K1476" s="2" t="str" cm="1">
        <f t="array" ref="K1476">_xlfn.IFS(E1476&lt;=16,"Children",E1476&lt;=30,"Young Adults",E1476&lt;=45,"Middle-aged Adults",E1476&gt;45,"Old Adults")</f>
        <v>Young Adults</v>
      </c>
    </row>
    <row r="1477" spans="1:11" x14ac:dyDescent="0.45">
      <c r="A1477" s="2">
        <v>1734</v>
      </c>
      <c r="B1477" s="2" t="s">
        <v>1838</v>
      </c>
      <c r="C1477" s="2" t="s">
        <v>91</v>
      </c>
      <c r="D1477" s="2" t="s">
        <v>80</v>
      </c>
      <c r="E1477" s="2">
        <v>25</v>
      </c>
      <c r="F1477" s="2">
        <v>86</v>
      </c>
      <c r="G1477" s="2">
        <v>180</v>
      </c>
      <c r="H1477" s="9">
        <f t="shared" si="23"/>
        <v>26.543209876543209</v>
      </c>
      <c r="I1477" s="2" t="str" cm="1">
        <f t="array" ref="I1477">_xlfn.IFS(F1477&gt;=100,"Over weight",F1477&lt;100,"Average weight")</f>
        <v>Average weight</v>
      </c>
      <c r="J1477" s="2" t="str" cm="1">
        <f t="array" ref="J1477">_xlfn.IFS(G1477&lt;164,"Below Average height",G1477&gt;=165,"Above Average height",G1477=164,"Average height")</f>
        <v>Above Average height</v>
      </c>
      <c r="K1477" s="2" t="str" cm="1">
        <f t="array" ref="K1477">_xlfn.IFS(E1477&lt;=16,"Children",E1477&lt;=30,"Young Adults",E1477&lt;=45,"Middle-aged Adults",E1477&gt;45,"Old Adults")</f>
        <v>Young Adults</v>
      </c>
    </row>
    <row r="1478" spans="1:11" x14ac:dyDescent="0.45">
      <c r="A1478" s="2">
        <v>1736</v>
      </c>
      <c r="B1478" s="2" t="s">
        <v>1840</v>
      </c>
      <c r="C1478" s="2" t="s">
        <v>98</v>
      </c>
      <c r="D1478" s="2" t="s">
        <v>44</v>
      </c>
      <c r="E1478" s="2">
        <v>17</v>
      </c>
      <c r="F1478" s="2">
        <v>55</v>
      </c>
      <c r="G1478" s="2">
        <v>168</v>
      </c>
      <c r="H1478" s="9">
        <f t="shared" si="23"/>
        <v>19.486961451247168</v>
      </c>
      <c r="I1478" s="2" t="str" cm="1">
        <f t="array" ref="I1478">_xlfn.IFS(F1478&gt;=100,"Over weight",F1478&lt;100,"Average weight")</f>
        <v>Average weight</v>
      </c>
      <c r="J1478" s="2" t="str" cm="1">
        <f t="array" ref="J1478">_xlfn.IFS(G1478&lt;164,"Below Average height",G1478&gt;=165,"Above Average height",G1478=164,"Average height")</f>
        <v>Above Average height</v>
      </c>
      <c r="K1478" s="2" t="str" cm="1">
        <f t="array" ref="K1478">_xlfn.IFS(E1478&lt;=16,"Children",E1478&lt;=30,"Young Adults",E1478&lt;=45,"Middle-aged Adults",E1478&gt;45,"Old Adults")</f>
        <v>Young Adults</v>
      </c>
    </row>
    <row r="1479" spans="1:11" x14ac:dyDescent="0.45">
      <c r="A1479" s="2">
        <v>1737</v>
      </c>
      <c r="B1479" s="2" t="s">
        <v>1841</v>
      </c>
      <c r="C1479" s="2" t="s">
        <v>89</v>
      </c>
      <c r="D1479" s="2" t="s">
        <v>14</v>
      </c>
      <c r="E1479" s="2">
        <v>24</v>
      </c>
      <c r="F1479" s="2">
        <v>86</v>
      </c>
      <c r="G1479" s="2">
        <v>185</v>
      </c>
      <c r="H1479" s="9">
        <f t="shared" si="23"/>
        <v>25.127830533235937</v>
      </c>
      <c r="I1479" s="2" t="str" cm="1">
        <f t="array" ref="I1479">_xlfn.IFS(F1479&gt;=100,"Over weight",F1479&lt;100,"Average weight")</f>
        <v>Average weight</v>
      </c>
      <c r="J1479" s="2" t="str" cm="1">
        <f t="array" ref="J1479">_xlfn.IFS(G1479&lt;164,"Below Average height",G1479&gt;=165,"Above Average height",G1479=164,"Average height")</f>
        <v>Above Average height</v>
      </c>
      <c r="K1479" s="2" t="str" cm="1">
        <f t="array" ref="K1479">_xlfn.IFS(E1479&lt;=16,"Children",E1479&lt;=30,"Young Adults",E1479&lt;=45,"Middle-aged Adults",E1479&gt;45,"Old Adults")</f>
        <v>Young Adults</v>
      </c>
    </row>
    <row r="1480" spans="1:11" x14ac:dyDescent="0.45">
      <c r="A1480" s="2">
        <v>1738</v>
      </c>
      <c r="B1480" s="2" t="s">
        <v>1842</v>
      </c>
      <c r="C1480" s="2" t="s">
        <v>94</v>
      </c>
      <c r="D1480" s="2" t="s">
        <v>39</v>
      </c>
      <c r="E1480" s="2">
        <v>29</v>
      </c>
      <c r="F1480" s="2">
        <v>76</v>
      </c>
      <c r="G1480" s="2">
        <v>180</v>
      </c>
      <c r="H1480" s="9">
        <f t="shared" si="23"/>
        <v>23.456790123456788</v>
      </c>
      <c r="I1480" s="2" t="str" cm="1">
        <f t="array" ref="I1480">_xlfn.IFS(F1480&gt;=100,"Over weight",F1480&lt;100,"Average weight")</f>
        <v>Average weight</v>
      </c>
      <c r="J1480" s="2" t="str" cm="1">
        <f t="array" ref="J1480">_xlfn.IFS(G1480&lt;164,"Below Average height",G1480&gt;=165,"Above Average height",G1480=164,"Average height")</f>
        <v>Above Average height</v>
      </c>
      <c r="K1480" s="2" t="str" cm="1">
        <f t="array" ref="K1480">_xlfn.IFS(E1480&lt;=16,"Children",E1480&lt;=30,"Young Adults",E1480&lt;=45,"Middle-aged Adults",E1480&gt;45,"Old Adults")</f>
        <v>Young Adults</v>
      </c>
    </row>
    <row r="1481" spans="1:11" x14ac:dyDescent="0.45">
      <c r="A1481" s="2">
        <v>1739</v>
      </c>
      <c r="B1481" s="2" t="s">
        <v>1843</v>
      </c>
      <c r="C1481" s="2" t="s">
        <v>94</v>
      </c>
      <c r="D1481" s="2" t="s">
        <v>39</v>
      </c>
      <c r="E1481" s="2">
        <v>32</v>
      </c>
      <c r="F1481" s="2">
        <v>83</v>
      </c>
      <c r="G1481" s="2">
        <v>180</v>
      </c>
      <c r="H1481" s="9">
        <f t="shared" si="23"/>
        <v>25.617283950617281</v>
      </c>
      <c r="I1481" s="2" t="str" cm="1">
        <f t="array" ref="I1481">_xlfn.IFS(F1481&gt;=100,"Over weight",F1481&lt;100,"Average weight")</f>
        <v>Average weight</v>
      </c>
      <c r="J1481" s="2" t="str" cm="1">
        <f t="array" ref="J1481">_xlfn.IFS(G1481&lt;164,"Below Average height",G1481&gt;=165,"Above Average height",G1481=164,"Average height")</f>
        <v>Above Average height</v>
      </c>
      <c r="K1481" s="2" t="str" cm="1">
        <f t="array" ref="K1481">_xlfn.IFS(E1481&lt;=16,"Children",E1481&lt;=30,"Young Adults",E1481&lt;=45,"Middle-aged Adults",E1481&gt;45,"Old Adults")</f>
        <v>Middle-aged Adults</v>
      </c>
    </row>
    <row r="1482" spans="1:11" x14ac:dyDescent="0.45">
      <c r="A1482" s="2">
        <v>1740</v>
      </c>
      <c r="B1482" s="2" t="s">
        <v>1844</v>
      </c>
      <c r="C1482" s="2" t="s">
        <v>91</v>
      </c>
      <c r="D1482" s="2" t="s">
        <v>75</v>
      </c>
      <c r="E1482" s="2">
        <v>34</v>
      </c>
      <c r="F1482" s="2">
        <v>96</v>
      </c>
      <c r="G1482" s="2">
        <v>183</v>
      </c>
      <c r="H1482" s="9">
        <f t="shared" si="23"/>
        <v>28.666129176744597</v>
      </c>
      <c r="I1482" s="2" t="str" cm="1">
        <f t="array" ref="I1482">_xlfn.IFS(F1482&gt;=100,"Over weight",F1482&lt;100,"Average weight")</f>
        <v>Average weight</v>
      </c>
      <c r="J1482" s="2" t="str" cm="1">
        <f t="array" ref="J1482">_xlfn.IFS(G1482&lt;164,"Below Average height",G1482&gt;=165,"Above Average height",G1482=164,"Average height")</f>
        <v>Above Average height</v>
      </c>
      <c r="K1482" s="2" t="str" cm="1">
        <f t="array" ref="K1482">_xlfn.IFS(E1482&lt;=16,"Children",E1482&lt;=30,"Young Adults",E1482&lt;=45,"Middle-aged Adults",E1482&gt;45,"Old Adults")</f>
        <v>Middle-aged Adults</v>
      </c>
    </row>
    <row r="1483" spans="1:11" x14ac:dyDescent="0.45">
      <c r="A1483" s="2">
        <v>1741</v>
      </c>
      <c r="B1483" s="2" t="s">
        <v>1845</v>
      </c>
      <c r="C1483" s="2" t="s">
        <v>91</v>
      </c>
      <c r="D1483" s="2" t="s">
        <v>28</v>
      </c>
      <c r="E1483" s="2">
        <v>27</v>
      </c>
      <c r="F1483" s="2">
        <v>80</v>
      </c>
      <c r="G1483" s="2">
        <v>180</v>
      </c>
      <c r="H1483" s="9">
        <f t="shared" si="23"/>
        <v>24.691358024691358</v>
      </c>
      <c r="I1483" s="2" t="str" cm="1">
        <f t="array" ref="I1483">_xlfn.IFS(F1483&gt;=100,"Over weight",F1483&lt;100,"Average weight")</f>
        <v>Average weight</v>
      </c>
      <c r="J1483" s="2" t="str" cm="1">
        <f t="array" ref="J1483">_xlfn.IFS(G1483&lt;164,"Below Average height",G1483&gt;=165,"Above Average height",G1483=164,"Average height")</f>
        <v>Above Average height</v>
      </c>
      <c r="K1483" s="2" t="str" cm="1">
        <f t="array" ref="K1483">_xlfn.IFS(E1483&lt;=16,"Children",E1483&lt;=30,"Young Adults",E1483&lt;=45,"Middle-aged Adults",E1483&gt;45,"Old Adults")</f>
        <v>Young Adults</v>
      </c>
    </row>
    <row r="1484" spans="1:11" x14ac:dyDescent="0.45">
      <c r="A1484" s="2">
        <v>1742</v>
      </c>
      <c r="B1484" s="2" t="s">
        <v>1846</v>
      </c>
      <c r="C1484" s="2" t="s">
        <v>91</v>
      </c>
      <c r="D1484" s="2" t="s">
        <v>21</v>
      </c>
      <c r="E1484" s="2">
        <v>22</v>
      </c>
      <c r="F1484" s="2">
        <v>78</v>
      </c>
      <c r="G1484" s="2">
        <v>182</v>
      </c>
      <c r="H1484" s="9">
        <f t="shared" si="23"/>
        <v>23.547880690737831</v>
      </c>
      <c r="I1484" s="2" t="str" cm="1">
        <f t="array" ref="I1484">_xlfn.IFS(F1484&gt;=100,"Over weight",F1484&lt;100,"Average weight")</f>
        <v>Average weight</v>
      </c>
      <c r="J1484" s="2" t="str" cm="1">
        <f t="array" ref="J1484">_xlfn.IFS(G1484&lt;164,"Below Average height",G1484&gt;=165,"Above Average height",G1484=164,"Average height")</f>
        <v>Above Average height</v>
      </c>
      <c r="K1484" s="2" t="str" cm="1">
        <f t="array" ref="K1484">_xlfn.IFS(E1484&lt;=16,"Children",E1484&lt;=30,"Young Adults",E1484&lt;=45,"Middle-aged Adults",E1484&gt;45,"Old Adults")</f>
        <v>Young Adults</v>
      </c>
    </row>
    <row r="1485" spans="1:11" x14ac:dyDescent="0.45">
      <c r="A1485" s="2">
        <v>1743</v>
      </c>
      <c r="B1485" s="2" t="s">
        <v>1847</v>
      </c>
      <c r="C1485" s="2" t="s">
        <v>91</v>
      </c>
      <c r="D1485" s="2" t="s">
        <v>80</v>
      </c>
      <c r="E1485" s="2">
        <v>25</v>
      </c>
      <c r="F1485" s="2">
        <v>86</v>
      </c>
      <c r="G1485" s="2">
        <v>180</v>
      </c>
      <c r="H1485" s="9">
        <f t="shared" si="23"/>
        <v>26.543209876543209</v>
      </c>
      <c r="I1485" s="2" t="str" cm="1">
        <f t="array" ref="I1485">_xlfn.IFS(F1485&gt;=100,"Over weight",F1485&lt;100,"Average weight")</f>
        <v>Average weight</v>
      </c>
      <c r="J1485" s="2" t="str" cm="1">
        <f t="array" ref="J1485">_xlfn.IFS(G1485&lt;164,"Below Average height",G1485&gt;=165,"Above Average height",G1485=164,"Average height")</f>
        <v>Above Average height</v>
      </c>
      <c r="K1485" s="2" t="str" cm="1">
        <f t="array" ref="K1485">_xlfn.IFS(E1485&lt;=16,"Children",E1485&lt;=30,"Young Adults",E1485&lt;=45,"Middle-aged Adults",E1485&gt;45,"Old Adults")</f>
        <v>Young Adults</v>
      </c>
    </row>
    <row r="1486" spans="1:11" x14ac:dyDescent="0.45">
      <c r="A1486" s="2">
        <v>1744</v>
      </c>
      <c r="B1486" s="2" t="s">
        <v>1848</v>
      </c>
      <c r="C1486" s="2" t="s">
        <v>89</v>
      </c>
      <c r="D1486" s="2" t="s">
        <v>80</v>
      </c>
      <c r="E1486" s="2">
        <v>30</v>
      </c>
      <c r="F1486" s="2">
        <v>95</v>
      </c>
      <c r="G1486" s="2">
        <v>193</v>
      </c>
      <c r="H1486" s="9">
        <f t="shared" si="23"/>
        <v>25.50404037692287</v>
      </c>
      <c r="I1486" s="2" t="str" cm="1">
        <f t="array" ref="I1486">_xlfn.IFS(F1486&gt;=100,"Over weight",F1486&lt;100,"Average weight")</f>
        <v>Average weight</v>
      </c>
      <c r="J1486" s="2" t="str" cm="1">
        <f t="array" ref="J1486">_xlfn.IFS(G1486&lt;164,"Below Average height",G1486&gt;=165,"Above Average height",G1486=164,"Average height")</f>
        <v>Above Average height</v>
      </c>
      <c r="K1486" s="2" t="str" cm="1">
        <f t="array" ref="K1486">_xlfn.IFS(E1486&lt;=16,"Children",E1486&lt;=30,"Young Adults",E1486&lt;=45,"Middle-aged Adults",E1486&gt;45,"Old Adults")</f>
        <v>Young Adults</v>
      </c>
    </row>
    <row r="1487" spans="1:11" x14ac:dyDescent="0.45">
      <c r="A1487" s="2">
        <v>1746</v>
      </c>
      <c r="B1487" s="2" t="s">
        <v>1850</v>
      </c>
      <c r="C1487" s="2" t="s">
        <v>90</v>
      </c>
      <c r="D1487" s="2" t="s">
        <v>66</v>
      </c>
      <c r="E1487" s="2">
        <v>36</v>
      </c>
      <c r="F1487" s="2">
        <v>105</v>
      </c>
      <c r="G1487" s="2">
        <v>190</v>
      </c>
      <c r="H1487" s="9">
        <f t="shared" si="23"/>
        <v>29.085872576177287</v>
      </c>
      <c r="I1487" s="2" t="str" cm="1">
        <f t="array" ref="I1487">_xlfn.IFS(F1487&gt;=100,"Over weight",F1487&lt;100,"Average weight")</f>
        <v>Over weight</v>
      </c>
      <c r="J1487" s="2" t="str" cm="1">
        <f t="array" ref="J1487">_xlfn.IFS(G1487&lt;164,"Below Average height",G1487&gt;=165,"Above Average height",G1487=164,"Average height")</f>
        <v>Above Average height</v>
      </c>
      <c r="K1487" s="2" t="str" cm="1">
        <f t="array" ref="K1487">_xlfn.IFS(E1487&lt;=16,"Children",E1487&lt;=30,"Young Adults",E1487&lt;=45,"Middle-aged Adults",E1487&gt;45,"Old Adults")</f>
        <v>Middle-aged Adults</v>
      </c>
    </row>
    <row r="1488" spans="1:11" x14ac:dyDescent="0.45">
      <c r="A1488" s="2">
        <v>1749</v>
      </c>
      <c r="B1488" s="2" t="s">
        <v>1853</v>
      </c>
      <c r="C1488" s="2" t="s">
        <v>88</v>
      </c>
      <c r="D1488" s="2" t="s">
        <v>28</v>
      </c>
      <c r="E1488" s="2">
        <v>22</v>
      </c>
      <c r="F1488" s="2">
        <v>82</v>
      </c>
      <c r="G1488" s="2">
        <v>185</v>
      </c>
      <c r="H1488" s="9">
        <f t="shared" si="23"/>
        <v>23.959094229364496</v>
      </c>
      <c r="I1488" s="2" t="str" cm="1">
        <f t="array" ref="I1488">_xlfn.IFS(F1488&gt;=100,"Over weight",F1488&lt;100,"Average weight")</f>
        <v>Average weight</v>
      </c>
      <c r="J1488" s="2" t="str" cm="1">
        <f t="array" ref="J1488">_xlfn.IFS(G1488&lt;164,"Below Average height",G1488&gt;=165,"Above Average height",G1488=164,"Average height")</f>
        <v>Above Average height</v>
      </c>
      <c r="K1488" s="2" t="str" cm="1">
        <f t="array" ref="K1488">_xlfn.IFS(E1488&lt;=16,"Children",E1488&lt;=30,"Young Adults",E1488&lt;=45,"Middle-aged Adults",E1488&gt;45,"Old Adults")</f>
        <v>Young Adults</v>
      </c>
    </row>
    <row r="1489" spans="1:11" x14ac:dyDescent="0.45">
      <c r="A1489" s="2">
        <v>1750</v>
      </c>
      <c r="B1489" s="2" t="s">
        <v>1854</v>
      </c>
      <c r="C1489" s="2" t="s">
        <v>91</v>
      </c>
      <c r="D1489" s="2" t="s">
        <v>25</v>
      </c>
      <c r="E1489" s="2">
        <v>36</v>
      </c>
      <c r="F1489" s="2">
        <v>84</v>
      </c>
      <c r="G1489" s="2">
        <v>180</v>
      </c>
      <c r="H1489" s="9">
        <f t="shared" si="23"/>
        <v>25.925925925925924</v>
      </c>
      <c r="I1489" s="2" t="str" cm="1">
        <f t="array" ref="I1489">_xlfn.IFS(F1489&gt;=100,"Over weight",F1489&lt;100,"Average weight")</f>
        <v>Average weight</v>
      </c>
      <c r="J1489" s="2" t="str" cm="1">
        <f t="array" ref="J1489">_xlfn.IFS(G1489&lt;164,"Below Average height",G1489&gt;=165,"Above Average height",G1489=164,"Average height")</f>
        <v>Above Average height</v>
      </c>
      <c r="K1489" s="2" t="str" cm="1">
        <f t="array" ref="K1489">_xlfn.IFS(E1489&lt;=16,"Children",E1489&lt;=30,"Young Adults",E1489&lt;=45,"Middle-aged Adults",E1489&gt;45,"Old Adults")</f>
        <v>Middle-aged Adults</v>
      </c>
    </row>
    <row r="1490" spans="1:11" x14ac:dyDescent="0.45">
      <c r="A1490" s="2">
        <v>1751</v>
      </c>
      <c r="B1490" s="2" t="s">
        <v>1855</v>
      </c>
      <c r="C1490" s="2" t="s">
        <v>91</v>
      </c>
      <c r="D1490" s="2" t="s">
        <v>25</v>
      </c>
      <c r="E1490" s="2">
        <v>24</v>
      </c>
      <c r="F1490" s="2">
        <v>67</v>
      </c>
      <c r="G1490" s="2">
        <v>166</v>
      </c>
      <c r="H1490" s="9">
        <f t="shared" si="23"/>
        <v>24.314123965742489</v>
      </c>
      <c r="I1490" s="2" t="str" cm="1">
        <f t="array" ref="I1490">_xlfn.IFS(F1490&gt;=100,"Over weight",F1490&lt;100,"Average weight")</f>
        <v>Average weight</v>
      </c>
      <c r="J1490" s="2" t="str" cm="1">
        <f t="array" ref="J1490">_xlfn.IFS(G1490&lt;164,"Below Average height",G1490&gt;=165,"Above Average height",G1490=164,"Average height")</f>
        <v>Above Average height</v>
      </c>
      <c r="K1490" s="2" t="str" cm="1">
        <f t="array" ref="K1490">_xlfn.IFS(E1490&lt;=16,"Children",E1490&lt;=30,"Young Adults",E1490&lt;=45,"Middle-aged Adults",E1490&gt;45,"Old Adults")</f>
        <v>Young Adults</v>
      </c>
    </row>
    <row r="1491" spans="1:11" x14ac:dyDescent="0.45">
      <c r="A1491" s="2">
        <v>1752</v>
      </c>
      <c r="B1491" s="2" t="s">
        <v>1856</v>
      </c>
      <c r="C1491" s="2" t="s">
        <v>100</v>
      </c>
      <c r="D1491" s="2" t="s">
        <v>30</v>
      </c>
      <c r="E1491" s="2">
        <v>32</v>
      </c>
      <c r="F1491" s="2">
        <v>85</v>
      </c>
      <c r="G1491" s="2">
        <v>178</v>
      </c>
      <c r="H1491" s="9">
        <f t="shared" si="23"/>
        <v>26.82742078020452</v>
      </c>
      <c r="I1491" s="2" t="str" cm="1">
        <f t="array" ref="I1491">_xlfn.IFS(F1491&gt;=100,"Over weight",F1491&lt;100,"Average weight")</f>
        <v>Average weight</v>
      </c>
      <c r="J1491" s="2" t="str" cm="1">
        <f t="array" ref="J1491">_xlfn.IFS(G1491&lt;164,"Below Average height",G1491&gt;=165,"Above Average height",G1491=164,"Average height")</f>
        <v>Above Average height</v>
      </c>
      <c r="K1491" s="2" t="str" cm="1">
        <f t="array" ref="K1491">_xlfn.IFS(E1491&lt;=16,"Children",E1491&lt;=30,"Young Adults",E1491&lt;=45,"Middle-aged Adults",E1491&gt;45,"Old Adults")</f>
        <v>Middle-aged Adults</v>
      </c>
    </row>
    <row r="1492" spans="1:11" x14ac:dyDescent="0.45">
      <c r="A1492" s="2">
        <v>1753</v>
      </c>
      <c r="B1492" s="2" t="s">
        <v>1857</v>
      </c>
      <c r="C1492" s="2" t="s">
        <v>93</v>
      </c>
      <c r="D1492" s="2" t="s">
        <v>79</v>
      </c>
      <c r="E1492" s="2">
        <v>25</v>
      </c>
      <c r="F1492" s="2">
        <v>83</v>
      </c>
      <c r="G1492" s="2">
        <v>170</v>
      </c>
      <c r="H1492" s="9">
        <f t="shared" si="23"/>
        <v>28.719723183391007</v>
      </c>
      <c r="I1492" s="2" t="str" cm="1">
        <f t="array" ref="I1492">_xlfn.IFS(F1492&gt;=100,"Over weight",F1492&lt;100,"Average weight")</f>
        <v>Average weight</v>
      </c>
      <c r="J1492" s="2" t="str" cm="1">
        <f t="array" ref="J1492">_xlfn.IFS(G1492&lt;164,"Below Average height",G1492&gt;=165,"Above Average height",G1492=164,"Average height")</f>
        <v>Above Average height</v>
      </c>
      <c r="K1492" s="2" t="str" cm="1">
        <f t="array" ref="K1492">_xlfn.IFS(E1492&lt;=16,"Children",E1492&lt;=30,"Young Adults",E1492&lt;=45,"Middle-aged Adults",E1492&gt;45,"Old Adults")</f>
        <v>Young Adults</v>
      </c>
    </row>
    <row r="1493" spans="1:11" x14ac:dyDescent="0.45">
      <c r="A1493" s="2">
        <v>1754</v>
      </c>
      <c r="B1493" s="2" t="s">
        <v>1858</v>
      </c>
      <c r="C1493" s="2" t="s">
        <v>94</v>
      </c>
      <c r="D1493" s="2" t="s">
        <v>65</v>
      </c>
      <c r="E1493" s="2">
        <v>21</v>
      </c>
      <c r="F1493" s="2">
        <v>68</v>
      </c>
      <c r="G1493" s="2">
        <v>174</v>
      </c>
      <c r="H1493" s="9">
        <f t="shared" si="23"/>
        <v>22.460034350640772</v>
      </c>
      <c r="I1493" s="2" t="str" cm="1">
        <f t="array" ref="I1493">_xlfn.IFS(F1493&gt;=100,"Over weight",F1493&lt;100,"Average weight")</f>
        <v>Average weight</v>
      </c>
      <c r="J1493" s="2" t="str" cm="1">
        <f t="array" ref="J1493">_xlfn.IFS(G1493&lt;164,"Below Average height",G1493&gt;=165,"Above Average height",G1493=164,"Average height")</f>
        <v>Above Average height</v>
      </c>
      <c r="K1493" s="2" t="str" cm="1">
        <f t="array" ref="K1493">_xlfn.IFS(E1493&lt;=16,"Children",E1493&lt;=30,"Young Adults",E1493&lt;=45,"Middle-aged Adults",E1493&gt;45,"Old Adults")</f>
        <v>Young Adults</v>
      </c>
    </row>
    <row r="1494" spans="1:11" x14ac:dyDescent="0.45">
      <c r="A1494" s="2">
        <v>1755</v>
      </c>
      <c r="B1494" s="2" t="s">
        <v>1859</v>
      </c>
      <c r="C1494" s="2" t="s">
        <v>94</v>
      </c>
      <c r="D1494" s="2" t="s">
        <v>25</v>
      </c>
      <c r="E1494" s="2">
        <v>27</v>
      </c>
      <c r="F1494" s="2">
        <v>62</v>
      </c>
      <c r="G1494" s="2">
        <v>168</v>
      </c>
      <c r="H1494" s="9">
        <f t="shared" si="23"/>
        <v>21.9671201814059</v>
      </c>
      <c r="I1494" s="2" t="str" cm="1">
        <f t="array" ref="I1494">_xlfn.IFS(F1494&gt;=100,"Over weight",F1494&lt;100,"Average weight")</f>
        <v>Average weight</v>
      </c>
      <c r="J1494" s="2" t="str" cm="1">
        <f t="array" ref="J1494">_xlfn.IFS(G1494&lt;164,"Below Average height",G1494&gt;=165,"Above Average height",G1494=164,"Average height")</f>
        <v>Above Average height</v>
      </c>
      <c r="K1494" s="2" t="str" cm="1">
        <f t="array" ref="K1494">_xlfn.IFS(E1494&lt;=16,"Children",E1494&lt;=30,"Young Adults",E1494&lt;=45,"Middle-aged Adults",E1494&gt;45,"Old Adults")</f>
        <v>Young Adults</v>
      </c>
    </row>
    <row r="1495" spans="1:11" x14ac:dyDescent="0.45">
      <c r="A1495" s="2">
        <v>1756</v>
      </c>
      <c r="B1495" s="2" t="s">
        <v>1860</v>
      </c>
      <c r="C1495" s="2" t="s">
        <v>88</v>
      </c>
      <c r="D1495" s="2" t="s">
        <v>39</v>
      </c>
      <c r="E1495" s="2">
        <v>22</v>
      </c>
      <c r="F1495" s="2">
        <v>59</v>
      </c>
      <c r="G1495" s="2">
        <v>170</v>
      </c>
      <c r="H1495" s="9">
        <f t="shared" si="23"/>
        <v>20.415224913494811</v>
      </c>
      <c r="I1495" s="2" t="str" cm="1">
        <f t="array" ref="I1495">_xlfn.IFS(F1495&gt;=100,"Over weight",F1495&lt;100,"Average weight")</f>
        <v>Average weight</v>
      </c>
      <c r="J1495" s="2" t="str" cm="1">
        <f t="array" ref="J1495">_xlfn.IFS(G1495&lt;164,"Below Average height",G1495&gt;=165,"Above Average height",G1495=164,"Average height")</f>
        <v>Above Average height</v>
      </c>
      <c r="K1495" s="2" t="str" cm="1">
        <f t="array" ref="K1495">_xlfn.IFS(E1495&lt;=16,"Children",E1495&lt;=30,"Young Adults",E1495&lt;=45,"Middle-aged Adults",E1495&gt;45,"Old Adults")</f>
        <v>Young Adults</v>
      </c>
    </row>
    <row r="1496" spans="1:11" x14ac:dyDescent="0.45">
      <c r="A1496" s="2">
        <v>1758</v>
      </c>
      <c r="B1496" s="2" t="s">
        <v>1862</v>
      </c>
      <c r="C1496" s="2" t="s">
        <v>85</v>
      </c>
      <c r="D1496" s="2" t="s">
        <v>71</v>
      </c>
      <c r="E1496" s="2">
        <v>24</v>
      </c>
      <c r="F1496" s="2">
        <v>93</v>
      </c>
      <c r="G1496" s="2">
        <v>186</v>
      </c>
      <c r="H1496" s="9">
        <f t="shared" si="23"/>
        <v>26.881720430107524</v>
      </c>
      <c r="I1496" s="2" t="str" cm="1">
        <f t="array" ref="I1496">_xlfn.IFS(F1496&gt;=100,"Over weight",F1496&lt;100,"Average weight")</f>
        <v>Average weight</v>
      </c>
      <c r="J1496" s="2" t="str" cm="1">
        <f t="array" ref="J1496">_xlfn.IFS(G1496&lt;164,"Below Average height",G1496&gt;=165,"Above Average height",G1496=164,"Average height")</f>
        <v>Above Average height</v>
      </c>
      <c r="K1496" s="2" t="str" cm="1">
        <f t="array" ref="K1496">_xlfn.IFS(E1496&lt;=16,"Children",E1496&lt;=30,"Young Adults",E1496&lt;=45,"Middle-aged Adults",E1496&gt;45,"Old Adults")</f>
        <v>Young Adults</v>
      </c>
    </row>
    <row r="1497" spans="1:11" x14ac:dyDescent="0.45">
      <c r="A1497" s="2">
        <v>1759</v>
      </c>
      <c r="B1497" s="2" t="s">
        <v>1863</v>
      </c>
      <c r="C1497" s="2" t="s">
        <v>94</v>
      </c>
      <c r="D1497" s="2" t="s">
        <v>75</v>
      </c>
      <c r="E1497" s="2">
        <v>25</v>
      </c>
      <c r="F1497" s="2">
        <v>74</v>
      </c>
      <c r="G1497" s="2">
        <v>181</v>
      </c>
      <c r="H1497" s="9">
        <f t="shared" si="23"/>
        <v>22.587833094227893</v>
      </c>
      <c r="I1497" s="2" t="str" cm="1">
        <f t="array" ref="I1497">_xlfn.IFS(F1497&gt;=100,"Over weight",F1497&lt;100,"Average weight")</f>
        <v>Average weight</v>
      </c>
      <c r="J1497" s="2" t="str" cm="1">
        <f t="array" ref="J1497">_xlfn.IFS(G1497&lt;164,"Below Average height",G1497&gt;=165,"Above Average height",G1497=164,"Average height")</f>
        <v>Above Average height</v>
      </c>
      <c r="K1497" s="2" t="str" cm="1">
        <f t="array" ref="K1497">_xlfn.IFS(E1497&lt;=16,"Children",E1497&lt;=30,"Young Adults",E1497&lt;=45,"Middle-aged Adults",E1497&gt;45,"Old Adults")</f>
        <v>Young Adults</v>
      </c>
    </row>
    <row r="1498" spans="1:11" x14ac:dyDescent="0.45">
      <c r="A1498" s="2">
        <v>1760</v>
      </c>
      <c r="B1498" s="2" t="s">
        <v>1864</v>
      </c>
      <c r="C1498" s="2" t="s">
        <v>91</v>
      </c>
      <c r="D1498" s="2" t="s">
        <v>66</v>
      </c>
      <c r="E1498" s="2">
        <v>27</v>
      </c>
      <c r="F1498" s="2">
        <v>67</v>
      </c>
      <c r="G1498" s="2">
        <v>171</v>
      </c>
      <c r="H1498" s="9">
        <f t="shared" si="23"/>
        <v>22.913033070004449</v>
      </c>
      <c r="I1498" s="2" t="str" cm="1">
        <f t="array" ref="I1498">_xlfn.IFS(F1498&gt;=100,"Over weight",F1498&lt;100,"Average weight")</f>
        <v>Average weight</v>
      </c>
      <c r="J1498" s="2" t="str" cm="1">
        <f t="array" ref="J1498">_xlfn.IFS(G1498&lt;164,"Below Average height",G1498&gt;=165,"Above Average height",G1498=164,"Average height")</f>
        <v>Above Average height</v>
      </c>
      <c r="K1498" s="2" t="str" cm="1">
        <f t="array" ref="K1498">_xlfn.IFS(E1498&lt;=16,"Children",E1498&lt;=30,"Young Adults",E1498&lt;=45,"Middle-aged Adults",E1498&gt;45,"Old Adults")</f>
        <v>Young Adults</v>
      </c>
    </row>
    <row r="1499" spans="1:11" x14ac:dyDescent="0.45">
      <c r="A1499" s="2">
        <v>1761</v>
      </c>
      <c r="B1499" s="2" t="s">
        <v>1865</v>
      </c>
      <c r="C1499" s="2" t="s">
        <v>85</v>
      </c>
      <c r="D1499" s="2" t="s">
        <v>9</v>
      </c>
      <c r="E1499" s="2">
        <v>26</v>
      </c>
      <c r="F1499" s="2">
        <v>71</v>
      </c>
      <c r="G1499" s="2">
        <v>173</v>
      </c>
      <c r="H1499" s="9">
        <f t="shared" si="23"/>
        <v>23.722810651876106</v>
      </c>
      <c r="I1499" s="2" t="str" cm="1">
        <f t="array" ref="I1499">_xlfn.IFS(F1499&gt;=100,"Over weight",F1499&lt;100,"Average weight")</f>
        <v>Average weight</v>
      </c>
      <c r="J1499" s="2" t="str" cm="1">
        <f t="array" ref="J1499">_xlfn.IFS(G1499&lt;164,"Below Average height",G1499&gt;=165,"Above Average height",G1499=164,"Average height")</f>
        <v>Above Average height</v>
      </c>
      <c r="K1499" s="2" t="str" cm="1">
        <f t="array" ref="K1499">_xlfn.IFS(E1499&lt;=16,"Children",E1499&lt;=30,"Young Adults",E1499&lt;=45,"Middle-aged Adults",E1499&gt;45,"Old Adults")</f>
        <v>Young Adults</v>
      </c>
    </row>
    <row r="1500" spans="1:11" x14ac:dyDescent="0.45">
      <c r="A1500" s="2">
        <v>1762</v>
      </c>
      <c r="B1500" s="2" t="s">
        <v>1866</v>
      </c>
      <c r="C1500" s="2" t="s">
        <v>93</v>
      </c>
      <c r="D1500" s="2" t="s">
        <v>75</v>
      </c>
      <c r="E1500" s="2">
        <v>31</v>
      </c>
      <c r="F1500" s="2">
        <v>56</v>
      </c>
      <c r="G1500" s="2">
        <v>170</v>
      </c>
      <c r="H1500" s="9">
        <f t="shared" si="23"/>
        <v>19.377162629757787</v>
      </c>
      <c r="I1500" s="2" t="str" cm="1">
        <f t="array" ref="I1500">_xlfn.IFS(F1500&gt;=100,"Over weight",F1500&lt;100,"Average weight")</f>
        <v>Average weight</v>
      </c>
      <c r="J1500" s="2" t="str" cm="1">
        <f t="array" ref="J1500">_xlfn.IFS(G1500&lt;164,"Below Average height",G1500&gt;=165,"Above Average height",G1500=164,"Average height")</f>
        <v>Above Average height</v>
      </c>
      <c r="K1500" s="2" t="str" cm="1">
        <f t="array" ref="K1500">_xlfn.IFS(E1500&lt;=16,"Children",E1500&lt;=30,"Young Adults",E1500&lt;=45,"Middle-aged Adults",E1500&gt;45,"Old Adults")</f>
        <v>Middle-aged Adults</v>
      </c>
    </row>
    <row r="1501" spans="1:11" x14ac:dyDescent="0.45">
      <c r="A1501" s="2">
        <v>1763</v>
      </c>
      <c r="B1501" s="2" t="s">
        <v>1867</v>
      </c>
      <c r="C1501" s="2" t="s">
        <v>87</v>
      </c>
      <c r="D1501" s="2" t="s">
        <v>80</v>
      </c>
      <c r="E1501" s="2">
        <v>28</v>
      </c>
      <c r="F1501" s="2">
        <v>79</v>
      </c>
      <c r="G1501" s="2">
        <v>175</v>
      </c>
      <c r="H1501" s="9">
        <f t="shared" si="23"/>
        <v>25.795918367346939</v>
      </c>
      <c r="I1501" s="2" t="str" cm="1">
        <f t="array" ref="I1501">_xlfn.IFS(F1501&gt;=100,"Over weight",F1501&lt;100,"Average weight")</f>
        <v>Average weight</v>
      </c>
      <c r="J1501" s="2" t="str" cm="1">
        <f t="array" ref="J1501">_xlfn.IFS(G1501&lt;164,"Below Average height",G1501&gt;=165,"Above Average height",G1501=164,"Average height")</f>
        <v>Above Average height</v>
      </c>
      <c r="K1501" s="2" t="str" cm="1">
        <f t="array" ref="K1501">_xlfn.IFS(E1501&lt;=16,"Children",E1501&lt;=30,"Young Adults",E1501&lt;=45,"Middle-aged Adults",E1501&gt;45,"Old Adults")</f>
        <v>Young Adults</v>
      </c>
    </row>
    <row r="1502" spans="1:11" x14ac:dyDescent="0.45">
      <c r="A1502" s="2">
        <v>1764</v>
      </c>
      <c r="B1502" s="2" t="s">
        <v>1868</v>
      </c>
      <c r="C1502" s="2" t="s">
        <v>94</v>
      </c>
      <c r="D1502" s="2" t="s">
        <v>74</v>
      </c>
      <c r="E1502" s="2">
        <v>21</v>
      </c>
      <c r="F1502" s="2">
        <v>79</v>
      </c>
      <c r="G1502" s="2">
        <v>186</v>
      </c>
      <c r="H1502" s="9">
        <f t="shared" si="23"/>
        <v>22.835009827725745</v>
      </c>
      <c r="I1502" s="2" t="str" cm="1">
        <f t="array" ref="I1502">_xlfn.IFS(F1502&gt;=100,"Over weight",F1502&lt;100,"Average weight")</f>
        <v>Average weight</v>
      </c>
      <c r="J1502" s="2" t="str" cm="1">
        <f t="array" ref="J1502">_xlfn.IFS(G1502&lt;164,"Below Average height",G1502&gt;=165,"Above Average height",G1502=164,"Average height")</f>
        <v>Above Average height</v>
      </c>
      <c r="K1502" s="2" t="str" cm="1">
        <f t="array" ref="K1502">_xlfn.IFS(E1502&lt;=16,"Children",E1502&lt;=30,"Young Adults",E1502&lt;=45,"Middle-aged Adults",E1502&gt;45,"Old Adults")</f>
        <v>Young Adults</v>
      </c>
    </row>
    <row r="1503" spans="1:11" x14ac:dyDescent="0.45">
      <c r="A1503" s="2">
        <v>1766</v>
      </c>
      <c r="B1503" s="2" t="s">
        <v>1870</v>
      </c>
      <c r="C1503" s="2" t="s">
        <v>88</v>
      </c>
      <c r="D1503" s="2" t="s">
        <v>69</v>
      </c>
      <c r="E1503" s="2">
        <v>21</v>
      </c>
      <c r="F1503" s="2">
        <v>81</v>
      </c>
      <c r="G1503" s="2">
        <v>188</v>
      </c>
      <c r="H1503" s="9">
        <f t="shared" si="23"/>
        <v>22.917609778180175</v>
      </c>
      <c r="I1503" s="2" t="str" cm="1">
        <f t="array" ref="I1503">_xlfn.IFS(F1503&gt;=100,"Over weight",F1503&lt;100,"Average weight")</f>
        <v>Average weight</v>
      </c>
      <c r="J1503" s="2" t="str" cm="1">
        <f t="array" ref="J1503">_xlfn.IFS(G1503&lt;164,"Below Average height",G1503&gt;=165,"Above Average height",G1503=164,"Average height")</f>
        <v>Above Average height</v>
      </c>
      <c r="K1503" s="2" t="str" cm="1">
        <f t="array" ref="K1503">_xlfn.IFS(E1503&lt;=16,"Children",E1503&lt;=30,"Young Adults",E1503&lt;=45,"Middle-aged Adults",E1503&gt;45,"Old Adults")</f>
        <v>Young Adults</v>
      </c>
    </row>
    <row r="1504" spans="1:11" x14ac:dyDescent="0.45">
      <c r="A1504" s="2">
        <v>1767</v>
      </c>
      <c r="B1504" s="2" t="s">
        <v>1871</v>
      </c>
      <c r="C1504" s="2" t="s">
        <v>91</v>
      </c>
      <c r="D1504" s="2" t="s">
        <v>66</v>
      </c>
      <c r="E1504" s="2">
        <v>29</v>
      </c>
      <c r="F1504" s="2">
        <v>64</v>
      </c>
      <c r="G1504" s="2">
        <v>170</v>
      </c>
      <c r="H1504" s="9">
        <f t="shared" si="23"/>
        <v>22.145328719723185</v>
      </c>
      <c r="I1504" s="2" t="str" cm="1">
        <f t="array" ref="I1504">_xlfn.IFS(F1504&gt;=100,"Over weight",F1504&lt;100,"Average weight")</f>
        <v>Average weight</v>
      </c>
      <c r="J1504" s="2" t="str" cm="1">
        <f t="array" ref="J1504">_xlfn.IFS(G1504&lt;164,"Below Average height",G1504&gt;=165,"Above Average height",G1504=164,"Average height")</f>
        <v>Above Average height</v>
      </c>
      <c r="K1504" s="2" t="str" cm="1">
        <f t="array" ref="K1504">_xlfn.IFS(E1504&lt;=16,"Children",E1504&lt;=30,"Young Adults",E1504&lt;=45,"Middle-aged Adults",E1504&gt;45,"Old Adults")</f>
        <v>Young Adults</v>
      </c>
    </row>
    <row r="1505" spans="1:11" x14ac:dyDescent="0.45">
      <c r="A1505" s="2">
        <v>1769</v>
      </c>
      <c r="B1505" s="2" t="s">
        <v>1873</v>
      </c>
      <c r="C1505" s="2" t="s">
        <v>94</v>
      </c>
      <c r="D1505" s="2" t="s">
        <v>66</v>
      </c>
      <c r="E1505" s="2">
        <v>26</v>
      </c>
      <c r="F1505" s="2">
        <v>82</v>
      </c>
      <c r="G1505" s="2">
        <v>176</v>
      </c>
      <c r="H1505" s="9">
        <f t="shared" si="23"/>
        <v>26.472107438016529</v>
      </c>
      <c r="I1505" s="2" t="str" cm="1">
        <f t="array" ref="I1505">_xlfn.IFS(F1505&gt;=100,"Over weight",F1505&lt;100,"Average weight")</f>
        <v>Average weight</v>
      </c>
      <c r="J1505" s="2" t="str" cm="1">
        <f t="array" ref="J1505">_xlfn.IFS(G1505&lt;164,"Below Average height",G1505&gt;=165,"Above Average height",G1505=164,"Average height")</f>
        <v>Above Average height</v>
      </c>
      <c r="K1505" s="2" t="str" cm="1">
        <f t="array" ref="K1505">_xlfn.IFS(E1505&lt;=16,"Children",E1505&lt;=30,"Young Adults",E1505&lt;=45,"Middle-aged Adults",E1505&gt;45,"Old Adults")</f>
        <v>Young Adults</v>
      </c>
    </row>
    <row r="1506" spans="1:11" x14ac:dyDescent="0.45">
      <c r="A1506" s="2">
        <v>1770</v>
      </c>
      <c r="B1506" s="2" t="s">
        <v>1874</v>
      </c>
      <c r="C1506" s="2" t="s">
        <v>86</v>
      </c>
      <c r="D1506" s="2" t="s">
        <v>6</v>
      </c>
      <c r="E1506" s="2">
        <v>22</v>
      </c>
      <c r="F1506" s="2">
        <v>73</v>
      </c>
      <c r="G1506" s="2">
        <v>180</v>
      </c>
      <c r="H1506" s="9">
        <f t="shared" si="23"/>
        <v>22.530864197530864</v>
      </c>
      <c r="I1506" s="2" t="str" cm="1">
        <f t="array" ref="I1506">_xlfn.IFS(F1506&gt;=100,"Over weight",F1506&lt;100,"Average weight")</f>
        <v>Average weight</v>
      </c>
      <c r="J1506" s="2" t="str" cm="1">
        <f t="array" ref="J1506">_xlfn.IFS(G1506&lt;164,"Below Average height",G1506&gt;=165,"Above Average height",G1506=164,"Average height")</f>
        <v>Above Average height</v>
      </c>
      <c r="K1506" s="2" t="str" cm="1">
        <f t="array" ref="K1506">_xlfn.IFS(E1506&lt;=16,"Children",E1506&lt;=30,"Young Adults",E1506&lt;=45,"Middle-aged Adults",E1506&gt;45,"Old Adults")</f>
        <v>Young Adults</v>
      </c>
    </row>
    <row r="1507" spans="1:11" x14ac:dyDescent="0.45">
      <c r="A1507" s="2">
        <v>1771</v>
      </c>
      <c r="B1507" s="2" t="s">
        <v>1875</v>
      </c>
      <c r="C1507" s="2" t="s">
        <v>95</v>
      </c>
      <c r="D1507" s="2" t="s">
        <v>6</v>
      </c>
      <c r="E1507" s="2">
        <v>23</v>
      </c>
      <c r="F1507" s="2">
        <v>90</v>
      </c>
      <c r="G1507" s="2">
        <v>183</v>
      </c>
      <c r="H1507" s="9">
        <f t="shared" si="23"/>
        <v>26.874496103198062</v>
      </c>
      <c r="I1507" s="2" t="str" cm="1">
        <f t="array" ref="I1507">_xlfn.IFS(F1507&gt;=100,"Over weight",F1507&lt;100,"Average weight")</f>
        <v>Average weight</v>
      </c>
      <c r="J1507" s="2" t="str" cm="1">
        <f t="array" ref="J1507">_xlfn.IFS(G1507&lt;164,"Below Average height",G1507&gt;=165,"Above Average height",G1507=164,"Average height")</f>
        <v>Above Average height</v>
      </c>
      <c r="K1507" s="2" t="str" cm="1">
        <f t="array" ref="K1507">_xlfn.IFS(E1507&lt;=16,"Children",E1507&lt;=30,"Young Adults",E1507&lt;=45,"Middle-aged Adults",E1507&gt;45,"Old Adults")</f>
        <v>Young Adults</v>
      </c>
    </row>
    <row r="1508" spans="1:11" x14ac:dyDescent="0.45">
      <c r="A1508" s="2">
        <v>1772</v>
      </c>
      <c r="B1508" s="2" t="s">
        <v>1876</v>
      </c>
      <c r="C1508" s="2" t="s">
        <v>95</v>
      </c>
      <c r="D1508" s="2" t="s">
        <v>6</v>
      </c>
      <c r="E1508" s="2">
        <v>21</v>
      </c>
      <c r="F1508" s="2">
        <v>86</v>
      </c>
      <c r="G1508" s="2">
        <v>174</v>
      </c>
      <c r="H1508" s="9">
        <f t="shared" si="23"/>
        <v>28.405337561104506</v>
      </c>
      <c r="I1508" s="2" t="str" cm="1">
        <f t="array" ref="I1508">_xlfn.IFS(F1508&gt;=100,"Over weight",F1508&lt;100,"Average weight")</f>
        <v>Average weight</v>
      </c>
      <c r="J1508" s="2" t="str" cm="1">
        <f t="array" ref="J1508">_xlfn.IFS(G1508&lt;164,"Below Average height",G1508&gt;=165,"Above Average height",G1508=164,"Average height")</f>
        <v>Above Average height</v>
      </c>
      <c r="K1508" s="2" t="str" cm="1">
        <f t="array" ref="K1508">_xlfn.IFS(E1508&lt;=16,"Children",E1508&lt;=30,"Young Adults",E1508&lt;=45,"Middle-aged Adults",E1508&gt;45,"Old Adults")</f>
        <v>Young Adults</v>
      </c>
    </row>
    <row r="1509" spans="1:11" x14ac:dyDescent="0.45">
      <c r="A1509" s="2">
        <v>1773</v>
      </c>
      <c r="B1509" s="2" t="s">
        <v>1877</v>
      </c>
      <c r="C1509" s="2" t="s">
        <v>86</v>
      </c>
      <c r="D1509" s="2" t="s">
        <v>14</v>
      </c>
      <c r="E1509" s="2">
        <v>22</v>
      </c>
      <c r="F1509" s="2">
        <v>73</v>
      </c>
      <c r="G1509" s="2">
        <v>168</v>
      </c>
      <c r="H1509" s="9">
        <f t="shared" si="23"/>
        <v>25.864512471655331</v>
      </c>
      <c r="I1509" s="2" t="str" cm="1">
        <f t="array" ref="I1509">_xlfn.IFS(F1509&gt;=100,"Over weight",F1509&lt;100,"Average weight")</f>
        <v>Average weight</v>
      </c>
      <c r="J1509" s="2" t="str" cm="1">
        <f t="array" ref="J1509">_xlfn.IFS(G1509&lt;164,"Below Average height",G1509&gt;=165,"Above Average height",G1509=164,"Average height")</f>
        <v>Above Average height</v>
      </c>
      <c r="K1509" s="2" t="str" cm="1">
        <f t="array" ref="K1509">_xlfn.IFS(E1509&lt;=16,"Children",E1509&lt;=30,"Young Adults",E1509&lt;=45,"Middle-aged Adults",E1509&gt;45,"Old Adults")</f>
        <v>Young Adults</v>
      </c>
    </row>
    <row r="1510" spans="1:11" x14ac:dyDescent="0.45">
      <c r="A1510" s="2">
        <v>1774</v>
      </c>
      <c r="B1510" s="2" t="s">
        <v>1878</v>
      </c>
      <c r="C1510" s="2" t="s">
        <v>87</v>
      </c>
      <c r="D1510" s="2" t="s">
        <v>26</v>
      </c>
      <c r="E1510" s="2">
        <v>31</v>
      </c>
      <c r="F1510" s="2">
        <v>78</v>
      </c>
      <c r="G1510" s="2">
        <v>173</v>
      </c>
      <c r="H1510" s="9">
        <f t="shared" si="23"/>
        <v>26.061679307694877</v>
      </c>
      <c r="I1510" s="2" t="str" cm="1">
        <f t="array" ref="I1510">_xlfn.IFS(F1510&gt;=100,"Over weight",F1510&lt;100,"Average weight")</f>
        <v>Average weight</v>
      </c>
      <c r="J1510" s="2" t="str" cm="1">
        <f t="array" ref="J1510">_xlfn.IFS(G1510&lt;164,"Below Average height",G1510&gt;=165,"Above Average height",G1510=164,"Average height")</f>
        <v>Above Average height</v>
      </c>
      <c r="K1510" s="2" t="str" cm="1">
        <f t="array" ref="K1510">_xlfn.IFS(E1510&lt;=16,"Children",E1510&lt;=30,"Young Adults",E1510&lt;=45,"Middle-aged Adults",E1510&gt;45,"Old Adults")</f>
        <v>Middle-aged Adults</v>
      </c>
    </row>
    <row r="1511" spans="1:11" x14ac:dyDescent="0.45">
      <c r="A1511" s="2">
        <v>1775</v>
      </c>
      <c r="B1511" s="2" t="s">
        <v>1879</v>
      </c>
      <c r="C1511" s="2" t="s">
        <v>88</v>
      </c>
      <c r="D1511" s="2" t="s">
        <v>79</v>
      </c>
      <c r="E1511" s="2">
        <v>23</v>
      </c>
      <c r="F1511" s="2">
        <v>70</v>
      </c>
      <c r="G1511" s="2">
        <v>174</v>
      </c>
      <c r="H1511" s="9">
        <f t="shared" si="23"/>
        <v>23.120623596247853</v>
      </c>
      <c r="I1511" s="2" t="str" cm="1">
        <f t="array" ref="I1511">_xlfn.IFS(F1511&gt;=100,"Over weight",F1511&lt;100,"Average weight")</f>
        <v>Average weight</v>
      </c>
      <c r="J1511" s="2" t="str" cm="1">
        <f t="array" ref="J1511">_xlfn.IFS(G1511&lt;164,"Below Average height",G1511&gt;=165,"Above Average height",G1511=164,"Average height")</f>
        <v>Above Average height</v>
      </c>
      <c r="K1511" s="2" t="str" cm="1">
        <f t="array" ref="K1511">_xlfn.IFS(E1511&lt;=16,"Children",E1511&lt;=30,"Young Adults",E1511&lt;=45,"Middle-aged Adults",E1511&gt;45,"Old Adults")</f>
        <v>Young Adults</v>
      </c>
    </row>
    <row r="1512" spans="1:11" x14ac:dyDescent="0.45">
      <c r="A1512" s="2">
        <v>1776</v>
      </c>
      <c r="B1512" s="2" t="s">
        <v>1880</v>
      </c>
      <c r="C1512" s="2" t="s">
        <v>86</v>
      </c>
      <c r="D1512" s="2" t="s">
        <v>9</v>
      </c>
      <c r="E1512" s="2">
        <v>26</v>
      </c>
      <c r="F1512" s="2">
        <v>73</v>
      </c>
      <c r="G1512" s="2">
        <v>172</v>
      </c>
      <c r="H1512" s="9">
        <f t="shared" si="23"/>
        <v>24.675500270416443</v>
      </c>
      <c r="I1512" s="2" t="str" cm="1">
        <f t="array" ref="I1512">_xlfn.IFS(F1512&gt;=100,"Over weight",F1512&lt;100,"Average weight")</f>
        <v>Average weight</v>
      </c>
      <c r="J1512" s="2" t="str" cm="1">
        <f t="array" ref="J1512">_xlfn.IFS(G1512&lt;164,"Below Average height",G1512&gt;=165,"Above Average height",G1512=164,"Average height")</f>
        <v>Above Average height</v>
      </c>
      <c r="K1512" s="2" t="str" cm="1">
        <f t="array" ref="K1512">_xlfn.IFS(E1512&lt;=16,"Children",E1512&lt;=30,"Young Adults",E1512&lt;=45,"Middle-aged Adults",E1512&gt;45,"Old Adults")</f>
        <v>Young Adults</v>
      </c>
    </row>
    <row r="1513" spans="1:11" x14ac:dyDescent="0.45">
      <c r="A1513" s="2">
        <v>1777</v>
      </c>
      <c r="B1513" s="2" t="s">
        <v>1881</v>
      </c>
      <c r="C1513" s="2" t="s">
        <v>98</v>
      </c>
      <c r="D1513" s="2" t="s">
        <v>26</v>
      </c>
      <c r="E1513" s="2">
        <v>20</v>
      </c>
      <c r="F1513" s="2">
        <v>62</v>
      </c>
      <c r="G1513" s="2">
        <v>172</v>
      </c>
      <c r="H1513" s="9">
        <f t="shared" si="23"/>
        <v>20.957274202271499</v>
      </c>
      <c r="I1513" s="2" t="str" cm="1">
        <f t="array" ref="I1513">_xlfn.IFS(F1513&gt;=100,"Over weight",F1513&lt;100,"Average weight")</f>
        <v>Average weight</v>
      </c>
      <c r="J1513" s="2" t="str" cm="1">
        <f t="array" ref="J1513">_xlfn.IFS(G1513&lt;164,"Below Average height",G1513&gt;=165,"Above Average height",G1513=164,"Average height")</f>
        <v>Above Average height</v>
      </c>
      <c r="K1513" s="2" t="str" cm="1">
        <f t="array" ref="K1513">_xlfn.IFS(E1513&lt;=16,"Children",E1513&lt;=30,"Young Adults",E1513&lt;=45,"Middle-aged Adults",E1513&gt;45,"Old Adults")</f>
        <v>Young Adults</v>
      </c>
    </row>
    <row r="1514" spans="1:11" x14ac:dyDescent="0.45">
      <c r="A1514" s="2">
        <v>1778</v>
      </c>
      <c r="B1514" s="2" t="s">
        <v>1882</v>
      </c>
      <c r="C1514" s="2" t="s">
        <v>85</v>
      </c>
      <c r="D1514" s="2" t="s">
        <v>74</v>
      </c>
      <c r="E1514" s="2">
        <v>23</v>
      </c>
      <c r="F1514" s="2">
        <v>64</v>
      </c>
      <c r="G1514" s="2">
        <v>170</v>
      </c>
      <c r="H1514" s="9">
        <f t="shared" si="23"/>
        <v>22.145328719723185</v>
      </c>
      <c r="I1514" s="2" t="str" cm="1">
        <f t="array" ref="I1514">_xlfn.IFS(F1514&gt;=100,"Over weight",F1514&lt;100,"Average weight")</f>
        <v>Average weight</v>
      </c>
      <c r="J1514" s="2" t="str" cm="1">
        <f t="array" ref="J1514">_xlfn.IFS(G1514&lt;164,"Below Average height",G1514&gt;=165,"Above Average height",G1514=164,"Average height")</f>
        <v>Above Average height</v>
      </c>
      <c r="K1514" s="2" t="str" cm="1">
        <f t="array" ref="K1514">_xlfn.IFS(E1514&lt;=16,"Children",E1514&lt;=30,"Young Adults",E1514&lt;=45,"Middle-aged Adults",E1514&gt;45,"Old Adults")</f>
        <v>Young Adults</v>
      </c>
    </row>
    <row r="1515" spans="1:11" x14ac:dyDescent="0.45">
      <c r="A1515" s="2">
        <v>1779</v>
      </c>
      <c r="B1515" s="2" t="s">
        <v>1883</v>
      </c>
      <c r="C1515" s="2" t="s">
        <v>93</v>
      </c>
      <c r="D1515" s="2" t="s">
        <v>39</v>
      </c>
      <c r="E1515" s="2">
        <v>19</v>
      </c>
      <c r="F1515" s="2">
        <v>62</v>
      </c>
      <c r="G1515" s="2">
        <v>170</v>
      </c>
      <c r="H1515" s="9">
        <f t="shared" si="23"/>
        <v>21.453287197231838</v>
      </c>
      <c r="I1515" s="2" t="str" cm="1">
        <f t="array" ref="I1515">_xlfn.IFS(F1515&gt;=100,"Over weight",F1515&lt;100,"Average weight")</f>
        <v>Average weight</v>
      </c>
      <c r="J1515" s="2" t="str" cm="1">
        <f t="array" ref="J1515">_xlfn.IFS(G1515&lt;164,"Below Average height",G1515&gt;=165,"Above Average height",G1515=164,"Average height")</f>
        <v>Above Average height</v>
      </c>
      <c r="K1515" s="2" t="str" cm="1">
        <f t="array" ref="K1515">_xlfn.IFS(E1515&lt;=16,"Children",E1515&lt;=30,"Young Adults",E1515&lt;=45,"Middle-aged Adults",E1515&gt;45,"Old Adults")</f>
        <v>Young Adults</v>
      </c>
    </row>
    <row r="1516" spans="1:11" x14ac:dyDescent="0.45">
      <c r="A1516" s="2">
        <v>1780</v>
      </c>
      <c r="B1516" s="2" t="s">
        <v>1884</v>
      </c>
      <c r="C1516" s="2" t="s">
        <v>93</v>
      </c>
      <c r="D1516" s="2" t="s">
        <v>25</v>
      </c>
      <c r="E1516" s="2">
        <v>21</v>
      </c>
      <c r="F1516" s="2">
        <v>60</v>
      </c>
      <c r="G1516" s="2">
        <v>165</v>
      </c>
      <c r="H1516" s="9">
        <f t="shared" si="23"/>
        <v>22.03856749311295</v>
      </c>
      <c r="I1516" s="2" t="str" cm="1">
        <f t="array" ref="I1516">_xlfn.IFS(F1516&gt;=100,"Over weight",F1516&lt;100,"Average weight")</f>
        <v>Average weight</v>
      </c>
      <c r="J1516" s="2" t="str" cm="1">
        <f t="array" ref="J1516">_xlfn.IFS(G1516&lt;164,"Below Average height",G1516&gt;=165,"Above Average height",G1516=164,"Average height")</f>
        <v>Above Average height</v>
      </c>
      <c r="K1516" s="2" t="str" cm="1">
        <f t="array" ref="K1516">_xlfn.IFS(E1516&lt;=16,"Children",E1516&lt;=30,"Young Adults",E1516&lt;=45,"Middle-aged Adults",E1516&gt;45,"Old Adults")</f>
        <v>Young Adults</v>
      </c>
    </row>
    <row r="1517" spans="1:11" x14ac:dyDescent="0.45">
      <c r="A1517" s="2">
        <v>1781</v>
      </c>
      <c r="B1517" s="2" t="s">
        <v>1885</v>
      </c>
      <c r="C1517" s="2" t="s">
        <v>92</v>
      </c>
      <c r="D1517" s="2" t="s">
        <v>71</v>
      </c>
      <c r="E1517" s="2">
        <v>27</v>
      </c>
      <c r="F1517" s="2">
        <v>61</v>
      </c>
      <c r="G1517" s="2">
        <v>180</v>
      </c>
      <c r="H1517" s="9">
        <f t="shared" si="23"/>
        <v>18.827160493827158</v>
      </c>
      <c r="I1517" s="2" t="str" cm="1">
        <f t="array" ref="I1517">_xlfn.IFS(F1517&gt;=100,"Over weight",F1517&lt;100,"Average weight")</f>
        <v>Average weight</v>
      </c>
      <c r="J1517" s="2" t="str" cm="1">
        <f t="array" ref="J1517">_xlfn.IFS(G1517&lt;164,"Below Average height",G1517&gt;=165,"Above Average height",G1517=164,"Average height")</f>
        <v>Above Average height</v>
      </c>
      <c r="K1517" s="2" t="str" cm="1">
        <f t="array" ref="K1517">_xlfn.IFS(E1517&lt;=16,"Children",E1517&lt;=30,"Young Adults",E1517&lt;=45,"Middle-aged Adults",E1517&gt;45,"Old Adults")</f>
        <v>Young Adults</v>
      </c>
    </row>
    <row r="1518" spans="1:11" x14ac:dyDescent="0.45">
      <c r="A1518" s="2">
        <v>1782</v>
      </c>
      <c r="B1518" s="2" t="s">
        <v>1886</v>
      </c>
      <c r="C1518" s="2" t="s">
        <v>88</v>
      </c>
      <c r="D1518" s="2" t="s">
        <v>46</v>
      </c>
      <c r="E1518" s="2">
        <v>26</v>
      </c>
      <c r="F1518" s="2">
        <v>76</v>
      </c>
      <c r="G1518" s="2">
        <v>178</v>
      </c>
      <c r="H1518" s="9">
        <f t="shared" si="23"/>
        <v>23.98687034465345</v>
      </c>
      <c r="I1518" s="2" t="str" cm="1">
        <f t="array" ref="I1518">_xlfn.IFS(F1518&gt;=100,"Over weight",F1518&lt;100,"Average weight")</f>
        <v>Average weight</v>
      </c>
      <c r="J1518" s="2" t="str" cm="1">
        <f t="array" ref="J1518">_xlfn.IFS(G1518&lt;164,"Below Average height",G1518&gt;=165,"Above Average height",G1518=164,"Average height")</f>
        <v>Above Average height</v>
      </c>
      <c r="K1518" s="2" t="str" cm="1">
        <f t="array" ref="K1518">_xlfn.IFS(E1518&lt;=16,"Children",E1518&lt;=30,"Young Adults",E1518&lt;=45,"Middle-aged Adults",E1518&gt;45,"Old Adults")</f>
        <v>Young Adults</v>
      </c>
    </row>
    <row r="1519" spans="1:11" x14ac:dyDescent="0.45">
      <c r="A1519" s="2">
        <v>1783</v>
      </c>
      <c r="B1519" s="2" t="s">
        <v>1887</v>
      </c>
      <c r="C1519" s="2" t="s">
        <v>100</v>
      </c>
      <c r="D1519" s="2" t="s">
        <v>80</v>
      </c>
      <c r="E1519" s="2">
        <v>27</v>
      </c>
      <c r="F1519" s="2">
        <v>70</v>
      </c>
      <c r="G1519" s="2">
        <v>178</v>
      </c>
      <c r="H1519" s="9">
        <f t="shared" si="23"/>
        <v>22.093170054286073</v>
      </c>
      <c r="I1519" s="2" t="str" cm="1">
        <f t="array" ref="I1519">_xlfn.IFS(F1519&gt;=100,"Over weight",F1519&lt;100,"Average weight")</f>
        <v>Average weight</v>
      </c>
      <c r="J1519" s="2" t="str" cm="1">
        <f t="array" ref="J1519">_xlfn.IFS(G1519&lt;164,"Below Average height",G1519&gt;=165,"Above Average height",G1519=164,"Average height")</f>
        <v>Above Average height</v>
      </c>
      <c r="K1519" s="2" t="str" cm="1">
        <f t="array" ref="K1519">_xlfn.IFS(E1519&lt;=16,"Children",E1519&lt;=30,"Young Adults",E1519&lt;=45,"Middle-aged Adults",E1519&gt;45,"Old Adults")</f>
        <v>Young Adults</v>
      </c>
    </row>
    <row r="1520" spans="1:11" x14ac:dyDescent="0.45">
      <c r="A1520" s="2">
        <v>1784</v>
      </c>
      <c r="B1520" s="2" t="s">
        <v>1888</v>
      </c>
      <c r="C1520" s="2" t="s">
        <v>94</v>
      </c>
      <c r="D1520" s="2" t="s">
        <v>39</v>
      </c>
      <c r="E1520" s="2">
        <v>35</v>
      </c>
      <c r="F1520" s="2">
        <v>72</v>
      </c>
      <c r="G1520" s="2">
        <v>180</v>
      </c>
      <c r="H1520" s="9">
        <f t="shared" si="23"/>
        <v>22.222222222222221</v>
      </c>
      <c r="I1520" s="2" t="str" cm="1">
        <f t="array" ref="I1520">_xlfn.IFS(F1520&gt;=100,"Over weight",F1520&lt;100,"Average weight")</f>
        <v>Average weight</v>
      </c>
      <c r="J1520" s="2" t="str" cm="1">
        <f t="array" ref="J1520">_xlfn.IFS(G1520&lt;164,"Below Average height",G1520&gt;=165,"Above Average height",G1520=164,"Average height")</f>
        <v>Above Average height</v>
      </c>
      <c r="K1520" s="2" t="str" cm="1">
        <f t="array" ref="K1520">_xlfn.IFS(E1520&lt;=16,"Children",E1520&lt;=30,"Young Adults",E1520&lt;=45,"Middle-aged Adults",E1520&gt;45,"Old Adults")</f>
        <v>Middle-aged Adults</v>
      </c>
    </row>
    <row r="1521" spans="1:11" x14ac:dyDescent="0.45">
      <c r="A1521" s="2">
        <v>1785</v>
      </c>
      <c r="B1521" s="2" t="s">
        <v>1889</v>
      </c>
      <c r="C1521" s="2" t="s">
        <v>88</v>
      </c>
      <c r="D1521" s="2" t="s">
        <v>6</v>
      </c>
      <c r="E1521" s="2">
        <v>31</v>
      </c>
      <c r="F1521" s="2">
        <v>79</v>
      </c>
      <c r="G1521" s="2">
        <v>186</v>
      </c>
      <c r="H1521" s="9">
        <f t="shared" si="23"/>
        <v>22.835009827725745</v>
      </c>
      <c r="I1521" s="2" t="str" cm="1">
        <f t="array" ref="I1521">_xlfn.IFS(F1521&gt;=100,"Over weight",F1521&lt;100,"Average weight")</f>
        <v>Average weight</v>
      </c>
      <c r="J1521" s="2" t="str" cm="1">
        <f t="array" ref="J1521">_xlfn.IFS(G1521&lt;164,"Below Average height",G1521&gt;=165,"Above Average height",G1521=164,"Average height")</f>
        <v>Above Average height</v>
      </c>
      <c r="K1521" s="2" t="str" cm="1">
        <f t="array" ref="K1521">_xlfn.IFS(E1521&lt;=16,"Children",E1521&lt;=30,"Young Adults",E1521&lt;=45,"Middle-aged Adults",E1521&gt;45,"Old Adults")</f>
        <v>Middle-aged Adults</v>
      </c>
    </row>
    <row r="1522" spans="1:11" x14ac:dyDescent="0.45">
      <c r="A1522" s="2">
        <v>1786</v>
      </c>
      <c r="B1522" s="2" t="s">
        <v>1890</v>
      </c>
      <c r="C1522" s="2" t="s">
        <v>88</v>
      </c>
      <c r="D1522" s="2" t="s">
        <v>52</v>
      </c>
      <c r="E1522" s="2">
        <v>18</v>
      </c>
      <c r="F1522" s="2">
        <v>79</v>
      </c>
      <c r="G1522" s="2">
        <v>187</v>
      </c>
      <c r="H1522" s="9">
        <f t="shared" si="23"/>
        <v>22.59143813091595</v>
      </c>
      <c r="I1522" s="2" t="str" cm="1">
        <f t="array" ref="I1522">_xlfn.IFS(F1522&gt;=100,"Over weight",F1522&lt;100,"Average weight")</f>
        <v>Average weight</v>
      </c>
      <c r="J1522" s="2" t="str" cm="1">
        <f t="array" ref="J1522">_xlfn.IFS(G1522&lt;164,"Below Average height",G1522&gt;=165,"Above Average height",G1522=164,"Average height")</f>
        <v>Above Average height</v>
      </c>
      <c r="K1522" s="2" t="str" cm="1">
        <f t="array" ref="K1522">_xlfn.IFS(E1522&lt;=16,"Children",E1522&lt;=30,"Young Adults",E1522&lt;=45,"Middle-aged Adults",E1522&gt;45,"Old Adults")</f>
        <v>Young Adults</v>
      </c>
    </row>
    <row r="1523" spans="1:11" x14ac:dyDescent="0.45">
      <c r="A1523" s="2">
        <v>1787</v>
      </c>
      <c r="B1523" s="2" t="s">
        <v>1891</v>
      </c>
      <c r="C1523" s="2" t="s">
        <v>91</v>
      </c>
      <c r="D1523" s="2" t="s">
        <v>14</v>
      </c>
      <c r="E1523" s="2">
        <v>28</v>
      </c>
      <c r="F1523" s="2">
        <v>76</v>
      </c>
      <c r="G1523" s="2">
        <v>168</v>
      </c>
      <c r="H1523" s="9">
        <f t="shared" si="23"/>
        <v>26.927437641723358</v>
      </c>
      <c r="I1523" s="2" t="str" cm="1">
        <f t="array" ref="I1523">_xlfn.IFS(F1523&gt;=100,"Over weight",F1523&lt;100,"Average weight")</f>
        <v>Average weight</v>
      </c>
      <c r="J1523" s="2" t="str" cm="1">
        <f t="array" ref="J1523">_xlfn.IFS(G1523&lt;164,"Below Average height",G1523&gt;=165,"Above Average height",G1523=164,"Average height")</f>
        <v>Above Average height</v>
      </c>
      <c r="K1523" s="2" t="str" cm="1">
        <f t="array" ref="K1523">_xlfn.IFS(E1523&lt;=16,"Children",E1523&lt;=30,"Young Adults",E1523&lt;=45,"Middle-aged Adults",E1523&gt;45,"Old Adults")</f>
        <v>Young Adults</v>
      </c>
    </row>
    <row r="1524" spans="1:11" x14ac:dyDescent="0.45">
      <c r="A1524" s="2">
        <v>1788</v>
      </c>
      <c r="B1524" s="2" t="s">
        <v>1892</v>
      </c>
      <c r="C1524" s="2" t="s">
        <v>91</v>
      </c>
      <c r="D1524" s="2" t="s">
        <v>25</v>
      </c>
      <c r="E1524" s="2">
        <v>26</v>
      </c>
      <c r="F1524" s="2">
        <v>92</v>
      </c>
      <c r="G1524" s="2">
        <v>191</v>
      </c>
      <c r="H1524" s="9">
        <f t="shared" si="23"/>
        <v>25.218606946081522</v>
      </c>
      <c r="I1524" s="2" t="str" cm="1">
        <f t="array" ref="I1524">_xlfn.IFS(F1524&gt;=100,"Over weight",F1524&lt;100,"Average weight")</f>
        <v>Average weight</v>
      </c>
      <c r="J1524" s="2" t="str" cm="1">
        <f t="array" ref="J1524">_xlfn.IFS(G1524&lt;164,"Below Average height",G1524&gt;=165,"Above Average height",G1524=164,"Average height")</f>
        <v>Above Average height</v>
      </c>
      <c r="K1524" s="2" t="str" cm="1">
        <f t="array" ref="K1524">_xlfn.IFS(E1524&lt;=16,"Children",E1524&lt;=30,"Young Adults",E1524&lt;=45,"Middle-aged Adults",E1524&gt;45,"Old Adults")</f>
        <v>Young Adults</v>
      </c>
    </row>
    <row r="1525" spans="1:11" x14ac:dyDescent="0.45">
      <c r="A1525" s="2">
        <v>1789</v>
      </c>
      <c r="B1525" s="2" t="s">
        <v>1893</v>
      </c>
      <c r="C1525" s="2" t="s">
        <v>97</v>
      </c>
      <c r="D1525" s="2" t="s">
        <v>39</v>
      </c>
      <c r="E1525" s="2">
        <v>20</v>
      </c>
      <c r="F1525" s="2">
        <v>61</v>
      </c>
      <c r="G1525" s="2">
        <v>166</v>
      </c>
      <c r="H1525" s="9">
        <f t="shared" si="23"/>
        <v>22.136739730004358</v>
      </c>
      <c r="I1525" s="2" t="str" cm="1">
        <f t="array" ref="I1525">_xlfn.IFS(F1525&gt;=100,"Over weight",F1525&lt;100,"Average weight")</f>
        <v>Average weight</v>
      </c>
      <c r="J1525" s="2" t="str" cm="1">
        <f t="array" ref="J1525">_xlfn.IFS(G1525&lt;164,"Below Average height",G1525&gt;=165,"Above Average height",G1525=164,"Average height")</f>
        <v>Above Average height</v>
      </c>
      <c r="K1525" s="2" t="str" cm="1">
        <f t="array" ref="K1525">_xlfn.IFS(E1525&lt;=16,"Children",E1525&lt;=30,"Young Adults",E1525&lt;=45,"Middle-aged Adults",E1525&gt;45,"Old Adults")</f>
        <v>Young Adults</v>
      </c>
    </row>
    <row r="1526" spans="1:11" x14ac:dyDescent="0.45">
      <c r="A1526" s="2">
        <v>1790</v>
      </c>
      <c r="B1526" s="2" t="s">
        <v>1894</v>
      </c>
      <c r="C1526" s="2" t="s">
        <v>94</v>
      </c>
      <c r="D1526" s="2" t="s">
        <v>11</v>
      </c>
      <c r="E1526" s="2">
        <v>18</v>
      </c>
      <c r="F1526" s="2">
        <v>72</v>
      </c>
      <c r="G1526" s="2">
        <v>185</v>
      </c>
      <c r="H1526" s="9">
        <f t="shared" si="23"/>
        <v>21.037253469685901</v>
      </c>
      <c r="I1526" s="2" t="str" cm="1">
        <f t="array" ref="I1526">_xlfn.IFS(F1526&gt;=100,"Over weight",F1526&lt;100,"Average weight")</f>
        <v>Average weight</v>
      </c>
      <c r="J1526" s="2" t="str" cm="1">
        <f t="array" ref="J1526">_xlfn.IFS(G1526&lt;164,"Below Average height",G1526&gt;=165,"Above Average height",G1526=164,"Average height")</f>
        <v>Above Average height</v>
      </c>
      <c r="K1526" s="2" t="str" cm="1">
        <f t="array" ref="K1526">_xlfn.IFS(E1526&lt;=16,"Children",E1526&lt;=30,"Young Adults",E1526&lt;=45,"Middle-aged Adults",E1526&gt;45,"Old Adults")</f>
        <v>Young Adults</v>
      </c>
    </row>
    <row r="1527" spans="1:11" x14ac:dyDescent="0.45">
      <c r="A1527" s="2">
        <v>1791</v>
      </c>
      <c r="B1527" s="2" t="s">
        <v>1895</v>
      </c>
      <c r="C1527" s="2" t="s">
        <v>95</v>
      </c>
      <c r="D1527" s="2" t="s">
        <v>39</v>
      </c>
      <c r="E1527" s="2">
        <v>38</v>
      </c>
      <c r="F1527" s="2">
        <v>98</v>
      </c>
      <c r="G1527" s="2">
        <v>190</v>
      </c>
      <c r="H1527" s="9">
        <f t="shared" si="23"/>
        <v>27.146814404432135</v>
      </c>
      <c r="I1527" s="2" t="str" cm="1">
        <f t="array" ref="I1527">_xlfn.IFS(F1527&gt;=100,"Over weight",F1527&lt;100,"Average weight")</f>
        <v>Average weight</v>
      </c>
      <c r="J1527" s="2" t="str" cm="1">
        <f t="array" ref="J1527">_xlfn.IFS(G1527&lt;164,"Below Average height",G1527&gt;=165,"Above Average height",G1527=164,"Average height")</f>
        <v>Above Average height</v>
      </c>
      <c r="K1527" s="2" t="str" cm="1">
        <f t="array" ref="K1527">_xlfn.IFS(E1527&lt;=16,"Children",E1527&lt;=30,"Young Adults",E1527&lt;=45,"Middle-aged Adults",E1527&gt;45,"Old Adults")</f>
        <v>Middle-aged Adults</v>
      </c>
    </row>
    <row r="1528" spans="1:11" x14ac:dyDescent="0.45">
      <c r="A1528" s="2">
        <v>1792</v>
      </c>
      <c r="B1528" s="2" t="s">
        <v>1896</v>
      </c>
      <c r="C1528" s="2" t="s">
        <v>91</v>
      </c>
      <c r="D1528" s="2" t="s">
        <v>21</v>
      </c>
      <c r="E1528" s="2">
        <v>27</v>
      </c>
      <c r="F1528" s="2">
        <v>81</v>
      </c>
      <c r="G1528" s="2">
        <v>179</v>
      </c>
      <c r="H1528" s="9">
        <f t="shared" si="23"/>
        <v>25.280109859242845</v>
      </c>
      <c r="I1528" s="2" t="str" cm="1">
        <f t="array" ref="I1528">_xlfn.IFS(F1528&gt;=100,"Over weight",F1528&lt;100,"Average weight")</f>
        <v>Average weight</v>
      </c>
      <c r="J1528" s="2" t="str" cm="1">
        <f t="array" ref="J1528">_xlfn.IFS(G1528&lt;164,"Below Average height",G1528&gt;=165,"Above Average height",G1528=164,"Average height")</f>
        <v>Above Average height</v>
      </c>
      <c r="K1528" s="2" t="str" cm="1">
        <f t="array" ref="K1528">_xlfn.IFS(E1528&lt;=16,"Children",E1528&lt;=30,"Young Adults",E1528&lt;=45,"Middle-aged Adults",E1528&gt;45,"Old Adults")</f>
        <v>Young Adults</v>
      </c>
    </row>
    <row r="1529" spans="1:11" x14ac:dyDescent="0.45">
      <c r="A1529" s="2">
        <v>1793</v>
      </c>
      <c r="B1529" s="2" t="s">
        <v>1897</v>
      </c>
      <c r="C1529" s="2" t="s">
        <v>85</v>
      </c>
      <c r="D1529" s="2" t="s">
        <v>39</v>
      </c>
      <c r="E1529" s="2">
        <v>31</v>
      </c>
      <c r="F1529" s="2">
        <v>85</v>
      </c>
      <c r="G1529" s="2">
        <v>181</v>
      </c>
      <c r="H1529" s="9">
        <f t="shared" si="23"/>
        <v>25.945483959586092</v>
      </c>
      <c r="I1529" s="2" t="str" cm="1">
        <f t="array" ref="I1529">_xlfn.IFS(F1529&gt;=100,"Over weight",F1529&lt;100,"Average weight")</f>
        <v>Average weight</v>
      </c>
      <c r="J1529" s="2" t="str" cm="1">
        <f t="array" ref="J1529">_xlfn.IFS(G1529&lt;164,"Below Average height",G1529&gt;=165,"Above Average height",G1529=164,"Average height")</f>
        <v>Above Average height</v>
      </c>
      <c r="K1529" s="2" t="str" cm="1">
        <f t="array" ref="K1529">_xlfn.IFS(E1529&lt;=16,"Children",E1529&lt;=30,"Young Adults",E1529&lt;=45,"Middle-aged Adults",E1529&gt;45,"Old Adults")</f>
        <v>Middle-aged Adults</v>
      </c>
    </row>
    <row r="1530" spans="1:11" x14ac:dyDescent="0.45">
      <c r="A1530" s="2">
        <v>1794</v>
      </c>
      <c r="B1530" s="2" t="s">
        <v>1898</v>
      </c>
      <c r="C1530" s="2" t="s">
        <v>88</v>
      </c>
      <c r="D1530" s="2" t="s">
        <v>65</v>
      </c>
      <c r="E1530" s="2">
        <v>28</v>
      </c>
      <c r="F1530" s="2">
        <v>64</v>
      </c>
      <c r="G1530" s="2">
        <v>173</v>
      </c>
      <c r="H1530" s="9">
        <f t="shared" si="23"/>
        <v>21.383941996057334</v>
      </c>
      <c r="I1530" s="2" t="str" cm="1">
        <f t="array" ref="I1530">_xlfn.IFS(F1530&gt;=100,"Over weight",F1530&lt;100,"Average weight")</f>
        <v>Average weight</v>
      </c>
      <c r="J1530" s="2" t="str" cm="1">
        <f t="array" ref="J1530">_xlfn.IFS(G1530&lt;164,"Below Average height",G1530&gt;=165,"Above Average height",G1530=164,"Average height")</f>
        <v>Above Average height</v>
      </c>
      <c r="K1530" s="2" t="str" cm="1">
        <f t="array" ref="K1530">_xlfn.IFS(E1530&lt;=16,"Children",E1530&lt;=30,"Young Adults",E1530&lt;=45,"Middle-aged Adults",E1530&gt;45,"Old Adults")</f>
        <v>Young Adults</v>
      </c>
    </row>
    <row r="1531" spans="1:11" x14ac:dyDescent="0.45">
      <c r="A1531" s="2">
        <v>1795</v>
      </c>
      <c r="B1531" s="2" t="s">
        <v>1899</v>
      </c>
      <c r="C1531" s="2" t="s">
        <v>86</v>
      </c>
      <c r="D1531" s="2" t="s">
        <v>66</v>
      </c>
      <c r="E1531" s="2">
        <v>27</v>
      </c>
      <c r="F1531" s="2">
        <v>73</v>
      </c>
      <c r="G1531" s="2">
        <v>176</v>
      </c>
      <c r="H1531" s="9">
        <f t="shared" si="23"/>
        <v>23.566632231404959</v>
      </c>
      <c r="I1531" s="2" t="str" cm="1">
        <f t="array" ref="I1531">_xlfn.IFS(F1531&gt;=100,"Over weight",F1531&lt;100,"Average weight")</f>
        <v>Average weight</v>
      </c>
      <c r="J1531" s="2" t="str" cm="1">
        <f t="array" ref="J1531">_xlfn.IFS(G1531&lt;164,"Below Average height",G1531&gt;=165,"Above Average height",G1531=164,"Average height")</f>
        <v>Above Average height</v>
      </c>
      <c r="K1531" s="2" t="str" cm="1">
        <f t="array" ref="K1531">_xlfn.IFS(E1531&lt;=16,"Children",E1531&lt;=30,"Young Adults",E1531&lt;=45,"Middle-aged Adults",E1531&gt;45,"Old Adults")</f>
        <v>Young Adults</v>
      </c>
    </row>
    <row r="1532" spans="1:11" x14ac:dyDescent="0.45">
      <c r="A1532" s="2">
        <v>1796</v>
      </c>
      <c r="B1532" s="2" t="s">
        <v>1900</v>
      </c>
      <c r="C1532" s="2" t="s">
        <v>91</v>
      </c>
      <c r="D1532" s="2" t="s">
        <v>75</v>
      </c>
      <c r="E1532" s="2">
        <v>32</v>
      </c>
      <c r="F1532" s="2">
        <v>85</v>
      </c>
      <c r="G1532" s="2">
        <v>175</v>
      </c>
      <c r="H1532" s="9">
        <f t="shared" si="23"/>
        <v>27.755102040816325</v>
      </c>
      <c r="I1532" s="2" t="str" cm="1">
        <f t="array" ref="I1532">_xlfn.IFS(F1532&gt;=100,"Over weight",F1532&lt;100,"Average weight")</f>
        <v>Average weight</v>
      </c>
      <c r="J1532" s="2" t="str" cm="1">
        <f t="array" ref="J1532">_xlfn.IFS(G1532&lt;164,"Below Average height",G1532&gt;=165,"Above Average height",G1532=164,"Average height")</f>
        <v>Above Average height</v>
      </c>
      <c r="K1532" s="2" t="str" cm="1">
        <f t="array" ref="K1532">_xlfn.IFS(E1532&lt;=16,"Children",E1532&lt;=30,"Young Adults",E1532&lt;=45,"Middle-aged Adults",E1532&gt;45,"Old Adults")</f>
        <v>Middle-aged Adults</v>
      </c>
    </row>
    <row r="1533" spans="1:11" x14ac:dyDescent="0.45">
      <c r="A1533" s="2">
        <v>1797</v>
      </c>
      <c r="B1533" s="2" t="s">
        <v>1901</v>
      </c>
      <c r="C1533" s="2" t="s">
        <v>96</v>
      </c>
      <c r="D1533" s="2" t="s">
        <v>80</v>
      </c>
      <c r="E1533" s="2">
        <v>22</v>
      </c>
      <c r="F1533" s="2">
        <v>73</v>
      </c>
      <c r="G1533" s="2">
        <v>185</v>
      </c>
      <c r="H1533" s="9">
        <f t="shared" si="23"/>
        <v>21.329437545653761</v>
      </c>
      <c r="I1533" s="2" t="str" cm="1">
        <f t="array" ref="I1533">_xlfn.IFS(F1533&gt;=100,"Over weight",F1533&lt;100,"Average weight")</f>
        <v>Average weight</v>
      </c>
      <c r="J1533" s="2" t="str" cm="1">
        <f t="array" ref="J1533">_xlfn.IFS(G1533&lt;164,"Below Average height",G1533&gt;=165,"Above Average height",G1533=164,"Average height")</f>
        <v>Above Average height</v>
      </c>
      <c r="K1533" s="2" t="str" cm="1">
        <f t="array" ref="K1533">_xlfn.IFS(E1533&lt;=16,"Children",E1533&lt;=30,"Young Adults",E1533&lt;=45,"Middle-aged Adults",E1533&gt;45,"Old Adults")</f>
        <v>Young Adults</v>
      </c>
    </row>
    <row r="1534" spans="1:11" x14ac:dyDescent="0.45">
      <c r="A1534" s="2">
        <v>1798</v>
      </c>
      <c r="B1534" s="2" t="s">
        <v>1902</v>
      </c>
      <c r="C1534" s="2" t="s">
        <v>95</v>
      </c>
      <c r="D1534" s="2" t="s">
        <v>71</v>
      </c>
      <c r="E1534" s="2">
        <v>24</v>
      </c>
      <c r="F1534" s="2">
        <v>82</v>
      </c>
      <c r="G1534" s="2">
        <v>184</v>
      </c>
      <c r="H1534" s="9">
        <f t="shared" si="23"/>
        <v>24.220226843100189</v>
      </c>
      <c r="I1534" s="2" t="str" cm="1">
        <f t="array" ref="I1534">_xlfn.IFS(F1534&gt;=100,"Over weight",F1534&lt;100,"Average weight")</f>
        <v>Average weight</v>
      </c>
      <c r="J1534" s="2" t="str" cm="1">
        <f t="array" ref="J1534">_xlfn.IFS(G1534&lt;164,"Below Average height",G1534&gt;=165,"Above Average height",G1534=164,"Average height")</f>
        <v>Above Average height</v>
      </c>
      <c r="K1534" s="2" t="str" cm="1">
        <f t="array" ref="K1534">_xlfn.IFS(E1534&lt;=16,"Children",E1534&lt;=30,"Young Adults",E1534&lt;=45,"Middle-aged Adults",E1534&gt;45,"Old Adults")</f>
        <v>Young Adults</v>
      </c>
    </row>
    <row r="1535" spans="1:11" x14ac:dyDescent="0.45">
      <c r="A1535" s="2">
        <v>1799</v>
      </c>
      <c r="B1535" s="2" t="s">
        <v>1903</v>
      </c>
      <c r="C1535" s="2" t="s">
        <v>93</v>
      </c>
      <c r="D1535" s="2" t="s">
        <v>75</v>
      </c>
      <c r="E1535" s="2">
        <v>21</v>
      </c>
      <c r="F1535" s="2">
        <v>82</v>
      </c>
      <c r="G1535" s="2">
        <v>181</v>
      </c>
      <c r="H1535" s="9">
        <f t="shared" si="23"/>
        <v>25.029760996306585</v>
      </c>
      <c r="I1535" s="2" t="str" cm="1">
        <f t="array" ref="I1535">_xlfn.IFS(F1535&gt;=100,"Over weight",F1535&lt;100,"Average weight")</f>
        <v>Average weight</v>
      </c>
      <c r="J1535" s="2" t="str" cm="1">
        <f t="array" ref="J1535">_xlfn.IFS(G1535&lt;164,"Below Average height",G1535&gt;=165,"Above Average height",G1535=164,"Average height")</f>
        <v>Above Average height</v>
      </c>
      <c r="K1535" s="2" t="str" cm="1">
        <f t="array" ref="K1535">_xlfn.IFS(E1535&lt;=16,"Children",E1535&lt;=30,"Young Adults",E1535&lt;=45,"Middle-aged Adults",E1535&gt;45,"Old Adults")</f>
        <v>Young Adults</v>
      </c>
    </row>
    <row r="1536" spans="1:11" x14ac:dyDescent="0.45">
      <c r="A1536" s="2">
        <v>1800</v>
      </c>
      <c r="B1536" s="2" t="s">
        <v>1904</v>
      </c>
      <c r="C1536" s="2" t="s">
        <v>86</v>
      </c>
      <c r="D1536" s="2" t="s">
        <v>14</v>
      </c>
      <c r="E1536" s="2">
        <v>18</v>
      </c>
      <c r="F1536" s="2">
        <v>73</v>
      </c>
      <c r="G1536" s="2">
        <v>175</v>
      </c>
      <c r="H1536" s="9">
        <f t="shared" si="23"/>
        <v>23.836734693877553</v>
      </c>
      <c r="I1536" s="2" t="str" cm="1">
        <f t="array" ref="I1536">_xlfn.IFS(F1536&gt;=100,"Over weight",F1536&lt;100,"Average weight")</f>
        <v>Average weight</v>
      </c>
      <c r="J1536" s="2" t="str" cm="1">
        <f t="array" ref="J1536">_xlfn.IFS(G1536&lt;164,"Below Average height",G1536&gt;=165,"Above Average height",G1536=164,"Average height")</f>
        <v>Above Average height</v>
      </c>
      <c r="K1536" s="2" t="str" cm="1">
        <f t="array" ref="K1536">_xlfn.IFS(E1536&lt;=16,"Children",E1536&lt;=30,"Young Adults",E1536&lt;=45,"Middle-aged Adults",E1536&gt;45,"Old Adults")</f>
        <v>Young Adults</v>
      </c>
    </row>
    <row r="1537" spans="1:11" x14ac:dyDescent="0.45">
      <c r="A1537" s="2">
        <v>1801</v>
      </c>
      <c r="B1537" s="2" t="s">
        <v>1905</v>
      </c>
      <c r="C1537" s="2" t="s">
        <v>85</v>
      </c>
      <c r="D1537" s="2" t="s">
        <v>26</v>
      </c>
      <c r="E1537" s="2">
        <v>27</v>
      </c>
      <c r="F1537" s="2">
        <v>88</v>
      </c>
      <c r="G1537" s="2">
        <v>172</v>
      </c>
      <c r="H1537" s="9">
        <f t="shared" si="23"/>
        <v>29.745808545159548</v>
      </c>
      <c r="I1537" s="2" t="str" cm="1">
        <f t="array" ref="I1537">_xlfn.IFS(F1537&gt;=100,"Over weight",F1537&lt;100,"Average weight")</f>
        <v>Average weight</v>
      </c>
      <c r="J1537" s="2" t="str" cm="1">
        <f t="array" ref="J1537">_xlfn.IFS(G1537&lt;164,"Below Average height",G1537&gt;=165,"Above Average height",G1537=164,"Average height")</f>
        <v>Above Average height</v>
      </c>
      <c r="K1537" s="2" t="str" cm="1">
        <f t="array" ref="K1537">_xlfn.IFS(E1537&lt;=16,"Children",E1537&lt;=30,"Young Adults",E1537&lt;=45,"Middle-aged Adults",E1537&gt;45,"Old Adults")</f>
        <v>Young Adults</v>
      </c>
    </row>
    <row r="1538" spans="1:11" x14ac:dyDescent="0.45">
      <c r="A1538" s="2">
        <v>1802</v>
      </c>
      <c r="B1538" s="2" t="s">
        <v>1906</v>
      </c>
      <c r="C1538" s="2" t="s">
        <v>91</v>
      </c>
      <c r="D1538" s="2" t="s">
        <v>21</v>
      </c>
      <c r="E1538" s="2">
        <v>23</v>
      </c>
      <c r="F1538" s="2">
        <v>105</v>
      </c>
      <c r="G1538" s="2">
        <v>186</v>
      </c>
      <c r="H1538" s="9">
        <f t="shared" ref="H1538:H1601" si="24" xml:space="preserve"> F1538 / (( G1538/ 100) ^ 2)</f>
        <v>30.350329517863333</v>
      </c>
      <c r="I1538" s="2" t="str" cm="1">
        <f t="array" ref="I1538">_xlfn.IFS(F1538&gt;=100,"Over weight",F1538&lt;100,"Average weight")</f>
        <v>Over weight</v>
      </c>
      <c r="J1538" s="2" t="str" cm="1">
        <f t="array" ref="J1538">_xlfn.IFS(G1538&lt;164,"Below Average height",G1538&gt;=165,"Above Average height",G1538=164,"Average height")</f>
        <v>Above Average height</v>
      </c>
      <c r="K1538" s="2" t="str" cm="1">
        <f t="array" ref="K1538">_xlfn.IFS(E1538&lt;=16,"Children",E1538&lt;=30,"Young Adults",E1538&lt;=45,"Middle-aged Adults",E1538&gt;45,"Old Adults")</f>
        <v>Young Adults</v>
      </c>
    </row>
    <row r="1539" spans="1:11" x14ac:dyDescent="0.45">
      <c r="A1539" s="2">
        <v>1803</v>
      </c>
      <c r="B1539" s="2" t="s">
        <v>1907</v>
      </c>
      <c r="C1539" s="2" t="s">
        <v>87</v>
      </c>
      <c r="D1539" s="2" t="s">
        <v>14</v>
      </c>
      <c r="E1539" s="2">
        <v>24</v>
      </c>
      <c r="F1539" s="2">
        <v>65</v>
      </c>
      <c r="G1539" s="2">
        <v>165</v>
      </c>
      <c r="H1539" s="9">
        <f t="shared" si="24"/>
        <v>23.875114784205696</v>
      </c>
      <c r="I1539" s="2" t="str" cm="1">
        <f t="array" ref="I1539">_xlfn.IFS(F1539&gt;=100,"Over weight",F1539&lt;100,"Average weight")</f>
        <v>Average weight</v>
      </c>
      <c r="J1539" s="2" t="str" cm="1">
        <f t="array" ref="J1539">_xlfn.IFS(G1539&lt;164,"Below Average height",G1539&gt;=165,"Above Average height",G1539=164,"Average height")</f>
        <v>Above Average height</v>
      </c>
      <c r="K1539" s="2" t="str" cm="1">
        <f t="array" ref="K1539">_xlfn.IFS(E1539&lt;=16,"Children",E1539&lt;=30,"Young Adults",E1539&lt;=45,"Middle-aged Adults",E1539&gt;45,"Old Adults")</f>
        <v>Young Adults</v>
      </c>
    </row>
    <row r="1540" spans="1:11" x14ac:dyDescent="0.45">
      <c r="A1540" s="2">
        <v>1804</v>
      </c>
      <c r="B1540" s="2" t="s">
        <v>1908</v>
      </c>
      <c r="C1540" s="2" t="s">
        <v>94</v>
      </c>
      <c r="D1540" s="2" t="s">
        <v>42</v>
      </c>
      <c r="E1540" s="2">
        <v>22</v>
      </c>
      <c r="F1540" s="2">
        <v>73</v>
      </c>
      <c r="G1540" s="2">
        <v>185</v>
      </c>
      <c r="H1540" s="9">
        <f t="shared" si="24"/>
        <v>21.329437545653761</v>
      </c>
      <c r="I1540" s="2" t="str" cm="1">
        <f t="array" ref="I1540">_xlfn.IFS(F1540&gt;=100,"Over weight",F1540&lt;100,"Average weight")</f>
        <v>Average weight</v>
      </c>
      <c r="J1540" s="2" t="str" cm="1">
        <f t="array" ref="J1540">_xlfn.IFS(G1540&lt;164,"Below Average height",G1540&gt;=165,"Above Average height",G1540=164,"Average height")</f>
        <v>Above Average height</v>
      </c>
      <c r="K1540" s="2" t="str" cm="1">
        <f t="array" ref="K1540">_xlfn.IFS(E1540&lt;=16,"Children",E1540&lt;=30,"Young Adults",E1540&lt;=45,"Middle-aged Adults",E1540&gt;45,"Old Adults")</f>
        <v>Young Adults</v>
      </c>
    </row>
    <row r="1541" spans="1:11" x14ac:dyDescent="0.45">
      <c r="A1541" s="2">
        <v>1805</v>
      </c>
      <c r="B1541" s="2" t="s">
        <v>1909</v>
      </c>
      <c r="C1541" s="2" t="s">
        <v>90</v>
      </c>
      <c r="D1541" s="2" t="s">
        <v>66</v>
      </c>
      <c r="E1541" s="2">
        <v>33</v>
      </c>
      <c r="F1541" s="2">
        <v>100</v>
      </c>
      <c r="G1541" s="2">
        <v>181</v>
      </c>
      <c r="H1541" s="9">
        <f t="shared" si="24"/>
        <v>30.524098775983639</v>
      </c>
      <c r="I1541" s="2" t="str" cm="1">
        <f t="array" ref="I1541">_xlfn.IFS(F1541&gt;=100,"Over weight",F1541&lt;100,"Average weight")</f>
        <v>Over weight</v>
      </c>
      <c r="J1541" s="2" t="str" cm="1">
        <f t="array" ref="J1541">_xlfn.IFS(G1541&lt;164,"Below Average height",G1541&gt;=165,"Above Average height",G1541=164,"Average height")</f>
        <v>Above Average height</v>
      </c>
      <c r="K1541" s="2" t="str" cm="1">
        <f t="array" ref="K1541">_xlfn.IFS(E1541&lt;=16,"Children",E1541&lt;=30,"Young Adults",E1541&lt;=45,"Middle-aged Adults",E1541&gt;45,"Old Adults")</f>
        <v>Middle-aged Adults</v>
      </c>
    </row>
    <row r="1542" spans="1:11" x14ac:dyDescent="0.45">
      <c r="A1542" s="2">
        <v>1807</v>
      </c>
      <c r="B1542" s="2" t="s">
        <v>1911</v>
      </c>
      <c r="C1542" s="2" t="s">
        <v>86</v>
      </c>
      <c r="D1542" s="2" t="s">
        <v>71</v>
      </c>
      <c r="E1542" s="2">
        <v>25</v>
      </c>
      <c r="F1542" s="2">
        <v>73</v>
      </c>
      <c r="G1542" s="2">
        <v>165</v>
      </c>
      <c r="H1542" s="9">
        <f t="shared" si="24"/>
        <v>26.813590449954088</v>
      </c>
      <c r="I1542" s="2" t="str" cm="1">
        <f t="array" ref="I1542">_xlfn.IFS(F1542&gt;=100,"Over weight",F1542&lt;100,"Average weight")</f>
        <v>Average weight</v>
      </c>
      <c r="J1542" s="2" t="str" cm="1">
        <f t="array" ref="J1542">_xlfn.IFS(G1542&lt;164,"Below Average height",G1542&gt;=165,"Above Average height",G1542=164,"Average height")</f>
        <v>Above Average height</v>
      </c>
      <c r="K1542" s="2" t="str" cm="1">
        <f t="array" ref="K1542">_xlfn.IFS(E1542&lt;=16,"Children",E1542&lt;=30,"Young Adults",E1542&lt;=45,"Middle-aged Adults",E1542&gt;45,"Old Adults")</f>
        <v>Young Adults</v>
      </c>
    </row>
    <row r="1543" spans="1:11" x14ac:dyDescent="0.45">
      <c r="A1543" s="2">
        <v>1808</v>
      </c>
      <c r="B1543" s="2" t="s">
        <v>1912</v>
      </c>
      <c r="C1543" s="2" t="s">
        <v>98</v>
      </c>
      <c r="D1543" s="2" t="s">
        <v>66</v>
      </c>
      <c r="E1543" s="2">
        <v>24</v>
      </c>
      <c r="F1543" s="2">
        <v>50</v>
      </c>
      <c r="G1543" s="2">
        <v>165</v>
      </c>
      <c r="H1543" s="9">
        <f t="shared" si="24"/>
        <v>18.365472910927458</v>
      </c>
      <c r="I1543" s="2" t="str" cm="1">
        <f t="array" ref="I1543">_xlfn.IFS(F1543&gt;=100,"Over weight",F1543&lt;100,"Average weight")</f>
        <v>Average weight</v>
      </c>
      <c r="J1543" s="2" t="str" cm="1">
        <f t="array" ref="J1543">_xlfn.IFS(G1543&lt;164,"Below Average height",G1543&gt;=165,"Above Average height",G1543=164,"Average height")</f>
        <v>Above Average height</v>
      </c>
      <c r="K1543" s="2" t="str" cm="1">
        <f t="array" ref="K1543">_xlfn.IFS(E1543&lt;=16,"Children",E1543&lt;=30,"Young Adults",E1543&lt;=45,"Middle-aged Adults",E1543&gt;45,"Old Adults")</f>
        <v>Young Adults</v>
      </c>
    </row>
    <row r="1544" spans="1:11" x14ac:dyDescent="0.45">
      <c r="A1544" s="2">
        <v>1811</v>
      </c>
      <c r="B1544" s="2" t="s">
        <v>1915</v>
      </c>
      <c r="C1544" s="2" t="s">
        <v>91</v>
      </c>
      <c r="D1544" s="2" t="s">
        <v>14</v>
      </c>
      <c r="E1544" s="2">
        <v>18</v>
      </c>
      <c r="F1544" s="2">
        <v>72</v>
      </c>
      <c r="G1544" s="2">
        <v>168</v>
      </c>
      <c r="H1544" s="9">
        <f t="shared" si="24"/>
        <v>25.510204081632658</v>
      </c>
      <c r="I1544" s="2" t="str" cm="1">
        <f t="array" ref="I1544">_xlfn.IFS(F1544&gt;=100,"Over weight",F1544&lt;100,"Average weight")</f>
        <v>Average weight</v>
      </c>
      <c r="J1544" s="2" t="str" cm="1">
        <f t="array" ref="J1544">_xlfn.IFS(G1544&lt;164,"Below Average height",G1544&gt;=165,"Above Average height",G1544=164,"Average height")</f>
        <v>Above Average height</v>
      </c>
      <c r="K1544" s="2" t="str" cm="1">
        <f t="array" ref="K1544">_xlfn.IFS(E1544&lt;=16,"Children",E1544&lt;=30,"Young Adults",E1544&lt;=45,"Middle-aged Adults",E1544&gt;45,"Old Adults")</f>
        <v>Young Adults</v>
      </c>
    </row>
    <row r="1545" spans="1:11" x14ac:dyDescent="0.45">
      <c r="A1545" s="2">
        <v>1812</v>
      </c>
      <c r="B1545" s="2" t="s">
        <v>1916</v>
      </c>
      <c r="C1545" s="2" t="s">
        <v>96</v>
      </c>
      <c r="D1545" s="2" t="s">
        <v>22</v>
      </c>
      <c r="E1545" s="2">
        <v>25</v>
      </c>
      <c r="F1545" s="2">
        <v>73</v>
      </c>
      <c r="G1545" s="2">
        <v>183</v>
      </c>
      <c r="H1545" s="9">
        <f t="shared" si="24"/>
        <v>21.798202394816204</v>
      </c>
      <c r="I1545" s="2" t="str" cm="1">
        <f t="array" ref="I1545">_xlfn.IFS(F1545&gt;=100,"Over weight",F1545&lt;100,"Average weight")</f>
        <v>Average weight</v>
      </c>
      <c r="J1545" s="2" t="str" cm="1">
        <f t="array" ref="J1545">_xlfn.IFS(G1545&lt;164,"Below Average height",G1545&gt;=165,"Above Average height",G1545=164,"Average height")</f>
        <v>Above Average height</v>
      </c>
      <c r="K1545" s="2" t="str" cm="1">
        <f t="array" ref="K1545">_xlfn.IFS(E1545&lt;=16,"Children",E1545&lt;=30,"Young Adults",E1545&lt;=45,"Middle-aged Adults",E1545&gt;45,"Old Adults")</f>
        <v>Young Adults</v>
      </c>
    </row>
    <row r="1546" spans="1:11" x14ac:dyDescent="0.45">
      <c r="A1546" s="2">
        <v>1813</v>
      </c>
      <c r="B1546" s="2" t="s">
        <v>1917</v>
      </c>
      <c r="C1546" s="2" t="s">
        <v>89</v>
      </c>
      <c r="D1546" s="2" t="s">
        <v>25</v>
      </c>
      <c r="E1546" s="2">
        <v>26</v>
      </c>
      <c r="F1546" s="2">
        <v>77</v>
      </c>
      <c r="G1546" s="2">
        <v>177</v>
      </c>
      <c r="H1546" s="9">
        <f t="shared" si="24"/>
        <v>24.577867151840145</v>
      </c>
      <c r="I1546" s="2" t="str" cm="1">
        <f t="array" ref="I1546">_xlfn.IFS(F1546&gt;=100,"Over weight",F1546&lt;100,"Average weight")</f>
        <v>Average weight</v>
      </c>
      <c r="J1546" s="2" t="str" cm="1">
        <f t="array" ref="J1546">_xlfn.IFS(G1546&lt;164,"Below Average height",G1546&gt;=165,"Above Average height",G1546=164,"Average height")</f>
        <v>Above Average height</v>
      </c>
      <c r="K1546" s="2" t="str" cm="1">
        <f t="array" ref="K1546">_xlfn.IFS(E1546&lt;=16,"Children",E1546&lt;=30,"Young Adults",E1546&lt;=45,"Middle-aged Adults",E1546&gt;45,"Old Adults")</f>
        <v>Young Adults</v>
      </c>
    </row>
    <row r="1547" spans="1:11" x14ac:dyDescent="0.45">
      <c r="A1547" s="2">
        <v>1814</v>
      </c>
      <c r="B1547" s="2" t="s">
        <v>1918</v>
      </c>
      <c r="C1547" s="2" t="s">
        <v>85</v>
      </c>
      <c r="D1547" s="2" t="s">
        <v>25</v>
      </c>
      <c r="E1547" s="2">
        <v>29</v>
      </c>
      <c r="F1547" s="2">
        <v>67</v>
      </c>
      <c r="G1547" s="2">
        <v>170</v>
      </c>
      <c r="H1547" s="9">
        <f t="shared" si="24"/>
        <v>23.183391003460208</v>
      </c>
      <c r="I1547" s="2" t="str" cm="1">
        <f t="array" ref="I1547">_xlfn.IFS(F1547&gt;=100,"Over weight",F1547&lt;100,"Average weight")</f>
        <v>Average weight</v>
      </c>
      <c r="J1547" s="2" t="str" cm="1">
        <f t="array" ref="J1547">_xlfn.IFS(G1547&lt;164,"Below Average height",G1547&gt;=165,"Above Average height",G1547=164,"Average height")</f>
        <v>Above Average height</v>
      </c>
      <c r="K1547" s="2" t="str" cm="1">
        <f t="array" ref="K1547">_xlfn.IFS(E1547&lt;=16,"Children",E1547&lt;=30,"Young Adults",E1547&lt;=45,"Middle-aged Adults",E1547&gt;45,"Old Adults")</f>
        <v>Young Adults</v>
      </c>
    </row>
    <row r="1548" spans="1:11" x14ac:dyDescent="0.45">
      <c r="A1548" s="2">
        <v>1815</v>
      </c>
      <c r="B1548" s="2" t="s">
        <v>1919</v>
      </c>
      <c r="C1548" s="2" t="s">
        <v>93</v>
      </c>
      <c r="D1548" s="2" t="s">
        <v>26</v>
      </c>
      <c r="E1548" s="2">
        <v>21</v>
      </c>
      <c r="F1548" s="2">
        <v>60</v>
      </c>
      <c r="G1548" s="2">
        <v>170</v>
      </c>
      <c r="H1548" s="9">
        <f t="shared" si="24"/>
        <v>20.761245674740486</v>
      </c>
      <c r="I1548" s="2" t="str" cm="1">
        <f t="array" ref="I1548">_xlfn.IFS(F1548&gt;=100,"Over weight",F1548&lt;100,"Average weight")</f>
        <v>Average weight</v>
      </c>
      <c r="J1548" s="2" t="str" cm="1">
        <f t="array" ref="J1548">_xlfn.IFS(G1548&lt;164,"Below Average height",G1548&gt;=165,"Above Average height",G1548=164,"Average height")</f>
        <v>Above Average height</v>
      </c>
      <c r="K1548" s="2" t="str" cm="1">
        <f t="array" ref="K1548">_xlfn.IFS(E1548&lt;=16,"Children",E1548&lt;=30,"Young Adults",E1548&lt;=45,"Middle-aged Adults",E1548&gt;45,"Old Adults")</f>
        <v>Young Adults</v>
      </c>
    </row>
    <row r="1549" spans="1:11" x14ac:dyDescent="0.45">
      <c r="A1549" s="2">
        <v>1816</v>
      </c>
      <c r="B1549" s="2" t="s">
        <v>1920</v>
      </c>
      <c r="C1549" s="2" t="s">
        <v>93</v>
      </c>
      <c r="D1549" s="2" t="s">
        <v>39</v>
      </c>
      <c r="E1549" s="2">
        <v>32</v>
      </c>
      <c r="F1549" s="2">
        <v>65</v>
      </c>
      <c r="G1549" s="2">
        <v>176</v>
      </c>
      <c r="H1549" s="9">
        <f t="shared" si="24"/>
        <v>20.983987603305785</v>
      </c>
      <c r="I1549" s="2" t="str" cm="1">
        <f t="array" ref="I1549">_xlfn.IFS(F1549&gt;=100,"Over weight",F1549&lt;100,"Average weight")</f>
        <v>Average weight</v>
      </c>
      <c r="J1549" s="2" t="str" cm="1">
        <f t="array" ref="J1549">_xlfn.IFS(G1549&lt;164,"Below Average height",G1549&gt;=165,"Above Average height",G1549=164,"Average height")</f>
        <v>Above Average height</v>
      </c>
      <c r="K1549" s="2" t="str" cm="1">
        <f t="array" ref="K1549">_xlfn.IFS(E1549&lt;=16,"Children",E1549&lt;=30,"Young Adults",E1549&lt;=45,"Middle-aged Adults",E1549&gt;45,"Old Adults")</f>
        <v>Middle-aged Adults</v>
      </c>
    </row>
    <row r="1550" spans="1:11" x14ac:dyDescent="0.45">
      <c r="A1550" s="2">
        <v>1817</v>
      </c>
      <c r="B1550" s="2" t="s">
        <v>1921</v>
      </c>
      <c r="C1550" s="2" t="s">
        <v>85</v>
      </c>
      <c r="D1550" s="2" t="s">
        <v>6</v>
      </c>
      <c r="E1550" s="2">
        <v>32</v>
      </c>
      <c r="F1550" s="2">
        <v>89</v>
      </c>
      <c r="G1550" s="2">
        <v>184</v>
      </c>
      <c r="H1550" s="9">
        <f t="shared" si="24"/>
        <v>26.287807183364837</v>
      </c>
      <c r="I1550" s="2" t="str" cm="1">
        <f t="array" ref="I1550">_xlfn.IFS(F1550&gt;=100,"Over weight",F1550&lt;100,"Average weight")</f>
        <v>Average weight</v>
      </c>
      <c r="J1550" s="2" t="str" cm="1">
        <f t="array" ref="J1550">_xlfn.IFS(G1550&lt;164,"Below Average height",G1550&gt;=165,"Above Average height",G1550=164,"Average height")</f>
        <v>Above Average height</v>
      </c>
      <c r="K1550" s="2" t="str" cm="1">
        <f t="array" ref="K1550">_xlfn.IFS(E1550&lt;=16,"Children",E1550&lt;=30,"Young Adults",E1550&lt;=45,"Middle-aged Adults",E1550&gt;45,"Old Adults")</f>
        <v>Middle-aged Adults</v>
      </c>
    </row>
    <row r="1551" spans="1:11" x14ac:dyDescent="0.45">
      <c r="A1551" s="2">
        <v>1818</v>
      </c>
      <c r="B1551" s="2" t="s">
        <v>1922</v>
      </c>
      <c r="C1551" s="2" t="s">
        <v>98</v>
      </c>
      <c r="D1551" s="2" t="s">
        <v>28</v>
      </c>
      <c r="E1551" s="2">
        <v>29</v>
      </c>
      <c r="F1551" s="2">
        <v>75</v>
      </c>
      <c r="G1551" s="2">
        <v>182</v>
      </c>
      <c r="H1551" s="9">
        <f t="shared" si="24"/>
        <v>22.642192971863299</v>
      </c>
      <c r="I1551" s="2" t="str" cm="1">
        <f t="array" ref="I1551">_xlfn.IFS(F1551&gt;=100,"Over weight",F1551&lt;100,"Average weight")</f>
        <v>Average weight</v>
      </c>
      <c r="J1551" s="2" t="str" cm="1">
        <f t="array" ref="J1551">_xlfn.IFS(G1551&lt;164,"Below Average height",G1551&gt;=165,"Above Average height",G1551=164,"Average height")</f>
        <v>Above Average height</v>
      </c>
      <c r="K1551" s="2" t="str" cm="1">
        <f t="array" ref="K1551">_xlfn.IFS(E1551&lt;=16,"Children",E1551&lt;=30,"Young Adults",E1551&lt;=45,"Middle-aged Adults",E1551&gt;45,"Old Adults")</f>
        <v>Young Adults</v>
      </c>
    </row>
    <row r="1552" spans="1:11" x14ac:dyDescent="0.45">
      <c r="A1552" s="2">
        <v>1819</v>
      </c>
      <c r="B1552" s="2" t="s">
        <v>1923</v>
      </c>
      <c r="C1552" s="2" t="s">
        <v>91</v>
      </c>
      <c r="D1552" s="2" t="s">
        <v>70</v>
      </c>
      <c r="E1552" s="2">
        <v>24</v>
      </c>
      <c r="F1552" s="2">
        <v>72</v>
      </c>
      <c r="G1552" s="2">
        <v>175</v>
      </c>
      <c r="H1552" s="9">
        <f t="shared" si="24"/>
        <v>23.510204081632654</v>
      </c>
      <c r="I1552" s="2" t="str" cm="1">
        <f t="array" ref="I1552">_xlfn.IFS(F1552&gt;=100,"Over weight",F1552&lt;100,"Average weight")</f>
        <v>Average weight</v>
      </c>
      <c r="J1552" s="2" t="str" cm="1">
        <f t="array" ref="J1552">_xlfn.IFS(G1552&lt;164,"Below Average height",G1552&gt;=165,"Above Average height",G1552=164,"Average height")</f>
        <v>Above Average height</v>
      </c>
      <c r="K1552" s="2" t="str" cm="1">
        <f t="array" ref="K1552">_xlfn.IFS(E1552&lt;=16,"Children",E1552&lt;=30,"Young Adults",E1552&lt;=45,"Middle-aged Adults",E1552&gt;45,"Old Adults")</f>
        <v>Young Adults</v>
      </c>
    </row>
    <row r="1553" spans="1:11" x14ac:dyDescent="0.45">
      <c r="A1553" s="2">
        <v>1822</v>
      </c>
      <c r="B1553" s="2" t="s">
        <v>1926</v>
      </c>
      <c r="C1553" s="2" t="s">
        <v>92</v>
      </c>
      <c r="D1553" s="2" t="s">
        <v>71</v>
      </c>
      <c r="E1553" s="2">
        <v>17</v>
      </c>
      <c r="F1553" s="2">
        <v>56</v>
      </c>
      <c r="G1553" s="2">
        <v>178</v>
      </c>
      <c r="H1553" s="9">
        <f t="shared" si="24"/>
        <v>17.674536043428859</v>
      </c>
      <c r="I1553" s="2" t="str" cm="1">
        <f t="array" ref="I1553">_xlfn.IFS(F1553&gt;=100,"Over weight",F1553&lt;100,"Average weight")</f>
        <v>Average weight</v>
      </c>
      <c r="J1553" s="2" t="str" cm="1">
        <f t="array" ref="J1553">_xlfn.IFS(G1553&lt;164,"Below Average height",G1553&gt;=165,"Above Average height",G1553=164,"Average height")</f>
        <v>Above Average height</v>
      </c>
      <c r="K1553" s="2" t="str" cm="1">
        <f t="array" ref="K1553">_xlfn.IFS(E1553&lt;=16,"Children",E1553&lt;=30,"Young Adults",E1553&lt;=45,"Middle-aged Adults",E1553&gt;45,"Old Adults")</f>
        <v>Young Adults</v>
      </c>
    </row>
    <row r="1554" spans="1:11" x14ac:dyDescent="0.45">
      <c r="A1554" s="2">
        <v>1823</v>
      </c>
      <c r="B1554" s="2" t="s">
        <v>1927</v>
      </c>
      <c r="C1554" s="2" t="s">
        <v>96</v>
      </c>
      <c r="D1554" s="2" t="s">
        <v>66</v>
      </c>
      <c r="E1554" s="2">
        <v>23</v>
      </c>
      <c r="F1554" s="2">
        <v>73</v>
      </c>
      <c r="G1554" s="2">
        <v>169</v>
      </c>
      <c r="H1554" s="9">
        <f t="shared" si="24"/>
        <v>25.559329155141629</v>
      </c>
      <c r="I1554" s="2" t="str" cm="1">
        <f t="array" ref="I1554">_xlfn.IFS(F1554&gt;=100,"Over weight",F1554&lt;100,"Average weight")</f>
        <v>Average weight</v>
      </c>
      <c r="J1554" s="2" t="str" cm="1">
        <f t="array" ref="J1554">_xlfn.IFS(G1554&lt;164,"Below Average height",G1554&gt;=165,"Above Average height",G1554=164,"Average height")</f>
        <v>Above Average height</v>
      </c>
      <c r="K1554" s="2" t="str" cm="1">
        <f t="array" ref="K1554">_xlfn.IFS(E1554&lt;=16,"Children",E1554&lt;=30,"Young Adults",E1554&lt;=45,"Middle-aged Adults",E1554&gt;45,"Old Adults")</f>
        <v>Young Adults</v>
      </c>
    </row>
    <row r="1555" spans="1:11" x14ac:dyDescent="0.45">
      <c r="A1555" s="2">
        <v>1824</v>
      </c>
      <c r="B1555" s="2" t="s">
        <v>1928</v>
      </c>
      <c r="C1555" s="2" t="s">
        <v>94</v>
      </c>
      <c r="D1555" s="2" t="s">
        <v>70</v>
      </c>
      <c r="E1555" s="2">
        <v>25</v>
      </c>
      <c r="F1555" s="2">
        <v>57</v>
      </c>
      <c r="G1555" s="2">
        <v>171</v>
      </c>
      <c r="H1555" s="9">
        <f t="shared" si="24"/>
        <v>19.493177387914233</v>
      </c>
      <c r="I1555" s="2" t="str" cm="1">
        <f t="array" ref="I1555">_xlfn.IFS(F1555&gt;=100,"Over weight",F1555&lt;100,"Average weight")</f>
        <v>Average weight</v>
      </c>
      <c r="J1555" s="2" t="str" cm="1">
        <f t="array" ref="J1555">_xlfn.IFS(G1555&lt;164,"Below Average height",G1555&gt;=165,"Above Average height",G1555=164,"Average height")</f>
        <v>Above Average height</v>
      </c>
      <c r="K1555" s="2" t="str" cm="1">
        <f t="array" ref="K1555">_xlfn.IFS(E1555&lt;=16,"Children",E1555&lt;=30,"Young Adults",E1555&lt;=45,"Middle-aged Adults",E1555&gt;45,"Old Adults")</f>
        <v>Young Adults</v>
      </c>
    </row>
    <row r="1556" spans="1:11" x14ac:dyDescent="0.45">
      <c r="A1556" s="2">
        <v>1825</v>
      </c>
      <c r="B1556" s="2" t="s">
        <v>1929</v>
      </c>
      <c r="C1556" s="2" t="s">
        <v>93</v>
      </c>
      <c r="D1556" s="2" t="s">
        <v>6</v>
      </c>
      <c r="E1556" s="2">
        <v>29</v>
      </c>
      <c r="F1556" s="2">
        <v>80</v>
      </c>
      <c r="G1556" s="2">
        <v>180</v>
      </c>
      <c r="H1556" s="9">
        <f t="shared" si="24"/>
        <v>24.691358024691358</v>
      </c>
      <c r="I1556" s="2" t="str" cm="1">
        <f t="array" ref="I1556">_xlfn.IFS(F1556&gt;=100,"Over weight",F1556&lt;100,"Average weight")</f>
        <v>Average weight</v>
      </c>
      <c r="J1556" s="2" t="str" cm="1">
        <f t="array" ref="J1556">_xlfn.IFS(G1556&lt;164,"Below Average height",G1556&gt;=165,"Above Average height",G1556=164,"Average height")</f>
        <v>Above Average height</v>
      </c>
      <c r="K1556" s="2" t="str" cm="1">
        <f t="array" ref="K1556">_xlfn.IFS(E1556&lt;=16,"Children",E1556&lt;=30,"Young Adults",E1556&lt;=45,"Middle-aged Adults",E1556&gt;45,"Old Adults")</f>
        <v>Young Adults</v>
      </c>
    </row>
    <row r="1557" spans="1:11" x14ac:dyDescent="0.45">
      <c r="A1557" s="2">
        <v>1826</v>
      </c>
      <c r="B1557" s="2" t="s">
        <v>1930</v>
      </c>
      <c r="C1557" s="2" t="s">
        <v>91</v>
      </c>
      <c r="D1557" s="2" t="s">
        <v>14</v>
      </c>
      <c r="E1557" s="2">
        <v>35</v>
      </c>
      <c r="F1557" s="2">
        <v>97</v>
      </c>
      <c r="G1557" s="2">
        <v>198</v>
      </c>
      <c r="H1557" s="9">
        <f t="shared" si="24"/>
        <v>24.742373227221712</v>
      </c>
      <c r="I1557" s="2" t="str" cm="1">
        <f t="array" ref="I1557">_xlfn.IFS(F1557&gt;=100,"Over weight",F1557&lt;100,"Average weight")</f>
        <v>Average weight</v>
      </c>
      <c r="J1557" s="2" t="str" cm="1">
        <f t="array" ref="J1557">_xlfn.IFS(G1557&lt;164,"Below Average height",G1557&gt;=165,"Above Average height",G1557=164,"Average height")</f>
        <v>Above Average height</v>
      </c>
      <c r="K1557" s="2" t="str" cm="1">
        <f t="array" ref="K1557">_xlfn.IFS(E1557&lt;=16,"Children",E1557&lt;=30,"Young Adults",E1557&lt;=45,"Middle-aged Adults",E1557&gt;45,"Old Adults")</f>
        <v>Middle-aged Adults</v>
      </c>
    </row>
    <row r="1558" spans="1:11" x14ac:dyDescent="0.45">
      <c r="A1558" s="2">
        <v>1828</v>
      </c>
      <c r="B1558" s="2" t="s">
        <v>1932</v>
      </c>
      <c r="C1558" s="2" t="s">
        <v>90</v>
      </c>
      <c r="D1558" s="2" t="s">
        <v>66</v>
      </c>
      <c r="E1558" s="2">
        <v>24</v>
      </c>
      <c r="F1558" s="2">
        <v>105</v>
      </c>
      <c r="G1558" s="2">
        <v>189</v>
      </c>
      <c r="H1558" s="9">
        <f t="shared" si="24"/>
        <v>29.394473838918284</v>
      </c>
      <c r="I1558" s="2" t="str" cm="1">
        <f t="array" ref="I1558">_xlfn.IFS(F1558&gt;=100,"Over weight",F1558&lt;100,"Average weight")</f>
        <v>Over weight</v>
      </c>
      <c r="J1558" s="2" t="str" cm="1">
        <f t="array" ref="J1558">_xlfn.IFS(G1558&lt;164,"Below Average height",G1558&gt;=165,"Above Average height",G1558=164,"Average height")</f>
        <v>Above Average height</v>
      </c>
      <c r="K1558" s="2" t="str" cm="1">
        <f t="array" ref="K1558">_xlfn.IFS(E1558&lt;=16,"Children",E1558&lt;=30,"Young Adults",E1558&lt;=45,"Middle-aged Adults",E1558&gt;45,"Old Adults")</f>
        <v>Young Adults</v>
      </c>
    </row>
    <row r="1559" spans="1:11" x14ac:dyDescent="0.45">
      <c r="A1559" s="2">
        <v>1829</v>
      </c>
      <c r="B1559" s="2" t="s">
        <v>1933</v>
      </c>
      <c r="C1559" s="2" t="s">
        <v>91</v>
      </c>
      <c r="D1559" s="2" t="s">
        <v>66</v>
      </c>
      <c r="E1559" s="2">
        <v>16</v>
      </c>
      <c r="F1559" s="2">
        <v>62</v>
      </c>
      <c r="G1559" s="2">
        <v>174</v>
      </c>
      <c r="H1559" s="9">
        <f t="shared" si="24"/>
        <v>20.478266613819528</v>
      </c>
      <c r="I1559" s="2" t="str" cm="1">
        <f t="array" ref="I1559">_xlfn.IFS(F1559&gt;=100,"Over weight",F1559&lt;100,"Average weight")</f>
        <v>Average weight</v>
      </c>
      <c r="J1559" s="2" t="str" cm="1">
        <f t="array" ref="J1559">_xlfn.IFS(G1559&lt;164,"Below Average height",G1559&gt;=165,"Above Average height",G1559=164,"Average height")</f>
        <v>Above Average height</v>
      </c>
      <c r="K1559" s="2" t="str" cm="1">
        <f t="array" ref="K1559">_xlfn.IFS(E1559&lt;=16,"Children",E1559&lt;=30,"Young Adults",E1559&lt;=45,"Middle-aged Adults",E1559&gt;45,"Old Adults")</f>
        <v>Children</v>
      </c>
    </row>
    <row r="1560" spans="1:11" x14ac:dyDescent="0.45">
      <c r="A1560" s="2">
        <v>1830</v>
      </c>
      <c r="B1560" s="2" t="s">
        <v>1934</v>
      </c>
      <c r="C1560" s="2" t="s">
        <v>87</v>
      </c>
      <c r="D1560" s="2" t="s">
        <v>80</v>
      </c>
      <c r="E1560" s="2">
        <v>37</v>
      </c>
      <c r="F1560" s="2">
        <v>93</v>
      </c>
      <c r="G1560" s="2">
        <v>178</v>
      </c>
      <c r="H1560" s="9">
        <f t="shared" si="24"/>
        <v>29.352354500694357</v>
      </c>
      <c r="I1560" s="2" t="str" cm="1">
        <f t="array" ref="I1560">_xlfn.IFS(F1560&gt;=100,"Over weight",F1560&lt;100,"Average weight")</f>
        <v>Average weight</v>
      </c>
      <c r="J1560" s="2" t="str" cm="1">
        <f t="array" ref="J1560">_xlfn.IFS(G1560&lt;164,"Below Average height",G1560&gt;=165,"Above Average height",G1560=164,"Average height")</f>
        <v>Above Average height</v>
      </c>
      <c r="K1560" s="2" t="str" cm="1">
        <f t="array" ref="K1560">_xlfn.IFS(E1560&lt;=16,"Children",E1560&lt;=30,"Young Adults",E1560&lt;=45,"Middle-aged Adults",E1560&gt;45,"Old Adults")</f>
        <v>Middle-aged Adults</v>
      </c>
    </row>
    <row r="1561" spans="1:11" x14ac:dyDescent="0.45">
      <c r="A1561" s="2">
        <v>1831</v>
      </c>
      <c r="B1561" s="2" t="s">
        <v>1935</v>
      </c>
      <c r="C1561" s="2" t="s">
        <v>90</v>
      </c>
      <c r="D1561" s="2" t="s">
        <v>5</v>
      </c>
      <c r="E1561" s="2">
        <v>35</v>
      </c>
      <c r="F1561" s="2">
        <v>105</v>
      </c>
      <c r="G1561" s="2">
        <v>190</v>
      </c>
      <c r="H1561" s="9">
        <f t="shared" si="24"/>
        <v>29.085872576177287</v>
      </c>
      <c r="I1561" s="2" t="str" cm="1">
        <f t="array" ref="I1561">_xlfn.IFS(F1561&gt;=100,"Over weight",F1561&lt;100,"Average weight")</f>
        <v>Over weight</v>
      </c>
      <c r="J1561" s="2" t="str" cm="1">
        <f t="array" ref="J1561">_xlfn.IFS(G1561&lt;164,"Below Average height",G1561&gt;=165,"Above Average height",G1561=164,"Average height")</f>
        <v>Above Average height</v>
      </c>
      <c r="K1561" s="2" t="str" cm="1">
        <f t="array" ref="K1561">_xlfn.IFS(E1561&lt;=16,"Children",E1561&lt;=30,"Young Adults",E1561&lt;=45,"Middle-aged Adults",E1561&gt;45,"Old Adults")</f>
        <v>Middle-aged Adults</v>
      </c>
    </row>
    <row r="1562" spans="1:11" x14ac:dyDescent="0.45">
      <c r="A1562" s="2">
        <v>1832</v>
      </c>
      <c r="B1562" s="2" t="s">
        <v>1936</v>
      </c>
      <c r="C1562" s="2" t="s">
        <v>91</v>
      </c>
      <c r="D1562" s="2" t="s">
        <v>46</v>
      </c>
      <c r="E1562" s="2">
        <v>28</v>
      </c>
      <c r="F1562" s="2">
        <v>90</v>
      </c>
      <c r="G1562" s="2">
        <v>184</v>
      </c>
      <c r="H1562" s="9">
        <f t="shared" si="24"/>
        <v>26.583175803402646</v>
      </c>
      <c r="I1562" s="2" t="str" cm="1">
        <f t="array" ref="I1562">_xlfn.IFS(F1562&gt;=100,"Over weight",F1562&lt;100,"Average weight")</f>
        <v>Average weight</v>
      </c>
      <c r="J1562" s="2" t="str" cm="1">
        <f t="array" ref="J1562">_xlfn.IFS(G1562&lt;164,"Below Average height",G1562&gt;=165,"Above Average height",G1562=164,"Average height")</f>
        <v>Above Average height</v>
      </c>
      <c r="K1562" s="2" t="str" cm="1">
        <f t="array" ref="K1562">_xlfn.IFS(E1562&lt;=16,"Children",E1562&lt;=30,"Young Adults",E1562&lt;=45,"Middle-aged Adults",E1562&gt;45,"Old Adults")</f>
        <v>Young Adults</v>
      </c>
    </row>
    <row r="1563" spans="1:11" x14ac:dyDescent="0.45">
      <c r="A1563" s="2">
        <v>1833</v>
      </c>
      <c r="B1563" s="2" t="s">
        <v>1937</v>
      </c>
      <c r="C1563" s="2" t="s">
        <v>93</v>
      </c>
      <c r="D1563" s="2" t="s">
        <v>5</v>
      </c>
      <c r="E1563" s="2">
        <v>22</v>
      </c>
      <c r="F1563" s="2">
        <v>84</v>
      </c>
      <c r="G1563" s="2">
        <v>185</v>
      </c>
      <c r="H1563" s="9">
        <f t="shared" si="24"/>
        <v>24.543462381300216</v>
      </c>
      <c r="I1563" s="2" t="str" cm="1">
        <f t="array" ref="I1563">_xlfn.IFS(F1563&gt;=100,"Over weight",F1563&lt;100,"Average weight")</f>
        <v>Average weight</v>
      </c>
      <c r="J1563" s="2" t="str" cm="1">
        <f t="array" ref="J1563">_xlfn.IFS(G1563&lt;164,"Below Average height",G1563&gt;=165,"Above Average height",G1563=164,"Average height")</f>
        <v>Above Average height</v>
      </c>
      <c r="K1563" s="2" t="str" cm="1">
        <f t="array" ref="K1563">_xlfn.IFS(E1563&lt;=16,"Children",E1563&lt;=30,"Young Adults",E1563&lt;=45,"Middle-aged Adults",E1563&gt;45,"Old Adults")</f>
        <v>Young Adults</v>
      </c>
    </row>
    <row r="1564" spans="1:11" x14ac:dyDescent="0.45">
      <c r="A1564" s="2">
        <v>1834</v>
      </c>
      <c r="B1564" s="2" t="s">
        <v>1938</v>
      </c>
      <c r="C1564" s="2" t="s">
        <v>89</v>
      </c>
      <c r="D1564" s="2" t="s">
        <v>25</v>
      </c>
      <c r="E1564" s="2">
        <v>24</v>
      </c>
      <c r="F1564" s="2">
        <v>75</v>
      </c>
      <c r="G1564" s="2">
        <v>180</v>
      </c>
      <c r="H1564" s="9">
        <f t="shared" si="24"/>
        <v>23.148148148148145</v>
      </c>
      <c r="I1564" s="2" t="str" cm="1">
        <f t="array" ref="I1564">_xlfn.IFS(F1564&gt;=100,"Over weight",F1564&lt;100,"Average weight")</f>
        <v>Average weight</v>
      </c>
      <c r="J1564" s="2" t="str" cm="1">
        <f t="array" ref="J1564">_xlfn.IFS(G1564&lt;164,"Below Average height",G1564&gt;=165,"Above Average height",G1564=164,"Average height")</f>
        <v>Above Average height</v>
      </c>
      <c r="K1564" s="2" t="str" cm="1">
        <f t="array" ref="K1564">_xlfn.IFS(E1564&lt;=16,"Children",E1564&lt;=30,"Young Adults",E1564&lt;=45,"Middle-aged Adults",E1564&gt;45,"Old Adults")</f>
        <v>Young Adults</v>
      </c>
    </row>
    <row r="1565" spans="1:11" x14ac:dyDescent="0.45">
      <c r="A1565" s="2">
        <v>1836</v>
      </c>
      <c r="B1565" s="2" t="s">
        <v>1940</v>
      </c>
      <c r="C1565" s="2" t="s">
        <v>94</v>
      </c>
      <c r="D1565" s="2" t="s">
        <v>79</v>
      </c>
      <c r="E1565" s="2">
        <v>28</v>
      </c>
      <c r="F1565" s="2">
        <v>70</v>
      </c>
      <c r="G1565" s="2">
        <v>172</v>
      </c>
      <c r="H1565" s="9">
        <f t="shared" si="24"/>
        <v>23.661438615467823</v>
      </c>
      <c r="I1565" s="2" t="str" cm="1">
        <f t="array" ref="I1565">_xlfn.IFS(F1565&gt;=100,"Over weight",F1565&lt;100,"Average weight")</f>
        <v>Average weight</v>
      </c>
      <c r="J1565" s="2" t="str" cm="1">
        <f t="array" ref="J1565">_xlfn.IFS(G1565&lt;164,"Below Average height",G1565&gt;=165,"Above Average height",G1565=164,"Average height")</f>
        <v>Above Average height</v>
      </c>
      <c r="K1565" s="2" t="str" cm="1">
        <f t="array" ref="K1565">_xlfn.IFS(E1565&lt;=16,"Children",E1565&lt;=30,"Young Adults",E1565&lt;=45,"Middle-aged Adults",E1565&gt;45,"Old Adults")</f>
        <v>Young Adults</v>
      </c>
    </row>
    <row r="1566" spans="1:11" x14ac:dyDescent="0.45">
      <c r="A1566" s="2">
        <v>1837</v>
      </c>
      <c r="B1566" s="2" t="s">
        <v>1941</v>
      </c>
      <c r="C1566" s="2" t="s">
        <v>90</v>
      </c>
      <c r="D1566" s="2" t="s">
        <v>28</v>
      </c>
      <c r="E1566" s="2">
        <v>25</v>
      </c>
      <c r="F1566" s="2">
        <v>100</v>
      </c>
      <c r="G1566" s="2">
        <v>181</v>
      </c>
      <c r="H1566" s="9">
        <f t="shared" si="24"/>
        <v>30.524098775983639</v>
      </c>
      <c r="I1566" s="2" t="str" cm="1">
        <f t="array" ref="I1566">_xlfn.IFS(F1566&gt;=100,"Over weight",F1566&lt;100,"Average weight")</f>
        <v>Over weight</v>
      </c>
      <c r="J1566" s="2" t="str" cm="1">
        <f t="array" ref="J1566">_xlfn.IFS(G1566&lt;164,"Below Average height",G1566&gt;=165,"Above Average height",G1566=164,"Average height")</f>
        <v>Above Average height</v>
      </c>
      <c r="K1566" s="2" t="str" cm="1">
        <f t="array" ref="K1566">_xlfn.IFS(E1566&lt;=16,"Children",E1566&lt;=30,"Young Adults",E1566&lt;=45,"Middle-aged Adults",E1566&gt;45,"Old Adults")</f>
        <v>Young Adults</v>
      </c>
    </row>
    <row r="1567" spans="1:11" x14ac:dyDescent="0.45">
      <c r="A1567" s="2">
        <v>1838</v>
      </c>
      <c r="B1567" s="2" t="s">
        <v>1942</v>
      </c>
      <c r="C1567" s="2" t="s">
        <v>88</v>
      </c>
      <c r="D1567" s="2" t="s">
        <v>25</v>
      </c>
      <c r="E1567" s="2">
        <v>36</v>
      </c>
      <c r="F1567" s="2">
        <v>69</v>
      </c>
      <c r="G1567" s="2">
        <v>179</v>
      </c>
      <c r="H1567" s="9">
        <f t="shared" si="24"/>
        <v>21.534908398614277</v>
      </c>
      <c r="I1567" s="2" t="str" cm="1">
        <f t="array" ref="I1567">_xlfn.IFS(F1567&gt;=100,"Over weight",F1567&lt;100,"Average weight")</f>
        <v>Average weight</v>
      </c>
      <c r="J1567" s="2" t="str" cm="1">
        <f t="array" ref="J1567">_xlfn.IFS(G1567&lt;164,"Below Average height",G1567&gt;=165,"Above Average height",G1567=164,"Average height")</f>
        <v>Above Average height</v>
      </c>
      <c r="K1567" s="2" t="str" cm="1">
        <f t="array" ref="K1567">_xlfn.IFS(E1567&lt;=16,"Children",E1567&lt;=30,"Young Adults",E1567&lt;=45,"Middle-aged Adults",E1567&gt;45,"Old Adults")</f>
        <v>Middle-aged Adults</v>
      </c>
    </row>
    <row r="1568" spans="1:11" x14ac:dyDescent="0.45">
      <c r="A1568" s="2">
        <v>1840</v>
      </c>
      <c r="B1568" s="2" t="s">
        <v>1944</v>
      </c>
      <c r="C1568" s="2" t="s">
        <v>87</v>
      </c>
      <c r="D1568" s="2" t="s">
        <v>17</v>
      </c>
      <c r="E1568" s="2">
        <v>19</v>
      </c>
      <c r="F1568" s="2">
        <v>60</v>
      </c>
      <c r="G1568" s="2">
        <v>170</v>
      </c>
      <c r="H1568" s="9">
        <f t="shared" si="24"/>
        <v>20.761245674740486</v>
      </c>
      <c r="I1568" s="2" t="str" cm="1">
        <f t="array" ref="I1568">_xlfn.IFS(F1568&gt;=100,"Over weight",F1568&lt;100,"Average weight")</f>
        <v>Average weight</v>
      </c>
      <c r="J1568" s="2" t="str" cm="1">
        <f t="array" ref="J1568">_xlfn.IFS(G1568&lt;164,"Below Average height",G1568&gt;=165,"Above Average height",G1568=164,"Average height")</f>
        <v>Above Average height</v>
      </c>
      <c r="K1568" s="2" t="str" cm="1">
        <f t="array" ref="K1568">_xlfn.IFS(E1568&lt;=16,"Children",E1568&lt;=30,"Young Adults",E1568&lt;=45,"Middle-aged Adults",E1568&gt;45,"Old Adults")</f>
        <v>Young Adults</v>
      </c>
    </row>
    <row r="1569" spans="1:11" x14ac:dyDescent="0.45">
      <c r="A1569" s="2">
        <v>1842</v>
      </c>
      <c r="B1569" s="2" t="s">
        <v>1946</v>
      </c>
      <c r="C1569" s="2" t="s">
        <v>91</v>
      </c>
      <c r="D1569" s="2" t="s">
        <v>80</v>
      </c>
      <c r="E1569" s="2">
        <v>24</v>
      </c>
      <c r="F1569" s="2">
        <v>101</v>
      </c>
      <c r="G1569" s="2">
        <v>185</v>
      </c>
      <c r="H1569" s="9">
        <f t="shared" si="24"/>
        <v>29.510591672753833</v>
      </c>
      <c r="I1569" s="2" t="str" cm="1">
        <f t="array" ref="I1569">_xlfn.IFS(F1569&gt;=100,"Over weight",F1569&lt;100,"Average weight")</f>
        <v>Over weight</v>
      </c>
      <c r="J1569" s="2" t="str" cm="1">
        <f t="array" ref="J1569">_xlfn.IFS(G1569&lt;164,"Below Average height",G1569&gt;=165,"Above Average height",G1569=164,"Average height")</f>
        <v>Above Average height</v>
      </c>
      <c r="K1569" s="2" t="str" cm="1">
        <f t="array" ref="K1569">_xlfn.IFS(E1569&lt;=16,"Children",E1569&lt;=30,"Young Adults",E1569&lt;=45,"Middle-aged Adults",E1569&gt;45,"Old Adults")</f>
        <v>Young Adults</v>
      </c>
    </row>
    <row r="1570" spans="1:11" x14ac:dyDescent="0.45">
      <c r="A1570" s="2">
        <v>1843</v>
      </c>
      <c r="B1570" s="2" t="s">
        <v>1947</v>
      </c>
      <c r="C1570" s="2" t="s">
        <v>98</v>
      </c>
      <c r="D1570" s="2" t="s">
        <v>13</v>
      </c>
      <c r="E1570" s="2">
        <v>32</v>
      </c>
      <c r="F1570" s="2">
        <v>65</v>
      </c>
      <c r="G1570" s="2">
        <v>166</v>
      </c>
      <c r="H1570" s="9">
        <f t="shared" si="24"/>
        <v>23.588329220496444</v>
      </c>
      <c r="I1570" s="2" t="str" cm="1">
        <f t="array" ref="I1570">_xlfn.IFS(F1570&gt;=100,"Over weight",F1570&lt;100,"Average weight")</f>
        <v>Average weight</v>
      </c>
      <c r="J1570" s="2" t="str" cm="1">
        <f t="array" ref="J1570">_xlfn.IFS(G1570&lt;164,"Below Average height",G1570&gt;=165,"Above Average height",G1570=164,"Average height")</f>
        <v>Above Average height</v>
      </c>
      <c r="K1570" s="2" t="str" cm="1">
        <f t="array" ref="K1570">_xlfn.IFS(E1570&lt;=16,"Children",E1570&lt;=30,"Young Adults",E1570&lt;=45,"Middle-aged Adults",E1570&gt;45,"Old Adults")</f>
        <v>Middle-aged Adults</v>
      </c>
    </row>
    <row r="1571" spans="1:11" x14ac:dyDescent="0.45">
      <c r="A1571" s="2">
        <v>1845</v>
      </c>
      <c r="B1571" s="2" t="s">
        <v>1949</v>
      </c>
      <c r="C1571" s="2" t="s">
        <v>91</v>
      </c>
      <c r="D1571" s="2" t="s">
        <v>70</v>
      </c>
      <c r="E1571" s="2">
        <v>29</v>
      </c>
      <c r="F1571" s="2">
        <v>90</v>
      </c>
      <c r="G1571" s="2">
        <v>186</v>
      </c>
      <c r="H1571" s="9">
        <f t="shared" si="24"/>
        <v>26.014568158168572</v>
      </c>
      <c r="I1571" s="2" t="str" cm="1">
        <f t="array" ref="I1571">_xlfn.IFS(F1571&gt;=100,"Over weight",F1571&lt;100,"Average weight")</f>
        <v>Average weight</v>
      </c>
      <c r="J1571" s="2" t="str" cm="1">
        <f t="array" ref="J1571">_xlfn.IFS(G1571&lt;164,"Below Average height",G1571&gt;=165,"Above Average height",G1571=164,"Average height")</f>
        <v>Above Average height</v>
      </c>
      <c r="K1571" s="2" t="str" cm="1">
        <f t="array" ref="K1571">_xlfn.IFS(E1571&lt;=16,"Children",E1571&lt;=30,"Young Adults",E1571&lt;=45,"Middle-aged Adults",E1571&gt;45,"Old Adults")</f>
        <v>Young Adults</v>
      </c>
    </row>
    <row r="1572" spans="1:11" x14ac:dyDescent="0.45">
      <c r="A1572" s="2">
        <v>1846</v>
      </c>
      <c r="B1572" s="2" t="s">
        <v>1950</v>
      </c>
      <c r="C1572" s="2" t="s">
        <v>90</v>
      </c>
      <c r="D1572" s="2" t="s">
        <v>69</v>
      </c>
      <c r="E1572" s="2">
        <v>26</v>
      </c>
      <c r="F1572" s="2">
        <v>105</v>
      </c>
      <c r="G1572" s="2">
        <v>190</v>
      </c>
      <c r="H1572" s="9">
        <f t="shared" si="24"/>
        <v>29.085872576177287</v>
      </c>
      <c r="I1572" s="2" t="str" cm="1">
        <f t="array" ref="I1572">_xlfn.IFS(F1572&gt;=100,"Over weight",F1572&lt;100,"Average weight")</f>
        <v>Over weight</v>
      </c>
      <c r="J1572" s="2" t="str" cm="1">
        <f t="array" ref="J1572">_xlfn.IFS(G1572&lt;164,"Below Average height",G1572&gt;=165,"Above Average height",G1572=164,"Average height")</f>
        <v>Above Average height</v>
      </c>
      <c r="K1572" s="2" t="str" cm="1">
        <f t="array" ref="K1572">_xlfn.IFS(E1572&lt;=16,"Children",E1572&lt;=30,"Young Adults",E1572&lt;=45,"Middle-aged Adults",E1572&gt;45,"Old Adults")</f>
        <v>Young Adults</v>
      </c>
    </row>
    <row r="1573" spans="1:11" x14ac:dyDescent="0.45">
      <c r="A1573" s="2">
        <v>1847</v>
      </c>
      <c r="B1573" s="2" t="s">
        <v>1951</v>
      </c>
      <c r="C1573" s="2" t="s">
        <v>89</v>
      </c>
      <c r="D1573" s="2" t="s">
        <v>8</v>
      </c>
      <c r="E1573" s="2">
        <v>30</v>
      </c>
      <c r="F1573" s="2">
        <v>62</v>
      </c>
      <c r="G1573" s="2">
        <v>166</v>
      </c>
      <c r="H1573" s="9">
        <f t="shared" si="24"/>
        <v>22.499637102627378</v>
      </c>
      <c r="I1573" s="2" t="str" cm="1">
        <f t="array" ref="I1573">_xlfn.IFS(F1573&gt;=100,"Over weight",F1573&lt;100,"Average weight")</f>
        <v>Average weight</v>
      </c>
      <c r="J1573" s="2" t="str" cm="1">
        <f t="array" ref="J1573">_xlfn.IFS(G1573&lt;164,"Below Average height",G1573&gt;=165,"Above Average height",G1573=164,"Average height")</f>
        <v>Above Average height</v>
      </c>
      <c r="K1573" s="2" t="str" cm="1">
        <f t="array" ref="K1573">_xlfn.IFS(E1573&lt;=16,"Children",E1573&lt;=30,"Young Adults",E1573&lt;=45,"Middle-aged Adults",E1573&gt;45,"Old Adults")</f>
        <v>Young Adults</v>
      </c>
    </row>
    <row r="1574" spans="1:11" x14ac:dyDescent="0.45">
      <c r="A1574" s="2">
        <v>1848</v>
      </c>
      <c r="B1574" s="2" t="s">
        <v>1952</v>
      </c>
      <c r="C1574" s="2" t="s">
        <v>91</v>
      </c>
      <c r="D1574" s="2" t="s">
        <v>66</v>
      </c>
      <c r="E1574" s="2">
        <v>23</v>
      </c>
      <c r="F1574" s="2">
        <v>84</v>
      </c>
      <c r="G1574" s="2">
        <v>186</v>
      </c>
      <c r="H1574" s="9">
        <f t="shared" si="24"/>
        <v>24.280263614290668</v>
      </c>
      <c r="I1574" s="2" t="str" cm="1">
        <f t="array" ref="I1574">_xlfn.IFS(F1574&gt;=100,"Over weight",F1574&lt;100,"Average weight")</f>
        <v>Average weight</v>
      </c>
      <c r="J1574" s="2" t="str" cm="1">
        <f t="array" ref="J1574">_xlfn.IFS(G1574&lt;164,"Below Average height",G1574&gt;=165,"Above Average height",G1574=164,"Average height")</f>
        <v>Above Average height</v>
      </c>
      <c r="K1574" s="2" t="str" cm="1">
        <f t="array" ref="K1574">_xlfn.IFS(E1574&lt;=16,"Children",E1574&lt;=30,"Young Adults",E1574&lt;=45,"Middle-aged Adults",E1574&gt;45,"Old Adults")</f>
        <v>Young Adults</v>
      </c>
    </row>
    <row r="1575" spans="1:11" x14ac:dyDescent="0.45">
      <c r="A1575" s="2">
        <v>1849</v>
      </c>
      <c r="B1575" s="2" t="s">
        <v>1953</v>
      </c>
      <c r="C1575" s="2" t="s">
        <v>91</v>
      </c>
      <c r="D1575" s="2" t="s">
        <v>80</v>
      </c>
      <c r="E1575" s="2">
        <v>36</v>
      </c>
      <c r="F1575" s="2">
        <v>88</v>
      </c>
      <c r="G1575" s="2">
        <v>178</v>
      </c>
      <c r="H1575" s="9">
        <f t="shared" si="24"/>
        <v>27.774270925388208</v>
      </c>
      <c r="I1575" s="2" t="str" cm="1">
        <f t="array" ref="I1575">_xlfn.IFS(F1575&gt;=100,"Over weight",F1575&lt;100,"Average weight")</f>
        <v>Average weight</v>
      </c>
      <c r="J1575" s="2" t="str" cm="1">
        <f t="array" ref="J1575">_xlfn.IFS(G1575&lt;164,"Below Average height",G1575&gt;=165,"Above Average height",G1575=164,"Average height")</f>
        <v>Above Average height</v>
      </c>
      <c r="K1575" s="2" t="str" cm="1">
        <f t="array" ref="K1575">_xlfn.IFS(E1575&lt;=16,"Children",E1575&lt;=30,"Young Adults",E1575&lt;=45,"Middle-aged Adults",E1575&gt;45,"Old Adults")</f>
        <v>Middle-aged Adults</v>
      </c>
    </row>
    <row r="1576" spans="1:11" x14ac:dyDescent="0.45">
      <c r="A1576" s="2">
        <v>1850</v>
      </c>
      <c r="B1576" s="2" t="s">
        <v>1954</v>
      </c>
      <c r="C1576" s="2" t="s">
        <v>87</v>
      </c>
      <c r="D1576" s="2" t="s">
        <v>80</v>
      </c>
      <c r="E1576" s="2">
        <v>36</v>
      </c>
      <c r="F1576" s="2">
        <v>82</v>
      </c>
      <c r="G1576" s="2">
        <v>175</v>
      </c>
      <c r="H1576" s="9">
        <f t="shared" si="24"/>
        <v>26.775510204081634</v>
      </c>
      <c r="I1576" s="2" t="str" cm="1">
        <f t="array" ref="I1576">_xlfn.IFS(F1576&gt;=100,"Over weight",F1576&lt;100,"Average weight")</f>
        <v>Average weight</v>
      </c>
      <c r="J1576" s="2" t="str" cm="1">
        <f t="array" ref="J1576">_xlfn.IFS(G1576&lt;164,"Below Average height",G1576&gt;=165,"Above Average height",G1576=164,"Average height")</f>
        <v>Above Average height</v>
      </c>
      <c r="K1576" s="2" t="str" cm="1">
        <f t="array" ref="K1576">_xlfn.IFS(E1576&lt;=16,"Children",E1576&lt;=30,"Young Adults",E1576&lt;=45,"Middle-aged Adults",E1576&gt;45,"Old Adults")</f>
        <v>Middle-aged Adults</v>
      </c>
    </row>
    <row r="1577" spans="1:11" x14ac:dyDescent="0.45">
      <c r="A1577" s="2">
        <v>1851</v>
      </c>
      <c r="B1577" s="2" t="s">
        <v>1955</v>
      </c>
      <c r="C1577" s="2" t="s">
        <v>85</v>
      </c>
      <c r="D1577" s="2" t="s">
        <v>6</v>
      </c>
      <c r="E1577" s="2">
        <v>31</v>
      </c>
      <c r="F1577" s="2">
        <v>83</v>
      </c>
      <c r="G1577" s="2">
        <v>182</v>
      </c>
      <c r="H1577" s="9">
        <f t="shared" si="24"/>
        <v>25.057360222195385</v>
      </c>
      <c r="I1577" s="2" t="str" cm="1">
        <f t="array" ref="I1577">_xlfn.IFS(F1577&gt;=100,"Over weight",F1577&lt;100,"Average weight")</f>
        <v>Average weight</v>
      </c>
      <c r="J1577" s="2" t="str" cm="1">
        <f t="array" ref="J1577">_xlfn.IFS(G1577&lt;164,"Below Average height",G1577&gt;=165,"Above Average height",G1577=164,"Average height")</f>
        <v>Above Average height</v>
      </c>
      <c r="K1577" s="2" t="str" cm="1">
        <f t="array" ref="K1577">_xlfn.IFS(E1577&lt;=16,"Children",E1577&lt;=30,"Young Adults",E1577&lt;=45,"Middle-aged Adults",E1577&gt;45,"Old Adults")</f>
        <v>Middle-aged Adults</v>
      </c>
    </row>
    <row r="1578" spans="1:11" x14ac:dyDescent="0.45">
      <c r="A1578" s="2">
        <v>1852</v>
      </c>
      <c r="B1578" s="2" t="s">
        <v>1956</v>
      </c>
      <c r="C1578" s="2" t="s">
        <v>93</v>
      </c>
      <c r="D1578" s="2" t="s">
        <v>39</v>
      </c>
      <c r="E1578" s="2">
        <v>23</v>
      </c>
      <c r="F1578" s="2">
        <v>81</v>
      </c>
      <c r="G1578" s="2">
        <v>174</v>
      </c>
      <c r="H1578" s="9">
        <f t="shared" si="24"/>
        <v>26.753864447086801</v>
      </c>
      <c r="I1578" s="2" t="str" cm="1">
        <f t="array" ref="I1578">_xlfn.IFS(F1578&gt;=100,"Over weight",F1578&lt;100,"Average weight")</f>
        <v>Average weight</v>
      </c>
      <c r="J1578" s="2" t="str" cm="1">
        <f t="array" ref="J1578">_xlfn.IFS(G1578&lt;164,"Below Average height",G1578&gt;=165,"Above Average height",G1578=164,"Average height")</f>
        <v>Above Average height</v>
      </c>
      <c r="K1578" s="2" t="str" cm="1">
        <f t="array" ref="K1578">_xlfn.IFS(E1578&lt;=16,"Children",E1578&lt;=30,"Young Adults",E1578&lt;=45,"Middle-aged Adults",E1578&gt;45,"Old Adults")</f>
        <v>Young Adults</v>
      </c>
    </row>
    <row r="1579" spans="1:11" x14ac:dyDescent="0.45">
      <c r="A1579" s="2">
        <v>1853</v>
      </c>
      <c r="B1579" s="2" t="s">
        <v>1957</v>
      </c>
      <c r="C1579" s="2" t="s">
        <v>95</v>
      </c>
      <c r="D1579" s="2" t="s">
        <v>39</v>
      </c>
      <c r="E1579" s="2">
        <v>36</v>
      </c>
      <c r="F1579" s="2">
        <v>88</v>
      </c>
      <c r="G1579" s="2">
        <v>181</v>
      </c>
      <c r="H1579" s="9">
        <f t="shared" si="24"/>
        <v>26.861206922865602</v>
      </c>
      <c r="I1579" s="2" t="str" cm="1">
        <f t="array" ref="I1579">_xlfn.IFS(F1579&gt;=100,"Over weight",F1579&lt;100,"Average weight")</f>
        <v>Average weight</v>
      </c>
      <c r="J1579" s="2" t="str" cm="1">
        <f t="array" ref="J1579">_xlfn.IFS(G1579&lt;164,"Below Average height",G1579&gt;=165,"Above Average height",G1579=164,"Average height")</f>
        <v>Above Average height</v>
      </c>
      <c r="K1579" s="2" t="str" cm="1">
        <f t="array" ref="K1579">_xlfn.IFS(E1579&lt;=16,"Children",E1579&lt;=30,"Young Adults",E1579&lt;=45,"Middle-aged Adults",E1579&gt;45,"Old Adults")</f>
        <v>Middle-aged Adults</v>
      </c>
    </row>
    <row r="1580" spans="1:11" x14ac:dyDescent="0.45">
      <c r="A1580" s="2">
        <v>1855</v>
      </c>
      <c r="B1580" s="2" t="s">
        <v>1959</v>
      </c>
      <c r="C1580" s="2" t="s">
        <v>94</v>
      </c>
      <c r="D1580" s="2" t="s">
        <v>21</v>
      </c>
      <c r="E1580" s="2">
        <v>31</v>
      </c>
      <c r="F1580" s="2">
        <v>61</v>
      </c>
      <c r="G1580" s="2">
        <v>172</v>
      </c>
      <c r="H1580" s="9">
        <f t="shared" si="24"/>
        <v>20.61925365062196</v>
      </c>
      <c r="I1580" s="2" t="str" cm="1">
        <f t="array" ref="I1580">_xlfn.IFS(F1580&gt;=100,"Over weight",F1580&lt;100,"Average weight")</f>
        <v>Average weight</v>
      </c>
      <c r="J1580" s="2" t="str" cm="1">
        <f t="array" ref="J1580">_xlfn.IFS(G1580&lt;164,"Below Average height",G1580&gt;=165,"Above Average height",G1580=164,"Average height")</f>
        <v>Above Average height</v>
      </c>
      <c r="K1580" s="2" t="str" cm="1">
        <f t="array" ref="K1580">_xlfn.IFS(E1580&lt;=16,"Children",E1580&lt;=30,"Young Adults",E1580&lt;=45,"Middle-aged Adults",E1580&gt;45,"Old Adults")</f>
        <v>Middle-aged Adults</v>
      </c>
    </row>
    <row r="1581" spans="1:11" x14ac:dyDescent="0.45">
      <c r="A1581" s="2">
        <v>1857</v>
      </c>
      <c r="B1581" s="2" t="s">
        <v>1961</v>
      </c>
      <c r="C1581" s="2" t="s">
        <v>86</v>
      </c>
      <c r="D1581" s="2" t="s">
        <v>42</v>
      </c>
      <c r="E1581" s="2">
        <v>17</v>
      </c>
      <c r="F1581" s="2">
        <v>73</v>
      </c>
      <c r="G1581" s="2">
        <v>170</v>
      </c>
      <c r="H1581" s="9">
        <f t="shared" si="24"/>
        <v>25.259515570934258</v>
      </c>
      <c r="I1581" s="2" t="str" cm="1">
        <f t="array" ref="I1581">_xlfn.IFS(F1581&gt;=100,"Over weight",F1581&lt;100,"Average weight")</f>
        <v>Average weight</v>
      </c>
      <c r="J1581" s="2" t="str" cm="1">
        <f t="array" ref="J1581">_xlfn.IFS(G1581&lt;164,"Below Average height",G1581&gt;=165,"Above Average height",G1581=164,"Average height")</f>
        <v>Above Average height</v>
      </c>
      <c r="K1581" s="2" t="str" cm="1">
        <f t="array" ref="K1581">_xlfn.IFS(E1581&lt;=16,"Children",E1581&lt;=30,"Young Adults",E1581&lt;=45,"Middle-aged Adults",E1581&gt;45,"Old Adults")</f>
        <v>Young Adults</v>
      </c>
    </row>
    <row r="1582" spans="1:11" x14ac:dyDescent="0.45">
      <c r="A1582" s="2">
        <v>1858</v>
      </c>
      <c r="B1582" s="2" t="s">
        <v>1962</v>
      </c>
      <c r="C1582" s="2" t="s">
        <v>91</v>
      </c>
      <c r="D1582" s="2" t="s">
        <v>70</v>
      </c>
      <c r="E1582" s="2">
        <v>31</v>
      </c>
      <c r="F1582" s="2">
        <v>64</v>
      </c>
      <c r="G1582" s="2">
        <v>171</v>
      </c>
      <c r="H1582" s="9">
        <f t="shared" si="24"/>
        <v>21.887076365377382</v>
      </c>
      <c r="I1582" s="2" t="str" cm="1">
        <f t="array" ref="I1582">_xlfn.IFS(F1582&gt;=100,"Over weight",F1582&lt;100,"Average weight")</f>
        <v>Average weight</v>
      </c>
      <c r="J1582" s="2" t="str" cm="1">
        <f t="array" ref="J1582">_xlfn.IFS(G1582&lt;164,"Below Average height",G1582&gt;=165,"Above Average height",G1582=164,"Average height")</f>
        <v>Above Average height</v>
      </c>
      <c r="K1582" s="2" t="str" cm="1">
        <f t="array" ref="K1582">_xlfn.IFS(E1582&lt;=16,"Children",E1582&lt;=30,"Young Adults",E1582&lt;=45,"Middle-aged Adults",E1582&gt;45,"Old Adults")</f>
        <v>Middle-aged Adults</v>
      </c>
    </row>
    <row r="1583" spans="1:11" x14ac:dyDescent="0.45">
      <c r="A1583" s="2">
        <v>1860</v>
      </c>
      <c r="B1583" s="2" t="s">
        <v>1964</v>
      </c>
      <c r="C1583" s="2" t="s">
        <v>93</v>
      </c>
      <c r="D1583" s="2" t="s">
        <v>6</v>
      </c>
      <c r="E1583" s="2">
        <v>23</v>
      </c>
      <c r="F1583" s="2">
        <v>54</v>
      </c>
      <c r="G1583" s="2">
        <v>166</v>
      </c>
      <c r="H1583" s="9">
        <f t="shared" si="24"/>
        <v>19.596458121643199</v>
      </c>
      <c r="I1583" s="2" t="str" cm="1">
        <f t="array" ref="I1583">_xlfn.IFS(F1583&gt;=100,"Over weight",F1583&lt;100,"Average weight")</f>
        <v>Average weight</v>
      </c>
      <c r="J1583" s="2" t="str" cm="1">
        <f t="array" ref="J1583">_xlfn.IFS(G1583&lt;164,"Below Average height",G1583&gt;=165,"Above Average height",G1583=164,"Average height")</f>
        <v>Above Average height</v>
      </c>
      <c r="K1583" s="2" t="str" cm="1">
        <f t="array" ref="K1583">_xlfn.IFS(E1583&lt;=16,"Children",E1583&lt;=30,"Young Adults",E1583&lt;=45,"Middle-aged Adults",E1583&gt;45,"Old Adults")</f>
        <v>Young Adults</v>
      </c>
    </row>
    <row r="1584" spans="1:11" x14ac:dyDescent="0.45">
      <c r="A1584" s="2">
        <v>1861</v>
      </c>
      <c r="B1584" s="2" t="s">
        <v>1965</v>
      </c>
      <c r="C1584" s="2" t="s">
        <v>93</v>
      </c>
      <c r="D1584" s="2" t="s">
        <v>26</v>
      </c>
      <c r="E1584" s="2">
        <v>21</v>
      </c>
      <c r="F1584" s="2">
        <v>74</v>
      </c>
      <c r="G1584" s="2">
        <v>183</v>
      </c>
      <c r="H1584" s="9">
        <f t="shared" si="24"/>
        <v>22.096807907073963</v>
      </c>
      <c r="I1584" s="2" t="str" cm="1">
        <f t="array" ref="I1584">_xlfn.IFS(F1584&gt;=100,"Over weight",F1584&lt;100,"Average weight")</f>
        <v>Average weight</v>
      </c>
      <c r="J1584" s="2" t="str" cm="1">
        <f t="array" ref="J1584">_xlfn.IFS(G1584&lt;164,"Below Average height",G1584&gt;=165,"Above Average height",G1584=164,"Average height")</f>
        <v>Above Average height</v>
      </c>
      <c r="K1584" s="2" t="str" cm="1">
        <f t="array" ref="K1584">_xlfn.IFS(E1584&lt;=16,"Children",E1584&lt;=30,"Young Adults",E1584&lt;=45,"Middle-aged Adults",E1584&gt;45,"Old Adults")</f>
        <v>Young Adults</v>
      </c>
    </row>
    <row r="1585" spans="1:11" x14ac:dyDescent="0.45">
      <c r="A1585" s="2">
        <v>1862</v>
      </c>
      <c r="B1585" s="2" t="s">
        <v>1966</v>
      </c>
      <c r="C1585" s="2" t="s">
        <v>86</v>
      </c>
      <c r="D1585" s="2" t="s">
        <v>23</v>
      </c>
      <c r="E1585" s="2">
        <v>17</v>
      </c>
      <c r="F1585" s="2">
        <v>73</v>
      </c>
      <c r="G1585" s="2">
        <v>177</v>
      </c>
      <c r="H1585" s="9">
        <f t="shared" si="24"/>
        <v>23.301094832264035</v>
      </c>
      <c r="I1585" s="2" t="str" cm="1">
        <f t="array" ref="I1585">_xlfn.IFS(F1585&gt;=100,"Over weight",F1585&lt;100,"Average weight")</f>
        <v>Average weight</v>
      </c>
      <c r="J1585" s="2" t="str" cm="1">
        <f t="array" ref="J1585">_xlfn.IFS(G1585&lt;164,"Below Average height",G1585&gt;=165,"Above Average height",G1585=164,"Average height")</f>
        <v>Above Average height</v>
      </c>
      <c r="K1585" s="2" t="str" cm="1">
        <f t="array" ref="K1585">_xlfn.IFS(E1585&lt;=16,"Children",E1585&lt;=30,"Young Adults",E1585&lt;=45,"Middle-aged Adults",E1585&gt;45,"Old Adults")</f>
        <v>Young Adults</v>
      </c>
    </row>
    <row r="1586" spans="1:11" x14ac:dyDescent="0.45">
      <c r="A1586" s="2">
        <v>1864</v>
      </c>
      <c r="B1586" s="2" t="s">
        <v>1968</v>
      </c>
      <c r="C1586" s="2" t="s">
        <v>89</v>
      </c>
      <c r="D1586" s="2" t="s">
        <v>80</v>
      </c>
      <c r="E1586" s="2">
        <v>29</v>
      </c>
      <c r="F1586" s="2">
        <v>66</v>
      </c>
      <c r="G1586" s="2">
        <v>168</v>
      </c>
      <c r="H1586" s="9">
        <f t="shared" si="24"/>
        <v>23.384353741496604</v>
      </c>
      <c r="I1586" s="2" t="str" cm="1">
        <f t="array" ref="I1586">_xlfn.IFS(F1586&gt;=100,"Over weight",F1586&lt;100,"Average weight")</f>
        <v>Average weight</v>
      </c>
      <c r="J1586" s="2" t="str" cm="1">
        <f t="array" ref="J1586">_xlfn.IFS(G1586&lt;164,"Below Average height",G1586&gt;=165,"Above Average height",G1586=164,"Average height")</f>
        <v>Above Average height</v>
      </c>
      <c r="K1586" s="2" t="str" cm="1">
        <f t="array" ref="K1586">_xlfn.IFS(E1586&lt;=16,"Children",E1586&lt;=30,"Young Adults",E1586&lt;=45,"Middle-aged Adults",E1586&gt;45,"Old Adults")</f>
        <v>Young Adults</v>
      </c>
    </row>
    <row r="1587" spans="1:11" x14ac:dyDescent="0.45">
      <c r="A1587" s="2">
        <v>1865</v>
      </c>
      <c r="B1587" s="2" t="s">
        <v>1969</v>
      </c>
      <c r="C1587" s="2" t="s">
        <v>93</v>
      </c>
      <c r="D1587" s="2" t="s">
        <v>39</v>
      </c>
      <c r="E1587" s="2">
        <v>33</v>
      </c>
      <c r="F1587" s="2">
        <v>59</v>
      </c>
      <c r="G1587" s="2">
        <v>167</v>
      </c>
      <c r="H1587" s="9">
        <f t="shared" si="24"/>
        <v>21.155294202015131</v>
      </c>
      <c r="I1587" s="2" t="str" cm="1">
        <f t="array" ref="I1587">_xlfn.IFS(F1587&gt;=100,"Over weight",F1587&lt;100,"Average weight")</f>
        <v>Average weight</v>
      </c>
      <c r="J1587" s="2" t="str" cm="1">
        <f t="array" ref="J1587">_xlfn.IFS(G1587&lt;164,"Below Average height",G1587&gt;=165,"Above Average height",G1587=164,"Average height")</f>
        <v>Above Average height</v>
      </c>
      <c r="K1587" s="2" t="str" cm="1">
        <f t="array" ref="K1587">_xlfn.IFS(E1587&lt;=16,"Children",E1587&lt;=30,"Young Adults",E1587&lt;=45,"Middle-aged Adults",E1587&gt;45,"Old Adults")</f>
        <v>Middle-aged Adults</v>
      </c>
    </row>
    <row r="1588" spans="1:11" x14ac:dyDescent="0.45">
      <c r="A1588" s="2">
        <v>1866</v>
      </c>
      <c r="B1588" s="2" t="s">
        <v>1970</v>
      </c>
      <c r="C1588" s="2" t="s">
        <v>91</v>
      </c>
      <c r="D1588" s="2" t="s">
        <v>28</v>
      </c>
      <c r="E1588" s="2">
        <v>24</v>
      </c>
      <c r="F1588" s="2">
        <v>92</v>
      </c>
      <c r="G1588" s="2">
        <v>186</v>
      </c>
      <c r="H1588" s="9">
        <f t="shared" si="24"/>
        <v>26.592669672794539</v>
      </c>
      <c r="I1588" s="2" t="str" cm="1">
        <f t="array" ref="I1588">_xlfn.IFS(F1588&gt;=100,"Over weight",F1588&lt;100,"Average weight")</f>
        <v>Average weight</v>
      </c>
      <c r="J1588" s="2" t="str" cm="1">
        <f t="array" ref="J1588">_xlfn.IFS(G1588&lt;164,"Below Average height",G1588&gt;=165,"Above Average height",G1588=164,"Average height")</f>
        <v>Above Average height</v>
      </c>
      <c r="K1588" s="2" t="str" cm="1">
        <f t="array" ref="K1588">_xlfn.IFS(E1588&lt;=16,"Children",E1588&lt;=30,"Young Adults",E1588&lt;=45,"Middle-aged Adults",E1588&gt;45,"Old Adults")</f>
        <v>Young Adults</v>
      </c>
    </row>
    <row r="1589" spans="1:11" x14ac:dyDescent="0.45">
      <c r="A1589" s="2">
        <v>1869</v>
      </c>
      <c r="B1589" s="2" t="s">
        <v>1973</v>
      </c>
      <c r="C1589" s="2" t="s">
        <v>88</v>
      </c>
      <c r="D1589" s="2" t="s">
        <v>46</v>
      </c>
      <c r="E1589" s="2">
        <v>21</v>
      </c>
      <c r="F1589" s="2">
        <v>70</v>
      </c>
      <c r="G1589" s="2">
        <v>181</v>
      </c>
      <c r="H1589" s="9">
        <f t="shared" si="24"/>
        <v>21.366869143188548</v>
      </c>
      <c r="I1589" s="2" t="str" cm="1">
        <f t="array" ref="I1589">_xlfn.IFS(F1589&gt;=100,"Over weight",F1589&lt;100,"Average weight")</f>
        <v>Average weight</v>
      </c>
      <c r="J1589" s="2" t="str" cm="1">
        <f t="array" ref="J1589">_xlfn.IFS(G1589&lt;164,"Below Average height",G1589&gt;=165,"Above Average height",G1589=164,"Average height")</f>
        <v>Above Average height</v>
      </c>
      <c r="K1589" s="2" t="str" cm="1">
        <f t="array" ref="K1589">_xlfn.IFS(E1589&lt;=16,"Children",E1589&lt;=30,"Young Adults",E1589&lt;=45,"Middle-aged Adults",E1589&gt;45,"Old Adults")</f>
        <v>Young Adults</v>
      </c>
    </row>
    <row r="1590" spans="1:11" x14ac:dyDescent="0.45">
      <c r="A1590" s="2">
        <v>1870</v>
      </c>
      <c r="B1590" s="2" t="s">
        <v>1974</v>
      </c>
      <c r="C1590" s="2" t="s">
        <v>85</v>
      </c>
      <c r="D1590" s="2" t="s">
        <v>19</v>
      </c>
      <c r="E1590" s="2">
        <v>23</v>
      </c>
      <c r="F1590" s="2">
        <v>85</v>
      </c>
      <c r="G1590" s="2">
        <v>181</v>
      </c>
      <c r="H1590" s="9">
        <f t="shared" si="24"/>
        <v>25.945483959586092</v>
      </c>
      <c r="I1590" s="2" t="str" cm="1">
        <f t="array" ref="I1590">_xlfn.IFS(F1590&gt;=100,"Over weight",F1590&lt;100,"Average weight")</f>
        <v>Average weight</v>
      </c>
      <c r="J1590" s="2" t="str" cm="1">
        <f t="array" ref="J1590">_xlfn.IFS(G1590&lt;164,"Below Average height",G1590&gt;=165,"Above Average height",G1590=164,"Average height")</f>
        <v>Above Average height</v>
      </c>
      <c r="K1590" s="2" t="str" cm="1">
        <f t="array" ref="K1590">_xlfn.IFS(E1590&lt;=16,"Children",E1590&lt;=30,"Young Adults",E1590&lt;=45,"Middle-aged Adults",E1590&gt;45,"Old Adults")</f>
        <v>Young Adults</v>
      </c>
    </row>
    <row r="1591" spans="1:11" x14ac:dyDescent="0.45">
      <c r="A1591" s="2">
        <v>1871</v>
      </c>
      <c r="B1591" s="2" t="s">
        <v>1975</v>
      </c>
      <c r="C1591" s="2" t="s">
        <v>91</v>
      </c>
      <c r="D1591" s="2" t="s">
        <v>25</v>
      </c>
      <c r="E1591" s="2">
        <v>20</v>
      </c>
      <c r="F1591" s="2">
        <v>68</v>
      </c>
      <c r="G1591" s="2">
        <v>165</v>
      </c>
      <c r="H1591" s="9">
        <f t="shared" si="24"/>
        <v>24.977043158861342</v>
      </c>
      <c r="I1591" s="2" t="str" cm="1">
        <f t="array" ref="I1591">_xlfn.IFS(F1591&gt;=100,"Over weight",F1591&lt;100,"Average weight")</f>
        <v>Average weight</v>
      </c>
      <c r="J1591" s="2" t="str" cm="1">
        <f t="array" ref="J1591">_xlfn.IFS(G1591&lt;164,"Below Average height",G1591&gt;=165,"Above Average height",G1591=164,"Average height")</f>
        <v>Above Average height</v>
      </c>
      <c r="K1591" s="2" t="str" cm="1">
        <f t="array" ref="K1591">_xlfn.IFS(E1591&lt;=16,"Children",E1591&lt;=30,"Young Adults",E1591&lt;=45,"Middle-aged Adults",E1591&gt;45,"Old Adults")</f>
        <v>Young Adults</v>
      </c>
    </row>
    <row r="1592" spans="1:11" x14ac:dyDescent="0.45">
      <c r="A1592" s="2">
        <v>1872</v>
      </c>
      <c r="B1592" s="2" t="s">
        <v>1976</v>
      </c>
      <c r="C1592" s="2" t="s">
        <v>88</v>
      </c>
      <c r="D1592" s="2" t="s">
        <v>71</v>
      </c>
      <c r="E1592" s="2">
        <v>31</v>
      </c>
      <c r="F1592" s="2">
        <v>53</v>
      </c>
      <c r="G1592" s="2">
        <v>168</v>
      </c>
      <c r="H1592" s="9">
        <f t="shared" si="24"/>
        <v>18.778344671201818</v>
      </c>
      <c r="I1592" s="2" t="str" cm="1">
        <f t="array" ref="I1592">_xlfn.IFS(F1592&gt;=100,"Over weight",F1592&lt;100,"Average weight")</f>
        <v>Average weight</v>
      </c>
      <c r="J1592" s="2" t="str" cm="1">
        <f t="array" ref="J1592">_xlfn.IFS(G1592&lt;164,"Below Average height",G1592&gt;=165,"Above Average height",G1592=164,"Average height")</f>
        <v>Above Average height</v>
      </c>
      <c r="K1592" s="2" t="str" cm="1">
        <f t="array" ref="K1592">_xlfn.IFS(E1592&lt;=16,"Children",E1592&lt;=30,"Young Adults",E1592&lt;=45,"Middle-aged Adults",E1592&gt;45,"Old Adults")</f>
        <v>Middle-aged Adults</v>
      </c>
    </row>
    <row r="1593" spans="1:11" x14ac:dyDescent="0.45">
      <c r="A1593" s="2">
        <v>1873</v>
      </c>
      <c r="B1593" s="2" t="s">
        <v>1977</v>
      </c>
      <c r="C1593" s="2" t="s">
        <v>85</v>
      </c>
      <c r="D1593" s="2" t="s">
        <v>66</v>
      </c>
      <c r="E1593" s="2">
        <v>21</v>
      </c>
      <c r="F1593" s="2">
        <v>62</v>
      </c>
      <c r="G1593" s="2">
        <v>166</v>
      </c>
      <c r="H1593" s="9">
        <f t="shared" si="24"/>
        <v>22.499637102627378</v>
      </c>
      <c r="I1593" s="2" t="str" cm="1">
        <f t="array" ref="I1593">_xlfn.IFS(F1593&gt;=100,"Over weight",F1593&lt;100,"Average weight")</f>
        <v>Average weight</v>
      </c>
      <c r="J1593" s="2" t="str" cm="1">
        <f t="array" ref="J1593">_xlfn.IFS(G1593&lt;164,"Below Average height",G1593&gt;=165,"Above Average height",G1593=164,"Average height")</f>
        <v>Above Average height</v>
      </c>
      <c r="K1593" s="2" t="str" cm="1">
        <f t="array" ref="K1593">_xlfn.IFS(E1593&lt;=16,"Children",E1593&lt;=30,"Young Adults",E1593&lt;=45,"Middle-aged Adults",E1593&gt;45,"Old Adults")</f>
        <v>Young Adults</v>
      </c>
    </row>
    <row r="1594" spans="1:11" x14ac:dyDescent="0.45">
      <c r="A1594" s="2">
        <v>1874</v>
      </c>
      <c r="B1594" s="2" t="s">
        <v>1978</v>
      </c>
      <c r="C1594" s="2" t="s">
        <v>94</v>
      </c>
      <c r="D1594" s="2" t="s">
        <v>21</v>
      </c>
      <c r="E1594" s="2">
        <v>23</v>
      </c>
      <c r="F1594" s="2">
        <v>75</v>
      </c>
      <c r="G1594" s="2">
        <v>180</v>
      </c>
      <c r="H1594" s="9">
        <f t="shared" si="24"/>
        <v>23.148148148148145</v>
      </c>
      <c r="I1594" s="2" t="str" cm="1">
        <f t="array" ref="I1594">_xlfn.IFS(F1594&gt;=100,"Over weight",F1594&lt;100,"Average weight")</f>
        <v>Average weight</v>
      </c>
      <c r="J1594" s="2" t="str" cm="1">
        <f t="array" ref="J1594">_xlfn.IFS(G1594&lt;164,"Below Average height",G1594&gt;=165,"Above Average height",G1594=164,"Average height")</f>
        <v>Above Average height</v>
      </c>
      <c r="K1594" s="2" t="str" cm="1">
        <f t="array" ref="K1594">_xlfn.IFS(E1594&lt;=16,"Children",E1594&lt;=30,"Young Adults",E1594&lt;=45,"Middle-aged Adults",E1594&gt;45,"Old Adults")</f>
        <v>Young Adults</v>
      </c>
    </row>
    <row r="1595" spans="1:11" x14ac:dyDescent="0.45">
      <c r="A1595" s="2">
        <v>1875</v>
      </c>
      <c r="B1595" s="2" t="s">
        <v>1979</v>
      </c>
      <c r="C1595" s="2" t="s">
        <v>85</v>
      </c>
      <c r="D1595" s="2" t="s">
        <v>39</v>
      </c>
      <c r="E1595" s="2">
        <v>25</v>
      </c>
      <c r="F1595" s="2">
        <v>88</v>
      </c>
      <c r="G1595" s="2">
        <v>182</v>
      </c>
      <c r="H1595" s="9">
        <f t="shared" si="24"/>
        <v>26.566839753652939</v>
      </c>
      <c r="I1595" s="2" t="str" cm="1">
        <f t="array" ref="I1595">_xlfn.IFS(F1595&gt;=100,"Over weight",F1595&lt;100,"Average weight")</f>
        <v>Average weight</v>
      </c>
      <c r="J1595" s="2" t="str" cm="1">
        <f t="array" ref="J1595">_xlfn.IFS(G1595&lt;164,"Below Average height",G1595&gt;=165,"Above Average height",G1595=164,"Average height")</f>
        <v>Above Average height</v>
      </c>
      <c r="K1595" s="2" t="str" cm="1">
        <f t="array" ref="K1595">_xlfn.IFS(E1595&lt;=16,"Children",E1595&lt;=30,"Young Adults",E1595&lt;=45,"Middle-aged Adults",E1595&gt;45,"Old Adults")</f>
        <v>Young Adults</v>
      </c>
    </row>
    <row r="1596" spans="1:11" x14ac:dyDescent="0.45">
      <c r="A1596" s="2">
        <v>1876</v>
      </c>
      <c r="B1596" s="2" t="s">
        <v>1980</v>
      </c>
      <c r="C1596" s="2" t="s">
        <v>92</v>
      </c>
      <c r="D1596" s="2" t="s">
        <v>14</v>
      </c>
      <c r="E1596" s="2">
        <v>22</v>
      </c>
      <c r="F1596" s="2">
        <v>65</v>
      </c>
      <c r="G1596" s="2">
        <v>176</v>
      </c>
      <c r="H1596" s="9">
        <f t="shared" si="24"/>
        <v>20.983987603305785</v>
      </c>
      <c r="I1596" s="2" t="str" cm="1">
        <f t="array" ref="I1596">_xlfn.IFS(F1596&gt;=100,"Over weight",F1596&lt;100,"Average weight")</f>
        <v>Average weight</v>
      </c>
      <c r="J1596" s="2" t="str" cm="1">
        <f t="array" ref="J1596">_xlfn.IFS(G1596&lt;164,"Below Average height",G1596&gt;=165,"Above Average height",G1596=164,"Average height")</f>
        <v>Above Average height</v>
      </c>
      <c r="K1596" s="2" t="str" cm="1">
        <f t="array" ref="K1596">_xlfn.IFS(E1596&lt;=16,"Children",E1596&lt;=30,"Young Adults",E1596&lt;=45,"Middle-aged Adults",E1596&gt;45,"Old Adults")</f>
        <v>Young Adults</v>
      </c>
    </row>
    <row r="1597" spans="1:11" x14ac:dyDescent="0.45">
      <c r="A1597" s="2">
        <v>1877</v>
      </c>
      <c r="B1597" s="2" t="s">
        <v>1981</v>
      </c>
      <c r="C1597" s="2" t="s">
        <v>85</v>
      </c>
      <c r="D1597" s="2" t="s">
        <v>28</v>
      </c>
      <c r="E1597" s="2">
        <v>20</v>
      </c>
      <c r="F1597" s="2">
        <v>66</v>
      </c>
      <c r="G1597" s="2">
        <v>170</v>
      </c>
      <c r="H1597" s="9">
        <f t="shared" si="24"/>
        <v>22.837370242214536</v>
      </c>
      <c r="I1597" s="2" t="str" cm="1">
        <f t="array" ref="I1597">_xlfn.IFS(F1597&gt;=100,"Over weight",F1597&lt;100,"Average weight")</f>
        <v>Average weight</v>
      </c>
      <c r="J1597" s="2" t="str" cm="1">
        <f t="array" ref="J1597">_xlfn.IFS(G1597&lt;164,"Below Average height",G1597&gt;=165,"Above Average height",G1597=164,"Average height")</f>
        <v>Above Average height</v>
      </c>
      <c r="K1597" s="2" t="str" cm="1">
        <f t="array" ref="K1597">_xlfn.IFS(E1597&lt;=16,"Children",E1597&lt;=30,"Young Adults",E1597&lt;=45,"Middle-aged Adults",E1597&gt;45,"Old Adults")</f>
        <v>Young Adults</v>
      </c>
    </row>
    <row r="1598" spans="1:11" x14ac:dyDescent="0.45">
      <c r="A1598" s="2">
        <v>1878</v>
      </c>
      <c r="B1598" s="2" t="s">
        <v>1982</v>
      </c>
      <c r="C1598" s="2" t="s">
        <v>85</v>
      </c>
      <c r="D1598" s="2" t="s">
        <v>39</v>
      </c>
      <c r="E1598" s="2">
        <v>30</v>
      </c>
      <c r="F1598" s="2">
        <v>70</v>
      </c>
      <c r="G1598" s="2">
        <v>171</v>
      </c>
      <c r="H1598" s="9">
        <f t="shared" si="24"/>
        <v>23.938989774631512</v>
      </c>
      <c r="I1598" s="2" t="str" cm="1">
        <f t="array" ref="I1598">_xlfn.IFS(F1598&gt;=100,"Over weight",F1598&lt;100,"Average weight")</f>
        <v>Average weight</v>
      </c>
      <c r="J1598" s="2" t="str" cm="1">
        <f t="array" ref="J1598">_xlfn.IFS(G1598&lt;164,"Below Average height",G1598&gt;=165,"Above Average height",G1598=164,"Average height")</f>
        <v>Above Average height</v>
      </c>
      <c r="K1598" s="2" t="str" cm="1">
        <f t="array" ref="K1598">_xlfn.IFS(E1598&lt;=16,"Children",E1598&lt;=30,"Young Adults",E1598&lt;=45,"Middle-aged Adults",E1598&gt;45,"Old Adults")</f>
        <v>Young Adults</v>
      </c>
    </row>
    <row r="1599" spans="1:11" x14ac:dyDescent="0.45">
      <c r="A1599" s="2">
        <v>1879</v>
      </c>
      <c r="B1599" s="2" t="s">
        <v>1983</v>
      </c>
      <c r="C1599" s="2" t="s">
        <v>91</v>
      </c>
      <c r="D1599" s="2" t="s">
        <v>46</v>
      </c>
      <c r="E1599" s="2">
        <v>29</v>
      </c>
      <c r="F1599" s="2">
        <v>91</v>
      </c>
      <c r="G1599" s="2">
        <v>190</v>
      </c>
      <c r="H1599" s="9">
        <f t="shared" si="24"/>
        <v>25.207756232686982</v>
      </c>
      <c r="I1599" s="2" t="str" cm="1">
        <f t="array" ref="I1599">_xlfn.IFS(F1599&gt;=100,"Over weight",F1599&lt;100,"Average weight")</f>
        <v>Average weight</v>
      </c>
      <c r="J1599" s="2" t="str" cm="1">
        <f t="array" ref="J1599">_xlfn.IFS(G1599&lt;164,"Below Average height",G1599&gt;=165,"Above Average height",G1599=164,"Average height")</f>
        <v>Above Average height</v>
      </c>
      <c r="K1599" s="2" t="str" cm="1">
        <f t="array" ref="K1599">_xlfn.IFS(E1599&lt;=16,"Children",E1599&lt;=30,"Young Adults",E1599&lt;=45,"Middle-aged Adults",E1599&gt;45,"Old Adults")</f>
        <v>Young Adults</v>
      </c>
    </row>
    <row r="1600" spans="1:11" x14ac:dyDescent="0.45">
      <c r="A1600" s="2">
        <v>1880</v>
      </c>
      <c r="B1600" s="2" t="s">
        <v>1984</v>
      </c>
      <c r="C1600" s="2" t="s">
        <v>91</v>
      </c>
      <c r="D1600" s="2" t="s">
        <v>46</v>
      </c>
      <c r="E1600" s="2">
        <v>25</v>
      </c>
      <c r="F1600" s="2">
        <v>80</v>
      </c>
      <c r="G1600" s="2">
        <v>180</v>
      </c>
      <c r="H1600" s="9">
        <f t="shared" si="24"/>
        <v>24.691358024691358</v>
      </c>
      <c r="I1600" s="2" t="str" cm="1">
        <f t="array" ref="I1600">_xlfn.IFS(F1600&gt;=100,"Over weight",F1600&lt;100,"Average weight")</f>
        <v>Average weight</v>
      </c>
      <c r="J1600" s="2" t="str" cm="1">
        <f t="array" ref="J1600">_xlfn.IFS(G1600&lt;164,"Below Average height",G1600&gt;=165,"Above Average height",G1600=164,"Average height")</f>
        <v>Above Average height</v>
      </c>
      <c r="K1600" s="2" t="str" cm="1">
        <f t="array" ref="K1600">_xlfn.IFS(E1600&lt;=16,"Children",E1600&lt;=30,"Young Adults",E1600&lt;=45,"Middle-aged Adults",E1600&gt;45,"Old Adults")</f>
        <v>Young Adults</v>
      </c>
    </row>
    <row r="1601" spans="1:11" x14ac:dyDescent="0.45">
      <c r="A1601" s="2">
        <v>1881</v>
      </c>
      <c r="B1601" s="2" t="s">
        <v>1985</v>
      </c>
      <c r="C1601" s="2" t="s">
        <v>86</v>
      </c>
      <c r="D1601" s="2" t="s">
        <v>27</v>
      </c>
      <c r="E1601" s="2">
        <v>15</v>
      </c>
      <c r="F1601" s="2">
        <v>73</v>
      </c>
      <c r="G1601" s="2">
        <v>165</v>
      </c>
      <c r="H1601" s="9">
        <f t="shared" si="24"/>
        <v>26.813590449954088</v>
      </c>
      <c r="I1601" s="2" t="str" cm="1">
        <f t="array" ref="I1601">_xlfn.IFS(F1601&gt;=100,"Over weight",F1601&lt;100,"Average weight")</f>
        <v>Average weight</v>
      </c>
      <c r="J1601" s="2" t="str" cm="1">
        <f t="array" ref="J1601">_xlfn.IFS(G1601&lt;164,"Below Average height",G1601&gt;=165,"Above Average height",G1601=164,"Average height")</f>
        <v>Above Average height</v>
      </c>
      <c r="K1601" s="2" t="str" cm="1">
        <f t="array" ref="K1601">_xlfn.IFS(E1601&lt;=16,"Children",E1601&lt;=30,"Young Adults",E1601&lt;=45,"Middle-aged Adults",E1601&gt;45,"Old Adults")</f>
        <v>Children</v>
      </c>
    </row>
    <row r="1602" spans="1:11" x14ac:dyDescent="0.45">
      <c r="A1602" s="2">
        <v>1882</v>
      </c>
      <c r="B1602" s="2" t="s">
        <v>1986</v>
      </c>
      <c r="C1602" s="2" t="s">
        <v>86</v>
      </c>
      <c r="D1602" s="2" t="s">
        <v>41</v>
      </c>
      <c r="E1602" s="2">
        <v>22</v>
      </c>
      <c r="F1602" s="2">
        <v>73</v>
      </c>
      <c r="G1602" s="2">
        <v>168</v>
      </c>
      <c r="H1602" s="9">
        <f t="shared" ref="H1602:H1665" si="25" xml:space="preserve"> F1602 / (( G1602/ 100) ^ 2)</f>
        <v>25.864512471655331</v>
      </c>
      <c r="I1602" s="2" t="str" cm="1">
        <f t="array" ref="I1602">_xlfn.IFS(F1602&gt;=100,"Over weight",F1602&lt;100,"Average weight")</f>
        <v>Average weight</v>
      </c>
      <c r="J1602" s="2" t="str" cm="1">
        <f t="array" ref="J1602">_xlfn.IFS(G1602&lt;164,"Below Average height",G1602&gt;=165,"Above Average height",G1602=164,"Average height")</f>
        <v>Above Average height</v>
      </c>
      <c r="K1602" s="2" t="str" cm="1">
        <f t="array" ref="K1602">_xlfn.IFS(E1602&lt;=16,"Children",E1602&lt;=30,"Young Adults",E1602&lt;=45,"Middle-aged Adults",E1602&gt;45,"Old Adults")</f>
        <v>Young Adults</v>
      </c>
    </row>
    <row r="1603" spans="1:11" x14ac:dyDescent="0.45">
      <c r="A1603" s="2">
        <v>1883</v>
      </c>
      <c r="B1603" s="2" t="s">
        <v>1987</v>
      </c>
      <c r="C1603" s="2" t="s">
        <v>86</v>
      </c>
      <c r="D1603" s="2" t="s">
        <v>41</v>
      </c>
      <c r="E1603" s="2">
        <v>20</v>
      </c>
      <c r="F1603" s="2">
        <v>73</v>
      </c>
      <c r="G1603" s="2">
        <v>185</v>
      </c>
      <c r="H1603" s="9">
        <f t="shared" si="25"/>
        <v>21.329437545653761</v>
      </c>
      <c r="I1603" s="2" t="str" cm="1">
        <f t="array" ref="I1603">_xlfn.IFS(F1603&gt;=100,"Over weight",F1603&lt;100,"Average weight")</f>
        <v>Average weight</v>
      </c>
      <c r="J1603" s="2" t="str" cm="1">
        <f t="array" ref="J1603">_xlfn.IFS(G1603&lt;164,"Below Average height",G1603&gt;=165,"Above Average height",G1603=164,"Average height")</f>
        <v>Above Average height</v>
      </c>
      <c r="K1603" s="2" t="str" cm="1">
        <f t="array" ref="K1603">_xlfn.IFS(E1603&lt;=16,"Children",E1603&lt;=30,"Young Adults",E1603&lt;=45,"Middle-aged Adults",E1603&gt;45,"Old Adults")</f>
        <v>Young Adults</v>
      </c>
    </row>
    <row r="1604" spans="1:11" x14ac:dyDescent="0.45">
      <c r="A1604" s="2">
        <v>1884</v>
      </c>
      <c r="B1604" s="2" t="s">
        <v>1988</v>
      </c>
      <c r="C1604" s="2" t="s">
        <v>95</v>
      </c>
      <c r="D1604" s="2" t="s">
        <v>70</v>
      </c>
      <c r="E1604" s="2">
        <v>24</v>
      </c>
      <c r="F1604" s="2">
        <v>65</v>
      </c>
      <c r="G1604" s="2">
        <v>167</v>
      </c>
      <c r="H1604" s="9">
        <f t="shared" si="25"/>
        <v>23.306680053067517</v>
      </c>
      <c r="I1604" s="2" t="str" cm="1">
        <f t="array" ref="I1604">_xlfn.IFS(F1604&gt;=100,"Over weight",F1604&lt;100,"Average weight")</f>
        <v>Average weight</v>
      </c>
      <c r="J1604" s="2" t="str" cm="1">
        <f t="array" ref="J1604">_xlfn.IFS(G1604&lt;164,"Below Average height",G1604&gt;=165,"Above Average height",G1604=164,"Average height")</f>
        <v>Above Average height</v>
      </c>
      <c r="K1604" s="2" t="str" cm="1">
        <f t="array" ref="K1604">_xlfn.IFS(E1604&lt;=16,"Children",E1604&lt;=30,"Young Adults",E1604&lt;=45,"Middle-aged Adults",E1604&gt;45,"Old Adults")</f>
        <v>Young Adults</v>
      </c>
    </row>
    <row r="1605" spans="1:11" x14ac:dyDescent="0.45">
      <c r="A1605" s="2">
        <v>1885</v>
      </c>
      <c r="B1605" s="2" t="s">
        <v>1989</v>
      </c>
      <c r="C1605" s="2" t="s">
        <v>94</v>
      </c>
      <c r="D1605" s="2" t="s">
        <v>23</v>
      </c>
      <c r="E1605" s="2">
        <v>27</v>
      </c>
      <c r="F1605" s="2">
        <v>76</v>
      </c>
      <c r="G1605" s="2">
        <v>194</v>
      </c>
      <c r="H1605" s="9">
        <f t="shared" si="25"/>
        <v>20.193431820597301</v>
      </c>
      <c r="I1605" s="2" t="str" cm="1">
        <f t="array" ref="I1605">_xlfn.IFS(F1605&gt;=100,"Over weight",F1605&lt;100,"Average weight")</f>
        <v>Average weight</v>
      </c>
      <c r="J1605" s="2" t="str" cm="1">
        <f t="array" ref="J1605">_xlfn.IFS(G1605&lt;164,"Below Average height",G1605&gt;=165,"Above Average height",G1605=164,"Average height")</f>
        <v>Above Average height</v>
      </c>
      <c r="K1605" s="2" t="str" cm="1">
        <f t="array" ref="K1605">_xlfn.IFS(E1605&lt;=16,"Children",E1605&lt;=30,"Young Adults",E1605&lt;=45,"Middle-aged Adults",E1605&gt;45,"Old Adults")</f>
        <v>Young Adults</v>
      </c>
    </row>
    <row r="1606" spans="1:11" x14ac:dyDescent="0.45">
      <c r="A1606" s="2">
        <v>1886</v>
      </c>
      <c r="B1606" s="2" t="s">
        <v>1990</v>
      </c>
      <c r="C1606" s="2" t="s">
        <v>85</v>
      </c>
      <c r="D1606" s="2" t="s">
        <v>6</v>
      </c>
      <c r="E1606" s="2">
        <v>29</v>
      </c>
      <c r="F1606" s="2">
        <v>86</v>
      </c>
      <c r="G1606" s="2">
        <v>184</v>
      </c>
      <c r="H1606" s="9">
        <f t="shared" si="25"/>
        <v>25.401701323251416</v>
      </c>
      <c r="I1606" s="2" t="str" cm="1">
        <f t="array" ref="I1606">_xlfn.IFS(F1606&gt;=100,"Over weight",F1606&lt;100,"Average weight")</f>
        <v>Average weight</v>
      </c>
      <c r="J1606" s="2" t="str" cm="1">
        <f t="array" ref="J1606">_xlfn.IFS(G1606&lt;164,"Below Average height",G1606&gt;=165,"Above Average height",G1606=164,"Average height")</f>
        <v>Above Average height</v>
      </c>
      <c r="K1606" s="2" t="str" cm="1">
        <f t="array" ref="K1606">_xlfn.IFS(E1606&lt;=16,"Children",E1606&lt;=30,"Young Adults",E1606&lt;=45,"Middle-aged Adults",E1606&gt;45,"Old Adults")</f>
        <v>Young Adults</v>
      </c>
    </row>
    <row r="1607" spans="1:11" x14ac:dyDescent="0.45">
      <c r="A1607" s="2">
        <v>1887</v>
      </c>
      <c r="B1607" s="2" t="s">
        <v>1991</v>
      </c>
      <c r="C1607" s="2" t="s">
        <v>94</v>
      </c>
      <c r="D1607" s="2" t="s">
        <v>28</v>
      </c>
      <c r="E1607" s="2">
        <v>27</v>
      </c>
      <c r="F1607" s="2">
        <v>70</v>
      </c>
      <c r="G1607" s="2">
        <v>175</v>
      </c>
      <c r="H1607" s="9">
        <f t="shared" si="25"/>
        <v>22.857142857142858</v>
      </c>
      <c r="I1607" s="2" t="str" cm="1">
        <f t="array" ref="I1607">_xlfn.IFS(F1607&gt;=100,"Over weight",F1607&lt;100,"Average weight")</f>
        <v>Average weight</v>
      </c>
      <c r="J1607" s="2" t="str" cm="1">
        <f t="array" ref="J1607">_xlfn.IFS(G1607&lt;164,"Below Average height",G1607&gt;=165,"Above Average height",G1607=164,"Average height")</f>
        <v>Above Average height</v>
      </c>
      <c r="K1607" s="2" t="str" cm="1">
        <f t="array" ref="K1607">_xlfn.IFS(E1607&lt;=16,"Children",E1607&lt;=30,"Young Adults",E1607&lt;=45,"Middle-aged Adults",E1607&gt;45,"Old Adults")</f>
        <v>Young Adults</v>
      </c>
    </row>
    <row r="1608" spans="1:11" x14ac:dyDescent="0.45">
      <c r="A1608" s="2">
        <v>1888</v>
      </c>
      <c r="B1608" s="2" t="s">
        <v>1992</v>
      </c>
      <c r="C1608" s="2" t="s">
        <v>87</v>
      </c>
      <c r="D1608" s="2" t="s">
        <v>42</v>
      </c>
      <c r="E1608" s="2">
        <v>21</v>
      </c>
      <c r="F1608" s="2">
        <v>65</v>
      </c>
      <c r="G1608" s="2">
        <v>176</v>
      </c>
      <c r="H1608" s="9">
        <f t="shared" si="25"/>
        <v>20.983987603305785</v>
      </c>
      <c r="I1608" s="2" t="str" cm="1">
        <f t="array" ref="I1608">_xlfn.IFS(F1608&gt;=100,"Over weight",F1608&lt;100,"Average weight")</f>
        <v>Average weight</v>
      </c>
      <c r="J1608" s="2" t="str" cm="1">
        <f t="array" ref="J1608">_xlfn.IFS(G1608&lt;164,"Below Average height",G1608&gt;=165,"Above Average height",G1608=164,"Average height")</f>
        <v>Above Average height</v>
      </c>
      <c r="K1608" s="2" t="str" cm="1">
        <f t="array" ref="K1608">_xlfn.IFS(E1608&lt;=16,"Children",E1608&lt;=30,"Young Adults",E1608&lt;=45,"Middle-aged Adults",E1608&gt;45,"Old Adults")</f>
        <v>Young Adults</v>
      </c>
    </row>
    <row r="1609" spans="1:11" x14ac:dyDescent="0.45">
      <c r="A1609" s="2">
        <v>1889</v>
      </c>
      <c r="B1609" s="2" t="s">
        <v>1993</v>
      </c>
      <c r="C1609" s="2" t="s">
        <v>95</v>
      </c>
      <c r="D1609" s="2" t="s">
        <v>6</v>
      </c>
      <c r="E1609" s="2">
        <v>25</v>
      </c>
      <c r="F1609" s="2">
        <v>65</v>
      </c>
      <c r="G1609" s="2">
        <v>170</v>
      </c>
      <c r="H1609" s="9">
        <f t="shared" si="25"/>
        <v>22.491349480968861</v>
      </c>
      <c r="I1609" s="2" t="str" cm="1">
        <f t="array" ref="I1609">_xlfn.IFS(F1609&gt;=100,"Over weight",F1609&lt;100,"Average weight")</f>
        <v>Average weight</v>
      </c>
      <c r="J1609" s="2" t="str" cm="1">
        <f t="array" ref="J1609">_xlfn.IFS(G1609&lt;164,"Below Average height",G1609&gt;=165,"Above Average height",G1609=164,"Average height")</f>
        <v>Above Average height</v>
      </c>
      <c r="K1609" s="2" t="str" cm="1">
        <f t="array" ref="K1609">_xlfn.IFS(E1609&lt;=16,"Children",E1609&lt;=30,"Young Adults",E1609&lt;=45,"Middle-aged Adults",E1609&gt;45,"Old Adults")</f>
        <v>Young Adults</v>
      </c>
    </row>
    <row r="1610" spans="1:11" x14ac:dyDescent="0.45">
      <c r="A1610" s="2">
        <v>1892</v>
      </c>
      <c r="B1610" s="2" t="s">
        <v>1996</v>
      </c>
      <c r="C1610" s="2" t="s">
        <v>91</v>
      </c>
      <c r="D1610" s="2" t="s">
        <v>46</v>
      </c>
      <c r="E1610" s="2">
        <v>31</v>
      </c>
      <c r="F1610" s="2">
        <v>90</v>
      </c>
      <c r="G1610" s="2">
        <v>185</v>
      </c>
      <c r="H1610" s="9">
        <f t="shared" si="25"/>
        <v>26.296566837107374</v>
      </c>
      <c r="I1610" s="2" t="str" cm="1">
        <f t="array" ref="I1610">_xlfn.IFS(F1610&gt;=100,"Over weight",F1610&lt;100,"Average weight")</f>
        <v>Average weight</v>
      </c>
      <c r="J1610" s="2" t="str" cm="1">
        <f t="array" ref="J1610">_xlfn.IFS(G1610&lt;164,"Below Average height",G1610&gt;=165,"Above Average height",G1610=164,"Average height")</f>
        <v>Above Average height</v>
      </c>
      <c r="K1610" s="2" t="str" cm="1">
        <f t="array" ref="K1610">_xlfn.IFS(E1610&lt;=16,"Children",E1610&lt;=30,"Young Adults",E1610&lt;=45,"Middle-aged Adults",E1610&gt;45,"Old Adults")</f>
        <v>Middle-aged Adults</v>
      </c>
    </row>
    <row r="1611" spans="1:11" x14ac:dyDescent="0.45">
      <c r="A1611" s="2">
        <v>1893</v>
      </c>
      <c r="B1611" s="2" t="s">
        <v>1997</v>
      </c>
      <c r="C1611" s="2" t="s">
        <v>95</v>
      </c>
      <c r="D1611" s="2" t="s">
        <v>46</v>
      </c>
      <c r="E1611" s="2">
        <v>35</v>
      </c>
      <c r="F1611" s="2">
        <v>89</v>
      </c>
      <c r="G1611" s="2">
        <v>177</v>
      </c>
      <c r="H1611" s="9">
        <f t="shared" si="25"/>
        <v>28.408184110568481</v>
      </c>
      <c r="I1611" s="2" t="str" cm="1">
        <f t="array" ref="I1611">_xlfn.IFS(F1611&gt;=100,"Over weight",F1611&lt;100,"Average weight")</f>
        <v>Average weight</v>
      </c>
      <c r="J1611" s="2" t="str" cm="1">
        <f t="array" ref="J1611">_xlfn.IFS(G1611&lt;164,"Below Average height",G1611&gt;=165,"Above Average height",G1611=164,"Average height")</f>
        <v>Above Average height</v>
      </c>
      <c r="K1611" s="2" t="str" cm="1">
        <f t="array" ref="K1611">_xlfn.IFS(E1611&lt;=16,"Children",E1611&lt;=30,"Young Adults",E1611&lt;=45,"Middle-aged Adults",E1611&gt;45,"Old Adults")</f>
        <v>Middle-aged Adults</v>
      </c>
    </row>
    <row r="1612" spans="1:11" x14ac:dyDescent="0.45">
      <c r="A1612" s="2">
        <v>1894</v>
      </c>
      <c r="B1612" s="2" t="s">
        <v>1998</v>
      </c>
      <c r="C1612" s="2" t="s">
        <v>89</v>
      </c>
      <c r="D1612" s="2" t="s">
        <v>14</v>
      </c>
      <c r="E1612" s="2">
        <v>25</v>
      </c>
      <c r="F1612" s="2">
        <v>67</v>
      </c>
      <c r="G1612" s="2">
        <v>173</v>
      </c>
      <c r="H1612" s="9">
        <f t="shared" si="25"/>
        <v>22.386314277122523</v>
      </c>
      <c r="I1612" s="2" t="str" cm="1">
        <f t="array" ref="I1612">_xlfn.IFS(F1612&gt;=100,"Over weight",F1612&lt;100,"Average weight")</f>
        <v>Average weight</v>
      </c>
      <c r="J1612" s="2" t="str" cm="1">
        <f t="array" ref="J1612">_xlfn.IFS(G1612&lt;164,"Below Average height",G1612&gt;=165,"Above Average height",G1612=164,"Average height")</f>
        <v>Above Average height</v>
      </c>
      <c r="K1612" s="2" t="str" cm="1">
        <f t="array" ref="K1612">_xlfn.IFS(E1612&lt;=16,"Children",E1612&lt;=30,"Young Adults",E1612&lt;=45,"Middle-aged Adults",E1612&gt;45,"Old Adults")</f>
        <v>Young Adults</v>
      </c>
    </row>
    <row r="1613" spans="1:11" x14ac:dyDescent="0.45">
      <c r="A1613" s="2">
        <v>1895</v>
      </c>
      <c r="B1613" s="2" t="s">
        <v>1999</v>
      </c>
      <c r="C1613" s="2" t="s">
        <v>89</v>
      </c>
      <c r="D1613" s="2" t="s">
        <v>17</v>
      </c>
      <c r="E1613" s="2">
        <v>26</v>
      </c>
      <c r="F1613" s="2">
        <v>75</v>
      </c>
      <c r="G1613" s="2">
        <v>180</v>
      </c>
      <c r="H1613" s="9">
        <f t="shared" si="25"/>
        <v>23.148148148148145</v>
      </c>
      <c r="I1613" s="2" t="str" cm="1">
        <f t="array" ref="I1613">_xlfn.IFS(F1613&gt;=100,"Over weight",F1613&lt;100,"Average weight")</f>
        <v>Average weight</v>
      </c>
      <c r="J1613" s="2" t="str" cm="1">
        <f t="array" ref="J1613">_xlfn.IFS(G1613&lt;164,"Below Average height",G1613&gt;=165,"Above Average height",G1613=164,"Average height")</f>
        <v>Above Average height</v>
      </c>
      <c r="K1613" s="2" t="str" cm="1">
        <f t="array" ref="K1613">_xlfn.IFS(E1613&lt;=16,"Children",E1613&lt;=30,"Young Adults",E1613&lt;=45,"Middle-aged Adults",E1613&gt;45,"Old Adults")</f>
        <v>Young Adults</v>
      </c>
    </row>
    <row r="1614" spans="1:11" x14ac:dyDescent="0.45">
      <c r="A1614" s="2">
        <v>1896</v>
      </c>
      <c r="B1614" s="2" t="s">
        <v>2000</v>
      </c>
      <c r="C1614" s="2" t="s">
        <v>94</v>
      </c>
      <c r="D1614" s="2" t="s">
        <v>14</v>
      </c>
      <c r="E1614" s="2">
        <v>33</v>
      </c>
      <c r="F1614" s="2">
        <v>63</v>
      </c>
      <c r="G1614" s="2">
        <v>168</v>
      </c>
      <c r="H1614" s="9">
        <f t="shared" si="25"/>
        <v>22.321428571428577</v>
      </c>
      <c r="I1614" s="2" t="str" cm="1">
        <f t="array" ref="I1614">_xlfn.IFS(F1614&gt;=100,"Over weight",F1614&lt;100,"Average weight")</f>
        <v>Average weight</v>
      </c>
      <c r="J1614" s="2" t="str" cm="1">
        <f t="array" ref="J1614">_xlfn.IFS(G1614&lt;164,"Below Average height",G1614&gt;=165,"Above Average height",G1614=164,"Average height")</f>
        <v>Above Average height</v>
      </c>
      <c r="K1614" s="2" t="str" cm="1">
        <f t="array" ref="K1614">_xlfn.IFS(E1614&lt;=16,"Children",E1614&lt;=30,"Young Adults",E1614&lt;=45,"Middle-aged Adults",E1614&gt;45,"Old Adults")</f>
        <v>Middle-aged Adults</v>
      </c>
    </row>
    <row r="1615" spans="1:11" x14ac:dyDescent="0.45">
      <c r="A1615" s="2">
        <v>1897</v>
      </c>
      <c r="B1615" s="2" t="s">
        <v>2001</v>
      </c>
      <c r="C1615" s="2" t="s">
        <v>85</v>
      </c>
      <c r="D1615" s="2" t="s">
        <v>38</v>
      </c>
      <c r="E1615" s="2">
        <v>32</v>
      </c>
      <c r="F1615" s="2">
        <v>78</v>
      </c>
      <c r="G1615" s="2">
        <v>182</v>
      </c>
      <c r="H1615" s="9">
        <f t="shared" si="25"/>
        <v>23.547880690737831</v>
      </c>
      <c r="I1615" s="2" t="str" cm="1">
        <f t="array" ref="I1615">_xlfn.IFS(F1615&gt;=100,"Over weight",F1615&lt;100,"Average weight")</f>
        <v>Average weight</v>
      </c>
      <c r="J1615" s="2" t="str" cm="1">
        <f t="array" ref="J1615">_xlfn.IFS(G1615&lt;164,"Below Average height",G1615&gt;=165,"Above Average height",G1615=164,"Average height")</f>
        <v>Above Average height</v>
      </c>
      <c r="K1615" s="2" t="str" cm="1">
        <f t="array" ref="K1615">_xlfn.IFS(E1615&lt;=16,"Children",E1615&lt;=30,"Young Adults",E1615&lt;=45,"Middle-aged Adults",E1615&gt;45,"Old Adults")</f>
        <v>Middle-aged Adults</v>
      </c>
    </row>
    <row r="1616" spans="1:11" x14ac:dyDescent="0.45">
      <c r="A1616" s="2">
        <v>1898</v>
      </c>
      <c r="B1616" s="2" t="s">
        <v>2002</v>
      </c>
      <c r="C1616" s="2" t="s">
        <v>95</v>
      </c>
      <c r="D1616" s="2" t="s">
        <v>28</v>
      </c>
      <c r="E1616" s="2">
        <v>30</v>
      </c>
      <c r="F1616" s="2">
        <v>75</v>
      </c>
      <c r="G1616" s="2">
        <v>179</v>
      </c>
      <c r="H1616" s="9">
        <f t="shared" si="25"/>
        <v>23.40750912892856</v>
      </c>
      <c r="I1616" s="2" t="str" cm="1">
        <f t="array" ref="I1616">_xlfn.IFS(F1616&gt;=100,"Over weight",F1616&lt;100,"Average weight")</f>
        <v>Average weight</v>
      </c>
      <c r="J1616" s="2" t="str" cm="1">
        <f t="array" ref="J1616">_xlfn.IFS(G1616&lt;164,"Below Average height",G1616&gt;=165,"Above Average height",G1616=164,"Average height")</f>
        <v>Above Average height</v>
      </c>
      <c r="K1616" s="2" t="str" cm="1">
        <f t="array" ref="K1616">_xlfn.IFS(E1616&lt;=16,"Children",E1616&lt;=30,"Young Adults",E1616&lt;=45,"Middle-aged Adults",E1616&gt;45,"Old Adults")</f>
        <v>Young Adults</v>
      </c>
    </row>
    <row r="1617" spans="1:11" x14ac:dyDescent="0.45">
      <c r="A1617" s="2">
        <v>1899</v>
      </c>
      <c r="B1617" s="2" t="s">
        <v>2003</v>
      </c>
      <c r="C1617" s="2" t="s">
        <v>94</v>
      </c>
      <c r="D1617" s="2" t="s">
        <v>45</v>
      </c>
      <c r="E1617" s="2">
        <v>28</v>
      </c>
      <c r="F1617" s="2">
        <v>65</v>
      </c>
      <c r="G1617" s="2">
        <v>172</v>
      </c>
      <c r="H1617" s="9">
        <f t="shared" si="25"/>
        <v>21.971335857220122</v>
      </c>
      <c r="I1617" s="2" t="str" cm="1">
        <f t="array" ref="I1617">_xlfn.IFS(F1617&gt;=100,"Over weight",F1617&lt;100,"Average weight")</f>
        <v>Average weight</v>
      </c>
      <c r="J1617" s="2" t="str" cm="1">
        <f t="array" ref="J1617">_xlfn.IFS(G1617&lt;164,"Below Average height",G1617&gt;=165,"Above Average height",G1617=164,"Average height")</f>
        <v>Above Average height</v>
      </c>
      <c r="K1617" s="2" t="str" cm="1">
        <f t="array" ref="K1617">_xlfn.IFS(E1617&lt;=16,"Children",E1617&lt;=30,"Young Adults",E1617&lt;=45,"Middle-aged Adults",E1617&gt;45,"Old Adults")</f>
        <v>Young Adults</v>
      </c>
    </row>
    <row r="1618" spans="1:11" x14ac:dyDescent="0.45">
      <c r="A1618" s="2">
        <v>1900</v>
      </c>
      <c r="B1618" s="2" t="s">
        <v>2004</v>
      </c>
      <c r="C1618" s="2" t="s">
        <v>98</v>
      </c>
      <c r="D1618" s="2" t="s">
        <v>80</v>
      </c>
      <c r="E1618" s="2">
        <v>21</v>
      </c>
      <c r="F1618" s="2">
        <v>61</v>
      </c>
      <c r="G1618" s="2">
        <v>170</v>
      </c>
      <c r="H1618" s="9">
        <f t="shared" si="25"/>
        <v>21.107266435986162</v>
      </c>
      <c r="I1618" s="2" t="str" cm="1">
        <f t="array" ref="I1618">_xlfn.IFS(F1618&gt;=100,"Over weight",F1618&lt;100,"Average weight")</f>
        <v>Average weight</v>
      </c>
      <c r="J1618" s="2" t="str" cm="1">
        <f t="array" ref="J1618">_xlfn.IFS(G1618&lt;164,"Below Average height",G1618&gt;=165,"Above Average height",G1618=164,"Average height")</f>
        <v>Above Average height</v>
      </c>
      <c r="K1618" s="2" t="str" cm="1">
        <f t="array" ref="K1618">_xlfn.IFS(E1618&lt;=16,"Children",E1618&lt;=30,"Young Adults",E1618&lt;=45,"Middle-aged Adults",E1618&gt;45,"Old Adults")</f>
        <v>Young Adults</v>
      </c>
    </row>
    <row r="1619" spans="1:11" x14ac:dyDescent="0.45">
      <c r="A1619" s="2">
        <v>1901</v>
      </c>
      <c r="B1619" s="2" t="s">
        <v>2005</v>
      </c>
      <c r="C1619" s="2" t="s">
        <v>85</v>
      </c>
      <c r="D1619" s="2" t="s">
        <v>26</v>
      </c>
      <c r="E1619" s="2">
        <v>24</v>
      </c>
      <c r="F1619" s="2">
        <v>73</v>
      </c>
      <c r="G1619" s="2">
        <v>173</v>
      </c>
      <c r="H1619" s="9">
        <f t="shared" si="25"/>
        <v>24.391058839252899</v>
      </c>
      <c r="I1619" s="2" t="str" cm="1">
        <f t="array" ref="I1619">_xlfn.IFS(F1619&gt;=100,"Over weight",F1619&lt;100,"Average weight")</f>
        <v>Average weight</v>
      </c>
      <c r="J1619" s="2" t="str" cm="1">
        <f t="array" ref="J1619">_xlfn.IFS(G1619&lt;164,"Below Average height",G1619&gt;=165,"Above Average height",G1619=164,"Average height")</f>
        <v>Above Average height</v>
      </c>
      <c r="K1619" s="2" t="str" cm="1">
        <f t="array" ref="K1619">_xlfn.IFS(E1619&lt;=16,"Children",E1619&lt;=30,"Young Adults",E1619&lt;=45,"Middle-aged Adults",E1619&gt;45,"Old Adults")</f>
        <v>Young Adults</v>
      </c>
    </row>
    <row r="1620" spans="1:11" x14ac:dyDescent="0.45">
      <c r="A1620" s="2">
        <v>1903</v>
      </c>
      <c r="B1620" s="2" t="s">
        <v>2007</v>
      </c>
      <c r="C1620" s="2" t="s">
        <v>86</v>
      </c>
      <c r="D1620" s="2" t="s">
        <v>43</v>
      </c>
      <c r="E1620" s="2">
        <v>23</v>
      </c>
      <c r="F1620" s="2">
        <v>73</v>
      </c>
      <c r="G1620" s="2">
        <v>168</v>
      </c>
      <c r="H1620" s="9">
        <f t="shared" si="25"/>
        <v>25.864512471655331</v>
      </c>
      <c r="I1620" s="2" t="str" cm="1">
        <f t="array" ref="I1620">_xlfn.IFS(F1620&gt;=100,"Over weight",F1620&lt;100,"Average weight")</f>
        <v>Average weight</v>
      </c>
      <c r="J1620" s="2" t="str" cm="1">
        <f t="array" ref="J1620">_xlfn.IFS(G1620&lt;164,"Below Average height",G1620&gt;=165,"Above Average height",G1620=164,"Average height")</f>
        <v>Above Average height</v>
      </c>
      <c r="K1620" s="2" t="str" cm="1">
        <f t="array" ref="K1620">_xlfn.IFS(E1620&lt;=16,"Children",E1620&lt;=30,"Young Adults",E1620&lt;=45,"Middle-aged Adults",E1620&gt;45,"Old Adults")</f>
        <v>Young Adults</v>
      </c>
    </row>
    <row r="1621" spans="1:11" x14ac:dyDescent="0.45">
      <c r="A1621" s="2">
        <v>1904</v>
      </c>
      <c r="B1621" s="2" t="s">
        <v>2008</v>
      </c>
      <c r="C1621" s="2" t="s">
        <v>94</v>
      </c>
      <c r="D1621" s="2" t="s">
        <v>12</v>
      </c>
      <c r="E1621" s="2">
        <v>29</v>
      </c>
      <c r="F1621" s="2">
        <v>81</v>
      </c>
      <c r="G1621" s="2">
        <v>184</v>
      </c>
      <c r="H1621" s="9">
        <f t="shared" si="25"/>
        <v>23.92485822306238</v>
      </c>
      <c r="I1621" s="2" t="str" cm="1">
        <f t="array" ref="I1621">_xlfn.IFS(F1621&gt;=100,"Over weight",F1621&lt;100,"Average weight")</f>
        <v>Average weight</v>
      </c>
      <c r="J1621" s="2" t="str" cm="1">
        <f t="array" ref="J1621">_xlfn.IFS(G1621&lt;164,"Below Average height",G1621&gt;=165,"Above Average height",G1621=164,"Average height")</f>
        <v>Above Average height</v>
      </c>
      <c r="K1621" s="2" t="str" cm="1">
        <f t="array" ref="K1621">_xlfn.IFS(E1621&lt;=16,"Children",E1621&lt;=30,"Young Adults",E1621&lt;=45,"Middle-aged Adults",E1621&gt;45,"Old Adults")</f>
        <v>Young Adults</v>
      </c>
    </row>
    <row r="1622" spans="1:11" x14ac:dyDescent="0.45">
      <c r="A1622" s="2">
        <v>1905</v>
      </c>
      <c r="B1622" s="2" t="s">
        <v>2009</v>
      </c>
      <c r="C1622" s="2" t="s">
        <v>93</v>
      </c>
      <c r="D1622" s="2" t="s">
        <v>26</v>
      </c>
      <c r="E1622" s="2">
        <v>22</v>
      </c>
      <c r="F1622" s="2">
        <v>87</v>
      </c>
      <c r="G1622" s="2">
        <v>188</v>
      </c>
      <c r="H1622" s="9">
        <f t="shared" si="25"/>
        <v>24.615210502489816</v>
      </c>
      <c r="I1622" s="2" t="str" cm="1">
        <f t="array" ref="I1622">_xlfn.IFS(F1622&gt;=100,"Over weight",F1622&lt;100,"Average weight")</f>
        <v>Average weight</v>
      </c>
      <c r="J1622" s="2" t="str" cm="1">
        <f t="array" ref="J1622">_xlfn.IFS(G1622&lt;164,"Below Average height",G1622&gt;=165,"Above Average height",G1622=164,"Average height")</f>
        <v>Above Average height</v>
      </c>
      <c r="K1622" s="2" t="str" cm="1">
        <f t="array" ref="K1622">_xlfn.IFS(E1622&lt;=16,"Children",E1622&lt;=30,"Young Adults",E1622&lt;=45,"Middle-aged Adults",E1622&gt;45,"Old Adults")</f>
        <v>Young Adults</v>
      </c>
    </row>
    <row r="1623" spans="1:11" x14ac:dyDescent="0.45">
      <c r="A1623" s="2">
        <v>1906</v>
      </c>
      <c r="B1623" s="2" t="s">
        <v>2010</v>
      </c>
      <c r="C1623" s="2" t="s">
        <v>85</v>
      </c>
      <c r="D1623" s="2" t="s">
        <v>26</v>
      </c>
      <c r="E1623" s="2">
        <v>31</v>
      </c>
      <c r="F1623" s="2">
        <v>78</v>
      </c>
      <c r="G1623" s="2">
        <v>177</v>
      </c>
      <c r="H1623" s="9">
        <f t="shared" si="25"/>
        <v>24.897060231734173</v>
      </c>
      <c r="I1623" s="2" t="str" cm="1">
        <f t="array" ref="I1623">_xlfn.IFS(F1623&gt;=100,"Over weight",F1623&lt;100,"Average weight")</f>
        <v>Average weight</v>
      </c>
      <c r="J1623" s="2" t="str" cm="1">
        <f t="array" ref="J1623">_xlfn.IFS(G1623&lt;164,"Below Average height",G1623&gt;=165,"Above Average height",G1623=164,"Average height")</f>
        <v>Above Average height</v>
      </c>
      <c r="K1623" s="2" t="str" cm="1">
        <f t="array" ref="K1623">_xlfn.IFS(E1623&lt;=16,"Children",E1623&lt;=30,"Young Adults",E1623&lt;=45,"Middle-aged Adults",E1623&gt;45,"Old Adults")</f>
        <v>Middle-aged Adults</v>
      </c>
    </row>
    <row r="1624" spans="1:11" x14ac:dyDescent="0.45">
      <c r="A1624" s="2">
        <v>1908</v>
      </c>
      <c r="B1624" s="2" t="s">
        <v>2012</v>
      </c>
      <c r="C1624" s="2" t="s">
        <v>91</v>
      </c>
      <c r="D1624" s="2" t="s">
        <v>14</v>
      </c>
      <c r="E1624" s="2">
        <v>25</v>
      </c>
      <c r="F1624" s="2">
        <v>89</v>
      </c>
      <c r="G1624" s="2">
        <v>181</v>
      </c>
      <c r="H1624" s="9">
        <f t="shared" si="25"/>
        <v>27.16644791062544</v>
      </c>
      <c r="I1624" s="2" t="str" cm="1">
        <f t="array" ref="I1624">_xlfn.IFS(F1624&gt;=100,"Over weight",F1624&lt;100,"Average weight")</f>
        <v>Average weight</v>
      </c>
      <c r="J1624" s="2" t="str" cm="1">
        <f t="array" ref="J1624">_xlfn.IFS(G1624&lt;164,"Below Average height",G1624&gt;=165,"Above Average height",G1624=164,"Average height")</f>
        <v>Above Average height</v>
      </c>
      <c r="K1624" s="2" t="str" cm="1">
        <f t="array" ref="K1624">_xlfn.IFS(E1624&lt;=16,"Children",E1624&lt;=30,"Young Adults",E1624&lt;=45,"Middle-aged Adults",E1624&gt;45,"Old Adults")</f>
        <v>Young Adults</v>
      </c>
    </row>
    <row r="1625" spans="1:11" x14ac:dyDescent="0.45">
      <c r="A1625" s="2">
        <v>1909</v>
      </c>
      <c r="B1625" s="2" t="s">
        <v>2013</v>
      </c>
      <c r="C1625" s="2" t="s">
        <v>89</v>
      </c>
      <c r="D1625" s="2" t="s">
        <v>80</v>
      </c>
      <c r="E1625" s="2">
        <v>20</v>
      </c>
      <c r="F1625" s="2">
        <v>67</v>
      </c>
      <c r="G1625" s="2">
        <v>178</v>
      </c>
      <c r="H1625" s="9">
        <f t="shared" si="25"/>
        <v>21.146319909102385</v>
      </c>
      <c r="I1625" s="2" t="str" cm="1">
        <f t="array" ref="I1625">_xlfn.IFS(F1625&gt;=100,"Over weight",F1625&lt;100,"Average weight")</f>
        <v>Average weight</v>
      </c>
      <c r="J1625" s="2" t="str" cm="1">
        <f t="array" ref="J1625">_xlfn.IFS(G1625&lt;164,"Below Average height",G1625&gt;=165,"Above Average height",G1625=164,"Average height")</f>
        <v>Above Average height</v>
      </c>
      <c r="K1625" s="2" t="str" cm="1">
        <f t="array" ref="K1625">_xlfn.IFS(E1625&lt;=16,"Children",E1625&lt;=30,"Young Adults",E1625&lt;=45,"Middle-aged Adults",E1625&gt;45,"Old Adults")</f>
        <v>Young Adults</v>
      </c>
    </row>
    <row r="1626" spans="1:11" x14ac:dyDescent="0.45">
      <c r="A1626" s="2">
        <v>1910</v>
      </c>
      <c r="B1626" s="2" t="s">
        <v>2014</v>
      </c>
      <c r="C1626" s="2" t="s">
        <v>85</v>
      </c>
      <c r="D1626" s="2" t="s">
        <v>80</v>
      </c>
      <c r="E1626" s="2">
        <v>25</v>
      </c>
      <c r="F1626" s="2">
        <v>70</v>
      </c>
      <c r="G1626" s="2">
        <v>178</v>
      </c>
      <c r="H1626" s="9">
        <f t="shared" si="25"/>
        <v>22.093170054286073</v>
      </c>
      <c r="I1626" s="2" t="str" cm="1">
        <f t="array" ref="I1626">_xlfn.IFS(F1626&gt;=100,"Over weight",F1626&lt;100,"Average weight")</f>
        <v>Average weight</v>
      </c>
      <c r="J1626" s="2" t="str" cm="1">
        <f t="array" ref="J1626">_xlfn.IFS(G1626&lt;164,"Below Average height",G1626&gt;=165,"Above Average height",G1626=164,"Average height")</f>
        <v>Above Average height</v>
      </c>
      <c r="K1626" s="2" t="str" cm="1">
        <f t="array" ref="K1626">_xlfn.IFS(E1626&lt;=16,"Children",E1626&lt;=30,"Young Adults",E1626&lt;=45,"Middle-aged Adults",E1626&gt;45,"Old Adults")</f>
        <v>Young Adults</v>
      </c>
    </row>
    <row r="1627" spans="1:11" x14ac:dyDescent="0.45">
      <c r="A1627" s="2">
        <v>1911</v>
      </c>
      <c r="B1627" s="2" t="s">
        <v>2015</v>
      </c>
      <c r="C1627" s="2" t="s">
        <v>94</v>
      </c>
      <c r="D1627" s="2" t="s">
        <v>74</v>
      </c>
      <c r="E1627" s="2">
        <v>27</v>
      </c>
      <c r="F1627" s="2">
        <v>73</v>
      </c>
      <c r="G1627" s="2">
        <v>192</v>
      </c>
      <c r="H1627" s="9">
        <f t="shared" si="25"/>
        <v>19.802517361111111</v>
      </c>
      <c r="I1627" s="2" t="str" cm="1">
        <f t="array" ref="I1627">_xlfn.IFS(F1627&gt;=100,"Over weight",F1627&lt;100,"Average weight")</f>
        <v>Average weight</v>
      </c>
      <c r="J1627" s="2" t="str" cm="1">
        <f t="array" ref="J1627">_xlfn.IFS(G1627&lt;164,"Below Average height",G1627&gt;=165,"Above Average height",G1627=164,"Average height")</f>
        <v>Above Average height</v>
      </c>
      <c r="K1627" s="2" t="str" cm="1">
        <f t="array" ref="K1627">_xlfn.IFS(E1627&lt;=16,"Children",E1627&lt;=30,"Young Adults",E1627&lt;=45,"Middle-aged Adults",E1627&gt;45,"Old Adults")</f>
        <v>Young Adults</v>
      </c>
    </row>
    <row r="1628" spans="1:11" x14ac:dyDescent="0.45">
      <c r="A1628" s="2">
        <v>1912</v>
      </c>
      <c r="B1628" s="2" t="s">
        <v>2016</v>
      </c>
      <c r="C1628" s="2" t="s">
        <v>93</v>
      </c>
      <c r="D1628" s="2" t="s">
        <v>14</v>
      </c>
      <c r="E1628" s="2">
        <v>31</v>
      </c>
      <c r="F1628" s="2">
        <v>63</v>
      </c>
      <c r="G1628" s="2">
        <v>169</v>
      </c>
      <c r="H1628" s="9">
        <f t="shared" si="25"/>
        <v>22.058051188683873</v>
      </c>
      <c r="I1628" s="2" t="str" cm="1">
        <f t="array" ref="I1628">_xlfn.IFS(F1628&gt;=100,"Over weight",F1628&lt;100,"Average weight")</f>
        <v>Average weight</v>
      </c>
      <c r="J1628" s="2" t="str" cm="1">
        <f t="array" ref="J1628">_xlfn.IFS(G1628&lt;164,"Below Average height",G1628&gt;=165,"Above Average height",G1628=164,"Average height")</f>
        <v>Above Average height</v>
      </c>
      <c r="K1628" s="2" t="str" cm="1">
        <f t="array" ref="K1628">_xlfn.IFS(E1628&lt;=16,"Children",E1628&lt;=30,"Young Adults",E1628&lt;=45,"Middle-aged Adults",E1628&gt;45,"Old Adults")</f>
        <v>Middle-aged Adults</v>
      </c>
    </row>
    <row r="1629" spans="1:11" x14ac:dyDescent="0.45">
      <c r="A1629" s="2">
        <v>1913</v>
      </c>
      <c r="B1629" s="2" t="s">
        <v>2017</v>
      </c>
      <c r="C1629" s="2" t="s">
        <v>91</v>
      </c>
      <c r="D1629" s="2" t="s">
        <v>75</v>
      </c>
      <c r="E1629" s="2">
        <v>24</v>
      </c>
      <c r="F1629" s="2">
        <v>65</v>
      </c>
      <c r="G1629" s="2">
        <v>167</v>
      </c>
      <c r="H1629" s="9">
        <f t="shared" si="25"/>
        <v>23.306680053067517</v>
      </c>
      <c r="I1629" s="2" t="str" cm="1">
        <f t="array" ref="I1629">_xlfn.IFS(F1629&gt;=100,"Over weight",F1629&lt;100,"Average weight")</f>
        <v>Average weight</v>
      </c>
      <c r="J1629" s="2" t="str" cm="1">
        <f t="array" ref="J1629">_xlfn.IFS(G1629&lt;164,"Below Average height",G1629&gt;=165,"Above Average height",G1629=164,"Average height")</f>
        <v>Above Average height</v>
      </c>
      <c r="K1629" s="2" t="str" cm="1">
        <f t="array" ref="K1629">_xlfn.IFS(E1629&lt;=16,"Children",E1629&lt;=30,"Young Adults",E1629&lt;=45,"Middle-aged Adults",E1629&gt;45,"Old Adults")</f>
        <v>Young Adults</v>
      </c>
    </row>
    <row r="1630" spans="1:11" x14ac:dyDescent="0.45">
      <c r="A1630" s="2">
        <v>1914</v>
      </c>
      <c r="B1630" s="2" t="s">
        <v>2018</v>
      </c>
      <c r="C1630" s="2" t="s">
        <v>93</v>
      </c>
      <c r="D1630" s="2" t="s">
        <v>6</v>
      </c>
      <c r="E1630" s="2">
        <v>36</v>
      </c>
      <c r="F1630" s="2">
        <v>72</v>
      </c>
      <c r="G1630" s="2">
        <v>169</v>
      </c>
      <c r="H1630" s="9">
        <f t="shared" si="25"/>
        <v>25.209201358495854</v>
      </c>
      <c r="I1630" s="2" t="str" cm="1">
        <f t="array" ref="I1630">_xlfn.IFS(F1630&gt;=100,"Over weight",F1630&lt;100,"Average weight")</f>
        <v>Average weight</v>
      </c>
      <c r="J1630" s="2" t="str" cm="1">
        <f t="array" ref="J1630">_xlfn.IFS(G1630&lt;164,"Below Average height",G1630&gt;=165,"Above Average height",G1630=164,"Average height")</f>
        <v>Above Average height</v>
      </c>
      <c r="K1630" s="2" t="str" cm="1">
        <f t="array" ref="K1630">_xlfn.IFS(E1630&lt;=16,"Children",E1630&lt;=30,"Young Adults",E1630&lt;=45,"Middle-aged Adults",E1630&gt;45,"Old Adults")</f>
        <v>Middle-aged Adults</v>
      </c>
    </row>
    <row r="1631" spans="1:11" x14ac:dyDescent="0.45">
      <c r="A1631" s="2">
        <v>1915</v>
      </c>
      <c r="B1631" s="2" t="s">
        <v>2019</v>
      </c>
      <c r="C1631" s="2" t="s">
        <v>93</v>
      </c>
      <c r="D1631" s="2" t="s">
        <v>6</v>
      </c>
      <c r="E1631" s="2">
        <v>35</v>
      </c>
      <c r="F1631" s="2">
        <v>64</v>
      </c>
      <c r="G1631" s="2">
        <v>169</v>
      </c>
      <c r="H1631" s="9">
        <f t="shared" si="25"/>
        <v>22.408178985329648</v>
      </c>
      <c r="I1631" s="2" t="str" cm="1">
        <f t="array" ref="I1631">_xlfn.IFS(F1631&gt;=100,"Over weight",F1631&lt;100,"Average weight")</f>
        <v>Average weight</v>
      </c>
      <c r="J1631" s="2" t="str" cm="1">
        <f t="array" ref="J1631">_xlfn.IFS(G1631&lt;164,"Below Average height",G1631&gt;=165,"Above Average height",G1631=164,"Average height")</f>
        <v>Above Average height</v>
      </c>
      <c r="K1631" s="2" t="str" cm="1">
        <f t="array" ref="K1631">_xlfn.IFS(E1631&lt;=16,"Children",E1631&lt;=30,"Young Adults",E1631&lt;=45,"Middle-aged Adults",E1631&gt;45,"Old Adults")</f>
        <v>Middle-aged Adults</v>
      </c>
    </row>
    <row r="1632" spans="1:11" x14ac:dyDescent="0.45">
      <c r="A1632" s="2">
        <v>1916</v>
      </c>
      <c r="B1632" s="2" t="s">
        <v>2020</v>
      </c>
      <c r="C1632" s="2" t="s">
        <v>87</v>
      </c>
      <c r="D1632" s="2" t="s">
        <v>63</v>
      </c>
      <c r="E1632" s="2">
        <v>21</v>
      </c>
      <c r="F1632" s="2">
        <v>71</v>
      </c>
      <c r="G1632" s="2">
        <v>175</v>
      </c>
      <c r="H1632" s="9">
        <f t="shared" si="25"/>
        <v>23.183673469387756</v>
      </c>
      <c r="I1632" s="2" t="str" cm="1">
        <f t="array" ref="I1632">_xlfn.IFS(F1632&gt;=100,"Over weight",F1632&lt;100,"Average weight")</f>
        <v>Average weight</v>
      </c>
      <c r="J1632" s="2" t="str" cm="1">
        <f t="array" ref="J1632">_xlfn.IFS(G1632&lt;164,"Below Average height",G1632&gt;=165,"Above Average height",G1632=164,"Average height")</f>
        <v>Above Average height</v>
      </c>
      <c r="K1632" s="2" t="str" cm="1">
        <f t="array" ref="K1632">_xlfn.IFS(E1632&lt;=16,"Children",E1632&lt;=30,"Young Adults",E1632&lt;=45,"Middle-aged Adults",E1632&gt;45,"Old Adults")</f>
        <v>Young Adults</v>
      </c>
    </row>
    <row r="1633" spans="1:11" x14ac:dyDescent="0.45">
      <c r="A1633" s="2">
        <v>1917</v>
      </c>
      <c r="B1633" s="2" t="s">
        <v>2021</v>
      </c>
      <c r="C1633" s="2" t="s">
        <v>85</v>
      </c>
      <c r="D1633" s="2" t="s">
        <v>73</v>
      </c>
      <c r="E1633" s="2">
        <v>34</v>
      </c>
      <c r="F1633" s="2">
        <v>68</v>
      </c>
      <c r="G1633" s="2">
        <v>167</v>
      </c>
      <c r="H1633" s="9">
        <f t="shared" si="25"/>
        <v>24.382372978593711</v>
      </c>
      <c r="I1633" s="2" t="str" cm="1">
        <f t="array" ref="I1633">_xlfn.IFS(F1633&gt;=100,"Over weight",F1633&lt;100,"Average weight")</f>
        <v>Average weight</v>
      </c>
      <c r="J1633" s="2" t="str" cm="1">
        <f t="array" ref="J1633">_xlfn.IFS(G1633&lt;164,"Below Average height",G1633&gt;=165,"Above Average height",G1633=164,"Average height")</f>
        <v>Above Average height</v>
      </c>
      <c r="K1633" s="2" t="str" cm="1">
        <f t="array" ref="K1633">_xlfn.IFS(E1633&lt;=16,"Children",E1633&lt;=30,"Young Adults",E1633&lt;=45,"Middle-aged Adults",E1633&gt;45,"Old Adults")</f>
        <v>Middle-aged Adults</v>
      </c>
    </row>
    <row r="1634" spans="1:11" x14ac:dyDescent="0.45">
      <c r="A1634" s="2">
        <v>1918</v>
      </c>
      <c r="B1634" s="2" t="s">
        <v>2022</v>
      </c>
      <c r="C1634" s="2" t="s">
        <v>85</v>
      </c>
      <c r="D1634" s="2" t="s">
        <v>28</v>
      </c>
      <c r="E1634" s="2">
        <v>25</v>
      </c>
      <c r="F1634" s="2">
        <v>81</v>
      </c>
      <c r="G1634" s="2">
        <v>182</v>
      </c>
      <c r="H1634" s="9">
        <f t="shared" si="25"/>
        <v>24.453568409612362</v>
      </c>
      <c r="I1634" s="2" t="str" cm="1">
        <f t="array" ref="I1634">_xlfn.IFS(F1634&gt;=100,"Over weight",F1634&lt;100,"Average weight")</f>
        <v>Average weight</v>
      </c>
      <c r="J1634" s="2" t="str" cm="1">
        <f t="array" ref="J1634">_xlfn.IFS(G1634&lt;164,"Below Average height",G1634&gt;=165,"Above Average height",G1634=164,"Average height")</f>
        <v>Above Average height</v>
      </c>
      <c r="K1634" s="2" t="str" cm="1">
        <f t="array" ref="K1634">_xlfn.IFS(E1634&lt;=16,"Children",E1634&lt;=30,"Young Adults",E1634&lt;=45,"Middle-aged Adults",E1634&gt;45,"Old Adults")</f>
        <v>Young Adults</v>
      </c>
    </row>
    <row r="1635" spans="1:11" x14ac:dyDescent="0.45">
      <c r="A1635" s="2">
        <v>1919</v>
      </c>
      <c r="B1635" s="2" t="s">
        <v>2023</v>
      </c>
      <c r="C1635" s="2" t="s">
        <v>85</v>
      </c>
      <c r="D1635" s="2" t="s">
        <v>28</v>
      </c>
      <c r="E1635" s="2">
        <v>22</v>
      </c>
      <c r="F1635" s="2">
        <v>79</v>
      </c>
      <c r="G1635" s="2">
        <v>181</v>
      </c>
      <c r="H1635" s="9">
        <f t="shared" si="25"/>
        <v>24.114038033027075</v>
      </c>
      <c r="I1635" s="2" t="str" cm="1">
        <f t="array" ref="I1635">_xlfn.IFS(F1635&gt;=100,"Over weight",F1635&lt;100,"Average weight")</f>
        <v>Average weight</v>
      </c>
      <c r="J1635" s="2" t="str" cm="1">
        <f t="array" ref="J1635">_xlfn.IFS(G1635&lt;164,"Below Average height",G1635&gt;=165,"Above Average height",G1635=164,"Average height")</f>
        <v>Above Average height</v>
      </c>
      <c r="K1635" s="2" t="str" cm="1">
        <f t="array" ref="K1635">_xlfn.IFS(E1635&lt;=16,"Children",E1635&lt;=30,"Young Adults",E1635&lt;=45,"Middle-aged Adults",E1635&gt;45,"Old Adults")</f>
        <v>Young Adults</v>
      </c>
    </row>
    <row r="1636" spans="1:11" x14ac:dyDescent="0.45">
      <c r="A1636" s="2">
        <v>1920</v>
      </c>
      <c r="B1636" s="2" t="s">
        <v>2024</v>
      </c>
      <c r="C1636" s="2" t="s">
        <v>98</v>
      </c>
      <c r="D1636" s="2" t="s">
        <v>39</v>
      </c>
      <c r="E1636" s="2">
        <v>22</v>
      </c>
      <c r="F1636" s="2">
        <v>71</v>
      </c>
      <c r="G1636" s="2">
        <v>181</v>
      </c>
      <c r="H1636" s="9">
        <f t="shared" si="25"/>
        <v>21.672110130948383</v>
      </c>
      <c r="I1636" s="2" t="str" cm="1">
        <f t="array" ref="I1636">_xlfn.IFS(F1636&gt;=100,"Over weight",F1636&lt;100,"Average weight")</f>
        <v>Average weight</v>
      </c>
      <c r="J1636" s="2" t="str" cm="1">
        <f t="array" ref="J1636">_xlfn.IFS(G1636&lt;164,"Below Average height",G1636&gt;=165,"Above Average height",G1636=164,"Average height")</f>
        <v>Above Average height</v>
      </c>
      <c r="K1636" s="2" t="str" cm="1">
        <f t="array" ref="K1636">_xlfn.IFS(E1636&lt;=16,"Children",E1636&lt;=30,"Young Adults",E1636&lt;=45,"Middle-aged Adults",E1636&gt;45,"Old Adults")</f>
        <v>Young Adults</v>
      </c>
    </row>
    <row r="1637" spans="1:11" x14ac:dyDescent="0.45">
      <c r="A1637" s="2">
        <v>1921</v>
      </c>
      <c r="B1637" s="2" t="s">
        <v>2025</v>
      </c>
      <c r="C1637" s="2" t="s">
        <v>85</v>
      </c>
      <c r="D1637" s="2" t="s">
        <v>50</v>
      </c>
      <c r="E1637" s="2">
        <v>20</v>
      </c>
      <c r="F1637" s="2">
        <v>84</v>
      </c>
      <c r="G1637" s="2">
        <v>180</v>
      </c>
      <c r="H1637" s="9">
        <f t="shared" si="25"/>
        <v>25.925925925925924</v>
      </c>
      <c r="I1637" s="2" t="str" cm="1">
        <f t="array" ref="I1637">_xlfn.IFS(F1637&gt;=100,"Over weight",F1637&lt;100,"Average weight")</f>
        <v>Average weight</v>
      </c>
      <c r="J1637" s="2" t="str" cm="1">
        <f t="array" ref="J1637">_xlfn.IFS(G1637&lt;164,"Below Average height",G1637&gt;=165,"Above Average height",G1637=164,"Average height")</f>
        <v>Above Average height</v>
      </c>
      <c r="K1637" s="2" t="str" cm="1">
        <f t="array" ref="K1637">_xlfn.IFS(E1637&lt;=16,"Children",E1637&lt;=30,"Young Adults",E1637&lt;=45,"Middle-aged Adults",E1637&gt;45,"Old Adults")</f>
        <v>Young Adults</v>
      </c>
    </row>
    <row r="1638" spans="1:11" x14ac:dyDescent="0.45">
      <c r="A1638" s="2">
        <v>1922</v>
      </c>
      <c r="B1638" s="2" t="s">
        <v>2026</v>
      </c>
      <c r="C1638" s="2" t="s">
        <v>90</v>
      </c>
      <c r="D1638" s="2" t="s">
        <v>39</v>
      </c>
      <c r="E1638" s="2">
        <v>26</v>
      </c>
      <c r="F1638" s="2">
        <v>90</v>
      </c>
      <c r="G1638" s="2">
        <v>180</v>
      </c>
      <c r="H1638" s="9">
        <f t="shared" si="25"/>
        <v>27.777777777777775</v>
      </c>
      <c r="I1638" s="2" t="str" cm="1">
        <f t="array" ref="I1638">_xlfn.IFS(F1638&gt;=100,"Over weight",F1638&lt;100,"Average weight")</f>
        <v>Average weight</v>
      </c>
      <c r="J1638" s="2" t="str" cm="1">
        <f t="array" ref="J1638">_xlfn.IFS(G1638&lt;164,"Below Average height",G1638&gt;=165,"Above Average height",G1638=164,"Average height")</f>
        <v>Above Average height</v>
      </c>
      <c r="K1638" s="2" t="str" cm="1">
        <f t="array" ref="K1638">_xlfn.IFS(E1638&lt;=16,"Children",E1638&lt;=30,"Young Adults",E1638&lt;=45,"Middle-aged Adults",E1638&gt;45,"Old Adults")</f>
        <v>Young Adults</v>
      </c>
    </row>
    <row r="1639" spans="1:11" x14ac:dyDescent="0.45">
      <c r="A1639" s="2">
        <v>1924</v>
      </c>
      <c r="B1639" s="2" t="s">
        <v>2028</v>
      </c>
      <c r="C1639" s="2" t="s">
        <v>89</v>
      </c>
      <c r="D1639" s="2" t="s">
        <v>14</v>
      </c>
      <c r="E1639" s="2">
        <v>24</v>
      </c>
      <c r="F1639" s="2">
        <v>83</v>
      </c>
      <c r="G1639" s="2">
        <v>186</v>
      </c>
      <c r="H1639" s="9">
        <f t="shared" si="25"/>
        <v>23.991212856977683</v>
      </c>
      <c r="I1639" s="2" t="str" cm="1">
        <f t="array" ref="I1639">_xlfn.IFS(F1639&gt;=100,"Over weight",F1639&lt;100,"Average weight")</f>
        <v>Average weight</v>
      </c>
      <c r="J1639" s="2" t="str" cm="1">
        <f t="array" ref="J1639">_xlfn.IFS(G1639&lt;164,"Below Average height",G1639&gt;=165,"Above Average height",G1639=164,"Average height")</f>
        <v>Above Average height</v>
      </c>
      <c r="K1639" s="2" t="str" cm="1">
        <f t="array" ref="K1639">_xlfn.IFS(E1639&lt;=16,"Children",E1639&lt;=30,"Young Adults",E1639&lt;=45,"Middle-aged Adults",E1639&gt;45,"Old Adults")</f>
        <v>Young Adults</v>
      </c>
    </row>
    <row r="1640" spans="1:11" x14ac:dyDescent="0.45">
      <c r="A1640" s="2">
        <v>1926</v>
      </c>
      <c r="B1640" s="2" t="s">
        <v>2030</v>
      </c>
      <c r="C1640" s="2" t="s">
        <v>100</v>
      </c>
      <c r="D1640" s="2" t="s">
        <v>59</v>
      </c>
      <c r="E1640" s="2">
        <v>30</v>
      </c>
      <c r="F1640" s="2">
        <v>76</v>
      </c>
      <c r="G1640" s="2">
        <v>178</v>
      </c>
      <c r="H1640" s="9">
        <f t="shared" si="25"/>
        <v>23.98687034465345</v>
      </c>
      <c r="I1640" s="2" t="str" cm="1">
        <f t="array" ref="I1640">_xlfn.IFS(F1640&gt;=100,"Over weight",F1640&lt;100,"Average weight")</f>
        <v>Average weight</v>
      </c>
      <c r="J1640" s="2" t="str" cm="1">
        <f t="array" ref="J1640">_xlfn.IFS(G1640&lt;164,"Below Average height",G1640&gt;=165,"Above Average height",G1640=164,"Average height")</f>
        <v>Above Average height</v>
      </c>
      <c r="K1640" s="2" t="str" cm="1">
        <f t="array" ref="K1640">_xlfn.IFS(E1640&lt;=16,"Children",E1640&lt;=30,"Young Adults",E1640&lt;=45,"Middle-aged Adults",E1640&gt;45,"Old Adults")</f>
        <v>Young Adults</v>
      </c>
    </row>
    <row r="1641" spans="1:11" x14ac:dyDescent="0.45">
      <c r="A1641" s="2">
        <v>1927</v>
      </c>
      <c r="B1641" s="2" t="s">
        <v>2031</v>
      </c>
      <c r="C1641" s="2" t="s">
        <v>87</v>
      </c>
      <c r="D1641" s="2" t="s">
        <v>80</v>
      </c>
      <c r="E1641" s="2">
        <v>27</v>
      </c>
      <c r="F1641" s="2">
        <v>75</v>
      </c>
      <c r="G1641" s="2">
        <v>178</v>
      </c>
      <c r="H1641" s="9">
        <f t="shared" si="25"/>
        <v>23.671253629592222</v>
      </c>
      <c r="I1641" s="2" t="str" cm="1">
        <f t="array" ref="I1641">_xlfn.IFS(F1641&gt;=100,"Over weight",F1641&lt;100,"Average weight")</f>
        <v>Average weight</v>
      </c>
      <c r="J1641" s="2" t="str" cm="1">
        <f t="array" ref="J1641">_xlfn.IFS(G1641&lt;164,"Below Average height",G1641&gt;=165,"Above Average height",G1641=164,"Average height")</f>
        <v>Above Average height</v>
      </c>
      <c r="K1641" s="2" t="str" cm="1">
        <f t="array" ref="K1641">_xlfn.IFS(E1641&lt;=16,"Children",E1641&lt;=30,"Young Adults",E1641&lt;=45,"Middle-aged Adults",E1641&gt;45,"Old Adults")</f>
        <v>Young Adults</v>
      </c>
    </row>
    <row r="1642" spans="1:11" x14ac:dyDescent="0.45">
      <c r="A1642" s="2">
        <v>1928</v>
      </c>
      <c r="B1642" s="2" t="s">
        <v>2032</v>
      </c>
      <c r="C1642" s="2" t="s">
        <v>88</v>
      </c>
      <c r="D1642" s="2" t="s">
        <v>80</v>
      </c>
      <c r="E1642" s="2">
        <v>21</v>
      </c>
      <c r="F1642" s="2">
        <v>81</v>
      </c>
      <c r="G1642" s="2">
        <v>185</v>
      </c>
      <c r="H1642" s="9">
        <f t="shared" si="25"/>
        <v>23.666910153396639</v>
      </c>
      <c r="I1642" s="2" t="str" cm="1">
        <f t="array" ref="I1642">_xlfn.IFS(F1642&gt;=100,"Over weight",F1642&lt;100,"Average weight")</f>
        <v>Average weight</v>
      </c>
      <c r="J1642" s="2" t="str" cm="1">
        <f t="array" ref="J1642">_xlfn.IFS(G1642&lt;164,"Below Average height",G1642&gt;=165,"Above Average height",G1642=164,"Average height")</f>
        <v>Above Average height</v>
      </c>
      <c r="K1642" s="2" t="str" cm="1">
        <f t="array" ref="K1642">_xlfn.IFS(E1642&lt;=16,"Children",E1642&lt;=30,"Young Adults",E1642&lt;=45,"Middle-aged Adults",E1642&gt;45,"Old Adults")</f>
        <v>Young Adults</v>
      </c>
    </row>
    <row r="1643" spans="1:11" x14ac:dyDescent="0.45">
      <c r="A1643" s="2">
        <v>1929</v>
      </c>
      <c r="B1643" s="2" t="s">
        <v>2033</v>
      </c>
      <c r="C1643" s="2" t="s">
        <v>93</v>
      </c>
      <c r="D1643" s="2" t="s">
        <v>14</v>
      </c>
      <c r="E1643" s="2">
        <v>24</v>
      </c>
      <c r="F1643" s="2">
        <v>83</v>
      </c>
      <c r="G1643" s="2">
        <v>185</v>
      </c>
      <c r="H1643" s="9">
        <f t="shared" si="25"/>
        <v>24.251278305332356</v>
      </c>
      <c r="I1643" s="2" t="str" cm="1">
        <f t="array" ref="I1643">_xlfn.IFS(F1643&gt;=100,"Over weight",F1643&lt;100,"Average weight")</f>
        <v>Average weight</v>
      </c>
      <c r="J1643" s="2" t="str" cm="1">
        <f t="array" ref="J1643">_xlfn.IFS(G1643&lt;164,"Below Average height",G1643&gt;=165,"Above Average height",G1643=164,"Average height")</f>
        <v>Above Average height</v>
      </c>
      <c r="K1643" s="2" t="str" cm="1">
        <f t="array" ref="K1643">_xlfn.IFS(E1643&lt;=16,"Children",E1643&lt;=30,"Young Adults",E1643&lt;=45,"Middle-aged Adults",E1643&gt;45,"Old Adults")</f>
        <v>Young Adults</v>
      </c>
    </row>
    <row r="1644" spans="1:11" x14ac:dyDescent="0.45">
      <c r="A1644" s="2">
        <v>1930</v>
      </c>
      <c r="B1644" s="2" t="s">
        <v>2034</v>
      </c>
      <c r="C1644" s="2" t="s">
        <v>96</v>
      </c>
      <c r="D1644" s="2" t="s">
        <v>28</v>
      </c>
      <c r="E1644" s="2">
        <v>27</v>
      </c>
      <c r="F1644" s="2">
        <v>73</v>
      </c>
      <c r="G1644" s="2">
        <v>168</v>
      </c>
      <c r="H1644" s="9">
        <f t="shared" si="25"/>
        <v>25.864512471655331</v>
      </c>
      <c r="I1644" s="2" t="str" cm="1">
        <f t="array" ref="I1644">_xlfn.IFS(F1644&gt;=100,"Over weight",F1644&lt;100,"Average weight")</f>
        <v>Average weight</v>
      </c>
      <c r="J1644" s="2" t="str" cm="1">
        <f t="array" ref="J1644">_xlfn.IFS(G1644&lt;164,"Below Average height",G1644&gt;=165,"Above Average height",G1644=164,"Average height")</f>
        <v>Above Average height</v>
      </c>
      <c r="K1644" s="2" t="str" cm="1">
        <f t="array" ref="K1644">_xlfn.IFS(E1644&lt;=16,"Children",E1644&lt;=30,"Young Adults",E1644&lt;=45,"Middle-aged Adults",E1644&gt;45,"Old Adults")</f>
        <v>Young Adults</v>
      </c>
    </row>
    <row r="1645" spans="1:11" x14ac:dyDescent="0.45">
      <c r="A1645" s="2">
        <v>1931</v>
      </c>
      <c r="B1645" s="2" t="s">
        <v>2035</v>
      </c>
      <c r="C1645" s="2" t="s">
        <v>94</v>
      </c>
      <c r="D1645" s="2" t="s">
        <v>75</v>
      </c>
      <c r="E1645" s="2">
        <v>30</v>
      </c>
      <c r="F1645" s="2">
        <v>62</v>
      </c>
      <c r="G1645" s="2">
        <v>176</v>
      </c>
      <c r="H1645" s="9">
        <f t="shared" si="25"/>
        <v>20.015495867768596</v>
      </c>
      <c r="I1645" s="2" t="str" cm="1">
        <f t="array" ref="I1645">_xlfn.IFS(F1645&gt;=100,"Over weight",F1645&lt;100,"Average weight")</f>
        <v>Average weight</v>
      </c>
      <c r="J1645" s="2" t="str" cm="1">
        <f t="array" ref="J1645">_xlfn.IFS(G1645&lt;164,"Below Average height",G1645&gt;=165,"Above Average height",G1645=164,"Average height")</f>
        <v>Above Average height</v>
      </c>
      <c r="K1645" s="2" t="str" cm="1">
        <f t="array" ref="K1645">_xlfn.IFS(E1645&lt;=16,"Children",E1645&lt;=30,"Young Adults",E1645&lt;=45,"Middle-aged Adults",E1645&gt;45,"Old Adults")</f>
        <v>Young Adults</v>
      </c>
    </row>
    <row r="1646" spans="1:11" x14ac:dyDescent="0.45">
      <c r="A1646" s="2">
        <v>1933</v>
      </c>
      <c r="B1646" s="2" t="s">
        <v>2037</v>
      </c>
      <c r="C1646" s="2" t="s">
        <v>85</v>
      </c>
      <c r="D1646" s="2" t="s">
        <v>46</v>
      </c>
      <c r="E1646" s="2">
        <v>22</v>
      </c>
      <c r="F1646" s="2">
        <v>83</v>
      </c>
      <c r="G1646" s="2">
        <v>182</v>
      </c>
      <c r="H1646" s="9">
        <f t="shared" si="25"/>
        <v>25.057360222195385</v>
      </c>
      <c r="I1646" s="2" t="str" cm="1">
        <f t="array" ref="I1646">_xlfn.IFS(F1646&gt;=100,"Over weight",F1646&lt;100,"Average weight")</f>
        <v>Average weight</v>
      </c>
      <c r="J1646" s="2" t="str" cm="1">
        <f t="array" ref="J1646">_xlfn.IFS(G1646&lt;164,"Below Average height",G1646&gt;=165,"Above Average height",G1646=164,"Average height")</f>
        <v>Above Average height</v>
      </c>
      <c r="K1646" s="2" t="str" cm="1">
        <f t="array" ref="K1646">_xlfn.IFS(E1646&lt;=16,"Children",E1646&lt;=30,"Young Adults",E1646&lt;=45,"Middle-aged Adults",E1646&gt;45,"Old Adults")</f>
        <v>Young Adults</v>
      </c>
    </row>
    <row r="1647" spans="1:11" x14ac:dyDescent="0.45">
      <c r="A1647" s="2">
        <v>1934</v>
      </c>
      <c r="B1647" s="2" t="s">
        <v>2038</v>
      </c>
      <c r="C1647" s="2" t="s">
        <v>98</v>
      </c>
      <c r="D1647" s="2" t="s">
        <v>39</v>
      </c>
      <c r="E1647" s="2">
        <v>28</v>
      </c>
      <c r="F1647" s="2">
        <v>69</v>
      </c>
      <c r="G1647" s="2">
        <v>170</v>
      </c>
      <c r="H1647" s="9">
        <f t="shared" si="25"/>
        <v>23.87543252595156</v>
      </c>
      <c r="I1647" s="2" t="str" cm="1">
        <f t="array" ref="I1647">_xlfn.IFS(F1647&gt;=100,"Over weight",F1647&lt;100,"Average weight")</f>
        <v>Average weight</v>
      </c>
      <c r="J1647" s="2" t="str" cm="1">
        <f t="array" ref="J1647">_xlfn.IFS(G1647&lt;164,"Below Average height",G1647&gt;=165,"Above Average height",G1647=164,"Average height")</f>
        <v>Above Average height</v>
      </c>
      <c r="K1647" s="2" t="str" cm="1">
        <f t="array" ref="K1647">_xlfn.IFS(E1647&lt;=16,"Children",E1647&lt;=30,"Young Adults",E1647&lt;=45,"Middle-aged Adults",E1647&gt;45,"Old Adults")</f>
        <v>Young Adults</v>
      </c>
    </row>
    <row r="1648" spans="1:11" x14ac:dyDescent="0.45">
      <c r="A1648" s="2">
        <v>1935</v>
      </c>
      <c r="B1648" s="2" t="s">
        <v>2039</v>
      </c>
      <c r="C1648" s="2" t="s">
        <v>95</v>
      </c>
      <c r="D1648" s="2" t="s">
        <v>66</v>
      </c>
      <c r="E1648" s="2">
        <v>26</v>
      </c>
      <c r="F1648" s="2">
        <v>65</v>
      </c>
      <c r="G1648" s="2">
        <v>172</v>
      </c>
      <c r="H1648" s="9">
        <f t="shared" si="25"/>
        <v>21.971335857220122</v>
      </c>
      <c r="I1648" s="2" t="str" cm="1">
        <f t="array" ref="I1648">_xlfn.IFS(F1648&gt;=100,"Over weight",F1648&lt;100,"Average weight")</f>
        <v>Average weight</v>
      </c>
      <c r="J1648" s="2" t="str" cm="1">
        <f t="array" ref="J1648">_xlfn.IFS(G1648&lt;164,"Below Average height",G1648&gt;=165,"Above Average height",G1648=164,"Average height")</f>
        <v>Above Average height</v>
      </c>
      <c r="K1648" s="2" t="str" cm="1">
        <f t="array" ref="K1648">_xlfn.IFS(E1648&lt;=16,"Children",E1648&lt;=30,"Young Adults",E1648&lt;=45,"Middle-aged Adults",E1648&gt;45,"Old Adults")</f>
        <v>Young Adults</v>
      </c>
    </row>
    <row r="1649" spans="1:11" x14ac:dyDescent="0.45">
      <c r="A1649" s="2">
        <v>1936</v>
      </c>
      <c r="B1649" s="2" t="s">
        <v>2040</v>
      </c>
      <c r="C1649" s="2" t="s">
        <v>87</v>
      </c>
      <c r="D1649" s="2" t="s">
        <v>42</v>
      </c>
      <c r="E1649" s="2">
        <v>20</v>
      </c>
      <c r="F1649" s="2">
        <v>56</v>
      </c>
      <c r="G1649" s="2">
        <v>176</v>
      </c>
      <c r="H1649" s="9">
        <f t="shared" si="25"/>
        <v>18.078512396694215</v>
      </c>
      <c r="I1649" s="2" t="str" cm="1">
        <f t="array" ref="I1649">_xlfn.IFS(F1649&gt;=100,"Over weight",F1649&lt;100,"Average weight")</f>
        <v>Average weight</v>
      </c>
      <c r="J1649" s="2" t="str" cm="1">
        <f t="array" ref="J1649">_xlfn.IFS(G1649&lt;164,"Below Average height",G1649&gt;=165,"Above Average height",G1649=164,"Average height")</f>
        <v>Above Average height</v>
      </c>
      <c r="K1649" s="2" t="str" cm="1">
        <f t="array" ref="K1649">_xlfn.IFS(E1649&lt;=16,"Children",E1649&lt;=30,"Young Adults",E1649&lt;=45,"Middle-aged Adults",E1649&gt;45,"Old Adults")</f>
        <v>Young Adults</v>
      </c>
    </row>
    <row r="1650" spans="1:11" x14ac:dyDescent="0.45">
      <c r="A1650" s="2">
        <v>1938</v>
      </c>
      <c r="B1650" s="2" t="s">
        <v>2042</v>
      </c>
      <c r="C1650" s="2" t="s">
        <v>93</v>
      </c>
      <c r="D1650" s="2" t="s">
        <v>26</v>
      </c>
      <c r="E1650" s="2">
        <v>21</v>
      </c>
      <c r="F1650" s="2">
        <v>57</v>
      </c>
      <c r="G1650" s="2">
        <v>168</v>
      </c>
      <c r="H1650" s="9">
        <f t="shared" si="25"/>
        <v>20.195578231292519</v>
      </c>
      <c r="I1650" s="2" t="str" cm="1">
        <f t="array" ref="I1650">_xlfn.IFS(F1650&gt;=100,"Over weight",F1650&lt;100,"Average weight")</f>
        <v>Average weight</v>
      </c>
      <c r="J1650" s="2" t="str" cm="1">
        <f t="array" ref="J1650">_xlfn.IFS(G1650&lt;164,"Below Average height",G1650&gt;=165,"Above Average height",G1650=164,"Average height")</f>
        <v>Above Average height</v>
      </c>
      <c r="K1650" s="2" t="str" cm="1">
        <f t="array" ref="K1650">_xlfn.IFS(E1650&lt;=16,"Children",E1650&lt;=30,"Young Adults",E1650&lt;=45,"Middle-aged Adults",E1650&gt;45,"Old Adults")</f>
        <v>Young Adults</v>
      </c>
    </row>
    <row r="1651" spans="1:11" x14ac:dyDescent="0.45">
      <c r="A1651" s="2">
        <v>1939</v>
      </c>
      <c r="B1651" s="2" t="s">
        <v>2043</v>
      </c>
      <c r="C1651" s="2" t="s">
        <v>90</v>
      </c>
      <c r="D1651" s="2" t="s">
        <v>28</v>
      </c>
      <c r="E1651" s="2">
        <v>24</v>
      </c>
      <c r="F1651" s="2">
        <v>95</v>
      </c>
      <c r="G1651" s="2">
        <v>183</v>
      </c>
      <c r="H1651" s="9">
        <f t="shared" si="25"/>
        <v>28.367523664486843</v>
      </c>
      <c r="I1651" s="2" t="str" cm="1">
        <f t="array" ref="I1651">_xlfn.IFS(F1651&gt;=100,"Over weight",F1651&lt;100,"Average weight")</f>
        <v>Average weight</v>
      </c>
      <c r="J1651" s="2" t="str" cm="1">
        <f t="array" ref="J1651">_xlfn.IFS(G1651&lt;164,"Below Average height",G1651&gt;=165,"Above Average height",G1651=164,"Average height")</f>
        <v>Above Average height</v>
      </c>
      <c r="K1651" s="2" t="str" cm="1">
        <f t="array" ref="K1651">_xlfn.IFS(E1651&lt;=16,"Children",E1651&lt;=30,"Young Adults",E1651&lt;=45,"Middle-aged Adults",E1651&gt;45,"Old Adults")</f>
        <v>Young Adults</v>
      </c>
    </row>
    <row r="1652" spans="1:11" x14ac:dyDescent="0.45">
      <c r="A1652" s="2">
        <v>1941</v>
      </c>
      <c r="B1652" s="2" t="s">
        <v>2045</v>
      </c>
      <c r="C1652" s="2" t="s">
        <v>93</v>
      </c>
      <c r="D1652" s="2" t="s">
        <v>71</v>
      </c>
      <c r="E1652" s="2">
        <v>22</v>
      </c>
      <c r="F1652" s="2">
        <v>85</v>
      </c>
      <c r="G1652" s="2">
        <v>181</v>
      </c>
      <c r="H1652" s="9">
        <f t="shared" si="25"/>
        <v>25.945483959586092</v>
      </c>
      <c r="I1652" s="2" t="str" cm="1">
        <f t="array" ref="I1652">_xlfn.IFS(F1652&gt;=100,"Over weight",F1652&lt;100,"Average weight")</f>
        <v>Average weight</v>
      </c>
      <c r="J1652" s="2" t="str" cm="1">
        <f t="array" ref="J1652">_xlfn.IFS(G1652&lt;164,"Below Average height",G1652&gt;=165,"Above Average height",G1652=164,"Average height")</f>
        <v>Above Average height</v>
      </c>
      <c r="K1652" s="2" t="str" cm="1">
        <f t="array" ref="K1652">_xlfn.IFS(E1652&lt;=16,"Children",E1652&lt;=30,"Young Adults",E1652&lt;=45,"Middle-aged Adults",E1652&gt;45,"Old Adults")</f>
        <v>Young Adults</v>
      </c>
    </row>
    <row r="1653" spans="1:11" x14ac:dyDescent="0.45">
      <c r="A1653" s="2">
        <v>1943</v>
      </c>
      <c r="B1653" s="2" t="s">
        <v>2047</v>
      </c>
      <c r="C1653" s="2" t="s">
        <v>90</v>
      </c>
      <c r="D1653" s="2" t="s">
        <v>80</v>
      </c>
      <c r="E1653" s="2">
        <v>32</v>
      </c>
      <c r="F1653" s="2">
        <v>75</v>
      </c>
      <c r="G1653" s="2">
        <v>173</v>
      </c>
      <c r="H1653" s="9">
        <f t="shared" si="25"/>
        <v>25.059307026629689</v>
      </c>
      <c r="I1653" s="2" t="str" cm="1">
        <f t="array" ref="I1653">_xlfn.IFS(F1653&gt;=100,"Over weight",F1653&lt;100,"Average weight")</f>
        <v>Average weight</v>
      </c>
      <c r="J1653" s="2" t="str" cm="1">
        <f t="array" ref="J1653">_xlfn.IFS(G1653&lt;164,"Below Average height",G1653&gt;=165,"Above Average height",G1653=164,"Average height")</f>
        <v>Above Average height</v>
      </c>
      <c r="K1653" s="2" t="str" cm="1">
        <f t="array" ref="K1653">_xlfn.IFS(E1653&lt;=16,"Children",E1653&lt;=30,"Young Adults",E1653&lt;=45,"Middle-aged Adults",E1653&gt;45,"Old Adults")</f>
        <v>Middle-aged Adults</v>
      </c>
    </row>
    <row r="1654" spans="1:11" x14ac:dyDescent="0.45">
      <c r="A1654" s="2">
        <v>1944</v>
      </c>
      <c r="B1654" s="2" t="s">
        <v>2048</v>
      </c>
      <c r="C1654" s="2" t="s">
        <v>89</v>
      </c>
      <c r="D1654" s="2" t="s">
        <v>74</v>
      </c>
      <c r="E1654" s="2">
        <v>28</v>
      </c>
      <c r="F1654" s="2">
        <v>82</v>
      </c>
      <c r="G1654" s="2">
        <v>183</v>
      </c>
      <c r="H1654" s="9">
        <f t="shared" si="25"/>
        <v>24.485652005136011</v>
      </c>
      <c r="I1654" s="2" t="str" cm="1">
        <f t="array" ref="I1654">_xlfn.IFS(F1654&gt;=100,"Over weight",F1654&lt;100,"Average weight")</f>
        <v>Average weight</v>
      </c>
      <c r="J1654" s="2" t="str" cm="1">
        <f t="array" ref="J1654">_xlfn.IFS(G1654&lt;164,"Below Average height",G1654&gt;=165,"Above Average height",G1654=164,"Average height")</f>
        <v>Above Average height</v>
      </c>
      <c r="K1654" s="2" t="str" cm="1">
        <f t="array" ref="K1654">_xlfn.IFS(E1654&lt;=16,"Children",E1654&lt;=30,"Young Adults",E1654&lt;=45,"Middle-aged Adults",E1654&gt;45,"Old Adults")</f>
        <v>Young Adults</v>
      </c>
    </row>
    <row r="1655" spans="1:11" x14ac:dyDescent="0.45">
      <c r="A1655" s="2">
        <v>1945</v>
      </c>
      <c r="B1655" s="2" t="s">
        <v>2049</v>
      </c>
      <c r="C1655" s="2" t="s">
        <v>89</v>
      </c>
      <c r="D1655" s="2" t="s">
        <v>6</v>
      </c>
      <c r="E1655" s="2">
        <v>24</v>
      </c>
      <c r="F1655" s="2">
        <v>60</v>
      </c>
      <c r="G1655" s="2">
        <v>173</v>
      </c>
      <c r="H1655" s="9">
        <f t="shared" si="25"/>
        <v>20.047445621303751</v>
      </c>
      <c r="I1655" s="2" t="str" cm="1">
        <f t="array" ref="I1655">_xlfn.IFS(F1655&gt;=100,"Over weight",F1655&lt;100,"Average weight")</f>
        <v>Average weight</v>
      </c>
      <c r="J1655" s="2" t="str" cm="1">
        <f t="array" ref="J1655">_xlfn.IFS(G1655&lt;164,"Below Average height",G1655&gt;=165,"Above Average height",G1655=164,"Average height")</f>
        <v>Above Average height</v>
      </c>
      <c r="K1655" s="2" t="str" cm="1">
        <f t="array" ref="K1655">_xlfn.IFS(E1655&lt;=16,"Children",E1655&lt;=30,"Young Adults",E1655&lt;=45,"Middle-aged Adults",E1655&gt;45,"Old Adults")</f>
        <v>Young Adults</v>
      </c>
    </row>
    <row r="1656" spans="1:11" x14ac:dyDescent="0.45">
      <c r="A1656" s="2">
        <v>1946</v>
      </c>
      <c r="B1656" s="2" t="s">
        <v>2050</v>
      </c>
      <c r="C1656" s="2" t="s">
        <v>91</v>
      </c>
      <c r="D1656" s="2" t="s">
        <v>21</v>
      </c>
      <c r="E1656" s="2">
        <v>29</v>
      </c>
      <c r="F1656" s="2">
        <v>83</v>
      </c>
      <c r="G1656" s="2">
        <v>177</v>
      </c>
      <c r="H1656" s="9">
        <f t="shared" si="25"/>
        <v>26.493025631204315</v>
      </c>
      <c r="I1656" s="2" t="str" cm="1">
        <f t="array" ref="I1656">_xlfn.IFS(F1656&gt;=100,"Over weight",F1656&lt;100,"Average weight")</f>
        <v>Average weight</v>
      </c>
      <c r="J1656" s="2" t="str" cm="1">
        <f t="array" ref="J1656">_xlfn.IFS(G1656&lt;164,"Below Average height",G1656&gt;=165,"Above Average height",G1656=164,"Average height")</f>
        <v>Above Average height</v>
      </c>
      <c r="K1656" s="2" t="str" cm="1">
        <f t="array" ref="K1656">_xlfn.IFS(E1656&lt;=16,"Children",E1656&lt;=30,"Young Adults",E1656&lt;=45,"Middle-aged Adults",E1656&gt;45,"Old Adults")</f>
        <v>Young Adults</v>
      </c>
    </row>
    <row r="1657" spans="1:11" x14ac:dyDescent="0.45">
      <c r="A1657" s="2">
        <v>1947</v>
      </c>
      <c r="B1657" s="2" t="s">
        <v>2051</v>
      </c>
      <c r="C1657" s="2" t="s">
        <v>85</v>
      </c>
      <c r="D1657" s="2" t="s">
        <v>26</v>
      </c>
      <c r="E1657" s="2">
        <v>27</v>
      </c>
      <c r="F1657" s="2">
        <v>77</v>
      </c>
      <c r="G1657" s="2">
        <v>167</v>
      </c>
      <c r="H1657" s="9">
        <f t="shared" si="25"/>
        <v>27.609451755172291</v>
      </c>
      <c r="I1657" s="2" t="str" cm="1">
        <f t="array" ref="I1657">_xlfn.IFS(F1657&gt;=100,"Over weight",F1657&lt;100,"Average weight")</f>
        <v>Average weight</v>
      </c>
      <c r="J1657" s="2" t="str" cm="1">
        <f t="array" ref="J1657">_xlfn.IFS(G1657&lt;164,"Below Average height",G1657&gt;=165,"Above Average height",G1657=164,"Average height")</f>
        <v>Above Average height</v>
      </c>
      <c r="K1657" s="2" t="str" cm="1">
        <f t="array" ref="K1657">_xlfn.IFS(E1657&lt;=16,"Children",E1657&lt;=30,"Young Adults",E1657&lt;=45,"Middle-aged Adults",E1657&gt;45,"Old Adults")</f>
        <v>Young Adults</v>
      </c>
    </row>
    <row r="1658" spans="1:11" x14ac:dyDescent="0.45">
      <c r="A1658" s="2">
        <v>1948</v>
      </c>
      <c r="B1658" s="2" t="s">
        <v>2052</v>
      </c>
      <c r="C1658" s="2" t="s">
        <v>90</v>
      </c>
      <c r="D1658" s="2" t="s">
        <v>5</v>
      </c>
      <c r="E1658" s="2">
        <v>37</v>
      </c>
      <c r="F1658" s="2">
        <v>98</v>
      </c>
      <c r="G1658" s="2">
        <v>178</v>
      </c>
      <c r="H1658" s="9">
        <f t="shared" si="25"/>
        <v>30.930438076000502</v>
      </c>
      <c r="I1658" s="2" t="str" cm="1">
        <f t="array" ref="I1658">_xlfn.IFS(F1658&gt;=100,"Over weight",F1658&lt;100,"Average weight")</f>
        <v>Average weight</v>
      </c>
      <c r="J1658" s="2" t="str" cm="1">
        <f t="array" ref="J1658">_xlfn.IFS(G1658&lt;164,"Below Average height",G1658&gt;=165,"Above Average height",G1658=164,"Average height")</f>
        <v>Above Average height</v>
      </c>
      <c r="K1658" s="2" t="str" cm="1">
        <f t="array" ref="K1658">_xlfn.IFS(E1658&lt;=16,"Children",E1658&lt;=30,"Young Adults",E1658&lt;=45,"Middle-aged Adults",E1658&gt;45,"Old Adults")</f>
        <v>Middle-aged Adults</v>
      </c>
    </row>
    <row r="1659" spans="1:11" x14ac:dyDescent="0.45">
      <c r="A1659" s="2">
        <v>1949</v>
      </c>
      <c r="B1659" s="2" t="s">
        <v>2053</v>
      </c>
      <c r="C1659" s="2" t="s">
        <v>90</v>
      </c>
      <c r="D1659" s="2" t="s">
        <v>39</v>
      </c>
      <c r="E1659" s="2">
        <v>33</v>
      </c>
      <c r="F1659" s="2">
        <v>105</v>
      </c>
      <c r="G1659" s="2">
        <v>186</v>
      </c>
      <c r="H1659" s="9">
        <f t="shared" si="25"/>
        <v>30.350329517863333</v>
      </c>
      <c r="I1659" s="2" t="str" cm="1">
        <f t="array" ref="I1659">_xlfn.IFS(F1659&gt;=100,"Over weight",F1659&lt;100,"Average weight")</f>
        <v>Over weight</v>
      </c>
      <c r="J1659" s="2" t="str" cm="1">
        <f t="array" ref="J1659">_xlfn.IFS(G1659&lt;164,"Below Average height",G1659&gt;=165,"Above Average height",G1659=164,"Average height")</f>
        <v>Above Average height</v>
      </c>
      <c r="K1659" s="2" t="str" cm="1">
        <f t="array" ref="K1659">_xlfn.IFS(E1659&lt;=16,"Children",E1659&lt;=30,"Young Adults",E1659&lt;=45,"Middle-aged Adults",E1659&gt;45,"Old Adults")</f>
        <v>Middle-aged Adults</v>
      </c>
    </row>
    <row r="1660" spans="1:11" x14ac:dyDescent="0.45">
      <c r="A1660" s="2">
        <v>1950</v>
      </c>
      <c r="B1660" s="2" t="s">
        <v>2054</v>
      </c>
      <c r="C1660" s="2" t="s">
        <v>88</v>
      </c>
      <c r="D1660" s="2" t="s">
        <v>66</v>
      </c>
      <c r="E1660" s="2">
        <v>26</v>
      </c>
      <c r="F1660" s="2">
        <v>61</v>
      </c>
      <c r="G1660" s="2">
        <v>166</v>
      </c>
      <c r="H1660" s="9">
        <f t="shared" si="25"/>
        <v>22.136739730004358</v>
      </c>
      <c r="I1660" s="2" t="str" cm="1">
        <f t="array" ref="I1660">_xlfn.IFS(F1660&gt;=100,"Over weight",F1660&lt;100,"Average weight")</f>
        <v>Average weight</v>
      </c>
      <c r="J1660" s="2" t="str" cm="1">
        <f t="array" ref="J1660">_xlfn.IFS(G1660&lt;164,"Below Average height",G1660&gt;=165,"Above Average height",G1660=164,"Average height")</f>
        <v>Above Average height</v>
      </c>
      <c r="K1660" s="2" t="str" cm="1">
        <f t="array" ref="K1660">_xlfn.IFS(E1660&lt;=16,"Children",E1660&lt;=30,"Young Adults",E1660&lt;=45,"Middle-aged Adults",E1660&gt;45,"Old Adults")</f>
        <v>Young Adults</v>
      </c>
    </row>
    <row r="1661" spans="1:11" x14ac:dyDescent="0.45">
      <c r="A1661" s="2">
        <v>1951</v>
      </c>
      <c r="B1661" s="2" t="s">
        <v>2055</v>
      </c>
      <c r="C1661" s="2" t="s">
        <v>85</v>
      </c>
      <c r="D1661" s="2" t="s">
        <v>25</v>
      </c>
      <c r="E1661" s="2">
        <v>20</v>
      </c>
      <c r="F1661" s="2">
        <v>91</v>
      </c>
      <c r="G1661" s="2">
        <v>190</v>
      </c>
      <c r="H1661" s="9">
        <f t="shared" si="25"/>
        <v>25.207756232686982</v>
      </c>
      <c r="I1661" s="2" t="str" cm="1">
        <f t="array" ref="I1661">_xlfn.IFS(F1661&gt;=100,"Over weight",F1661&lt;100,"Average weight")</f>
        <v>Average weight</v>
      </c>
      <c r="J1661" s="2" t="str" cm="1">
        <f t="array" ref="J1661">_xlfn.IFS(G1661&lt;164,"Below Average height",G1661&gt;=165,"Above Average height",G1661=164,"Average height")</f>
        <v>Above Average height</v>
      </c>
      <c r="K1661" s="2" t="str" cm="1">
        <f t="array" ref="K1661">_xlfn.IFS(E1661&lt;=16,"Children",E1661&lt;=30,"Young Adults",E1661&lt;=45,"Middle-aged Adults",E1661&gt;45,"Old Adults")</f>
        <v>Young Adults</v>
      </c>
    </row>
    <row r="1662" spans="1:11" x14ac:dyDescent="0.45">
      <c r="A1662" s="2">
        <v>1952</v>
      </c>
      <c r="B1662" s="2" t="s">
        <v>2056</v>
      </c>
      <c r="C1662" s="2" t="s">
        <v>100</v>
      </c>
      <c r="D1662" s="2" t="s">
        <v>28</v>
      </c>
      <c r="E1662" s="2">
        <v>25</v>
      </c>
      <c r="F1662" s="2">
        <v>75</v>
      </c>
      <c r="G1662" s="2">
        <v>182</v>
      </c>
      <c r="H1662" s="9">
        <f t="shared" si="25"/>
        <v>22.642192971863299</v>
      </c>
      <c r="I1662" s="2" t="str" cm="1">
        <f t="array" ref="I1662">_xlfn.IFS(F1662&gt;=100,"Over weight",F1662&lt;100,"Average weight")</f>
        <v>Average weight</v>
      </c>
      <c r="J1662" s="2" t="str" cm="1">
        <f t="array" ref="J1662">_xlfn.IFS(G1662&lt;164,"Below Average height",G1662&gt;=165,"Above Average height",G1662=164,"Average height")</f>
        <v>Above Average height</v>
      </c>
      <c r="K1662" s="2" t="str" cm="1">
        <f t="array" ref="K1662">_xlfn.IFS(E1662&lt;=16,"Children",E1662&lt;=30,"Young Adults",E1662&lt;=45,"Middle-aged Adults",E1662&gt;45,"Old Adults")</f>
        <v>Young Adults</v>
      </c>
    </row>
    <row r="1663" spans="1:11" x14ac:dyDescent="0.45">
      <c r="A1663" s="2">
        <v>1953</v>
      </c>
      <c r="B1663" s="2" t="s">
        <v>2057</v>
      </c>
      <c r="C1663" s="2" t="s">
        <v>92</v>
      </c>
      <c r="D1663" s="2" t="s">
        <v>60</v>
      </c>
      <c r="E1663" s="2">
        <v>28</v>
      </c>
      <c r="F1663" s="2">
        <v>69</v>
      </c>
      <c r="G1663" s="2">
        <v>182</v>
      </c>
      <c r="H1663" s="9">
        <f t="shared" si="25"/>
        <v>20.830817534114235</v>
      </c>
      <c r="I1663" s="2" t="str" cm="1">
        <f t="array" ref="I1663">_xlfn.IFS(F1663&gt;=100,"Over weight",F1663&lt;100,"Average weight")</f>
        <v>Average weight</v>
      </c>
      <c r="J1663" s="2" t="str" cm="1">
        <f t="array" ref="J1663">_xlfn.IFS(G1663&lt;164,"Below Average height",G1663&gt;=165,"Above Average height",G1663=164,"Average height")</f>
        <v>Above Average height</v>
      </c>
      <c r="K1663" s="2" t="str" cm="1">
        <f t="array" ref="K1663">_xlfn.IFS(E1663&lt;=16,"Children",E1663&lt;=30,"Young Adults",E1663&lt;=45,"Middle-aged Adults",E1663&gt;45,"Old Adults")</f>
        <v>Young Adults</v>
      </c>
    </row>
    <row r="1664" spans="1:11" x14ac:dyDescent="0.45">
      <c r="A1664" s="2">
        <v>1954</v>
      </c>
      <c r="B1664" s="2" t="s">
        <v>2058</v>
      </c>
      <c r="C1664" s="2" t="s">
        <v>91</v>
      </c>
      <c r="D1664" s="2" t="s">
        <v>75</v>
      </c>
      <c r="E1664" s="2">
        <v>25</v>
      </c>
      <c r="F1664" s="2">
        <v>88</v>
      </c>
      <c r="G1664" s="2">
        <v>182</v>
      </c>
      <c r="H1664" s="9">
        <f t="shared" si="25"/>
        <v>26.566839753652939</v>
      </c>
      <c r="I1664" s="2" t="str" cm="1">
        <f t="array" ref="I1664">_xlfn.IFS(F1664&gt;=100,"Over weight",F1664&lt;100,"Average weight")</f>
        <v>Average weight</v>
      </c>
      <c r="J1664" s="2" t="str" cm="1">
        <f t="array" ref="J1664">_xlfn.IFS(G1664&lt;164,"Below Average height",G1664&gt;=165,"Above Average height",G1664=164,"Average height")</f>
        <v>Above Average height</v>
      </c>
      <c r="K1664" s="2" t="str" cm="1">
        <f t="array" ref="K1664">_xlfn.IFS(E1664&lt;=16,"Children",E1664&lt;=30,"Young Adults",E1664&lt;=45,"Middle-aged Adults",E1664&gt;45,"Old Adults")</f>
        <v>Young Adults</v>
      </c>
    </row>
    <row r="1665" spans="1:11" x14ac:dyDescent="0.45">
      <c r="A1665" s="2">
        <v>1955</v>
      </c>
      <c r="B1665" s="2" t="s">
        <v>2059</v>
      </c>
      <c r="C1665" s="2" t="s">
        <v>87</v>
      </c>
      <c r="D1665" s="2" t="s">
        <v>25</v>
      </c>
      <c r="E1665" s="2">
        <v>31</v>
      </c>
      <c r="F1665" s="2">
        <v>64</v>
      </c>
      <c r="G1665" s="2">
        <v>166</v>
      </c>
      <c r="H1665" s="9">
        <f t="shared" si="25"/>
        <v>23.225431847873423</v>
      </c>
      <c r="I1665" s="2" t="str" cm="1">
        <f t="array" ref="I1665">_xlfn.IFS(F1665&gt;=100,"Over weight",F1665&lt;100,"Average weight")</f>
        <v>Average weight</v>
      </c>
      <c r="J1665" s="2" t="str" cm="1">
        <f t="array" ref="J1665">_xlfn.IFS(G1665&lt;164,"Below Average height",G1665&gt;=165,"Above Average height",G1665=164,"Average height")</f>
        <v>Above Average height</v>
      </c>
      <c r="K1665" s="2" t="str" cm="1">
        <f t="array" ref="K1665">_xlfn.IFS(E1665&lt;=16,"Children",E1665&lt;=30,"Young Adults",E1665&lt;=45,"Middle-aged Adults",E1665&gt;45,"Old Adults")</f>
        <v>Middle-aged Adults</v>
      </c>
    </row>
    <row r="1666" spans="1:11" x14ac:dyDescent="0.45">
      <c r="A1666" s="2">
        <v>1957</v>
      </c>
      <c r="B1666" s="2" t="s">
        <v>2061</v>
      </c>
      <c r="C1666" s="2" t="s">
        <v>91</v>
      </c>
      <c r="D1666" s="2" t="s">
        <v>74</v>
      </c>
      <c r="E1666" s="2">
        <v>30</v>
      </c>
      <c r="F1666" s="2">
        <v>72</v>
      </c>
      <c r="G1666" s="2">
        <v>176</v>
      </c>
      <c r="H1666" s="9">
        <f t="shared" ref="H1666:H1729" si="26" xml:space="preserve"> F1666 / (( G1666/ 100) ^ 2)</f>
        <v>23.243801652892564</v>
      </c>
      <c r="I1666" s="2" t="str" cm="1">
        <f t="array" ref="I1666">_xlfn.IFS(F1666&gt;=100,"Over weight",F1666&lt;100,"Average weight")</f>
        <v>Average weight</v>
      </c>
      <c r="J1666" s="2" t="str" cm="1">
        <f t="array" ref="J1666">_xlfn.IFS(G1666&lt;164,"Below Average height",G1666&gt;=165,"Above Average height",G1666=164,"Average height")</f>
        <v>Above Average height</v>
      </c>
      <c r="K1666" s="2" t="str" cm="1">
        <f t="array" ref="K1666">_xlfn.IFS(E1666&lt;=16,"Children",E1666&lt;=30,"Young Adults",E1666&lt;=45,"Middle-aged Adults",E1666&gt;45,"Old Adults")</f>
        <v>Young Adults</v>
      </c>
    </row>
    <row r="1667" spans="1:11" x14ac:dyDescent="0.45">
      <c r="A1667" s="2">
        <v>1959</v>
      </c>
      <c r="B1667" s="2" t="s">
        <v>2063</v>
      </c>
      <c r="C1667" s="2" t="s">
        <v>95</v>
      </c>
      <c r="D1667" s="2" t="s">
        <v>30</v>
      </c>
      <c r="E1667" s="2">
        <v>25</v>
      </c>
      <c r="F1667" s="2">
        <v>85</v>
      </c>
      <c r="G1667" s="2">
        <v>189</v>
      </c>
      <c r="H1667" s="9">
        <f t="shared" si="26"/>
        <v>23.795526441029089</v>
      </c>
      <c r="I1667" s="2" t="str" cm="1">
        <f t="array" ref="I1667">_xlfn.IFS(F1667&gt;=100,"Over weight",F1667&lt;100,"Average weight")</f>
        <v>Average weight</v>
      </c>
      <c r="J1667" s="2" t="str" cm="1">
        <f t="array" ref="J1667">_xlfn.IFS(G1667&lt;164,"Below Average height",G1667&gt;=165,"Above Average height",G1667=164,"Average height")</f>
        <v>Above Average height</v>
      </c>
      <c r="K1667" s="2" t="str" cm="1">
        <f t="array" ref="K1667">_xlfn.IFS(E1667&lt;=16,"Children",E1667&lt;=30,"Young Adults",E1667&lt;=45,"Middle-aged Adults",E1667&gt;45,"Old Adults")</f>
        <v>Young Adults</v>
      </c>
    </row>
    <row r="1668" spans="1:11" x14ac:dyDescent="0.45">
      <c r="A1668" s="2">
        <v>1960</v>
      </c>
      <c r="B1668" s="2" t="s">
        <v>2064</v>
      </c>
      <c r="C1668" s="2" t="s">
        <v>94</v>
      </c>
      <c r="D1668" s="2" t="s">
        <v>42</v>
      </c>
      <c r="E1668" s="2">
        <v>22</v>
      </c>
      <c r="F1668" s="2">
        <v>56</v>
      </c>
      <c r="G1668" s="2">
        <v>171</v>
      </c>
      <c r="H1668" s="9">
        <f t="shared" si="26"/>
        <v>19.151191819705211</v>
      </c>
      <c r="I1668" s="2" t="str" cm="1">
        <f t="array" ref="I1668">_xlfn.IFS(F1668&gt;=100,"Over weight",F1668&lt;100,"Average weight")</f>
        <v>Average weight</v>
      </c>
      <c r="J1668" s="2" t="str" cm="1">
        <f t="array" ref="J1668">_xlfn.IFS(G1668&lt;164,"Below Average height",G1668&gt;=165,"Above Average height",G1668=164,"Average height")</f>
        <v>Above Average height</v>
      </c>
      <c r="K1668" s="2" t="str" cm="1">
        <f t="array" ref="K1668">_xlfn.IFS(E1668&lt;=16,"Children",E1668&lt;=30,"Young Adults",E1668&lt;=45,"Middle-aged Adults",E1668&gt;45,"Old Adults")</f>
        <v>Young Adults</v>
      </c>
    </row>
    <row r="1669" spans="1:11" x14ac:dyDescent="0.45">
      <c r="A1669" s="2">
        <v>1961</v>
      </c>
      <c r="B1669" s="2" t="s">
        <v>2065</v>
      </c>
      <c r="C1669" s="2" t="s">
        <v>92</v>
      </c>
      <c r="D1669" s="2" t="s">
        <v>66</v>
      </c>
      <c r="E1669" s="2">
        <v>26</v>
      </c>
      <c r="F1669" s="2">
        <v>65</v>
      </c>
      <c r="G1669" s="2">
        <v>185</v>
      </c>
      <c r="H1669" s="9">
        <f t="shared" si="26"/>
        <v>18.991964937910883</v>
      </c>
      <c r="I1669" s="2" t="str" cm="1">
        <f t="array" ref="I1669">_xlfn.IFS(F1669&gt;=100,"Over weight",F1669&lt;100,"Average weight")</f>
        <v>Average weight</v>
      </c>
      <c r="J1669" s="2" t="str" cm="1">
        <f t="array" ref="J1669">_xlfn.IFS(G1669&lt;164,"Below Average height",G1669&gt;=165,"Above Average height",G1669=164,"Average height")</f>
        <v>Above Average height</v>
      </c>
      <c r="K1669" s="2" t="str" cm="1">
        <f t="array" ref="K1669">_xlfn.IFS(E1669&lt;=16,"Children",E1669&lt;=30,"Young Adults",E1669&lt;=45,"Middle-aged Adults",E1669&gt;45,"Old Adults")</f>
        <v>Young Adults</v>
      </c>
    </row>
    <row r="1670" spans="1:11" x14ac:dyDescent="0.45">
      <c r="A1670" s="2">
        <v>1962</v>
      </c>
      <c r="B1670" s="2" t="s">
        <v>2066</v>
      </c>
      <c r="C1670" s="2" t="s">
        <v>94</v>
      </c>
      <c r="D1670" s="2" t="s">
        <v>66</v>
      </c>
      <c r="E1670" s="2">
        <v>31</v>
      </c>
      <c r="F1670" s="2">
        <v>68</v>
      </c>
      <c r="G1670" s="2">
        <v>178</v>
      </c>
      <c r="H1670" s="9">
        <f t="shared" si="26"/>
        <v>21.461936624163616</v>
      </c>
      <c r="I1670" s="2" t="str" cm="1">
        <f t="array" ref="I1670">_xlfn.IFS(F1670&gt;=100,"Over weight",F1670&lt;100,"Average weight")</f>
        <v>Average weight</v>
      </c>
      <c r="J1670" s="2" t="str" cm="1">
        <f t="array" ref="J1670">_xlfn.IFS(G1670&lt;164,"Below Average height",G1670&gt;=165,"Above Average height",G1670=164,"Average height")</f>
        <v>Above Average height</v>
      </c>
      <c r="K1670" s="2" t="str" cm="1">
        <f t="array" ref="K1670">_xlfn.IFS(E1670&lt;=16,"Children",E1670&lt;=30,"Young Adults",E1670&lt;=45,"Middle-aged Adults",E1670&gt;45,"Old Adults")</f>
        <v>Middle-aged Adults</v>
      </c>
    </row>
    <row r="1671" spans="1:11" x14ac:dyDescent="0.45">
      <c r="A1671" s="2">
        <v>1963</v>
      </c>
      <c r="B1671" s="2" t="s">
        <v>2067</v>
      </c>
      <c r="C1671" s="2" t="s">
        <v>87</v>
      </c>
      <c r="D1671" s="2" t="s">
        <v>14</v>
      </c>
      <c r="E1671" s="2">
        <v>30</v>
      </c>
      <c r="F1671" s="2">
        <v>68</v>
      </c>
      <c r="G1671" s="2">
        <v>174</v>
      </c>
      <c r="H1671" s="9">
        <f t="shared" si="26"/>
        <v>22.460034350640772</v>
      </c>
      <c r="I1671" s="2" t="str" cm="1">
        <f t="array" ref="I1671">_xlfn.IFS(F1671&gt;=100,"Over weight",F1671&lt;100,"Average weight")</f>
        <v>Average weight</v>
      </c>
      <c r="J1671" s="2" t="str" cm="1">
        <f t="array" ref="J1671">_xlfn.IFS(G1671&lt;164,"Below Average height",G1671&gt;=165,"Above Average height",G1671=164,"Average height")</f>
        <v>Above Average height</v>
      </c>
      <c r="K1671" s="2" t="str" cm="1">
        <f t="array" ref="K1671">_xlfn.IFS(E1671&lt;=16,"Children",E1671&lt;=30,"Young Adults",E1671&lt;=45,"Middle-aged Adults",E1671&gt;45,"Old Adults")</f>
        <v>Young Adults</v>
      </c>
    </row>
    <row r="1672" spans="1:11" x14ac:dyDescent="0.45">
      <c r="A1672" s="2">
        <v>1964</v>
      </c>
      <c r="B1672" s="2" t="s">
        <v>2068</v>
      </c>
      <c r="C1672" s="2" t="s">
        <v>85</v>
      </c>
      <c r="D1672" s="2" t="s">
        <v>52</v>
      </c>
      <c r="E1672" s="2">
        <v>26</v>
      </c>
      <c r="F1672" s="2">
        <v>78</v>
      </c>
      <c r="G1672" s="2">
        <v>183</v>
      </c>
      <c r="H1672" s="9">
        <f t="shared" si="26"/>
        <v>23.291229956104985</v>
      </c>
      <c r="I1672" s="2" t="str" cm="1">
        <f t="array" ref="I1672">_xlfn.IFS(F1672&gt;=100,"Over weight",F1672&lt;100,"Average weight")</f>
        <v>Average weight</v>
      </c>
      <c r="J1672" s="2" t="str" cm="1">
        <f t="array" ref="J1672">_xlfn.IFS(G1672&lt;164,"Below Average height",G1672&gt;=165,"Above Average height",G1672=164,"Average height")</f>
        <v>Above Average height</v>
      </c>
      <c r="K1672" s="2" t="str" cm="1">
        <f t="array" ref="K1672">_xlfn.IFS(E1672&lt;=16,"Children",E1672&lt;=30,"Young Adults",E1672&lt;=45,"Middle-aged Adults",E1672&gt;45,"Old Adults")</f>
        <v>Young Adults</v>
      </c>
    </row>
    <row r="1673" spans="1:11" x14ac:dyDescent="0.45">
      <c r="A1673" s="2">
        <v>1965</v>
      </c>
      <c r="B1673" s="2" t="s">
        <v>2069</v>
      </c>
      <c r="C1673" s="2" t="s">
        <v>91</v>
      </c>
      <c r="D1673" s="2" t="s">
        <v>60</v>
      </c>
      <c r="E1673" s="2">
        <v>23</v>
      </c>
      <c r="F1673" s="2">
        <v>86</v>
      </c>
      <c r="G1673" s="2">
        <v>184</v>
      </c>
      <c r="H1673" s="9">
        <f t="shared" si="26"/>
        <v>25.401701323251416</v>
      </c>
      <c r="I1673" s="2" t="str" cm="1">
        <f t="array" ref="I1673">_xlfn.IFS(F1673&gt;=100,"Over weight",F1673&lt;100,"Average weight")</f>
        <v>Average weight</v>
      </c>
      <c r="J1673" s="2" t="str" cm="1">
        <f t="array" ref="J1673">_xlfn.IFS(G1673&lt;164,"Below Average height",G1673&gt;=165,"Above Average height",G1673=164,"Average height")</f>
        <v>Above Average height</v>
      </c>
      <c r="K1673" s="2" t="str" cm="1">
        <f t="array" ref="K1673">_xlfn.IFS(E1673&lt;=16,"Children",E1673&lt;=30,"Young Adults",E1673&lt;=45,"Middle-aged Adults",E1673&gt;45,"Old Adults")</f>
        <v>Young Adults</v>
      </c>
    </row>
    <row r="1674" spans="1:11" x14ac:dyDescent="0.45">
      <c r="A1674" s="2">
        <v>1966</v>
      </c>
      <c r="B1674" s="2" t="s">
        <v>2070</v>
      </c>
      <c r="C1674" s="2" t="s">
        <v>95</v>
      </c>
      <c r="D1674" s="2" t="s">
        <v>46</v>
      </c>
      <c r="E1674" s="2">
        <v>31</v>
      </c>
      <c r="F1674" s="2">
        <v>85</v>
      </c>
      <c r="G1674" s="2">
        <v>183</v>
      </c>
      <c r="H1674" s="9">
        <f t="shared" si="26"/>
        <v>25.381468541909282</v>
      </c>
      <c r="I1674" s="2" t="str" cm="1">
        <f t="array" ref="I1674">_xlfn.IFS(F1674&gt;=100,"Over weight",F1674&lt;100,"Average weight")</f>
        <v>Average weight</v>
      </c>
      <c r="J1674" s="2" t="str" cm="1">
        <f t="array" ref="J1674">_xlfn.IFS(G1674&lt;164,"Below Average height",G1674&gt;=165,"Above Average height",G1674=164,"Average height")</f>
        <v>Above Average height</v>
      </c>
      <c r="K1674" s="2" t="str" cm="1">
        <f t="array" ref="K1674">_xlfn.IFS(E1674&lt;=16,"Children",E1674&lt;=30,"Young Adults",E1674&lt;=45,"Middle-aged Adults",E1674&gt;45,"Old Adults")</f>
        <v>Middle-aged Adults</v>
      </c>
    </row>
    <row r="1675" spans="1:11" x14ac:dyDescent="0.45">
      <c r="A1675" s="2">
        <v>1967</v>
      </c>
      <c r="B1675" s="2" t="s">
        <v>2071</v>
      </c>
      <c r="C1675" s="2" t="s">
        <v>85</v>
      </c>
      <c r="D1675" s="2" t="s">
        <v>14</v>
      </c>
      <c r="E1675" s="2">
        <v>23</v>
      </c>
      <c r="F1675" s="2">
        <v>78</v>
      </c>
      <c r="G1675" s="2">
        <v>170</v>
      </c>
      <c r="H1675" s="9">
        <f t="shared" si="26"/>
        <v>26.989619377162633</v>
      </c>
      <c r="I1675" s="2" t="str" cm="1">
        <f t="array" ref="I1675">_xlfn.IFS(F1675&gt;=100,"Over weight",F1675&lt;100,"Average weight")</f>
        <v>Average weight</v>
      </c>
      <c r="J1675" s="2" t="str" cm="1">
        <f t="array" ref="J1675">_xlfn.IFS(G1675&lt;164,"Below Average height",G1675&gt;=165,"Above Average height",G1675=164,"Average height")</f>
        <v>Above Average height</v>
      </c>
      <c r="K1675" s="2" t="str" cm="1">
        <f t="array" ref="K1675">_xlfn.IFS(E1675&lt;=16,"Children",E1675&lt;=30,"Young Adults",E1675&lt;=45,"Middle-aged Adults",E1675&gt;45,"Old Adults")</f>
        <v>Young Adults</v>
      </c>
    </row>
    <row r="1676" spans="1:11" x14ac:dyDescent="0.45">
      <c r="A1676" s="2">
        <v>1969</v>
      </c>
      <c r="B1676" s="2" t="s">
        <v>2073</v>
      </c>
      <c r="C1676" s="2" t="s">
        <v>85</v>
      </c>
      <c r="D1676" s="2" t="s">
        <v>11</v>
      </c>
      <c r="E1676" s="2">
        <v>20</v>
      </c>
      <c r="F1676" s="2">
        <v>82</v>
      </c>
      <c r="G1676" s="2">
        <v>184</v>
      </c>
      <c r="H1676" s="9">
        <f t="shared" si="26"/>
        <v>24.220226843100189</v>
      </c>
      <c r="I1676" s="2" t="str" cm="1">
        <f t="array" ref="I1676">_xlfn.IFS(F1676&gt;=100,"Over weight",F1676&lt;100,"Average weight")</f>
        <v>Average weight</v>
      </c>
      <c r="J1676" s="2" t="str" cm="1">
        <f t="array" ref="J1676">_xlfn.IFS(G1676&lt;164,"Below Average height",G1676&gt;=165,"Above Average height",G1676=164,"Average height")</f>
        <v>Above Average height</v>
      </c>
      <c r="K1676" s="2" t="str" cm="1">
        <f t="array" ref="K1676">_xlfn.IFS(E1676&lt;=16,"Children",E1676&lt;=30,"Young Adults",E1676&lt;=45,"Middle-aged Adults",E1676&gt;45,"Old Adults")</f>
        <v>Young Adults</v>
      </c>
    </row>
    <row r="1677" spans="1:11" x14ac:dyDescent="0.45">
      <c r="A1677" s="2">
        <v>1970</v>
      </c>
      <c r="B1677" s="2" t="s">
        <v>2074</v>
      </c>
      <c r="C1677" s="2" t="s">
        <v>100</v>
      </c>
      <c r="D1677" s="2" t="s">
        <v>30</v>
      </c>
      <c r="E1677" s="2">
        <v>28</v>
      </c>
      <c r="F1677" s="2">
        <v>55</v>
      </c>
      <c r="G1677" s="2">
        <v>170</v>
      </c>
      <c r="H1677" s="9">
        <f t="shared" si="26"/>
        <v>19.031141868512112</v>
      </c>
      <c r="I1677" s="2" t="str" cm="1">
        <f t="array" ref="I1677">_xlfn.IFS(F1677&gt;=100,"Over weight",F1677&lt;100,"Average weight")</f>
        <v>Average weight</v>
      </c>
      <c r="J1677" s="2" t="str" cm="1">
        <f t="array" ref="J1677">_xlfn.IFS(G1677&lt;164,"Below Average height",G1677&gt;=165,"Above Average height",G1677=164,"Average height")</f>
        <v>Above Average height</v>
      </c>
      <c r="K1677" s="2" t="str" cm="1">
        <f t="array" ref="K1677">_xlfn.IFS(E1677&lt;=16,"Children",E1677&lt;=30,"Young Adults",E1677&lt;=45,"Middle-aged Adults",E1677&gt;45,"Old Adults")</f>
        <v>Young Adults</v>
      </c>
    </row>
    <row r="1678" spans="1:11" x14ac:dyDescent="0.45">
      <c r="A1678" s="2">
        <v>1971</v>
      </c>
      <c r="B1678" s="2" t="s">
        <v>2075</v>
      </c>
      <c r="C1678" s="2" t="s">
        <v>90</v>
      </c>
      <c r="D1678" s="2" t="s">
        <v>75</v>
      </c>
      <c r="E1678" s="2">
        <v>38</v>
      </c>
      <c r="F1678" s="2">
        <v>99</v>
      </c>
      <c r="G1678" s="2">
        <v>185</v>
      </c>
      <c r="H1678" s="9">
        <f t="shared" si="26"/>
        <v>28.926223520818112</v>
      </c>
      <c r="I1678" s="2" t="str" cm="1">
        <f t="array" ref="I1678">_xlfn.IFS(F1678&gt;=100,"Over weight",F1678&lt;100,"Average weight")</f>
        <v>Average weight</v>
      </c>
      <c r="J1678" s="2" t="str" cm="1">
        <f t="array" ref="J1678">_xlfn.IFS(G1678&lt;164,"Below Average height",G1678&gt;=165,"Above Average height",G1678=164,"Average height")</f>
        <v>Above Average height</v>
      </c>
      <c r="K1678" s="2" t="str" cm="1">
        <f t="array" ref="K1678">_xlfn.IFS(E1678&lt;=16,"Children",E1678&lt;=30,"Young Adults",E1678&lt;=45,"Middle-aged Adults",E1678&gt;45,"Old Adults")</f>
        <v>Middle-aged Adults</v>
      </c>
    </row>
    <row r="1679" spans="1:11" x14ac:dyDescent="0.45">
      <c r="A1679" s="2">
        <v>1972</v>
      </c>
      <c r="B1679" s="2" t="s">
        <v>2076</v>
      </c>
      <c r="C1679" s="2" t="s">
        <v>91</v>
      </c>
      <c r="D1679" s="2" t="s">
        <v>75</v>
      </c>
      <c r="E1679" s="2">
        <v>36</v>
      </c>
      <c r="F1679" s="2">
        <v>89</v>
      </c>
      <c r="G1679" s="2">
        <v>186</v>
      </c>
      <c r="H1679" s="9">
        <f t="shared" si="26"/>
        <v>25.725517400855587</v>
      </c>
      <c r="I1679" s="2" t="str" cm="1">
        <f t="array" ref="I1679">_xlfn.IFS(F1679&gt;=100,"Over weight",F1679&lt;100,"Average weight")</f>
        <v>Average weight</v>
      </c>
      <c r="J1679" s="2" t="str" cm="1">
        <f t="array" ref="J1679">_xlfn.IFS(G1679&lt;164,"Below Average height",G1679&gt;=165,"Above Average height",G1679=164,"Average height")</f>
        <v>Above Average height</v>
      </c>
      <c r="K1679" s="2" t="str" cm="1">
        <f t="array" ref="K1679">_xlfn.IFS(E1679&lt;=16,"Children",E1679&lt;=30,"Young Adults",E1679&lt;=45,"Middle-aged Adults",E1679&gt;45,"Old Adults")</f>
        <v>Middle-aged Adults</v>
      </c>
    </row>
    <row r="1680" spans="1:11" x14ac:dyDescent="0.45">
      <c r="A1680" s="2">
        <v>1973</v>
      </c>
      <c r="B1680" s="2" t="s">
        <v>2077</v>
      </c>
      <c r="C1680" s="2" t="s">
        <v>91</v>
      </c>
      <c r="D1680" s="2" t="s">
        <v>80</v>
      </c>
      <c r="E1680" s="2">
        <v>30</v>
      </c>
      <c r="F1680" s="2">
        <v>86</v>
      </c>
      <c r="G1680" s="2">
        <v>175</v>
      </c>
      <c r="H1680" s="9">
        <f t="shared" si="26"/>
        <v>28.081632653061224</v>
      </c>
      <c r="I1680" s="2" t="str" cm="1">
        <f t="array" ref="I1680">_xlfn.IFS(F1680&gt;=100,"Over weight",F1680&lt;100,"Average weight")</f>
        <v>Average weight</v>
      </c>
      <c r="J1680" s="2" t="str" cm="1">
        <f t="array" ref="J1680">_xlfn.IFS(G1680&lt;164,"Below Average height",G1680&gt;=165,"Above Average height",G1680=164,"Average height")</f>
        <v>Above Average height</v>
      </c>
      <c r="K1680" s="2" t="str" cm="1">
        <f t="array" ref="K1680">_xlfn.IFS(E1680&lt;=16,"Children",E1680&lt;=30,"Young Adults",E1680&lt;=45,"Middle-aged Adults",E1680&gt;45,"Old Adults")</f>
        <v>Young Adults</v>
      </c>
    </row>
    <row r="1681" spans="1:11" x14ac:dyDescent="0.45">
      <c r="A1681" s="2">
        <v>1974</v>
      </c>
      <c r="B1681" s="2" t="s">
        <v>2078</v>
      </c>
      <c r="C1681" s="2" t="s">
        <v>85</v>
      </c>
      <c r="D1681" s="2" t="s">
        <v>73</v>
      </c>
      <c r="E1681" s="2">
        <v>28</v>
      </c>
      <c r="F1681" s="2">
        <v>66</v>
      </c>
      <c r="G1681" s="2">
        <v>165</v>
      </c>
      <c r="H1681" s="9">
        <f t="shared" si="26"/>
        <v>24.242424242424246</v>
      </c>
      <c r="I1681" s="2" t="str" cm="1">
        <f t="array" ref="I1681">_xlfn.IFS(F1681&gt;=100,"Over weight",F1681&lt;100,"Average weight")</f>
        <v>Average weight</v>
      </c>
      <c r="J1681" s="2" t="str" cm="1">
        <f t="array" ref="J1681">_xlfn.IFS(G1681&lt;164,"Below Average height",G1681&gt;=165,"Above Average height",G1681=164,"Average height")</f>
        <v>Above Average height</v>
      </c>
      <c r="K1681" s="2" t="str" cm="1">
        <f t="array" ref="K1681">_xlfn.IFS(E1681&lt;=16,"Children",E1681&lt;=30,"Young Adults",E1681&lt;=45,"Middle-aged Adults",E1681&gt;45,"Old Adults")</f>
        <v>Young Adults</v>
      </c>
    </row>
    <row r="1682" spans="1:11" x14ac:dyDescent="0.45">
      <c r="A1682" s="2">
        <v>1975</v>
      </c>
      <c r="B1682" s="2" t="s">
        <v>2079</v>
      </c>
      <c r="C1682" s="2" t="s">
        <v>94</v>
      </c>
      <c r="D1682" s="2" t="s">
        <v>73</v>
      </c>
      <c r="E1682" s="2">
        <v>32</v>
      </c>
      <c r="F1682" s="2">
        <v>65</v>
      </c>
      <c r="G1682" s="2">
        <v>176</v>
      </c>
      <c r="H1682" s="9">
        <f t="shared" si="26"/>
        <v>20.983987603305785</v>
      </c>
      <c r="I1682" s="2" t="str" cm="1">
        <f t="array" ref="I1682">_xlfn.IFS(F1682&gt;=100,"Over weight",F1682&lt;100,"Average weight")</f>
        <v>Average weight</v>
      </c>
      <c r="J1682" s="2" t="str" cm="1">
        <f t="array" ref="J1682">_xlfn.IFS(G1682&lt;164,"Below Average height",G1682&gt;=165,"Above Average height",G1682=164,"Average height")</f>
        <v>Above Average height</v>
      </c>
      <c r="K1682" s="2" t="str" cm="1">
        <f t="array" ref="K1682">_xlfn.IFS(E1682&lt;=16,"Children",E1682&lt;=30,"Young Adults",E1682&lt;=45,"Middle-aged Adults",E1682&gt;45,"Old Adults")</f>
        <v>Middle-aged Adults</v>
      </c>
    </row>
    <row r="1683" spans="1:11" x14ac:dyDescent="0.45">
      <c r="A1683" s="2">
        <v>1976</v>
      </c>
      <c r="B1683" s="2" t="s">
        <v>2080</v>
      </c>
      <c r="C1683" s="2" t="s">
        <v>89</v>
      </c>
      <c r="D1683" s="2" t="s">
        <v>60</v>
      </c>
      <c r="E1683" s="2">
        <v>21</v>
      </c>
      <c r="F1683" s="2">
        <v>69</v>
      </c>
      <c r="G1683" s="2">
        <v>200</v>
      </c>
      <c r="H1683" s="9">
        <f t="shared" si="26"/>
        <v>17.25</v>
      </c>
      <c r="I1683" s="2" t="str" cm="1">
        <f t="array" ref="I1683">_xlfn.IFS(F1683&gt;=100,"Over weight",F1683&lt;100,"Average weight")</f>
        <v>Average weight</v>
      </c>
      <c r="J1683" s="2" t="str" cm="1">
        <f t="array" ref="J1683">_xlfn.IFS(G1683&lt;164,"Below Average height",G1683&gt;=165,"Above Average height",G1683=164,"Average height")</f>
        <v>Above Average height</v>
      </c>
      <c r="K1683" s="2" t="str" cm="1">
        <f t="array" ref="K1683">_xlfn.IFS(E1683&lt;=16,"Children",E1683&lt;=30,"Young Adults",E1683&lt;=45,"Middle-aged Adults",E1683&gt;45,"Old Adults")</f>
        <v>Young Adults</v>
      </c>
    </row>
    <row r="1684" spans="1:11" x14ac:dyDescent="0.45">
      <c r="A1684" s="2">
        <v>1977</v>
      </c>
      <c r="B1684" s="2" t="s">
        <v>2081</v>
      </c>
      <c r="C1684" s="2" t="s">
        <v>85</v>
      </c>
      <c r="D1684" s="2" t="s">
        <v>49</v>
      </c>
      <c r="E1684" s="2">
        <v>24</v>
      </c>
      <c r="F1684" s="2">
        <v>72</v>
      </c>
      <c r="G1684" s="2">
        <v>178</v>
      </c>
      <c r="H1684" s="9">
        <f t="shared" si="26"/>
        <v>22.724403484408533</v>
      </c>
      <c r="I1684" s="2" t="str" cm="1">
        <f t="array" ref="I1684">_xlfn.IFS(F1684&gt;=100,"Over weight",F1684&lt;100,"Average weight")</f>
        <v>Average weight</v>
      </c>
      <c r="J1684" s="2" t="str" cm="1">
        <f t="array" ref="J1684">_xlfn.IFS(G1684&lt;164,"Below Average height",G1684&gt;=165,"Above Average height",G1684=164,"Average height")</f>
        <v>Above Average height</v>
      </c>
      <c r="K1684" s="2" t="str" cm="1">
        <f t="array" ref="K1684">_xlfn.IFS(E1684&lt;=16,"Children",E1684&lt;=30,"Young Adults",E1684&lt;=45,"Middle-aged Adults",E1684&gt;45,"Old Adults")</f>
        <v>Young Adults</v>
      </c>
    </row>
    <row r="1685" spans="1:11" x14ac:dyDescent="0.45">
      <c r="A1685" s="2">
        <v>1978</v>
      </c>
      <c r="B1685" s="2" t="s">
        <v>2082</v>
      </c>
      <c r="C1685" s="2" t="s">
        <v>89</v>
      </c>
      <c r="D1685" s="2" t="s">
        <v>66</v>
      </c>
      <c r="E1685" s="2">
        <v>23</v>
      </c>
      <c r="F1685" s="2">
        <v>75</v>
      </c>
      <c r="G1685" s="2">
        <v>180</v>
      </c>
      <c r="H1685" s="9">
        <f t="shared" si="26"/>
        <v>23.148148148148145</v>
      </c>
      <c r="I1685" s="2" t="str" cm="1">
        <f t="array" ref="I1685">_xlfn.IFS(F1685&gt;=100,"Over weight",F1685&lt;100,"Average weight")</f>
        <v>Average weight</v>
      </c>
      <c r="J1685" s="2" t="str" cm="1">
        <f t="array" ref="J1685">_xlfn.IFS(G1685&lt;164,"Below Average height",G1685&gt;=165,"Above Average height",G1685=164,"Average height")</f>
        <v>Above Average height</v>
      </c>
      <c r="K1685" s="2" t="str" cm="1">
        <f t="array" ref="K1685">_xlfn.IFS(E1685&lt;=16,"Children",E1685&lt;=30,"Young Adults",E1685&lt;=45,"Middle-aged Adults",E1685&gt;45,"Old Adults")</f>
        <v>Young Adults</v>
      </c>
    </row>
    <row r="1686" spans="1:11" x14ac:dyDescent="0.45">
      <c r="A1686" s="2">
        <v>1979</v>
      </c>
      <c r="B1686" s="2" t="s">
        <v>2083</v>
      </c>
      <c r="C1686" s="2" t="s">
        <v>91</v>
      </c>
      <c r="D1686" s="2" t="s">
        <v>74</v>
      </c>
      <c r="E1686" s="2">
        <v>25</v>
      </c>
      <c r="F1686" s="2">
        <v>75</v>
      </c>
      <c r="G1686" s="2">
        <v>178</v>
      </c>
      <c r="H1686" s="9">
        <f t="shared" si="26"/>
        <v>23.671253629592222</v>
      </c>
      <c r="I1686" s="2" t="str" cm="1">
        <f t="array" ref="I1686">_xlfn.IFS(F1686&gt;=100,"Over weight",F1686&lt;100,"Average weight")</f>
        <v>Average weight</v>
      </c>
      <c r="J1686" s="2" t="str" cm="1">
        <f t="array" ref="J1686">_xlfn.IFS(G1686&lt;164,"Below Average height",G1686&gt;=165,"Above Average height",G1686=164,"Average height")</f>
        <v>Above Average height</v>
      </c>
      <c r="K1686" s="2" t="str" cm="1">
        <f t="array" ref="K1686">_xlfn.IFS(E1686&lt;=16,"Children",E1686&lt;=30,"Young Adults",E1686&lt;=45,"Middle-aged Adults",E1686&gt;45,"Old Adults")</f>
        <v>Young Adults</v>
      </c>
    </row>
    <row r="1687" spans="1:11" x14ac:dyDescent="0.45">
      <c r="A1687" s="2">
        <v>1980</v>
      </c>
      <c r="B1687" s="2" t="s">
        <v>2084</v>
      </c>
      <c r="C1687" s="2" t="s">
        <v>97</v>
      </c>
      <c r="D1687" s="2" t="s">
        <v>39</v>
      </c>
      <c r="E1687" s="2">
        <v>22</v>
      </c>
      <c r="F1687" s="2">
        <v>60</v>
      </c>
      <c r="G1687" s="2">
        <v>169</v>
      </c>
      <c r="H1687" s="9">
        <f t="shared" si="26"/>
        <v>21.007667798746546</v>
      </c>
      <c r="I1687" s="2" t="str" cm="1">
        <f t="array" ref="I1687">_xlfn.IFS(F1687&gt;=100,"Over weight",F1687&lt;100,"Average weight")</f>
        <v>Average weight</v>
      </c>
      <c r="J1687" s="2" t="str" cm="1">
        <f t="array" ref="J1687">_xlfn.IFS(G1687&lt;164,"Below Average height",G1687&gt;=165,"Above Average height",G1687=164,"Average height")</f>
        <v>Above Average height</v>
      </c>
      <c r="K1687" s="2" t="str" cm="1">
        <f t="array" ref="K1687">_xlfn.IFS(E1687&lt;=16,"Children",E1687&lt;=30,"Young Adults",E1687&lt;=45,"Middle-aged Adults",E1687&gt;45,"Old Adults")</f>
        <v>Young Adults</v>
      </c>
    </row>
    <row r="1688" spans="1:11" x14ac:dyDescent="0.45">
      <c r="A1688" s="2">
        <v>1981</v>
      </c>
      <c r="B1688" s="2" t="s">
        <v>2085</v>
      </c>
      <c r="C1688" s="2" t="s">
        <v>93</v>
      </c>
      <c r="D1688" s="2" t="s">
        <v>25</v>
      </c>
      <c r="E1688" s="2">
        <v>29</v>
      </c>
      <c r="F1688" s="2">
        <v>63</v>
      </c>
      <c r="G1688" s="2">
        <v>168</v>
      </c>
      <c r="H1688" s="9">
        <f t="shared" si="26"/>
        <v>22.321428571428577</v>
      </c>
      <c r="I1688" s="2" t="str" cm="1">
        <f t="array" ref="I1688">_xlfn.IFS(F1688&gt;=100,"Over weight",F1688&lt;100,"Average weight")</f>
        <v>Average weight</v>
      </c>
      <c r="J1688" s="2" t="str" cm="1">
        <f t="array" ref="J1688">_xlfn.IFS(G1688&lt;164,"Below Average height",G1688&gt;=165,"Above Average height",G1688=164,"Average height")</f>
        <v>Above Average height</v>
      </c>
      <c r="K1688" s="2" t="str" cm="1">
        <f t="array" ref="K1688">_xlfn.IFS(E1688&lt;=16,"Children",E1688&lt;=30,"Young Adults",E1688&lt;=45,"Middle-aged Adults",E1688&gt;45,"Old Adults")</f>
        <v>Young Adults</v>
      </c>
    </row>
    <row r="1689" spans="1:11" x14ac:dyDescent="0.45">
      <c r="A1689" s="2">
        <v>1982</v>
      </c>
      <c r="B1689" s="2" t="s">
        <v>2086</v>
      </c>
      <c r="C1689" s="2" t="s">
        <v>94</v>
      </c>
      <c r="D1689" s="2" t="s">
        <v>39</v>
      </c>
      <c r="E1689" s="2">
        <v>24</v>
      </c>
      <c r="F1689" s="2">
        <v>57</v>
      </c>
      <c r="G1689" s="2">
        <v>173</v>
      </c>
      <c r="H1689" s="9">
        <f t="shared" si="26"/>
        <v>19.045073340238563</v>
      </c>
      <c r="I1689" s="2" t="str" cm="1">
        <f t="array" ref="I1689">_xlfn.IFS(F1689&gt;=100,"Over weight",F1689&lt;100,"Average weight")</f>
        <v>Average weight</v>
      </c>
      <c r="J1689" s="2" t="str" cm="1">
        <f t="array" ref="J1689">_xlfn.IFS(G1689&lt;164,"Below Average height",G1689&gt;=165,"Above Average height",G1689=164,"Average height")</f>
        <v>Above Average height</v>
      </c>
      <c r="K1689" s="2" t="str" cm="1">
        <f t="array" ref="K1689">_xlfn.IFS(E1689&lt;=16,"Children",E1689&lt;=30,"Young Adults",E1689&lt;=45,"Middle-aged Adults",E1689&gt;45,"Old Adults")</f>
        <v>Young Adults</v>
      </c>
    </row>
    <row r="1690" spans="1:11" x14ac:dyDescent="0.45">
      <c r="A1690" s="2">
        <v>1983</v>
      </c>
      <c r="B1690" s="2" t="s">
        <v>2087</v>
      </c>
      <c r="C1690" s="2" t="s">
        <v>88</v>
      </c>
      <c r="D1690" s="2" t="s">
        <v>71</v>
      </c>
      <c r="E1690" s="2">
        <v>32</v>
      </c>
      <c r="F1690" s="2">
        <v>85</v>
      </c>
      <c r="G1690" s="2">
        <v>189</v>
      </c>
      <c r="H1690" s="9">
        <f t="shared" si="26"/>
        <v>23.795526441029089</v>
      </c>
      <c r="I1690" s="2" t="str" cm="1">
        <f t="array" ref="I1690">_xlfn.IFS(F1690&gt;=100,"Over weight",F1690&lt;100,"Average weight")</f>
        <v>Average weight</v>
      </c>
      <c r="J1690" s="2" t="str" cm="1">
        <f t="array" ref="J1690">_xlfn.IFS(G1690&lt;164,"Below Average height",G1690&gt;=165,"Above Average height",G1690=164,"Average height")</f>
        <v>Above Average height</v>
      </c>
      <c r="K1690" s="2" t="str" cm="1">
        <f t="array" ref="K1690">_xlfn.IFS(E1690&lt;=16,"Children",E1690&lt;=30,"Young Adults",E1690&lt;=45,"Middle-aged Adults",E1690&gt;45,"Old Adults")</f>
        <v>Middle-aged Adults</v>
      </c>
    </row>
    <row r="1691" spans="1:11" x14ac:dyDescent="0.45">
      <c r="A1691" s="2">
        <v>1984</v>
      </c>
      <c r="B1691" s="2" t="s">
        <v>2088</v>
      </c>
      <c r="C1691" s="2" t="s">
        <v>90</v>
      </c>
      <c r="D1691" s="2" t="s">
        <v>14</v>
      </c>
      <c r="E1691" s="2">
        <v>29</v>
      </c>
      <c r="F1691" s="2">
        <v>102</v>
      </c>
      <c r="G1691" s="2">
        <v>183</v>
      </c>
      <c r="H1691" s="9">
        <f t="shared" si="26"/>
        <v>30.457762250291136</v>
      </c>
      <c r="I1691" s="2" t="str" cm="1">
        <f t="array" ref="I1691">_xlfn.IFS(F1691&gt;=100,"Over weight",F1691&lt;100,"Average weight")</f>
        <v>Over weight</v>
      </c>
      <c r="J1691" s="2" t="str" cm="1">
        <f t="array" ref="J1691">_xlfn.IFS(G1691&lt;164,"Below Average height",G1691&gt;=165,"Above Average height",G1691=164,"Average height")</f>
        <v>Above Average height</v>
      </c>
      <c r="K1691" s="2" t="str" cm="1">
        <f t="array" ref="K1691">_xlfn.IFS(E1691&lt;=16,"Children",E1691&lt;=30,"Young Adults",E1691&lt;=45,"Middle-aged Adults",E1691&gt;45,"Old Adults")</f>
        <v>Young Adults</v>
      </c>
    </row>
    <row r="1692" spans="1:11" x14ac:dyDescent="0.45">
      <c r="A1692" s="2">
        <v>1985</v>
      </c>
      <c r="B1692" s="2" t="s">
        <v>2089</v>
      </c>
      <c r="C1692" s="2" t="s">
        <v>91</v>
      </c>
      <c r="D1692" s="2" t="s">
        <v>75</v>
      </c>
      <c r="E1692" s="2">
        <v>33</v>
      </c>
      <c r="F1692" s="2">
        <v>77</v>
      </c>
      <c r="G1692" s="2">
        <v>173</v>
      </c>
      <c r="H1692" s="9">
        <f t="shared" si="26"/>
        <v>25.727555214006482</v>
      </c>
      <c r="I1692" s="2" t="str" cm="1">
        <f t="array" ref="I1692">_xlfn.IFS(F1692&gt;=100,"Over weight",F1692&lt;100,"Average weight")</f>
        <v>Average weight</v>
      </c>
      <c r="J1692" s="2" t="str" cm="1">
        <f t="array" ref="J1692">_xlfn.IFS(G1692&lt;164,"Below Average height",G1692&gt;=165,"Above Average height",G1692=164,"Average height")</f>
        <v>Above Average height</v>
      </c>
      <c r="K1692" s="2" t="str" cm="1">
        <f t="array" ref="K1692">_xlfn.IFS(E1692&lt;=16,"Children",E1692&lt;=30,"Young Adults",E1692&lt;=45,"Middle-aged Adults",E1692&gt;45,"Old Adults")</f>
        <v>Middle-aged Adults</v>
      </c>
    </row>
    <row r="1693" spans="1:11" x14ac:dyDescent="0.45">
      <c r="A1693" s="2">
        <v>1986</v>
      </c>
      <c r="B1693" s="2" t="s">
        <v>2090</v>
      </c>
      <c r="C1693" s="2" t="s">
        <v>92</v>
      </c>
      <c r="D1693" s="2" t="s">
        <v>63</v>
      </c>
      <c r="E1693" s="2">
        <v>22</v>
      </c>
      <c r="F1693" s="2">
        <v>61</v>
      </c>
      <c r="G1693" s="2">
        <v>176</v>
      </c>
      <c r="H1693" s="9">
        <f t="shared" si="26"/>
        <v>19.692665289256198</v>
      </c>
      <c r="I1693" s="2" t="str" cm="1">
        <f t="array" ref="I1693">_xlfn.IFS(F1693&gt;=100,"Over weight",F1693&lt;100,"Average weight")</f>
        <v>Average weight</v>
      </c>
      <c r="J1693" s="2" t="str" cm="1">
        <f t="array" ref="J1693">_xlfn.IFS(G1693&lt;164,"Below Average height",G1693&gt;=165,"Above Average height",G1693=164,"Average height")</f>
        <v>Above Average height</v>
      </c>
      <c r="K1693" s="2" t="str" cm="1">
        <f t="array" ref="K1693">_xlfn.IFS(E1693&lt;=16,"Children",E1693&lt;=30,"Young Adults",E1693&lt;=45,"Middle-aged Adults",E1693&gt;45,"Old Adults")</f>
        <v>Young Adults</v>
      </c>
    </row>
    <row r="1694" spans="1:11" x14ac:dyDescent="0.45">
      <c r="A1694" s="2">
        <v>1987</v>
      </c>
      <c r="B1694" s="2" t="s">
        <v>2091</v>
      </c>
      <c r="C1694" s="2" t="s">
        <v>91</v>
      </c>
      <c r="D1694" s="2" t="s">
        <v>25</v>
      </c>
      <c r="E1694" s="2">
        <v>34</v>
      </c>
      <c r="F1694" s="2">
        <v>94</v>
      </c>
      <c r="G1694" s="2">
        <v>188</v>
      </c>
      <c r="H1694" s="9">
        <f t="shared" si="26"/>
        <v>26.595744680851066</v>
      </c>
      <c r="I1694" s="2" t="str" cm="1">
        <f t="array" ref="I1694">_xlfn.IFS(F1694&gt;=100,"Over weight",F1694&lt;100,"Average weight")</f>
        <v>Average weight</v>
      </c>
      <c r="J1694" s="2" t="str" cm="1">
        <f t="array" ref="J1694">_xlfn.IFS(G1694&lt;164,"Below Average height",G1694&gt;=165,"Above Average height",G1694=164,"Average height")</f>
        <v>Above Average height</v>
      </c>
      <c r="K1694" s="2" t="str" cm="1">
        <f t="array" ref="K1694">_xlfn.IFS(E1694&lt;=16,"Children",E1694&lt;=30,"Young Adults",E1694&lt;=45,"Middle-aged Adults",E1694&gt;45,"Old Adults")</f>
        <v>Middle-aged Adults</v>
      </c>
    </row>
    <row r="1695" spans="1:11" x14ac:dyDescent="0.45">
      <c r="A1695" s="2">
        <v>1988</v>
      </c>
      <c r="B1695" s="2" t="s">
        <v>2092</v>
      </c>
      <c r="C1695" s="2" t="s">
        <v>91</v>
      </c>
      <c r="D1695" s="2" t="s">
        <v>25</v>
      </c>
      <c r="E1695" s="2">
        <v>26</v>
      </c>
      <c r="F1695" s="2">
        <v>94</v>
      </c>
      <c r="G1695" s="2">
        <v>184</v>
      </c>
      <c r="H1695" s="9">
        <f t="shared" si="26"/>
        <v>27.764650283553873</v>
      </c>
      <c r="I1695" s="2" t="str" cm="1">
        <f t="array" ref="I1695">_xlfn.IFS(F1695&gt;=100,"Over weight",F1695&lt;100,"Average weight")</f>
        <v>Average weight</v>
      </c>
      <c r="J1695" s="2" t="str" cm="1">
        <f t="array" ref="J1695">_xlfn.IFS(G1695&lt;164,"Below Average height",G1695&gt;=165,"Above Average height",G1695=164,"Average height")</f>
        <v>Above Average height</v>
      </c>
      <c r="K1695" s="2" t="str" cm="1">
        <f t="array" ref="K1695">_xlfn.IFS(E1695&lt;=16,"Children",E1695&lt;=30,"Young Adults",E1695&lt;=45,"Middle-aged Adults",E1695&gt;45,"Old Adults")</f>
        <v>Young Adults</v>
      </c>
    </row>
    <row r="1696" spans="1:11" x14ac:dyDescent="0.45">
      <c r="A1696" s="2">
        <v>1989</v>
      </c>
      <c r="B1696" s="2" t="s">
        <v>2093</v>
      </c>
      <c r="C1696" s="2" t="s">
        <v>91</v>
      </c>
      <c r="D1696" s="2" t="s">
        <v>8</v>
      </c>
      <c r="E1696" s="2">
        <v>31</v>
      </c>
      <c r="F1696" s="2">
        <v>93</v>
      </c>
      <c r="G1696" s="2">
        <v>189</v>
      </c>
      <c r="H1696" s="9">
        <f t="shared" si="26"/>
        <v>26.035105400184765</v>
      </c>
      <c r="I1696" s="2" t="str" cm="1">
        <f t="array" ref="I1696">_xlfn.IFS(F1696&gt;=100,"Over weight",F1696&lt;100,"Average weight")</f>
        <v>Average weight</v>
      </c>
      <c r="J1696" s="2" t="str" cm="1">
        <f t="array" ref="J1696">_xlfn.IFS(G1696&lt;164,"Below Average height",G1696&gt;=165,"Above Average height",G1696=164,"Average height")</f>
        <v>Above Average height</v>
      </c>
      <c r="K1696" s="2" t="str" cm="1">
        <f t="array" ref="K1696">_xlfn.IFS(E1696&lt;=16,"Children",E1696&lt;=30,"Young Adults",E1696&lt;=45,"Middle-aged Adults",E1696&gt;45,"Old Adults")</f>
        <v>Middle-aged Adults</v>
      </c>
    </row>
    <row r="1697" spans="1:11" x14ac:dyDescent="0.45">
      <c r="A1697" s="2">
        <v>1990</v>
      </c>
      <c r="B1697" s="2" t="s">
        <v>2094</v>
      </c>
      <c r="C1697" s="2" t="s">
        <v>90</v>
      </c>
      <c r="D1697" s="2" t="s">
        <v>5</v>
      </c>
      <c r="E1697" s="2">
        <v>29</v>
      </c>
      <c r="F1697" s="2">
        <v>100</v>
      </c>
      <c r="G1697" s="2">
        <v>185</v>
      </c>
      <c r="H1697" s="9">
        <f t="shared" si="26"/>
        <v>29.218407596785973</v>
      </c>
      <c r="I1697" s="2" t="str" cm="1">
        <f t="array" ref="I1697">_xlfn.IFS(F1697&gt;=100,"Over weight",F1697&lt;100,"Average weight")</f>
        <v>Over weight</v>
      </c>
      <c r="J1697" s="2" t="str" cm="1">
        <f t="array" ref="J1697">_xlfn.IFS(G1697&lt;164,"Below Average height",G1697&gt;=165,"Above Average height",G1697=164,"Average height")</f>
        <v>Above Average height</v>
      </c>
      <c r="K1697" s="2" t="str" cm="1">
        <f t="array" ref="K1697">_xlfn.IFS(E1697&lt;=16,"Children",E1697&lt;=30,"Young Adults",E1697&lt;=45,"Middle-aged Adults",E1697&gt;45,"Old Adults")</f>
        <v>Young Adults</v>
      </c>
    </row>
    <row r="1698" spans="1:11" x14ac:dyDescent="0.45">
      <c r="A1698" s="2">
        <v>1991</v>
      </c>
      <c r="B1698" s="2" t="s">
        <v>2095</v>
      </c>
      <c r="C1698" s="2" t="s">
        <v>91</v>
      </c>
      <c r="D1698" s="2" t="s">
        <v>80</v>
      </c>
      <c r="E1698" s="2">
        <v>22</v>
      </c>
      <c r="F1698" s="2">
        <v>94</v>
      </c>
      <c r="G1698" s="2">
        <v>188</v>
      </c>
      <c r="H1698" s="9">
        <f t="shared" si="26"/>
        <v>26.595744680851066</v>
      </c>
      <c r="I1698" s="2" t="str" cm="1">
        <f t="array" ref="I1698">_xlfn.IFS(F1698&gt;=100,"Over weight",F1698&lt;100,"Average weight")</f>
        <v>Average weight</v>
      </c>
      <c r="J1698" s="2" t="str" cm="1">
        <f t="array" ref="J1698">_xlfn.IFS(G1698&lt;164,"Below Average height",G1698&gt;=165,"Above Average height",G1698=164,"Average height")</f>
        <v>Above Average height</v>
      </c>
      <c r="K1698" s="2" t="str" cm="1">
        <f t="array" ref="K1698">_xlfn.IFS(E1698&lt;=16,"Children",E1698&lt;=30,"Young Adults",E1698&lt;=45,"Middle-aged Adults",E1698&gt;45,"Old Adults")</f>
        <v>Young Adults</v>
      </c>
    </row>
    <row r="1699" spans="1:11" x14ac:dyDescent="0.45">
      <c r="A1699" s="2">
        <v>1992</v>
      </c>
      <c r="B1699" s="2" t="s">
        <v>2096</v>
      </c>
      <c r="C1699" s="2" t="s">
        <v>89</v>
      </c>
      <c r="D1699" s="2" t="s">
        <v>42</v>
      </c>
      <c r="E1699" s="2">
        <v>28</v>
      </c>
      <c r="F1699" s="2">
        <v>69</v>
      </c>
      <c r="G1699" s="2">
        <v>178</v>
      </c>
      <c r="H1699" s="9">
        <f t="shared" si="26"/>
        <v>21.777553339224845</v>
      </c>
      <c r="I1699" s="2" t="str" cm="1">
        <f t="array" ref="I1699">_xlfn.IFS(F1699&gt;=100,"Over weight",F1699&lt;100,"Average weight")</f>
        <v>Average weight</v>
      </c>
      <c r="J1699" s="2" t="str" cm="1">
        <f t="array" ref="J1699">_xlfn.IFS(G1699&lt;164,"Below Average height",G1699&gt;=165,"Above Average height",G1699=164,"Average height")</f>
        <v>Above Average height</v>
      </c>
      <c r="K1699" s="2" t="str" cm="1">
        <f t="array" ref="K1699">_xlfn.IFS(E1699&lt;=16,"Children",E1699&lt;=30,"Young Adults",E1699&lt;=45,"Middle-aged Adults",E1699&gt;45,"Old Adults")</f>
        <v>Young Adults</v>
      </c>
    </row>
    <row r="1700" spans="1:11" x14ac:dyDescent="0.45">
      <c r="A1700" s="2">
        <v>1994</v>
      </c>
      <c r="B1700" s="2" t="s">
        <v>2098</v>
      </c>
      <c r="C1700" s="2" t="s">
        <v>85</v>
      </c>
      <c r="D1700" s="2" t="s">
        <v>30</v>
      </c>
      <c r="E1700" s="2">
        <v>23</v>
      </c>
      <c r="F1700" s="2">
        <v>74</v>
      </c>
      <c r="G1700" s="2">
        <v>180</v>
      </c>
      <c r="H1700" s="9">
        <f t="shared" si="26"/>
        <v>22.839506172839506</v>
      </c>
      <c r="I1700" s="2" t="str" cm="1">
        <f t="array" ref="I1700">_xlfn.IFS(F1700&gt;=100,"Over weight",F1700&lt;100,"Average weight")</f>
        <v>Average weight</v>
      </c>
      <c r="J1700" s="2" t="str" cm="1">
        <f t="array" ref="J1700">_xlfn.IFS(G1700&lt;164,"Below Average height",G1700&gt;=165,"Above Average height",G1700=164,"Average height")</f>
        <v>Above Average height</v>
      </c>
      <c r="K1700" s="2" t="str" cm="1">
        <f t="array" ref="K1700">_xlfn.IFS(E1700&lt;=16,"Children",E1700&lt;=30,"Young Adults",E1700&lt;=45,"Middle-aged Adults",E1700&gt;45,"Old Adults")</f>
        <v>Young Adults</v>
      </c>
    </row>
    <row r="1701" spans="1:11" x14ac:dyDescent="0.45">
      <c r="A1701" s="2">
        <v>1995</v>
      </c>
      <c r="B1701" s="2" t="s">
        <v>2099</v>
      </c>
      <c r="C1701" s="2" t="s">
        <v>97</v>
      </c>
      <c r="D1701" s="2" t="s">
        <v>28</v>
      </c>
      <c r="E1701" s="2">
        <v>18</v>
      </c>
      <c r="F1701" s="2">
        <v>61</v>
      </c>
      <c r="G1701" s="2">
        <v>179</v>
      </c>
      <c r="H1701" s="9">
        <f t="shared" si="26"/>
        <v>19.038107424861895</v>
      </c>
      <c r="I1701" s="2" t="str" cm="1">
        <f t="array" ref="I1701">_xlfn.IFS(F1701&gt;=100,"Over weight",F1701&lt;100,"Average weight")</f>
        <v>Average weight</v>
      </c>
      <c r="J1701" s="2" t="str" cm="1">
        <f t="array" ref="J1701">_xlfn.IFS(G1701&lt;164,"Below Average height",G1701&gt;=165,"Above Average height",G1701=164,"Average height")</f>
        <v>Above Average height</v>
      </c>
      <c r="K1701" s="2" t="str" cm="1">
        <f t="array" ref="K1701">_xlfn.IFS(E1701&lt;=16,"Children",E1701&lt;=30,"Young Adults",E1701&lt;=45,"Middle-aged Adults",E1701&gt;45,"Old Adults")</f>
        <v>Young Adults</v>
      </c>
    </row>
    <row r="1702" spans="1:11" x14ac:dyDescent="0.45">
      <c r="A1702" s="2">
        <v>1996</v>
      </c>
      <c r="B1702" s="2" t="s">
        <v>2100</v>
      </c>
      <c r="C1702" s="2" t="s">
        <v>97</v>
      </c>
      <c r="D1702" s="2" t="s">
        <v>25</v>
      </c>
      <c r="E1702" s="2">
        <v>22</v>
      </c>
      <c r="F1702" s="2">
        <v>58</v>
      </c>
      <c r="G1702" s="2">
        <v>175</v>
      </c>
      <c r="H1702" s="9">
        <f t="shared" si="26"/>
        <v>18.938775510204081</v>
      </c>
      <c r="I1702" s="2" t="str" cm="1">
        <f t="array" ref="I1702">_xlfn.IFS(F1702&gt;=100,"Over weight",F1702&lt;100,"Average weight")</f>
        <v>Average weight</v>
      </c>
      <c r="J1702" s="2" t="str" cm="1">
        <f t="array" ref="J1702">_xlfn.IFS(G1702&lt;164,"Below Average height",G1702&gt;=165,"Above Average height",G1702=164,"Average height")</f>
        <v>Above Average height</v>
      </c>
      <c r="K1702" s="2" t="str" cm="1">
        <f t="array" ref="K1702">_xlfn.IFS(E1702&lt;=16,"Children",E1702&lt;=30,"Young Adults",E1702&lt;=45,"Middle-aged Adults",E1702&gt;45,"Old Adults")</f>
        <v>Young Adults</v>
      </c>
    </row>
    <row r="1703" spans="1:11" x14ac:dyDescent="0.45">
      <c r="A1703" s="2">
        <v>1997</v>
      </c>
      <c r="B1703" s="2" t="s">
        <v>2101</v>
      </c>
      <c r="C1703" s="2" t="s">
        <v>90</v>
      </c>
      <c r="D1703" s="2" t="s">
        <v>80</v>
      </c>
      <c r="E1703" s="2">
        <v>26</v>
      </c>
      <c r="F1703" s="2">
        <v>79</v>
      </c>
      <c r="G1703" s="2">
        <v>170</v>
      </c>
      <c r="H1703" s="9">
        <f t="shared" si="26"/>
        <v>27.335640138408309</v>
      </c>
      <c r="I1703" s="2" t="str" cm="1">
        <f t="array" ref="I1703">_xlfn.IFS(F1703&gt;=100,"Over weight",F1703&lt;100,"Average weight")</f>
        <v>Average weight</v>
      </c>
      <c r="J1703" s="2" t="str" cm="1">
        <f t="array" ref="J1703">_xlfn.IFS(G1703&lt;164,"Below Average height",G1703&gt;=165,"Above Average height",G1703=164,"Average height")</f>
        <v>Above Average height</v>
      </c>
      <c r="K1703" s="2" t="str" cm="1">
        <f t="array" ref="K1703">_xlfn.IFS(E1703&lt;=16,"Children",E1703&lt;=30,"Young Adults",E1703&lt;=45,"Middle-aged Adults",E1703&gt;45,"Old Adults")</f>
        <v>Young Adults</v>
      </c>
    </row>
    <row r="1704" spans="1:11" x14ac:dyDescent="0.45">
      <c r="A1704" s="2">
        <v>1998</v>
      </c>
      <c r="B1704" s="2" t="s">
        <v>2102</v>
      </c>
      <c r="C1704" s="2" t="s">
        <v>94</v>
      </c>
      <c r="D1704" s="2" t="s">
        <v>23</v>
      </c>
      <c r="E1704" s="2">
        <v>26</v>
      </c>
      <c r="F1704" s="2">
        <v>77</v>
      </c>
      <c r="G1704" s="2">
        <v>179</v>
      </c>
      <c r="H1704" s="9">
        <f t="shared" si="26"/>
        <v>24.031709372366656</v>
      </c>
      <c r="I1704" s="2" t="str" cm="1">
        <f t="array" ref="I1704">_xlfn.IFS(F1704&gt;=100,"Over weight",F1704&lt;100,"Average weight")</f>
        <v>Average weight</v>
      </c>
      <c r="J1704" s="2" t="str" cm="1">
        <f t="array" ref="J1704">_xlfn.IFS(G1704&lt;164,"Below Average height",G1704&gt;=165,"Above Average height",G1704=164,"Average height")</f>
        <v>Above Average height</v>
      </c>
      <c r="K1704" s="2" t="str" cm="1">
        <f t="array" ref="K1704">_xlfn.IFS(E1704&lt;=16,"Children",E1704&lt;=30,"Young Adults",E1704&lt;=45,"Middle-aged Adults",E1704&gt;45,"Old Adults")</f>
        <v>Young Adults</v>
      </c>
    </row>
    <row r="1705" spans="1:11" x14ac:dyDescent="0.45">
      <c r="A1705" s="2">
        <v>1999</v>
      </c>
      <c r="B1705" s="2" t="s">
        <v>2103</v>
      </c>
      <c r="C1705" s="2" t="s">
        <v>94</v>
      </c>
      <c r="D1705" s="2" t="s">
        <v>25</v>
      </c>
      <c r="E1705" s="2">
        <v>31</v>
      </c>
      <c r="F1705" s="2">
        <v>58</v>
      </c>
      <c r="G1705" s="2">
        <v>166</v>
      </c>
      <c r="H1705" s="9">
        <f t="shared" si="26"/>
        <v>21.048047612135289</v>
      </c>
      <c r="I1705" s="2" t="str" cm="1">
        <f t="array" ref="I1705">_xlfn.IFS(F1705&gt;=100,"Over weight",F1705&lt;100,"Average weight")</f>
        <v>Average weight</v>
      </c>
      <c r="J1705" s="2" t="str" cm="1">
        <f t="array" ref="J1705">_xlfn.IFS(G1705&lt;164,"Below Average height",G1705&gt;=165,"Above Average height",G1705=164,"Average height")</f>
        <v>Above Average height</v>
      </c>
      <c r="K1705" s="2" t="str" cm="1">
        <f t="array" ref="K1705">_xlfn.IFS(E1705&lt;=16,"Children",E1705&lt;=30,"Young Adults",E1705&lt;=45,"Middle-aged Adults",E1705&gt;45,"Old Adults")</f>
        <v>Middle-aged Adults</v>
      </c>
    </row>
    <row r="1706" spans="1:11" x14ac:dyDescent="0.45">
      <c r="A1706" s="2">
        <v>2000</v>
      </c>
      <c r="B1706" s="2" t="s">
        <v>2104</v>
      </c>
      <c r="C1706" s="2" t="s">
        <v>91</v>
      </c>
      <c r="D1706" s="2" t="s">
        <v>25</v>
      </c>
      <c r="E1706" s="2">
        <v>28</v>
      </c>
      <c r="F1706" s="2">
        <v>66</v>
      </c>
      <c r="G1706" s="2">
        <v>172</v>
      </c>
      <c r="H1706" s="9">
        <f t="shared" si="26"/>
        <v>22.309356408869661</v>
      </c>
      <c r="I1706" s="2" t="str" cm="1">
        <f t="array" ref="I1706">_xlfn.IFS(F1706&gt;=100,"Over weight",F1706&lt;100,"Average weight")</f>
        <v>Average weight</v>
      </c>
      <c r="J1706" s="2" t="str" cm="1">
        <f t="array" ref="J1706">_xlfn.IFS(G1706&lt;164,"Below Average height",G1706&gt;=165,"Above Average height",G1706=164,"Average height")</f>
        <v>Above Average height</v>
      </c>
      <c r="K1706" s="2" t="str" cm="1">
        <f t="array" ref="K1706">_xlfn.IFS(E1706&lt;=16,"Children",E1706&lt;=30,"Young Adults",E1706&lt;=45,"Middle-aged Adults",E1706&gt;45,"Old Adults")</f>
        <v>Young Adults</v>
      </c>
    </row>
    <row r="1707" spans="1:11" x14ac:dyDescent="0.45">
      <c r="A1707" s="2">
        <v>2001</v>
      </c>
      <c r="B1707" s="2" t="s">
        <v>2105</v>
      </c>
      <c r="C1707" s="2" t="s">
        <v>89</v>
      </c>
      <c r="D1707" s="2" t="s">
        <v>21</v>
      </c>
      <c r="E1707" s="2">
        <v>22</v>
      </c>
      <c r="F1707" s="2">
        <v>54</v>
      </c>
      <c r="G1707" s="2">
        <v>171</v>
      </c>
      <c r="H1707" s="9">
        <f t="shared" si="26"/>
        <v>18.467220683287167</v>
      </c>
      <c r="I1707" s="2" t="str" cm="1">
        <f t="array" ref="I1707">_xlfn.IFS(F1707&gt;=100,"Over weight",F1707&lt;100,"Average weight")</f>
        <v>Average weight</v>
      </c>
      <c r="J1707" s="2" t="str" cm="1">
        <f t="array" ref="J1707">_xlfn.IFS(G1707&lt;164,"Below Average height",G1707&gt;=165,"Above Average height",G1707=164,"Average height")</f>
        <v>Above Average height</v>
      </c>
      <c r="K1707" s="2" t="str" cm="1">
        <f t="array" ref="K1707">_xlfn.IFS(E1707&lt;=16,"Children",E1707&lt;=30,"Young Adults",E1707&lt;=45,"Middle-aged Adults",E1707&gt;45,"Old Adults")</f>
        <v>Young Adults</v>
      </c>
    </row>
    <row r="1708" spans="1:11" x14ac:dyDescent="0.45">
      <c r="A1708" s="2">
        <v>2002</v>
      </c>
      <c r="B1708" s="2" t="s">
        <v>2106</v>
      </c>
      <c r="C1708" s="2" t="s">
        <v>95</v>
      </c>
      <c r="D1708" s="2" t="s">
        <v>70</v>
      </c>
      <c r="E1708" s="2">
        <v>29</v>
      </c>
      <c r="F1708" s="2">
        <v>65</v>
      </c>
      <c r="G1708" s="2">
        <v>168</v>
      </c>
      <c r="H1708" s="9">
        <f t="shared" si="26"/>
        <v>23.030045351473927</v>
      </c>
      <c r="I1708" s="2" t="str" cm="1">
        <f t="array" ref="I1708">_xlfn.IFS(F1708&gt;=100,"Over weight",F1708&lt;100,"Average weight")</f>
        <v>Average weight</v>
      </c>
      <c r="J1708" s="2" t="str" cm="1">
        <f t="array" ref="J1708">_xlfn.IFS(G1708&lt;164,"Below Average height",G1708&gt;=165,"Above Average height",G1708=164,"Average height")</f>
        <v>Above Average height</v>
      </c>
      <c r="K1708" s="2" t="str" cm="1">
        <f t="array" ref="K1708">_xlfn.IFS(E1708&lt;=16,"Children",E1708&lt;=30,"Young Adults",E1708&lt;=45,"Middle-aged Adults",E1708&gt;45,"Old Adults")</f>
        <v>Young Adults</v>
      </c>
    </row>
    <row r="1709" spans="1:11" x14ac:dyDescent="0.45">
      <c r="A1709" s="2">
        <v>2004</v>
      </c>
      <c r="B1709" s="2" t="s">
        <v>2108</v>
      </c>
      <c r="C1709" s="2" t="s">
        <v>96</v>
      </c>
      <c r="D1709" s="2" t="s">
        <v>80</v>
      </c>
      <c r="E1709" s="2">
        <v>40</v>
      </c>
      <c r="F1709" s="2">
        <v>69</v>
      </c>
      <c r="G1709" s="2">
        <v>173</v>
      </c>
      <c r="H1709" s="9">
        <f t="shared" si="26"/>
        <v>23.054562464499313</v>
      </c>
      <c r="I1709" s="2" t="str" cm="1">
        <f t="array" ref="I1709">_xlfn.IFS(F1709&gt;=100,"Over weight",F1709&lt;100,"Average weight")</f>
        <v>Average weight</v>
      </c>
      <c r="J1709" s="2" t="str" cm="1">
        <f t="array" ref="J1709">_xlfn.IFS(G1709&lt;164,"Below Average height",G1709&gt;=165,"Above Average height",G1709=164,"Average height")</f>
        <v>Above Average height</v>
      </c>
      <c r="K1709" s="2" t="str" cm="1">
        <f t="array" ref="K1709">_xlfn.IFS(E1709&lt;=16,"Children",E1709&lt;=30,"Young Adults",E1709&lt;=45,"Middle-aged Adults",E1709&gt;45,"Old Adults")</f>
        <v>Middle-aged Adults</v>
      </c>
    </row>
    <row r="1710" spans="1:11" x14ac:dyDescent="0.45">
      <c r="A1710" s="2">
        <v>2007</v>
      </c>
      <c r="B1710" s="2" t="s">
        <v>2111</v>
      </c>
      <c r="C1710" s="2" t="s">
        <v>87</v>
      </c>
      <c r="D1710" s="2" t="s">
        <v>21</v>
      </c>
      <c r="E1710" s="2">
        <v>31</v>
      </c>
      <c r="F1710" s="2">
        <v>80</v>
      </c>
      <c r="G1710" s="2">
        <v>175</v>
      </c>
      <c r="H1710" s="9">
        <f t="shared" si="26"/>
        <v>26.122448979591837</v>
      </c>
      <c r="I1710" s="2" t="str" cm="1">
        <f t="array" ref="I1710">_xlfn.IFS(F1710&gt;=100,"Over weight",F1710&lt;100,"Average weight")</f>
        <v>Average weight</v>
      </c>
      <c r="J1710" s="2" t="str" cm="1">
        <f t="array" ref="J1710">_xlfn.IFS(G1710&lt;164,"Below Average height",G1710&gt;=165,"Above Average height",G1710=164,"Average height")</f>
        <v>Above Average height</v>
      </c>
      <c r="K1710" s="2" t="str" cm="1">
        <f t="array" ref="K1710">_xlfn.IFS(E1710&lt;=16,"Children",E1710&lt;=30,"Young Adults",E1710&lt;=45,"Middle-aged Adults",E1710&gt;45,"Old Adults")</f>
        <v>Middle-aged Adults</v>
      </c>
    </row>
    <row r="1711" spans="1:11" x14ac:dyDescent="0.45">
      <c r="A1711" s="2">
        <v>2008</v>
      </c>
      <c r="B1711" s="2" t="s">
        <v>2112</v>
      </c>
      <c r="C1711" s="2" t="s">
        <v>100</v>
      </c>
      <c r="D1711" s="2" t="s">
        <v>26</v>
      </c>
      <c r="E1711" s="2">
        <v>32</v>
      </c>
      <c r="F1711" s="2">
        <v>78</v>
      </c>
      <c r="G1711" s="2">
        <v>177</v>
      </c>
      <c r="H1711" s="9">
        <f t="shared" si="26"/>
        <v>24.897060231734173</v>
      </c>
      <c r="I1711" s="2" t="str" cm="1">
        <f t="array" ref="I1711">_xlfn.IFS(F1711&gt;=100,"Over weight",F1711&lt;100,"Average weight")</f>
        <v>Average weight</v>
      </c>
      <c r="J1711" s="2" t="str" cm="1">
        <f t="array" ref="J1711">_xlfn.IFS(G1711&lt;164,"Below Average height",G1711&gt;=165,"Above Average height",G1711=164,"Average height")</f>
        <v>Above Average height</v>
      </c>
      <c r="K1711" s="2" t="str" cm="1">
        <f t="array" ref="K1711">_xlfn.IFS(E1711&lt;=16,"Children",E1711&lt;=30,"Young Adults",E1711&lt;=45,"Middle-aged Adults",E1711&gt;45,"Old Adults")</f>
        <v>Middle-aged Adults</v>
      </c>
    </row>
    <row r="1712" spans="1:11" x14ac:dyDescent="0.45">
      <c r="A1712" s="2">
        <v>2011</v>
      </c>
      <c r="B1712" s="2" t="s">
        <v>2115</v>
      </c>
      <c r="C1712" s="2" t="s">
        <v>91</v>
      </c>
      <c r="D1712" s="2" t="s">
        <v>8</v>
      </c>
      <c r="E1712" s="2">
        <v>35</v>
      </c>
      <c r="F1712" s="2">
        <v>96</v>
      </c>
      <c r="G1712" s="2">
        <v>184</v>
      </c>
      <c r="H1712" s="9">
        <f t="shared" si="26"/>
        <v>28.355387523629489</v>
      </c>
      <c r="I1712" s="2" t="str" cm="1">
        <f t="array" ref="I1712">_xlfn.IFS(F1712&gt;=100,"Over weight",F1712&lt;100,"Average weight")</f>
        <v>Average weight</v>
      </c>
      <c r="J1712" s="2" t="str" cm="1">
        <f t="array" ref="J1712">_xlfn.IFS(G1712&lt;164,"Below Average height",G1712&gt;=165,"Above Average height",G1712=164,"Average height")</f>
        <v>Above Average height</v>
      </c>
      <c r="K1712" s="2" t="str" cm="1">
        <f t="array" ref="K1712">_xlfn.IFS(E1712&lt;=16,"Children",E1712&lt;=30,"Young Adults",E1712&lt;=45,"Middle-aged Adults",E1712&gt;45,"Old Adults")</f>
        <v>Middle-aged Adults</v>
      </c>
    </row>
    <row r="1713" spans="1:11" x14ac:dyDescent="0.45">
      <c r="A1713" s="2">
        <v>2012</v>
      </c>
      <c r="B1713" s="2" t="s">
        <v>2116</v>
      </c>
      <c r="C1713" s="2" t="s">
        <v>91</v>
      </c>
      <c r="D1713" s="2" t="s">
        <v>25</v>
      </c>
      <c r="E1713" s="2">
        <v>35</v>
      </c>
      <c r="F1713" s="2">
        <v>95</v>
      </c>
      <c r="G1713" s="2">
        <v>192</v>
      </c>
      <c r="H1713" s="9">
        <f t="shared" si="26"/>
        <v>25.770399305555557</v>
      </c>
      <c r="I1713" s="2" t="str" cm="1">
        <f t="array" ref="I1713">_xlfn.IFS(F1713&gt;=100,"Over weight",F1713&lt;100,"Average weight")</f>
        <v>Average weight</v>
      </c>
      <c r="J1713" s="2" t="str" cm="1">
        <f t="array" ref="J1713">_xlfn.IFS(G1713&lt;164,"Below Average height",G1713&gt;=165,"Above Average height",G1713=164,"Average height")</f>
        <v>Above Average height</v>
      </c>
      <c r="K1713" s="2" t="str" cm="1">
        <f t="array" ref="K1713">_xlfn.IFS(E1713&lt;=16,"Children",E1713&lt;=30,"Young Adults",E1713&lt;=45,"Middle-aged Adults",E1713&gt;45,"Old Adults")</f>
        <v>Middle-aged Adults</v>
      </c>
    </row>
    <row r="1714" spans="1:11" x14ac:dyDescent="0.45">
      <c r="A1714" s="2">
        <v>2013</v>
      </c>
      <c r="B1714" s="2" t="s">
        <v>2117</v>
      </c>
      <c r="C1714" s="2" t="s">
        <v>85</v>
      </c>
      <c r="D1714" s="2" t="s">
        <v>19</v>
      </c>
      <c r="E1714" s="2">
        <v>24</v>
      </c>
      <c r="F1714" s="2">
        <v>90</v>
      </c>
      <c r="G1714" s="2">
        <v>184</v>
      </c>
      <c r="H1714" s="9">
        <f t="shared" si="26"/>
        <v>26.583175803402646</v>
      </c>
      <c r="I1714" s="2" t="str" cm="1">
        <f t="array" ref="I1714">_xlfn.IFS(F1714&gt;=100,"Over weight",F1714&lt;100,"Average weight")</f>
        <v>Average weight</v>
      </c>
      <c r="J1714" s="2" t="str" cm="1">
        <f t="array" ref="J1714">_xlfn.IFS(G1714&lt;164,"Below Average height",G1714&gt;=165,"Above Average height",G1714=164,"Average height")</f>
        <v>Above Average height</v>
      </c>
      <c r="K1714" s="2" t="str" cm="1">
        <f t="array" ref="K1714">_xlfn.IFS(E1714&lt;=16,"Children",E1714&lt;=30,"Young Adults",E1714&lt;=45,"Middle-aged Adults",E1714&gt;45,"Old Adults")</f>
        <v>Young Adults</v>
      </c>
    </row>
    <row r="1715" spans="1:11" x14ac:dyDescent="0.45">
      <c r="A1715" s="2">
        <v>2015</v>
      </c>
      <c r="B1715" s="2" t="s">
        <v>2119</v>
      </c>
      <c r="C1715" s="2" t="s">
        <v>93</v>
      </c>
      <c r="D1715" s="2" t="s">
        <v>60</v>
      </c>
      <c r="E1715" s="2">
        <v>16</v>
      </c>
      <c r="F1715" s="2">
        <v>69</v>
      </c>
      <c r="G1715" s="2">
        <v>200</v>
      </c>
      <c r="H1715" s="9">
        <f t="shared" si="26"/>
        <v>17.25</v>
      </c>
      <c r="I1715" s="2" t="str" cm="1">
        <f t="array" ref="I1715">_xlfn.IFS(F1715&gt;=100,"Over weight",F1715&lt;100,"Average weight")</f>
        <v>Average weight</v>
      </c>
      <c r="J1715" s="2" t="str" cm="1">
        <f t="array" ref="J1715">_xlfn.IFS(G1715&lt;164,"Below Average height",G1715&gt;=165,"Above Average height",G1715=164,"Average height")</f>
        <v>Above Average height</v>
      </c>
      <c r="K1715" s="2" t="str" cm="1">
        <f t="array" ref="K1715">_xlfn.IFS(E1715&lt;=16,"Children",E1715&lt;=30,"Young Adults",E1715&lt;=45,"Middle-aged Adults",E1715&gt;45,"Old Adults")</f>
        <v>Children</v>
      </c>
    </row>
    <row r="1716" spans="1:11" x14ac:dyDescent="0.45">
      <c r="A1716" s="2">
        <v>2016</v>
      </c>
      <c r="B1716" s="2" t="s">
        <v>2120</v>
      </c>
      <c r="C1716" s="2" t="s">
        <v>85</v>
      </c>
      <c r="D1716" s="2" t="s">
        <v>25</v>
      </c>
      <c r="E1716" s="2">
        <v>22</v>
      </c>
      <c r="F1716" s="2">
        <v>83</v>
      </c>
      <c r="G1716" s="2">
        <v>177</v>
      </c>
      <c r="H1716" s="9">
        <f t="shared" si="26"/>
        <v>26.493025631204315</v>
      </c>
      <c r="I1716" s="2" t="str" cm="1">
        <f t="array" ref="I1716">_xlfn.IFS(F1716&gt;=100,"Over weight",F1716&lt;100,"Average weight")</f>
        <v>Average weight</v>
      </c>
      <c r="J1716" s="2" t="str" cm="1">
        <f t="array" ref="J1716">_xlfn.IFS(G1716&lt;164,"Below Average height",G1716&gt;=165,"Above Average height",G1716=164,"Average height")</f>
        <v>Above Average height</v>
      </c>
      <c r="K1716" s="2" t="str" cm="1">
        <f t="array" ref="K1716">_xlfn.IFS(E1716&lt;=16,"Children",E1716&lt;=30,"Young Adults",E1716&lt;=45,"Middle-aged Adults",E1716&gt;45,"Old Adults")</f>
        <v>Young Adults</v>
      </c>
    </row>
    <row r="1717" spans="1:11" x14ac:dyDescent="0.45">
      <c r="A1717" s="2">
        <v>2017</v>
      </c>
      <c r="B1717" s="2" t="s">
        <v>2121</v>
      </c>
      <c r="C1717" s="2" t="s">
        <v>100</v>
      </c>
      <c r="D1717" s="2" t="s">
        <v>59</v>
      </c>
      <c r="E1717" s="2">
        <v>30</v>
      </c>
      <c r="F1717" s="2">
        <v>93</v>
      </c>
      <c r="G1717" s="2">
        <v>197</v>
      </c>
      <c r="H1717" s="9">
        <f t="shared" si="26"/>
        <v>23.963513617975213</v>
      </c>
      <c r="I1717" s="2" t="str" cm="1">
        <f t="array" ref="I1717">_xlfn.IFS(F1717&gt;=100,"Over weight",F1717&lt;100,"Average weight")</f>
        <v>Average weight</v>
      </c>
      <c r="J1717" s="2" t="str" cm="1">
        <f t="array" ref="J1717">_xlfn.IFS(G1717&lt;164,"Below Average height",G1717&gt;=165,"Above Average height",G1717=164,"Average height")</f>
        <v>Above Average height</v>
      </c>
      <c r="K1717" s="2" t="str" cm="1">
        <f t="array" ref="K1717">_xlfn.IFS(E1717&lt;=16,"Children",E1717&lt;=30,"Young Adults",E1717&lt;=45,"Middle-aged Adults",E1717&gt;45,"Old Adults")</f>
        <v>Young Adults</v>
      </c>
    </row>
    <row r="1718" spans="1:11" x14ac:dyDescent="0.45">
      <c r="A1718" s="2">
        <v>2018</v>
      </c>
      <c r="B1718" s="2" t="s">
        <v>2122</v>
      </c>
      <c r="C1718" s="2" t="s">
        <v>94</v>
      </c>
      <c r="D1718" s="2" t="s">
        <v>8</v>
      </c>
      <c r="E1718" s="2">
        <v>29</v>
      </c>
      <c r="F1718" s="2">
        <v>63</v>
      </c>
      <c r="G1718" s="2">
        <v>174</v>
      </c>
      <c r="H1718" s="9">
        <f t="shared" si="26"/>
        <v>20.808561236623067</v>
      </c>
      <c r="I1718" s="2" t="str" cm="1">
        <f t="array" ref="I1718">_xlfn.IFS(F1718&gt;=100,"Over weight",F1718&lt;100,"Average weight")</f>
        <v>Average weight</v>
      </c>
      <c r="J1718" s="2" t="str" cm="1">
        <f t="array" ref="J1718">_xlfn.IFS(G1718&lt;164,"Below Average height",G1718&gt;=165,"Above Average height",G1718=164,"Average height")</f>
        <v>Above Average height</v>
      </c>
      <c r="K1718" s="2" t="str" cm="1">
        <f t="array" ref="K1718">_xlfn.IFS(E1718&lt;=16,"Children",E1718&lt;=30,"Young Adults",E1718&lt;=45,"Middle-aged Adults",E1718&gt;45,"Old Adults")</f>
        <v>Young Adults</v>
      </c>
    </row>
    <row r="1719" spans="1:11" x14ac:dyDescent="0.45">
      <c r="A1719" s="2">
        <v>2019</v>
      </c>
      <c r="B1719" s="2" t="s">
        <v>2123</v>
      </c>
      <c r="C1719" s="2" t="s">
        <v>91</v>
      </c>
      <c r="D1719" s="2" t="s">
        <v>75</v>
      </c>
      <c r="E1719" s="2">
        <v>26</v>
      </c>
      <c r="F1719" s="2">
        <v>91</v>
      </c>
      <c r="G1719" s="2">
        <v>187</v>
      </c>
      <c r="H1719" s="9">
        <f t="shared" si="26"/>
        <v>26.023048986244955</v>
      </c>
      <c r="I1719" s="2" t="str" cm="1">
        <f t="array" ref="I1719">_xlfn.IFS(F1719&gt;=100,"Over weight",F1719&lt;100,"Average weight")</f>
        <v>Average weight</v>
      </c>
      <c r="J1719" s="2" t="str" cm="1">
        <f t="array" ref="J1719">_xlfn.IFS(G1719&lt;164,"Below Average height",G1719&gt;=165,"Above Average height",G1719=164,"Average height")</f>
        <v>Above Average height</v>
      </c>
      <c r="K1719" s="2" t="str" cm="1">
        <f t="array" ref="K1719">_xlfn.IFS(E1719&lt;=16,"Children",E1719&lt;=30,"Young Adults",E1719&lt;=45,"Middle-aged Adults",E1719&gt;45,"Old Adults")</f>
        <v>Young Adults</v>
      </c>
    </row>
    <row r="1720" spans="1:11" x14ac:dyDescent="0.45">
      <c r="A1720" s="2">
        <v>2021</v>
      </c>
      <c r="B1720" s="2" t="s">
        <v>2125</v>
      </c>
      <c r="C1720" s="2" t="s">
        <v>90</v>
      </c>
      <c r="D1720" s="2" t="s">
        <v>69</v>
      </c>
      <c r="E1720" s="2">
        <v>25</v>
      </c>
      <c r="F1720" s="2">
        <v>94</v>
      </c>
      <c r="G1720" s="2">
        <v>193</v>
      </c>
      <c r="H1720" s="9">
        <f t="shared" si="26"/>
        <v>25.235576794007894</v>
      </c>
      <c r="I1720" s="2" t="str" cm="1">
        <f t="array" ref="I1720">_xlfn.IFS(F1720&gt;=100,"Over weight",F1720&lt;100,"Average weight")</f>
        <v>Average weight</v>
      </c>
      <c r="J1720" s="2" t="str" cm="1">
        <f t="array" ref="J1720">_xlfn.IFS(G1720&lt;164,"Below Average height",G1720&gt;=165,"Above Average height",G1720=164,"Average height")</f>
        <v>Above Average height</v>
      </c>
      <c r="K1720" s="2" t="str" cm="1">
        <f t="array" ref="K1720">_xlfn.IFS(E1720&lt;=16,"Children",E1720&lt;=30,"Young Adults",E1720&lt;=45,"Middle-aged Adults",E1720&gt;45,"Old Adults")</f>
        <v>Young Adults</v>
      </c>
    </row>
    <row r="1721" spans="1:11" x14ac:dyDescent="0.45">
      <c r="A1721" s="2">
        <v>2022</v>
      </c>
      <c r="B1721" s="2" t="s">
        <v>2126</v>
      </c>
      <c r="C1721" s="2" t="s">
        <v>85</v>
      </c>
      <c r="D1721" s="2" t="s">
        <v>41</v>
      </c>
      <c r="E1721" s="2">
        <v>28</v>
      </c>
      <c r="F1721" s="2">
        <v>88</v>
      </c>
      <c r="G1721" s="2">
        <v>182</v>
      </c>
      <c r="H1721" s="9">
        <f t="shared" si="26"/>
        <v>26.566839753652939</v>
      </c>
      <c r="I1721" s="2" t="str" cm="1">
        <f t="array" ref="I1721">_xlfn.IFS(F1721&gt;=100,"Over weight",F1721&lt;100,"Average weight")</f>
        <v>Average weight</v>
      </c>
      <c r="J1721" s="2" t="str" cm="1">
        <f t="array" ref="J1721">_xlfn.IFS(G1721&lt;164,"Below Average height",G1721&gt;=165,"Above Average height",G1721=164,"Average height")</f>
        <v>Above Average height</v>
      </c>
      <c r="K1721" s="2" t="str" cm="1">
        <f t="array" ref="K1721">_xlfn.IFS(E1721&lt;=16,"Children",E1721&lt;=30,"Young Adults",E1721&lt;=45,"Middle-aged Adults",E1721&gt;45,"Old Adults")</f>
        <v>Young Adults</v>
      </c>
    </row>
    <row r="1722" spans="1:11" x14ac:dyDescent="0.45">
      <c r="A1722" s="2">
        <v>2023</v>
      </c>
      <c r="B1722" s="2" t="s">
        <v>2127</v>
      </c>
      <c r="C1722" s="2" t="s">
        <v>91</v>
      </c>
      <c r="D1722" s="2" t="s">
        <v>70</v>
      </c>
      <c r="E1722" s="2">
        <v>35</v>
      </c>
      <c r="F1722" s="2">
        <v>87</v>
      </c>
      <c r="G1722" s="2">
        <v>188</v>
      </c>
      <c r="H1722" s="9">
        <f t="shared" si="26"/>
        <v>24.615210502489816</v>
      </c>
      <c r="I1722" s="2" t="str" cm="1">
        <f t="array" ref="I1722">_xlfn.IFS(F1722&gt;=100,"Over weight",F1722&lt;100,"Average weight")</f>
        <v>Average weight</v>
      </c>
      <c r="J1722" s="2" t="str" cm="1">
        <f t="array" ref="J1722">_xlfn.IFS(G1722&lt;164,"Below Average height",G1722&gt;=165,"Above Average height",G1722=164,"Average height")</f>
        <v>Above Average height</v>
      </c>
      <c r="K1722" s="2" t="str" cm="1">
        <f t="array" ref="K1722">_xlfn.IFS(E1722&lt;=16,"Children",E1722&lt;=30,"Young Adults",E1722&lt;=45,"Middle-aged Adults",E1722&gt;45,"Old Adults")</f>
        <v>Middle-aged Adults</v>
      </c>
    </row>
    <row r="1723" spans="1:11" x14ac:dyDescent="0.45">
      <c r="A1723" s="2">
        <v>2024</v>
      </c>
      <c r="B1723" s="2" t="s">
        <v>2128</v>
      </c>
      <c r="C1723" s="2" t="s">
        <v>87</v>
      </c>
      <c r="D1723" s="2" t="s">
        <v>41</v>
      </c>
      <c r="E1723" s="2">
        <v>33</v>
      </c>
      <c r="F1723" s="2">
        <v>55</v>
      </c>
      <c r="G1723" s="2">
        <v>165</v>
      </c>
      <c r="H1723" s="9">
        <f t="shared" si="26"/>
        <v>20.202020202020204</v>
      </c>
      <c r="I1723" s="2" t="str" cm="1">
        <f t="array" ref="I1723">_xlfn.IFS(F1723&gt;=100,"Over weight",F1723&lt;100,"Average weight")</f>
        <v>Average weight</v>
      </c>
      <c r="J1723" s="2" t="str" cm="1">
        <f t="array" ref="J1723">_xlfn.IFS(G1723&lt;164,"Below Average height",G1723&gt;=165,"Above Average height",G1723=164,"Average height")</f>
        <v>Above Average height</v>
      </c>
      <c r="K1723" s="2" t="str" cm="1">
        <f t="array" ref="K1723">_xlfn.IFS(E1723&lt;=16,"Children",E1723&lt;=30,"Young Adults",E1723&lt;=45,"Middle-aged Adults",E1723&gt;45,"Old Adults")</f>
        <v>Middle-aged Adults</v>
      </c>
    </row>
    <row r="1724" spans="1:11" x14ac:dyDescent="0.45">
      <c r="A1724" s="2">
        <v>2027</v>
      </c>
      <c r="B1724" s="2" t="s">
        <v>2131</v>
      </c>
      <c r="C1724" s="2" t="s">
        <v>87</v>
      </c>
      <c r="D1724" s="2" t="s">
        <v>30</v>
      </c>
      <c r="E1724" s="2">
        <v>26</v>
      </c>
      <c r="F1724" s="2">
        <v>61</v>
      </c>
      <c r="G1724" s="2">
        <v>169</v>
      </c>
      <c r="H1724" s="9">
        <f t="shared" si="26"/>
        <v>21.357795595392322</v>
      </c>
      <c r="I1724" s="2" t="str" cm="1">
        <f t="array" ref="I1724">_xlfn.IFS(F1724&gt;=100,"Over weight",F1724&lt;100,"Average weight")</f>
        <v>Average weight</v>
      </c>
      <c r="J1724" s="2" t="str" cm="1">
        <f t="array" ref="J1724">_xlfn.IFS(G1724&lt;164,"Below Average height",G1724&gt;=165,"Above Average height",G1724=164,"Average height")</f>
        <v>Above Average height</v>
      </c>
      <c r="K1724" s="2" t="str" cm="1">
        <f t="array" ref="K1724">_xlfn.IFS(E1724&lt;=16,"Children",E1724&lt;=30,"Young Adults",E1724&lt;=45,"Middle-aged Adults",E1724&gt;45,"Old Adults")</f>
        <v>Young Adults</v>
      </c>
    </row>
    <row r="1725" spans="1:11" x14ac:dyDescent="0.45">
      <c r="A1725" s="2">
        <v>2029</v>
      </c>
      <c r="B1725" s="2" t="s">
        <v>2133</v>
      </c>
      <c r="C1725" s="2" t="s">
        <v>85</v>
      </c>
      <c r="D1725" s="2" t="s">
        <v>36</v>
      </c>
      <c r="E1725" s="2">
        <v>24</v>
      </c>
      <c r="F1725" s="2">
        <v>75</v>
      </c>
      <c r="G1725" s="2">
        <v>180</v>
      </c>
      <c r="H1725" s="9">
        <f t="shared" si="26"/>
        <v>23.148148148148145</v>
      </c>
      <c r="I1725" s="2" t="str" cm="1">
        <f t="array" ref="I1725">_xlfn.IFS(F1725&gt;=100,"Over weight",F1725&lt;100,"Average weight")</f>
        <v>Average weight</v>
      </c>
      <c r="J1725" s="2" t="str" cm="1">
        <f t="array" ref="J1725">_xlfn.IFS(G1725&lt;164,"Below Average height",G1725&gt;=165,"Above Average height",G1725=164,"Average height")</f>
        <v>Above Average height</v>
      </c>
      <c r="K1725" s="2" t="str" cm="1">
        <f t="array" ref="K1725">_xlfn.IFS(E1725&lt;=16,"Children",E1725&lt;=30,"Young Adults",E1725&lt;=45,"Middle-aged Adults",E1725&gt;45,"Old Adults")</f>
        <v>Young Adults</v>
      </c>
    </row>
    <row r="1726" spans="1:11" x14ac:dyDescent="0.45">
      <c r="A1726" s="2">
        <v>2030</v>
      </c>
      <c r="B1726" s="2" t="s">
        <v>2134</v>
      </c>
      <c r="C1726" s="2" t="s">
        <v>85</v>
      </c>
      <c r="D1726" s="2" t="s">
        <v>36</v>
      </c>
      <c r="E1726" s="2">
        <v>22</v>
      </c>
      <c r="F1726" s="2">
        <v>64</v>
      </c>
      <c r="G1726" s="2">
        <v>177</v>
      </c>
      <c r="H1726" s="9">
        <f t="shared" si="26"/>
        <v>20.428357113217785</v>
      </c>
      <c r="I1726" s="2" t="str" cm="1">
        <f t="array" ref="I1726">_xlfn.IFS(F1726&gt;=100,"Over weight",F1726&lt;100,"Average weight")</f>
        <v>Average weight</v>
      </c>
      <c r="J1726" s="2" t="str" cm="1">
        <f t="array" ref="J1726">_xlfn.IFS(G1726&lt;164,"Below Average height",G1726&gt;=165,"Above Average height",G1726=164,"Average height")</f>
        <v>Above Average height</v>
      </c>
      <c r="K1726" s="2" t="str" cm="1">
        <f t="array" ref="K1726">_xlfn.IFS(E1726&lt;=16,"Children",E1726&lt;=30,"Young Adults",E1726&lt;=45,"Middle-aged Adults",E1726&gt;45,"Old Adults")</f>
        <v>Young Adults</v>
      </c>
    </row>
    <row r="1727" spans="1:11" x14ac:dyDescent="0.45">
      <c r="A1727" s="2">
        <v>2031</v>
      </c>
      <c r="B1727" s="2" t="s">
        <v>2135</v>
      </c>
      <c r="C1727" s="2" t="s">
        <v>94</v>
      </c>
      <c r="D1727" s="2" t="s">
        <v>36</v>
      </c>
      <c r="E1727" s="2">
        <v>26</v>
      </c>
      <c r="F1727" s="2">
        <v>68</v>
      </c>
      <c r="G1727" s="2">
        <v>170</v>
      </c>
      <c r="H1727" s="9">
        <f t="shared" si="26"/>
        <v>23.529411764705884</v>
      </c>
      <c r="I1727" s="2" t="str" cm="1">
        <f t="array" ref="I1727">_xlfn.IFS(F1727&gt;=100,"Over weight",F1727&lt;100,"Average weight")</f>
        <v>Average weight</v>
      </c>
      <c r="J1727" s="2" t="str" cm="1">
        <f t="array" ref="J1727">_xlfn.IFS(G1727&lt;164,"Below Average height",G1727&gt;=165,"Above Average height",G1727=164,"Average height")</f>
        <v>Above Average height</v>
      </c>
      <c r="K1727" s="2" t="str" cm="1">
        <f t="array" ref="K1727">_xlfn.IFS(E1727&lt;=16,"Children",E1727&lt;=30,"Young Adults",E1727&lt;=45,"Middle-aged Adults",E1727&gt;45,"Old Adults")</f>
        <v>Young Adults</v>
      </c>
    </row>
    <row r="1728" spans="1:11" x14ac:dyDescent="0.45">
      <c r="A1728" s="2">
        <v>2032</v>
      </c>
      <c r="B1728" s="2" t="s">
        <v>2136</v>
      </c>
      <c r="C1728" s="2" t="s">
        <v>94</v>
      </c>
      <c r="D1728" s="2" t="s">
        <v>66</v>
      </c>
      <c r="E1728" s="2">
        <v>37</v>
      </c>
      <c r="F1728" s="2">
        <v>59</v>
      </c>
      <c r="G1728" s="2">
        <v>166</v>
      </c>
      <c r="H1728" s="9">
        <f t="shared" si="26"/>
        <v>21.410944984758313</v>
      </c>
      <c r="I1728" s="2" t="str" cm="1">
        <f t="array" ref="I1728">_xlfn.IFS(F1728&gt;=100,"Over weight",F1728&lt;100,"Average weight")</f>
        <v>Average weight</v>
      </c>
      <c r="J1728" s="2" t="str" cm="1">
        <f t="array" ref="J1728">_xlfn.IFS(G1728&lt;164,"Below Average height",G1728&gt;=165,"Above Average height",G1728=164,"Average height")</f>
        <v>Above Average height</v>
      </c>
      <c r="K1728" s="2" t="str" cm="1">
        <f t="array" ref="K1728">_xlfn.IFS(E1728&lt;=16,"Children",E1728&lt;=30,"Young Adults",E1728&lt;=45,"Middle-aged Adults",E1728&gt;45,"Old Adults")</f>
        <v>Middle-aged Adults</v>
      </c>
    </row>
    <row r="1729" spans="1:11" x14ac:dyDescent="0.45">
      <c r="A1729" s="2">
        <v>2033</v>
      </c>
      <c r="B1729" s="2" t="s">
        <v>2137</v>
      </c>
      <c r="C1729" s="2" t="s">
        <v>90</v>
      </c>
      <c r="D1729" s="2" t="s">
        <v>69</v>
      </c>
      <c r="E1729" s="2">
        <v>22</v>
      </c>
      <c r="F1729" s="2">
        <v>85</v>
      </c>
      <c r="G1729" s="2">
        <v>182</v>
      </c>
      <c r="H1729" s="9">
        <f t="shared" si="26"/>
        <v>25.661152034778407</v>
      </c>
      <c r="I1729" s="2" t="str" cm="1">
        <f t="array" ref="I1729">_xlfn.IFS(F1729&gt;=100,"Over weight",F1729&lt;100,"Average weight")</f>
        <v>Average weight</v>
      </c>
      <c r="J1729" s="2" t="str" cm="1">
        <f t="array" ref="J1729">_xlfn.IFS(G1729&lt;164,"Below Average height",G1729&gt;=165,"Above Average height",G1729=164,"Average height")</f>
        <v>Above Average height</v>
      </c>
      <c r="K1729" s="2" t="str" cm="1">
        <f t="array" ref="K1729">_xlfn.IFS(E1729&lt;=16,"Children",E1729&lt;=30,"Young Adults",E1729&lt;=45,"Middle-aged Adults",E1729&gt;45,"Old Adults")</f>
        <v>Young Adults</v>
      </c>
    </row>
    <row r="1730" spans="1:11" x14ac:dyDescent="0.45">
      <c r="A1730" s="2">
        <v>2034</v>
      </c>
      <c r="B1730" s="2" t="s">
        <v>2138</v>
      </c>
      <c r="C1730" s="2" t="s">
        <v>90</v>
      </c>
      <c r="D1730" s="2" t="s">
        <v>65</v>
      </c>
      <c r="E1730" s="2">
        <v>21</v>
      </c>
      <c r="F1730" s="2">
        <v>77</v>
      </c>
      <c r="G1730" s="2">
        <v>178</v>
      </c>
      <c r="H1730" s="9">
        <f t="shared" ref="H1730:H1793" si="27" xml:space="preserve"> F1730 / (( G1730/ 100) ^ 2)</f>
        <v>24.302487059714682</v>
      </c>
      <c r="I1730" s="2" t="str" cm="1">
        <f t="array" ref="I1730">_xlfn.IFS(F1730&gt;=100,"Over weight",F1730&lt;100,"Average weight")</f>
        <v>Average weight</v>
      </c>
      <c r="J1730" s="2" t="str" cm="1">
        <f t="array" ref="J1730">_xlfn.IFS(G1730&lt;164,"Below Average height",G1730&gt;=165,"Above Average height",G1730=164,"Average height")</f>
        <v>Above Average height</v>
      </c>
      <c r="K1730" s="2" t="str" cm="1">
        <f t="array" ref="K1730">_xlfn.IFS(E1730&lt;=16,"Children",E1730&lt;=30,"Young Adults",E1730&lt;=45,"Middle-aged Adults",E1730&gt;45,"Old Adults")</f>
        <v>Young Adults</v>
      </c>
    </row>
    <row r="1731" spans="1:11" x14ac:dyDescent="0.45">
      <c r="A1731" s="2">
        <v>2035</v>
      </c>
      <c r="B1731" s="2" t="s">
        <v>2139</v>
      </c>
      <c r="C1731" s="2" t="s">
        <v>88</v>
      </c>
      <c r="D1731" s="2" t="s">
        <v>42</v>
      </c>
      <c r="E1731" s="2">
        <v>22</v>
      </c>
      <c r="F1731" s="2">
        <v>70</v>
      </c>
      <c r="G1731" s="2">
        <v>175</v>
      </c>
      <c r="H1731" s="9">
        <f t="shared" si="27"/>
        <v>22.857142857142858</v>
      </c>
      <c r="I1731" s="2" t="str" cm="1">
        <f t="array" ref="I1731">_xlfn.IFS(F1731&gt;=100,"Over weight",F1731&lt;100,"Average weight")</f>
        <v>Average weight</v>
      </c>
      <c r="J1731" s="2" t="str" cm="1">
        <f t="array" ref="J1731">_xlfn.IFS(G1731&lt;164,"Below Average height",G1731&gt;=165,"Above Average height",G1731=164,"Average height")</f>
        <v>Above Average height</v>
      </c>
      <c r="K1731" s="2" t="str" cm="1">
        <f t="array" ref="K1731">_xlfn.IFS(E1731&lt;=16,"Children",E1731&lt;=30,"Young Adults",E1731&lt;=45,"Middle-aged Adults",E1731&gt;45,"Old Adults")</f>
        <v>Young Adults</v>
      </c>
    </row>
    <row r="1732" spans="1:11" x14ac:dyDescent="0.45">
      <c r="A1732" s="2">
        <v>2036</v>
      </c>
      <c r="B1732" s="2" t="s">
        <v>2140</v>
      </c>
      <c r="C1732" s="2" t="s">
        <v>91</v>
      </c>
      <c r="D1732" s="2" t="s">
        <v>75</v>
      </c>
      <c r="E1732" s="2">
        <v>20</v>
      </c>
      <c r="F1732" s="2">
        <v>93</v>
      </c>
      <c r="G1732" s="2">
        <v>188</v>
      </c>
      <c r="H1732" s="9">
        <f t="shared" si="27"/>
        <v>26.312811226799457</v>
      </c>
      <c r="I1732" s="2" t="str" cm="1">
        <f t="array" ref="I1732">_xlfn.IFS(F1732&gt;=100,"Over weight",F1732&lt;100,"Average weight")</f>
        <v>Average weight</v>
      </c>
      <c r="J1732" s="2" t="str" cm="1">
        <f t="array" ref="J1732">_xlfn.IFS(G1732&lt;164,"Below Average height",G1732&gt;=165,"Above Average height",G1732=164,"Average height")</f>
        <v>Above Average height</v>
      </c>
      <c r="K1732" s="2" t="str" cm="1">
        <f t="array" ref="K1732">_xlfn.IFS(E1732&lt;=16,"Children",E1732&lt;=30,"Young Adults",E1732&lt;=45,"Middle-aged Adults",E1732&gt;45,"Old Adults")</f>
        <v>Young Adults</v>
      </c>
    </row>
    <row r="1733" spans="1:11" x14ac:dyDescent="0.45">
      <c r="A1733" s="2">
        <v>2037</v>
      </c>
      <c r="B1733" s="2" t="s">
        <v>2141</v>
      </c>
      <c r="C1733" s="2" t="s">
        <v>86</v>
      </c>
      <c r="D1733" s="2" t="s">
        <v>39</v>
      </c>
      <c r="E1733" s="2">
        <v>30</v>
      </c>
      <c r="F1733" s="2">
        <v>69</v>
      </c>
      <c r="G1733" s="2">
        <v>172</v>
      </c>
      <c r="H1733" s="9">
        <f t="shared" si="27"/>
        <v>23.323418063818284</v>
      </c>
      <c r="I1733" s="2" t="str" cm="1">
        <f t="array" ref="I1733">_xlfn.IFS(F1733&gt;=100,"Over weight",F1733&lt;100,"Average weight")</f>
        <v>Average weight</v>
      </c>
      <c r="J1733" s="2" t="str" cm="1">
        <f t="array" ref="J1733">_xlfn.IFS(G1733&lt;164,"Below Average height",G1733&gt;=165,"Above Average height",G1733=164,"Average height")</f>
        <v>Above Average height</v>
      </c>
      <c r="K1733" s="2" t="str" cm="1">
        <f t="array" ref="K1733">_xlfn.IFS(E1733&lt;=16,"Children",E1733&lt;=30,"Young Adults",E1733&lt;=45,"Middle-aged Adults",E1733&gt;45,"Old Adults")</f>
        <v>Young Adults</v>
      </c>
    </row>
    <row r="1734" spans="1:11" x14ac:dyDescent="0.45">
      <c r="A1734" s="2">
        <v>2038</v>
      </c>
      <c r="B1734" s="2" t="s">
        <v>2142</v>
      </c>
      <c r="C1734" s="2" t="s">
        <v>87</v>
      </c>
      <c r="D1734" s="2" t="s">
        <v>39</v>
      </c>
      <c r="E1734" s="2">
        <v>23</v>
      </c>
      <c r="F1734" s="2">
        <v>65</v>
      </c>
      <c r="G1734" s="2">
        <v>166</v>
      </c>
      <c r="H1734" s="9">
        <f t="shared" si="27"/>
        <v>23.588329220496444</v>
      </c>
      <c r="I1734" s="2" t="str" cm="1">
        <f t="array" ref="I1734">_xlfn.IFS(F1734&gt;=100,"Over weight",F1734&lt;100,"Average weight")</f>
        <v>Average weight</v>
      </c>
      <c r="J1734" s="2" t="str" cm="1">
        <f t="array" ref="J1734">_xlfn.IFS(G1734&lt;164,"Below Average height",G1734&gt;=165,"Above Average height",G1734=164,"Average height")</f>
        <v>Above Average height</v>
      </c>
      <c r="K1734" s="2" t="str" cm="1">
        <f t="array" ref="K1734">_xlfn.IFS(E1734&lt;=16,"Children",E1734&lt;=30,"Young Adults",E1734&lt;=45,"Middle-aged Adults",E1734&gt;45,"Old Adults")</f>
        <v>Young Adults</v>
      </c>
    </row>
    <row r="1735" spans="1:11" x14ac:dyDescent="0.45">
      <c r="A1735" s="2">
        <v>2039</v>
      </c>
      <c r="B1735" s="2" t="s">
        <v>2143</v>
      </c>
      <c r="C1735" s="2" t="s">
        <v>90</v>
      </c>
      <c r="D1735" s="2" t="s">
        <v>80</v>
      </c>
      <c r="E1735" s="2">
        <v>29</v>
      </c>
      <c r="F1735" s="2">
        <v>75</v>
      </c>
      <c r="G1735" s="2">
        <v>178</v>
      </c>
      <c r="H1735" s="9">
        <f t="shared" si="27"/>
        <v>23.671253629592222</v>
      </c>
      <c r="I1735" s="2" t="str" cm="1">
        <f t="array" ref="I1735">_xlfn.IFS(F1735&gt;=100,"Over weight",F1735&lt;100,"Average weight")</f>
        <v>Average weight</v>
      </c>
      <c r="J1735" s="2" t="str" cm="1">
        <f t="array" ref="J1735">_xlfn.IFS(G1735&lt;164,"Below Average height",G1735&gt;=165,"Above Average height",G1735=164,"Average height")</f>
        <v>Above Average height</v>
      </c>
      <c r="K1735" s="2" t="str" cm="1">
        <f t="array" ref="K1735">_xlfn.IFS(E1735&lt;=16,"Children",E1735&lt;=30,"Young Adults",E1735&lt;=45,"Middle-aged Adults",E1735&gt;45,"Old Adults")</f>
        <v>Young Adults</v>
      </c>
    </row>
    <row r="1736" spans="1:11" x14ac:dyDescent="0.45">
      <c r="A1736" s="2">
        <v>2040</v>
      </c>
      <c r="B1736" s="2" t="s">
        <v>2144</v>
      </c>
      <c r="C1736" s="2" t="s">
        <v>93</v>
      </c>
      <c r="D1736" s="2" t="s">
        <v>28</v>
      </c>
      <c r="E1736" s="2">
        <v>22</v>
      </c>
      <c r="F1736" s="2">
        <v>81</v>
      </c>
      <c r="G1736" s="2">
        <v>177</v>
      </c>
      <c r="H1736" s="9">
        <f t="shared" si="27"/>
        <v>25.854639471416256</v>
      </c>
      <c r="I1736" s="2" t="str" cm="1">
        <f t="array" ref="I1736">_xlfn.IFS(F1736&gt;=100,"Over weight",F1736&lt;100,"Average weight")</f>
        <v>Average weight</v>
      </c>
      <c r="J1736" s="2" t="str" cm="1">
        <f t="array" ref="J1736">_xlfn.IFS(G1736&lt;164,"Below Average height",G1736&gt;=165,"Above Average height",G1736=164,"Average height")</f>
        <v>Above Average height</v>
      </c>
      <c r="K1736" s="2" t="str" cm="1">
        <f t="array" ref="K1736">_xlfn.IFS(E1736&lt;=16,"Children",E1736&lt;=30,"Young Adults",E1736&lt;=45,"Middle-aged Adults",E1736&gt;45,"Old Adults")</f>
        <v>Young Adults</v>
      </c>
    </row>
    <row r="1737" spans="1:11" x14ac:dyDescent="0.45">
      <c r="A1737" s="2">
        <v>2042</v>
      </c>
      <c r="B1737" s="2" t="s">
        <v>2146</v>
      </c>
      <c r="C1737" s="2" t="s">
        <v>87</v>
      </c>
      <c r="D1737" s="2" t="s">
        <v>75</v>
      </c>
      <c r="E1737" s="2">
        <v>20</v>
      </c>
      <c r="F1737" s="2">
        <v>55</v>
      </c>
      <c r="G1737" s="2">
        <v>167</v>
      </c>
      <c r="H1737" s="9">
        <f t="shared" si="27"/>
        <v>19.721036967980208</v>
      </c>
      <c r="I1737" s="2" t="str" cm="1">
        <f t="array" ref="I1737">_xlfn.IFS(F1737&gt;=100,"Over weight",F1737&lt;100,"Average weight")</f>
        <v>Average weight</v>
      </c>
      <c r="J1737" s="2" t="str" cm="1">
        <f t="array" ref="J1737">_xlfn.IFS(G1737&lt;164,"Below Average height",G1737&gt;=165,"Above Average height",G1737=164,"Average height")</f>
        <v>Above Average height</v>
      </c>
      <c r="K1737" s="2" t="str" cm="1">
        <f t="array" ref="K1737">_xlfn.IFS(E1737&lt;=16,"Children",E1737&lt;=30,"Young Adults",E1737&lt;=45,"Middle-aged Adults",E1737&gt;45,"Old Adults")</f>
        <v>Young Adults</v>
      </c>
    </row>
    <row r="1738" spans="1:11" x14ac:dyDescent="0.45">
      <c r="A1738" s="2">
        <v>2043</v>
      </c>
      <c r="B1738" s="2" t="s">
        <v>2147</v>
      </c>
      <c r="C1738" s="2" t="s">
        <v>93</v>
      </c>
      <c r="D1738" s="2" t="s">
        <v>6</v>
      </c>
      <c r="E1738" s="2">
        <v>22</v>
      </c>
      <c r="F1738" s="2">
        <v>83</v>
      </c>
      <c r="G1738" s="2">
        <v>177</v>
      </c>
      <c r="H1738" s="9">
        <f t="shared" si="27"/>
        <v>26.493025631204315</v>
      </c>
      <c r="I1738" s="2" t="str" cm="1">
        <f t="array" ref="I1738">_xlfn.IFS(F1738&gt;=100,"Over weight",F1738&lt;100,"Average weight")</f>
        <v>Average weight</v>
      </c>
      <c r="J1738" s="2" t="str" cm="1">
        <f t="array" ref="J1738">_xlfn.IFS(G1738&lt;164,"Below Average height",G1738&gt;=165,"Above Average height",G1738=164,"Average height")</f>
        <v>Above Average height</v>
      </c>
      <c r="K1738" s="2" t="str" cm="1">
        <f t="array" ref="K1738">_xlfn.IFS(E1738&lt;=16,"Children",E1738&lt;=30,"Young Adults",E1738&lt;=45,"Middle-aged Adults",E1738&gt;45,"Old Adults")</f>
        <v>Young Adults</v>
      </c>
    </row>
    <row r="1739" spans="1:11" x14ac:dyDescent="0.45">
      <c r="A1739" s="2">
        <v>2044</v>
      </c>
      <c r="B1739" s="2" t="s">
        <v>2148</v>
      </c>
      <c r="C1739" s="2" t="s">
        <v>91</v>
      </c>
      <c r="D1739" s="2" t="s">
        <v>80</v>
      </c>
      <c r="E1739" s="2">
        <v>21</v>
      </c>
      <c r="F1739" s="2">
        <v>70</v>
      </c>
      <c r="G1739" s="2">
        <v>174</v>
      </c>
      <c r="H1739" s="9">
        <f t="shared" si="27"/>
        <v>23.120623596247853</v>
      </c>
      <c r="I1739" s="2" t="str" cm="1">
        <f t="array" ref="I1739">_xlfn.IFS(F1739&gt;=100,"Over weight",F1739&lt;100,"Average weight")</f>
        <v>Average weight</v>
      </c>
      <c r="J1739" s="2" t="str" cm="1">
        <f t="array" ref="J1739">_xlfn.IFS(G1739&lt;164,"Below Average height",G1739&gt;=165,"Above Average height",G1739=164,"Average height")</f>
        <v>Above Average height</v>
      </c>
      <c r="K1739" s="2" t="str" cm="1">
        <f t="array" ref="K1739">_xlfn.IFS(E1739&lt;=16,"Children",E1739&lt;=30,"Young Adults",E1739&lt;=45,"Middle-aged Adults",E1739&gt;45,"Old Adults")</f>
        <v>Young Adults</v>
      </c>
    </row>
    <row r="1740" spans="1:11" x14ac:dyDescent="0.45">
      <c r="A1740" s="2">
        <v>2045</v>
      </c>
      <c r="B1740" s="2" t="s">
        <v>2149</v>
      </c>
      <c r="C1740" s="2" t="s">
        <v>85</v>
      </c>
      <c r="D1740" s="2" t="s">
        <v>6</v>
      </c>
      <c r="E1740" s="2">
        <v>26</v>
      </c>
      <c r="F1740" s="2">
        <v>84</v>
      </c>
      <c r="G1740" s="2">
        <v>176</v>
      </c>
      <c r="H1740" s="9">
        <f t="shared" si="27"/>
        <v>27.117768595041323</v>
      </c>
      <c r="I1740" s="2" t="str" cm="1">
        <f t="array" ref="I1740">_xlfn.IFS(F1740&gt;=100,"Over weight",F1740&lt;100,"Average weight")</f>
        <v>Average weight</v>
      </c>
      <c r="J1740" s="2" t="str" cm="1">
        <f t="array" ref="J1740">_xlfn.IFS(G1740&lt;164,"Below Average height",G1740&gt;=165,"Above Average height",G1740=164,"Average height")</f>
        <v>Above Average height</v>
      </c>
      <c r="K1740" s="2" t="str" cm="1">
        <f t="array" ref="K1740">_xlfn.IFS(E1740&lt;=16,"Children",E1740&lt;=30,"Young Adults",E1740&lt;=45,"Middle-aged Adults",E1740&gt;45,"Old Adults")</f>
        <v>Young Adults</v>
      </c>
    </row>
    <row r="1741" spans="1:11" x14ac:dyDescent="0.45">
      <c r="A1741" s="2">
        <v>2046</v>
      </c>
      <c r="B1741" s="2" t="s">
        <v>2150</v>
      </c>
      <c r="C1741" s="2" t="s">
        <v>91</v>
      </c>
      <c r="D1741" s="2" t="s">
        <v>75</v>
      </c>
      <c r="E1741" s="2">
        <v>20</v>
      </c>
      <c r="F1741" s="2">
        <v>68</v>
      </c>
      <c r="G1741" s="2">
        <v>174</v>
      </c>
      <c r="H1741" s="9">
        <f t="shared" si="27"/>
        <v>22.460034350640772</v>
      </c>
      <c r="I1741" s="2" t="str" cm="1">
        <f t="array" ref="I1741">_xlfn.IFS(F1741&gt;=100,"Over weight",F1741&lt;100,"Average weight")</f>
        <v>Average weight</v>
      </c>
      <c r="J1741" s="2" t="str" cm="1">
        <f t="array" ref="J1741">_xlfn.IFS(G1741&lt;164,"Below Average height",G1741&gt;=165,"Above Average height",G1741=164,"Average height")</f>
        <v>Above Average height</v>
      </c>
      <c r="K1741" s="2" t="str" cm="1">
        <f t="array" ref="K1741">_xlfn.IFS(E1741&lt;=16,"Children",E1741&lt;=30,"Young Adults",E1741&lt;=45,"Middle-aged Adults",E1741&gt;45,"Old Adults")</f>
        <v>Young Adults</v>
      </c>
    </row>
    <row r="1742" spans="1:11" x14ac:dyDescent="0.45">
      <c r="A1742" s="2">
        <v>2047</v>
      </c>
      <c r="B1742" s="2" t="s">
        <v>2151</v>
      </c>
      <c r="C1742" s="2" t="s">
        <v>88</v>
      </c>
      <c r="D1742" s="2" t="s">
        <v>28</v>
      </c>
      <c r="E1742" s="2">
        <v>21</v>
      </c>
      <c r="F1742" s="2">
        <v>71</v>
      </c>
      <c r="G1742" s="2">
        <v>179</v>
      </c>
      <c r="H1742" s="9">
        <f t="shared" si="27"/>
        <v>22.15910864205237</v>
      </c>
      <c r="I1742" s="2" t="str" cm="1">
        <f t="array" ref="I1742">_xlfn.IFS(F1742&gt;=100,"Over weight",F1742&lt;100,"Average weight")</f>
        <v>Average weight</v>
      </c>
      <c r="J1742" s="2" t="str" cm="1">
        <f t="array" ref="J1742">_xlfn.IFS(G1742&lt;164,"Below Average height",G1742&gt;=165,"Above Average height",G1742=164,"Average height")</f>
        <v>Above Average height</v>
      </c>
      <c r="K1742" s="2" t="str" cm="1">
        <f t="array" ref="K1742">_xlfn.IFS(E1742&lt;=16,"Children",E1742&lt;=30,"Young Adults",E1742&lt;=45,"Middle-aged Adults",E1742&gt;45,"Old Adults")</f>
        <v>Young Adults</v>
      </c>
    </row>
    <row r="1743" spans="1:11" x14ac:dyDescent="0.45">
      <c r="A1743" s="2">
        <v>2048</v>
      </c>
      <c r="B1743" s="2" t="s">
        <v>2152</v>
      </c>
      <c r="C1743" s="2" t="s">
        <v>90</v>
      </c>
      <c r="D1743" s="2" t="s">
        <v>75</v>
      </c>
      <c r="E1743" s="2">
        <v>25</v>
      </c>
      <c r="F1743" s="2">
        <v>78</v>
      </c>
      <c r="G1743" s="2">
        <v>182</v>
      </c>
      <c r="H1743" s="9">
        <f t="shared" si="27"/>
        <v>23.547880690737831</v>
      </c>
      <c r="I1743" s="2" t="str" cm="1">
        <f t="array" ref="I1743">_xlfn.IFS(F1743&gt;=100,"Over weight",F1743&lt;100,"Average weight")</f>
        <v>Average weight</v>
      </c>
      <c r="J1743" s="2" t="str" cm="1">
        <f t="array" ref="J1743">_xlfn.IFS(G1743&lt;164,"Below Average height",G1743&gt;=165,"Above Average height",G1743=164,"Average height")</f>
        <v>Above Average height</v>
      </c>
      <c r="K1743" s="2" t="str" cm="1">
        <f t="array" ref="K1743">_xlfn.IFS(E1743&lt;=16,"Children",E1743&lt;=30,"Young Adults",E1743&lt;=45,"Middle-aged Adults",E1743&gt;45,"Old Adults")</f>
        <v>Young Adults</v>
      </c>
    </row>
    <row r="1744" spans="1:11" x14ac:dyDescent="0.45">
      <c r="A1744" s="2">
        <v>2049</v>
      </c>
      <c r="B1744" s="2" t="s">
        <v>2153</v>
      </c>
      <c r="C1744" s="2" t="s">
        <v>93</v>
      </c>
      <c r="D1744" s="2" t="s">
        <v>39</v>
      </c>
      <c r="E1744" s="2">
        <v>31</v>
      </c>
      <c r="F1744" s="2">
        <v>73</v>
      </c>
      <c r="G1744" s="2">
        <v>180</v>
      </c>
      <c r="H1744" s="9">
        <f t="shared" si="27"/>
        <v>22.530864197530864</v>
      </c>
      <c r="I1744" s="2" t="str" cm="1">
        <f t="array" ref="I1744">_xlfn.IFS(F1744&gt;=100,"Over weight",F1744&lt;100,"Average weight")</f>
        <v>Average weight</v>
      </c>
      <c r="J1744" s="2" t="str" cm="1">
        <f t="array" ref="J1744">_xlfn.IFS(G1744&lt;164,"Below Average height",G1744&gt;=165,"Above Average height",G1744=164,"Average height")</f>
        <v>Above Average height</v>
      </c>
      <c r="K1744" s="2" t="str" cm="1">
        <f t="array" ref="K1744">_xlfn.IFS(E1744&lt;=16,"Children",E1744&lt;=30,"Young Adults",E1744&lt;=45,"Middle-aged Adults",E1744&gt;45,"Old Adults")</f>
        <v>Middle-aged Adults</v>
      </c>
    </row>
    <row r="1745" spans="1:11" x14ac:dyDescent="0.45">
      <c r="A1745" s="2">
        <v>2050</v>
      </c>
      <c r="B1745" s="2" t="s">
        <v>2154</v>
      </c>
      <c r="C1745" s="2" t="s">
        <v>95</v>
      </c>
      <c r="D1745" s="2" t="s">
        <v>6</v>
      </c>
      <c r="E1745" s="2">
        <v>34</v>
      </c>
      <c r="F1745" s="2">
        <v>73</v>
      </c>
      <c r="G1745" s="2">
        <v>178</v>
      </c>
      <c r="H1745" s="9">
        <f t="shared" si="27"/>
        <v>23.040020199469762</v>
      </c>
      <c r="I1745" s="2" t="str" cm="1">
        <f t="array" ref="I1745">_xlfn.IFS(F1745&gt;=100,"Over weight",F1745&lt;100,"Average weight")</f>
        <v>Average weight</v>
      </c>
      <c r="J1745" s="2" t="str" cm="1">
        <f t="array" ref="J1745">_xlfn.IFS(G1745&lt;164,"Below Average height",G1745&gt;=165,"Above Average height",G1745=164,"Average height")</f>
        <v>Above Average height</v>
      </c>
      <c r="K1745" s="2" t="str" cm="1">
        <f t="array" ref="K1745">_xlfn.IFS(E1745&lt;=16,"Children",E1745&lt;=30,"Young Adults",E1745&lt;=45,"Middle-aged Adults",E1745&gt;45,"Old Adults")</f>
        <v>Middle-aged Adults</v>
      </c>
    </row>
    <row r="1746" spans="1:11" x14ac:dyDescent="0.45">
      <c r="A1746" s="2">
        <v>2051</v>
      </c>
      <c r="B1746" s="2" t="s">
        <v>2155</v>
      </c>
      <c r="C1746" s="2" t="s">
        <v>95</v>
      </c>
      <c r="D1746" s="2" t="s">
        <v>6</v>
      </c>
      <c r="E1746" s="2">
        <v>36</v>
      </c>
      <c r="F1746" s="2">
        <v>89</v>
      </c>
      <c r="G1746" s="2">
        <v>199</v>
      </c>
      <c r="H1746" s="9">
        <f t="shared" si="27"/>
        <v>22.474179944950883</v>
      </c>
      <c r="I1746" s="2" t="str" cm="1">
        <f t="array" ref="I1746">_xlfn.IFS(F1746&gt;=100,"Over weight",F1746&lt;100,"Average weight")</f>
        <v>Average weight</v>
      </c>
      <c r="J1746" s="2" t="str" cm="1">
        <f t="array" ref="J1746">_xlfn.IFS(G1746&lt;164,"Below Average height",G1746&gt;=165,"Above Average height",G1746=164,"Average height")</f>
        <v>Above Average height</v>
      </c>
      <c r="K1746" s="2" t="str" cm="1">
        <f t="array" ref="K1746">_xlfn.IFS(E1746&lt;=16,"Children",E1746&lt;=30,"Young Adults",E1746&lt;=45,"Middle-aged Adults",E1746&gt;45,"Old Adults")</f>
        <v>Middle-aged Adults</v>
      </c>
    </row>
    <row r="1747" spans="1:11" x14ac:dyDescent="0.45">
      <c r="A1747" s="2">
        <v>2052</v>
      </c>
      <c r="B1747" s="2" t="s">
        <v>2156</v>
      </c>
      <c r="C1747" s="2" t="s">
        <v>85</v>
      </c>
      <c r="D1747" s="2" t="s">
        <v>6</v>
      </c>
      <c r="E1747" s="2">
        <v>28</v>
      </c>
      <c r="F1747" s="2">
        <v>66</v>
      </c>
      <c r="G1747" s="2">
        <v>172</v>
      </c>
      <c r="H1747" s="9">
        <f t="shared" si="27"/>
        <v>22.309356408869661</v>
      </c>
      <c r="I1747" s="2" t="str" cm="1">
        <f t="array" ref="I1747">_xlfn.IFS(F1747&gt;=100,"Over weight",F1747&lt;100,"Average weight")</f>
        <v>Average weight</v>
      </c>
      <c r="J1747" s="2" t="str" cm="1">
        <f t="array" ref="J1747">_xlfn.IFS(G1747&lt;164,"Below Average height",G1747&gt;=165,"Above Average height",G1747=164,"Average height")</f>
        <v>Above Average height</v>
      </c>
      <c r="K1747" s="2" t="str" cm="1">
        <f t="array" ref="K1747">_xlfn.IFS(E1747&lt;=16,"Children",E1747&lt;=30,"Young Adults",E1747&lt;=45,"Middle-aged Adults",E1747&gt;45,"Old Adults")</f>
        <v>Young Adults</v>
      </c>
    </row>
    <row r="1748" spans="1:11" x14ac:dyDescent="0.45">
      <c r="A1748" s="2">
        <v>2054</v>
      </c>
      <c r="B1748" s="2" t="s">
        <v>2158</v>
      </c>
      <c r="C1748" s="2" t="s">
        <v>92</v>
      </c>
      <c r="D1748" s="2" t="s">
        <v>6</v>
      </c>
      <c r="E1748" s="2">
        <v>20</v>
      </c>
      <c r="F1748" s="2">
        <v>64</v>
      </c>
      <c r="G1748" s="2">
        <v>180</v>
      </c>
      <c r="H1748" s="9">
        <f t="shared" si="27"/>
        <v>19.753086419753085</v>
      </c>
      <c r="I1748" s="2" t="str" cm="1">
        <f t="array" ref="I1748">_xlfn.IFS(F1748&gt;=100,"Over weight",F1748&lt;100,"Average weight")</f>
        <v>Average weight</v>
      </c>
      <c r="J1748" s="2" t="str" cm="1">
        <f t="array" ref="J1748">_xlfn.IFS(G1748&lt;164,"Below Average height",G1748&gt;=165,"Above Average height",G1748=164,"Average height")</f>
        <v>Above Average height</v>
      </c>
      <c r="K1748" s="2" t="str" cm="1">
        <f t="array" ref="K1748">_xlfn.IFS(E1748&lt;=16,"Children",E1748&lt;=30,"Young Adults",E1748&lt;=45,"Middle-aged Adults",E1748&gt;45,"Old Adults")</f>
        <v>Young Adults</v>
      </c>
    </row>
    <row r="1749" spans="1:11" x14ac:dyDescent="0.45">
      <c r="A1749" s="2">
        <v>2055</v>
      </c>
      <c r="B1749" s="2" t="s">
        <v>2159</v>
      </c>
      <c r="C1749" s="2" t="s">
        <v>90</v>
      </c>
      <c r="D1749" s="2" t="s">
        <v>75</v>
      </c>
      <c r="E1749" s="2">
        <v>34</v>
      </c>
      <c r="F1749" s="2">
        <v>102</v>
      </c>
      <c r="G1749" s="2">
        <v>189</v>
      </c>
      <c r="H1749" s="9">
        <f t="shared" si="27"/>
        <v>28.554631729234906</v>
      </c>
      <c r="I1749" s="2" t="str" cm="1">
        <f t="array" ref="I1749">_xlfn.IFS(F1749&gt;=100,"Over weight",F1749&lt;100,"Average weight")</f>
        <v>Over weight</v>
      </c>
      <c r="J1749" s="2" t="str" cm="1">
        <f t="array" ref="J1749">_xlfn.IFS(G1749&lt;164,"Below Average height",G1749&gt;=165,"Above Average height",G1749=164,"Average height")</f>
        <v>Above Average height</v>
      </c>
      <c r="K1749" s="2" t="str" cm="1">
        <f t="array" ref="K1749">_xlfn.IFS(E1749&lt;=16,"Children",E1749&lt;=30,"Young Adults",E1749&lt;=45,"Middle-aged Adults",E1749&gt;45,"Old Adults")</f>
        <v>Middle-aged Adults</v>
      </c>
    </row>
    <row r="1750" spans="1:11" x14ac:dyDescent="0.45">
      <c r="A1750" s="2">
        <v>2056</v>
      </c>
      <c r="B1750" s="2" t="s">
        <v>2160</v>
      </c>
      <c r="C1750" s="2" t="s">
        <v>97</v>
      </c>
      <c r="D1750" s="2" t="s">
        <v>60</v>
      </c>
      <c r="E1750" s="2">
        <v>26</v>
      </c>
      <c r="F1750" s="2">
        <v>69</v>
      </c>
      <c r="G1750" s="2">
        <v>180</v>
      </c>
      <c r="H1750" s="9">
        <f t="shared" si="27"/>
        <v>21.296296296296294</v>
      </c>
      <c r="I1750" s="2" t="str" cm="1">
        <f t="array" ref="I1750">_xlfn.IFS(F1750&gt;=100,"Over weight",F1750&lt;100,"Average weight")</f>
        <v>Average weight</v>
      </c>
      <c r="J1750" s="2" t="str" cm="1">
        <f t="array" ref="J1750">_xlfn.IFS(G1750&lt;164,"Below Average height",G1750&gt;=165,"Above Average height",G1750=164,"Average height")</f>
        <v>Above Average height</v>
      </c>
      <c r="K1750" s="2" t="str" cm="1">
        <f t="array" ref="K1750">_xlfn.IFS(E1750&lt;=16,"Children",E1750&lt;=30,"Young Adults",E1750&lt;=45,"Middle-aged Adults",E1750&gt;45,"Old Adults")</f>
        <v>Young Adults</v>
      </c>
    </row>
    <row r="1751" spans="1:11" x14ac:dyDescent="0.45">
      <c r="A1751" s="2">
        <v>2057</v>
      </c>
      <c r="B1751" s="2" t="s">
        <v>2161</v>
      </c>
      <c r="C1751" s="2" t="s">
        <v>87</v>
      </c>
      <c r="D1751" s="2" t="s">
        <v>75</v>
      </c>
      <c r="E1751" s="2">
        <v>25</v>
      </c>
      <c r="F1751" s="2">
        <v>96</v>
      </c>
      <c r="G1751" s="2">
        <v>193</v>
      </c>
      <c r="H1751" s="9">
        <f t="shared" si="27"/>
        <v>25.772503959837849</v>
      </c>
      <c r="I1751" s="2" t="str" cm="1">
        <f t="array" ref="I1751">_xlfn.IFS(F1751&gt;=100,"Over weight",F1751&lt;100,"Average weight")</f>
        <v>Average weight</v>
      </c>
      <c r="J1751" s="2" t="str" cm="1">
        <f t="array" ref="J1751">_xlfn.IFS(G1751&lt;164,"Below Average height",G1751&gt;=165,"Above Average height",G1751=164,"Average height")</f>
        <v>Above Average height</v>
      </c>
      <c r="K1751" s="2" t="str" cm="1">
        <f t="array" ref="K1751">_xlfn.IFS(E1751&lt;=16,"Children",E1751&lt;=30,"Young Adults",E1751&lt;=45,"Middle-aged Adults",E1751&gt;45,"Old Adults")</f>
        <v>Young Adults</v>
      </c>
    </row>
    <row r="1752" spans="1:11" x14ac:dyDescent="0.45">
      <c r="A1752" s="2">
        <v>2058</v>
      </c>
      <c r="B1752" s="2" t="s">
        <v>2162</v>
      </c>
      <c r="C1752" s="2" t="s">
        <v>97</v>
      </c>
      <c r="D1752" s="2" t="s">
        <v>75</v>
      </c>
      <c r="E1752" s="2">
        <v>21</v>
      </c>
      <c r="F1752" s="2">
        <v>63</v>
      </c>
      <c r="G1752" s="2">
        <v>180</v>
      </c>
      <c r="H1752" s="9">
        <f t="shared" si="27"/>
        <v>19.444444444444443</v>
      </c>
      <c r="I1752" s="2" t="str" cm="1">
        <f t="array" ref="I1752">_xlfn.IFS(F1752&gt;=100,"Over weight",F1752&lt;100,"Average weight")</f>
        <v>Average weight</v>
      </c>
      <c r="J1752" s="2" t="str" cm="1">
        <f t="array" ref="J1752">_xlfn.IFS(G1752&lt;164,"Below Average height",G1752&gt;=165,"Above Average height",G1752=164,"Average height")</f>
        <v>Above Average height</v>
      </c>
      <c r="K1752" s="2" t="str" cm="1">
        <f t="array" ref="K1752">_xlfn.IFS(E1752&lt;=16,"Children",E1752&lt;=30,"Young Adults",E1752&lt;=45,"Middle-aged Adults",E1752&gt;45,"Old Adults")</f>
        <v>Young Adults</v>
      </c>
    </row>
    <row r="1753" spans="1:11" x14ac:dyDescent="0.45">
      <c r="A1753" s="2">
        <v>2060</v>
      </c>
      <c r="B1753" s="2" t="s">
        <v>2164</v>
      </c>
      <c r="C1753" s="2" t="s">
        <v>93</v>
      </c>
      <c r="D1753" s="2" t="s">
        <v>28</v>
      </c>
      <c r="E1753" s="2">
        <v>26</v>
      </c>
      <c r="F1753" s="2">
        <v>65</v>
      </c>
      <c r="G1753" s="2">
        <v>171</v>
      </c>
      <c r="H1753" s="9">
        <f t="shared" si="27"/>
        <v>22.229061933586404</v>
      </c>
      <c r="I1753" s="2" t="str" cm="1">
        <f t="array" ref="I1753">_xlfn.IFS(F1753&gt;=100,"Over weight",F1753&lt;100,"Average weight")</f>
        <v>Average weight</v>
      </c>
      <c r="J1753" s="2" t="str" cm="1">
        <f t="array" ref="J1753">_xlfn.IFS(G1753&lt;164,"Below Average height",G1753&gt;=165,"Above Average height",G1753=164,"Average height")</f>
        <v>Above Average height</v>
      </c>
      <c r="K1753" s="2" t="str" cm="1">
        <f t="array" ref="K1753">_xlfn.IFS(E1753&lt;=16,"Children",E1753&lt;=30,"Young Adults",E1753&lt;=45,"Middle-aged Adults",E1753&gt;45,"Old Adults")</f>
        <v>Young Adults</v>
      </c>
    </row>
    <row r="1754" spans="1:11" x14ac:dyDescent="0.45">
      <c r="A1754" s="2">
        <v>2061</v>
      </c>
      <c r="B1754" s="2" t="s">
        <v>2165</v>
      </c>
      <c r="C1754" s="2" t="s">
        <v>91</v>
      </c>
      <c r="D1754" s="2" t="s">
        <v>28</v>
      </c>
      <c r="E1754" s="2">
        <v>33</v>
      </c>
      <c r="F1754" s="2">
        <v>96</v>
      </c>
      <c r="G1754" s="2">
        <v>195</v>
      </c>
      <c r="H1754" s="9">
        <f t="shared" si="27"/>
        <v>25.246548323471401</v>
      </c>
      <c r="I1754" s="2" t="str" cm="1">
        <f t="array" ref="I1754">_xlfn.IFS(F1754&gt;=100,"Over weight",F1754&lt;100,"Average weight")</f>
        <v>Average weight</v>
      </c>
      <c r="J1754" s="2" t="str" cm="1">
        <f t="array" ref="J1754">_xlfn.IFS(G1754&lt;164,"Below Average height",G1754&gt;=165,"Above Average height",G1754=164,"Average height")</f>
        <v>Above Average height</v>
      </c>
      <c r="K1754" s="2" t="str" cm="1">
        <f t="array" ref="K1754">_xlfn.IFS(E1754&lt;=16,"Children",E1754&lt;=30,"Young Adults",E1754&lt;=45,"Middle-aged Adults",E1754&gt;45,"Old Adults")</f>
        <v>Middle-aged Adults</v>
      </c>
    </row>
    <row r="1755" spans="1:11" x14ac:dyDescent="0.45">
      <c r="A1755" s="2">
        <v>2062</v>
      </c>
      <c r="B1755" s="2" t="s">
        <v>2166</v>
      </c>
      <c r="C1755" s="2" t="s">
        <v>96</v>
      </c>
      <c r="D1755" s="2" t="s">
        <v>22</v>
      </c>
      <c r="E1755" s="2">
        <v>47</v>
      </c>
      <c r="F1755" s="2">
        <v>69</v>
      </c>
      <c r="G1755" s="2">
        <v>180</v>
      </c>
      <c r="H1755" s="9">
        <f t="shared" si="27"/>
        <v>21.296296296296294</v>
      </c>
      <c r="I1755" s="2" t="str" cm="1">
        <f t="array" ref="I1755">_xlfn.IFS(F1755&gt;=100,"Over weight",F1755&lt;100,"Average weight")</f>
        <v>Average weight</v>
      </c>
      <c r="J1755" s="2" t="str" cm="1">
        <f t="array" ref="J1755">_xlfn.IFS(G1755&lt;164,"Below Average height",G1755&gt;=165,"Above Average height",G1755=164,"Average height")</f>
        <v>Above Average height</v>
      </c>
      <c r="K1755" s="2" t="str" cm="1">
        <f t="array" ref="K1755">_xlfn.IFS(E1755&lt;=16,"Children",E1755&lt;=30,"Young Adults",E1755&lt;=45,"Middle-aged Adults",E1755&gt;45,"Old Adults")</f>
        <v>Old Adults</v>
      </c>
    </row>
    <row r="1756" spans="1:11" x14ac:dyDescent="0.45">
      <c r="A1756" s="2">
        <v>2063</v>
      </c>
      <c r="B1756" s="2" t="s">
        <v>2167</v>
      </c>
      <c r="C1756" s="2" t="s">
        <v>92</v>
      </c>
      <c r="D1756" s="2" t="s">
        <v>28</v>
      </c>
      <c r="E1756" s="2">
        <v>32</v>
      </c>
      <c r="F1756" s="2">
        <v>65</v>
      </c>
      <c r="G1756" s="2">
        <v>182</v>
      </c>
      <c r="H1756" s="9">
        <f t="shared" si="27"/>
        <v>19.623233908948194</v>
      </c>
      <c r="I1756" s="2" t="str" cm="1">
        <f t="array" ref="I1756">_xlfn.IFS(F1756&gt;=100,"Over weight",F1756&lt;100,"Average weight")</f>
        <v>Average weight</v>
      </c>
      <c r="J1756" s="2" t="str" cm="1">
        <f t="array" ref="J1756">_xlfn.IFS(G1756&lt;164,"Below Average height",G1756&gt;=165,"Above Average height",G1756=164,"Average height")</f>
        <v>Above Average height</v>
      </c>
      <c r="K1756" s="2" t="str" cm="1">
        <f t="array" ref="K1756">_xlfn.IFS(E1756&lt;=16,"Children",E1756&lt;=30,"Young Adults",E1756&lt;=45,"Middle-aged Adults",E1756&gt;45,"Old Adults")</f>
        <v>Middle-aged Adults</v>
      </c>
    </row>
    <row r="1757" spans="1:11" x14ac:dyDescent="0.45">
      <c r="A1757" s="2">
        <v>2064</v>
      </c>
      <c r="B1757" s="2" t="s">
        <v>2168</v>
      </c>
      <c r="C1757" s="2" t="s">
        <v>85</v>
      </c>
      <c r="D1757" s="2" t="s">
        <v>39</v>
      </c>
      <c r="E1757" s="2">
        <v>25</v>
      </c>
      <c r="F1757" s="2">
        <v>68</v>
      </c>
      <c r="G1757" s="2">
        <v>172</v>
      </c>
      <c r="H1757" s="9">
        <f t="shared" si="27"/>
        <v>22.985397512168742</v>
      </c>
      <c r="I1757" s="2" t="str" cm="1">
        <f t="array" ref="I1757">_xlfn.IFS(F1757&gt;=100,"Over weight",F1757&lt;100,"Average weight")</f>
        <v>Average weight</v>
      </c>
      <c r="J1757" s="2" t="str" cm="1">
        <f t="array" ref="J1757">_xlfn.IFS(G1757&lt;164,"Below Average height",G1757&gt;=165,"Above Average height",G1757=164,"Average height")</f>
        <v>Above Average height</v>
      </c>
      <c r="K1757" s="2" t="str" cm="1">
        <f t="array" ref="K1757">_xlfn.IFS(E1757&lt;=16,"Children",E1757&lt;=30,"Young Adults",E1757&lt;=45,"Middle-aged Adults",E1757&gt;45,"Old Adults")</f>
        <v>Young Adults</v>
      </c>
    </row>
    <row r="1758" spans="1:11" x14ac:dyDescent="0.45">
      <c r="A1758" s="2">
        <v>2065</v>
      </c>
      <c r="B1758" s="2" t="s">
        <v>2169</v>
      </c>
      <c r="C1758" s="2" t="s">
        <v>89</v>
      </c>
      <c r="D1758" s="2" t="s">
        <v>75</v>
      </c>
      <c r="E1758" s="2">
        <v>26</v>
      </c>
      <c r="F1758" s="2">
        <v>100</v>
      </c>
      <c r="G1758" s="2">
        <v>203</v>
      </c>
      <c r="H1758" s="9">
        <f t="shared" si="27"/>
        <v>24.266543716178511</v>
      </c>
      <c r="I1758" s="2" t="str" cm="1">
        <f t="array" ref="I1758">_xlfn.IFS(F1758&gt;=100,"Over weight",F1758&lt;100,"Average weight")</f>
        <v>Over weight</v>
      </c>
      <c r="J1758" s="2" t="str" cm="1">
        <f t="array" ref="J1758">_xlfn.IFS(G1758&lt;164,"Below Average height",G1758&gt;=165,"Above Average height",G1758=164,"Average height")</f>
        <v>Above Average height</v>
      </c>
      <c r="K1758" s="2" t="str" cm="1">
        <f t="array" ref="K1758">_xlfn.IFS(E1758&lt;=16,"Children",E1758&lt;=30,"Young Adults",E1758&lt;=45,"Middle-aged Adults",E1758&gt;45,"Old Adults")</f>
        <v>Young Adults</v>
      </c>
    </row>
    <row r="1759" spans="1:11" x14ac:dyDescent="0.45">
      <c r="A1759" s="2">
        <v>2067</v>
      </c>
      <c r="B1759" s="2" t="s">
        <v>2171</v>
      </c>
      <c r="C1759" s="2" t="s">
        <v>93</v>
      </c>
      <c r="D1759" s="2" t="s">
        <v>75</v>
      </c>
      <c r="E1759" s="2">
        <v>31</v>
      </c>
      <c r="F1759" s="2">
        <v>85</v>
      </c>
      <c r="G1759" s="2">
        <v>184</v>
      </c>
      <c r="H1759" s="9">
        <f t="shared" si="27"/>
        <v>25.10633270321361</v>
      </c>
      <c r="I1759" s="2" t="str" cm="1">
        <f t="array" ref="I1759">_xlfn.IFS(F1759&gt;=100,"Over weight",F1759&lt;100,"Average weight")</f>
        <v>Average weight</v>
      </c>
      <c r="J1759" s="2" t="str" cm="1">
        <f t="array" ref="J1759">_xlfn.IFS(G1759&lt;164,"Below Average height",G1759&gt;=165,"Above Average height",G1759=164,"Average height")</f>
        <v>Above Average height</v>
      </c>
      <c r="K1759" s="2" t="str" cm="1">
        <f t="array" ref="K1759">_xlfn.IFS(E1759&lt;=16,"Children",E1759&lt;=30,"Young Adults",E1759&lt;=45,"Middle-aged Adults",E1759&gt;45,"Old Adults")</f>
        <v>Middle-aged Adults</v>
      </c>
    </row>
    <row r="1760" spans="1:11" x14ac:dyDescent="0.45">
      <c r="A1760" s="2">
        <v>2068</v>
      </c>
      <c r="B1760" s="2" t="s">
        <v>2172</v>
      </c>
      <c r="C1760" s="2" t="s">
        <v>86</v>
      </c>
      <c r="D1760" s="2" t="s">
        <v>26</v>
      </c>
      <c r="E1760" s="2">
        <v>32</v>
      </c>
      <c r="F1760" s="2">
        <v>69</v>
      </c>
      <c r="G1760" s="2">
        <v>183</v>
      </c>
      <c r="H1760" s="9">
        <f t="shared" si="27"/>
        <v>20.603780345785182</v>
      </c>
      <c r="I1760" s="2" t="str" cm="1">
        <f t="array" ref="I1760">_xlfn.IFS(F1760&gt;=100,"Over weight",F1760&lt;100,"Average weight")</f>
        <v>Average weight</v>
      </c>
      <c r="J1760" s="2" t="str" cm="1">
        <f t="array" ref="J1760">_xlfn.IFS(G1760&lt;164,"Below Average height",G1760&gt;=165,"Above Average height",G1760=164,"Average height")</f>
        <v>Above Average height</v>
      </c>
      <c r="K1760" s="2" t="str" cm="1">
        <f t="array" ref="K1760">_xlfn.IFS(E1760&lt;=16,"Children",E1760&lt;=30,"Young Adults",E1760&lt;=45,"Middle-aged Adults",E1760&gt;45,"Old Adults")</f>
        <v>Middle-aged Adults</v>
      </c>
    </row>
    <row r="1761" spans="1:11" x14ac:dyDescent="0.45">
      <c r="A1761" s="2">
        <v>2069</v>
      </c>
      <c r="B1761" s="2" t="s">
        <v>2173</v>
      </c>
      <c r="C1761" s="2" t="s">
        <v>96</v>
      </c>
      <c r="D1761" s="2" t="s">
        <v>28</v>
      </c>
      <c r="E1761" s="2">
        <v>44</v>
      </c>
      <c r="F1761" s="2">
        <v>69</v>
      </c>
      <c r="G1761" s="2">
        <v>173</v>
      </c>
      <c r="H1761" s="9">
        <f t="shared" si="27"/>
        <v>23.054562464499313</v>
      </c>
      <c r="I1761" s="2" t="str" cm="1">
        <f t="array" ref="I1761">_xlfn.IFS(F1761&gt;=100,"Over weight",F1761&lt;100,"Average weight")</f>
        <v>Average weight</v>
      </c>
      <c r="J1761" s="2" t="str" cm="1">
        <f t="array" ref="J1761">_xlfn.IFS(G1761&lt;164,"Below Average height",G1761&gt;=165,"Above Average height",G1761=164,"Average height")</f>
        <v>Above Average height</v>
      </c>
      <c r="K1761" s="2" t="str" cm="1">
        <f t="array" ref="K1761">_xlfn.IFS(E1761&lt;=16,"Children",E1761&lt;=30,"Young Adults",E1761&lt;=45,"Middle-aged Adults",E1761&gt;45,"Old Adults")</f>
        <v>Middle-aged Adults</v>
      </c>
    </row>
    <row r="1762" spans="1:11" x14ac:dyDescent="0.45">
      <c r="A1762" s="2">
        <v>2070</v>
      </c>
      <c r="B1762" s="2" t="s">
        <v>2174</v>
      </c>
      <c r="C1762" s="2" t="s">
        <v>85</v>
      </c>
      <c r="D1762" s="2" t="s">
        <v>6</v>
      </c>
      <c r="E1762" s="2">
        <v>27</v>
      </c>
      <c r="F1762" s="2">
        <v>77</v>
      </c>
      <c r="G1762" s="2">
        <v>176</v>
      </c>
      <c r="H1762" s="9">
        <f t="shared" si="27"/>
        <v>24.857954545454547</v>
      </c>
      <c r="I1762" s="2" t="str" cm="1">
        <f t="array" ref="I1762">_xlfn.IFS(F1762&gt;=100,"Over weight",F1762&lt;100,"Average weight")</f>
        <v>Average weight</v>
      </c>
      <c r="J1762" s="2" t="str" cm="1">
        <f t="array" ref="J1762">_xlfn.IFS(G1762&lt;164,"Below Average height",G1762&gt;=165,"Above Average height",G1762=164,"Average height")</f>
        <v>Above Average height</v>
      </c>
      <c r="K1762" s="2" t="str" cm="1">
        <f t="array" ref="K1762">_xlfn.IFS(E1762&lt;=16,"Children",E1762&lt;=30,"Young Adults",E1762&lt;=45,"Middle-aged Adults",E1762&gt;45,"Old Adults")</f>
        <v>Young Adults</v>
      </c>
    </row>
    <row r="1763" spans="1:11" x14ac:dyDescent="0.45">
      <c r="A1763" s="2">
        <v>2071</v>
      </c>
      <c r="B1763" s="2" t="s">
        <v>2175</v>
      </c>
      <c r="C1763" s="2" t="s">
        <v>96</v>
      </c>
      <c r="D1763" s="2" t="s">
        <v>28</v>
      </c>
      <c r="E1763" s="2">
        <v>20</v>
      </c>
      <c r="F1763" s="2">
        <v>57</v>
      </c>
      <c r="G1763" s="2">
        <v>173</v>
      </c>
      <c r="H1763" s="9">
        <f t="shared" si="27"/>
        <v>19.045073340238563</v>
      </c>
      <c r="I1763" s="2" t="str" cm="1">
        <f t="array" ref="I1763">_xlfn.IFS(F1763&gt;=100,"Over weight",F1763&lt;100,"Average weight")</f>
        <v>Average weight</v>
      </c>
      <c r="J1763" s="2" t="str" cm="1">
        <f t="array" ref="J1763">_xlfn.IFS(G1763&lt;164,"Below Average height",G1763&gt;=165,"Above Average height",G1763=164,"Average height")</f>
        <v>Above Average height</v>
      </c>
      <c r="K1763" s="2" t="str" cm="1">
        <f t="array" ref="K1763">_xlfn.IFS(E1763&lt;=16,"Children",E1763&lt;=30,"Young Adults",E1763&lt;=45,"Middle-aged Adults",E1763&gt;45,"Old Adults")</f>
        <v>Young Adults</v>
      </c>
    </row>
    <row r="1764" spans="1:11" x14ac:dyDescent="0.45">
      <c r="A1764" s="2">
        <v>2072</v>
      </c>
      <c r="B1764" s="2" t="s">
        <v>2176</v>
      </c>
      <c r="C1764" s="2" t="s">
        <v>96</v>
      </c>
      <c r="D1764" s="2" t="s">
        <v>75</v>
      </c>
      <c r="E1764" s="2">
        <v>26</v>
      </c>
      <c r="F1764" s="2">
        <v>57</v>
      </c>
      <c r="G1764" s="2">
        <v>173</v>
      </c>
      <c r="H1764" s="9">
        <f t="shared" si="27"/>
        <v>19.045073340238563</v>
      </c>
      <c r="I1764" s="2" t="str" cm="1">
        <f t="array" ref="I1764">_xlfn.IFS(F1764&gt;=100,"Over weight",F1764&lt;100,"Average weight")</f>
        <v>Average weight</v>
      </c>
      <c r="J1764" s="2" t="str" cm="1">
        <f t="array" ref="J1764">_xlfn.IFS(G1764&lt;164,"Below Average height",G1764&gt;=165,"Above Average height",G1764=164,"Average height")</f>
        <v>Above Average height</v>
      </c>
      <c r="K1764" s="2" t="str" cm="1">
        <f t="array" ref="K1764">_xlfn.IFS(E1764&lt;=16,"Children",E1764&lt;=30,"Young Adults",E1764&lt;=45,"Middle-aged Adults",E1764&gt;45,"Old Adults")</f>
        <v>Young Adults</v>
      </c>
    </row>
    <row r="1765" spans="1:11" x14ac:dyDescent="0.45">
      <c r="A1765" s="2">
        <v>2073</v>
      </c>
      <c r="B1765" s="2" t="s">
        <v>2177</v>
      </c>
      <c r="C1765" s="2" t="s">
        <v>90</v>
      </c>
      <c r="D1765" s="2" t="s">
        <v>28</v>
      </c>
      <c r="E1765" s="2">
        <v>34</v>
      </c>
      <c r="F1765" s="2">
        <v>86</v>
      </c>
      <c r="G1765" s="2">
        <v>183</v>
      </c>
      <c r="H1765" s="9">
        <f t="shared" si="27"/>
        <v>25.680074054167036</v>
      </c>
      <c r="I1765" s="2" t="str" cm="1">
        <f t="array" ref="I1765">_xlfn.IFS(F1765&gt;=100,"Over weight",F1765&lt;100,"Average weight")</f>
        <v>Average weight</v>
      </c>
      <c r="J1765" s="2" t="str" cm="1">
        <f t="array" ref="J1765">_xlfn.IFS(G1765&lt;164,"Below Average height",G1765&gt;=165,"Above Average height",G1765=164,"Average height")</f>
        <v>Above Average height</v>
      </c>
      <c r="K1765" s="2" t="str" cm="1">
        <f t="array" ref="K1765">_xlfn.IFS(E1765&lt;=16,"Children",E1765&lt;=30,"Young Adults",E1765&lt;=45,"Middle-aged Adults",E1765&gt;45,"Old Adults")</f>
        <v>Middle-aged Adults</v>
      </c>
    </row>
    <row r="1766" spans="1:11" x14ac:dyDescent="0.45">
      <c r="A1766" s="2">
        <v>2074</v>
      </c>
      <c r="B1766" s="2" t="s">
        <v>2178</v>
      </c>
      <c r="C1766" s="2" t="s">
        <v>94</v>
      </c>
      <c r="D1766" s="2" t="s">
        <v>66</v>
      </c>
      <c r="E1766" s="2">
        <v>29</v>
      </c>
      <c r="F1766" s="2">
        <v>62</v>
      </c>
      <c r="G1766" s="2">
        <v>178</v>
      </c>
      <c r="H1766" s="9">
        <f t="shared" si="27"/>
        <v>19.568236333796236</v>
      </c>
      <c r="I1766" s="2" t="str" cm="1">
        <f t="array" ref="I1766">_xlfn.IFS(F1766&gt;=100,"Over weight",F1766&lt;100,"Average weight")</f>
        <v>Average weight</v>
      </c>
      <c r="J1766" s="2" t="str" cm="1">
        <f t="array" ref="J1766">_xlfn.IFS(G1766&lt;164,"Below Average height",G1766&gt;=165,"Above Average height",G1766=164,"Average height")</f>
        <v>Above Average height</v>
      </c>
      <c r="K1766" s="2" t="str" cm="1">
        <f t="array" ref="K1766">_xlfn.IFS(E1766&lt;=16,"Children",E1766&lt;=30,"Young Adults",E1766&lt;=45,"Middle-aged Adults",E1766&gt;45,"Old Adults")</f>
        <v>Young Adults</v>
      </c>
    </row>
    <row r="1767" spans="1:11" x14ac:dyDescent="0.45">
      <c r="A1767" s="2">
        <v>2075</v>
      </c>
      <c r="B1767" s="2" t="s">
        <v>2179</v>
      </c>
      <c r="C1767" s="2" t="s">
        <v>90</v>
      </c>
      <c r="D1767" s="2" t="s">
        <v>80</v>
      </c>
      <c r="E1767" s="2">
        <v>36</v>
      </c>
      <c r="F1767" s="2">
        <v>100</v>
      </c>
      <c r="G1767" s="2">
        <v>183</v>
      </c>
      <c r="H1767" s="9">
        <f t="shared" si="27"/>
        <v>29.860551225775623</v>
      </c>
      <c r="I1767" s="2" t="str" cm="1">
        <f t="array" ref="I1767">_xlfn.IFS(F1767&gt;=100,"Over weight",F1767&lt;100,"Average weight")</f>
        <v>Over weight</v>
      </c>
      <c r="J1767" s="2" t="str" cm="1">
        <f t="array" ref="J1767">_xlfn.IFS(G1767&lt;164,"Below Average height",G1767&gt;=165,"Above Average height",G1767=164,"Average height")</f>
        <v>Above Average height</v>
      </c>
      <c r="K1767" s="2" t="str" cm="1">
        <f t="array" ref="K1767">_xlfn.IFS(E1767&lt;=16,"Children",E1767&lt;=30,"Young Adults",E1767&lt;=45,"Middle-aged Adults",E1767&gt;45,"Old Adults")</f>
        <v>Middle-aged Adults</v>
      </c>
    </row>
    <row r="1768" spans="1:11" x14ac:dyDescent="0.45">
      <c r="A1768" s="2">
        <v>2076</v>
      </c>
      <c r="B1768" s="2" t="s">
        <v>2180</v>
      </c>
      <c r="C1768" s="2" t="s">
        <v>86</v>
      </c>
      <c r="D1768" s="2" t="s">
        <v>74</v>
      </c>
      <c r="E1768" s="2">
        <v>21</v>
      </c>
      <c r="F1768" s="2">
        <v>57</v>
      </c>
      <c r="G1768" s="2">
        <v>172</v>
      </c>
      <c r="H1768" s="9">
        <f t="shared" si="27"/>
        <v>19.267171444023798</v>
      </c>
      <c r="I1768" s="2" t="str" cm="1">
        <f t="array" ref="I1768">_xlfn.IFS(F1768&gt;=100,"Over weight",F1768&lt;100,"Average weight")</f>
        <v>Average weight</v>
      </c>
      <c r="J1768" s="2" t="str" cm="1">
        <f t="array" ref="J1768">_xlfn.IFS(G1768&lt;164,"Below Average height",G1768&gt;=165,"Above Average height",G1768=164,"Average height")</f>
        <v>Above Average height</v>
      </c>
      <c r="K1768" s="2" t="str" cm="1">
        <f t="array" ref="K1768">_xlfn.IFS(E1768&lt;=16,"Children",E1768&lt;=30,"Young Adults",E1768&lt;=45,"Middle-aged Adults",E1768&gt;45,"Old Adults")</f>
        <v>Young Adults</v>
      </c>
    </row>
    <row r="1769" spans="1:11" x14ac:dyDescent="0.45">
      <c r="A1769" s="2">
        <v>2077</v>
      </c>
      <c r="B1769" s="2" t="s">
        <v>2181</v>
      </c>
      <c r="C1769" s="2" t="s">
        <v>89</v>
      </c>
      <c r="D1769" s="2" t="s">
        <v>14</v>
      </c>
      <c r="E1769" s="2">
        <v>24</v>
      </c>
      <c r="F1769" s="2">
        <v>63</v>
      </c>
      <c r="G1769" s="2">
        <v>169</v>
      </c>
      <c r="H1769" s="9">
        <f t="shared" si="27"/>
        <v>22.058051188683873</v>
      </c>
      <c r="I1769" s="2" t="str" cm="1">
        <f t="array" ref="I1769">_xlfn.IFS(F1769&gt;=100,"Over weight",F1769&lt;100,"Average weight")</f>
        <v>Average weight</v>
      </c>
      <c r="J1769" s="2" t="str" cm="1">
        <f t="array" ref="J1769">_xlfn.IFS(G1769&lt;164,"Below Average height",G1769&gt;=165,"Above Average height",G1769=164,"Average height")</f>
        <v>Above Average height</v>
      </c>
      <c r="K1769" s="2" t="str" cm="1">
        <f t="array" ref="K1769">_xlfn.IFS(E1769&lt;=16,"Children",E1769&lt;=30,"Young Adults",E1769&lt;=45,"Middle-aged Adults",E1769&gt;45,"Old Adults")</f>
        <v>Young Adults</v>
      </c>
    </row>
    <row r="1770" spans="1:11" x14ac:dyDescent="0.45">
      <c r="A1770" s="2">
        <v>2078</v>
      </c>
      <c r="B1770" s="2" t="s">
        <v>2182</v>
      </c>
      <c r="C1770" s="2" t="s">
        <v>89</v>
      </c>
      <c r="D1770" s="2" t="s">
        <v>28</v>
      </c>
      <c r="E1770" s="2">
        <v>26</v>
      </c>
      <c r="F1770" s="2">
        <v>83</v>
      </c>
      <c r="G1770" s="2">
        <v>184</v>
      </c>
      <c r="H1770" s="9">
        <f t="shared" si="27"/>
        <v>24.515595463137995</v>
      </c>
      <c r="I1770" s="2" t="str" cm="1">
        <f t="array" ref="I1770">_xlfn.IFS(F1770&gt;=100,"Over weight",F1770&lt;100,"Average weight")</f>
        <v>Average weight</v>
      </c>
      <c r="J1770" s="2" t="str" cm="1">
        <f t="array" ref="J1770">_xlfn.IFS(G1770&lt;164,"Below Average height",G1770&gt;=165,"Above Average height",G1770=164,"Average height")</f>
        <v>Above Average height</v>
      </c>
      <c r="K1770" s="2" t="str" cm="1">
        <f t="array" ref="K1770">_xlfn.IFS(E1770&lt;=16,"Children",E1770&lt;=30,"Young Adults",E1770&lt;=45,"Middle-aged Adults",E1770&gt;45,"Old Adults")</f>
        <v>Young Adults</v>
      </c>
    </row>
    <row r="1771" spans="1:11" x14ac:dyDescent="0.45">
      <c r="A1771" s="2">
        <v>2079</v>
      </c>
      <c r="B1771" s="2" t="s">
        <v>2183</v>
      </c>
      <c r="C1771" s="2" t="s">
        <v>85</v>
      </c>
      <c r="D1771" s="2" t="s">
        <v>72</v>
      </c>
      <c r="E1771" s="2">
        <v>19</v>
      </c>
      <c r="F1771" s="2">
        <v>70</v>
      </c>
      <c r="G1771" s="2">
        <v>178</v>
      </c>
      <c r="H1771" s="9">
        <f t="shared" si="27"/>
        <v>22.093170054286073</v>
      </c>
      <c r="I1771" s="2" t="str" cm="1">
        <f t="array" ref="I1771">_xlfn.IFS(F1771&gt;=100,"Over weight",F1771&lt;100,"Average weight")</f>
        <v>Average weight</v>
      </c>
      <c r="J1771" s="2" t="str" cm="1">
        <f t="array" ref="J1771">_xlfn.IFS(G1771&lt;164,"Below Average height",G1771&gt;=165,"Above Average height",G1771=164,"Average height")</f>
        <v>Above Average height</v>
      </c>
      <c r="K1771" s="2" t="str" cm="1">
        <f t="array" ref="K1771">_xlfn.IFS(E1771&lt;=16,"Children",E1771&lt;=30,"Young Adults",E1771&lt;=45,"Middle-aged Adults",E1771&gt;45,"Old Adults")</f>
        <v>Young Adults</v>
      </c>
    </row>
    <row r="1772" spans="1:11" x14ac:dyDescent="0.45">
      <c r="A1772" s="2">
        <v>2080</v>
      </c>
      <c r="B1772" s="2" t="s">
        <v>2184</v>
      </c>
      <c r="C1772" s="2" t="s">
        <v>91</v>
      </c>
      <c r="D1772" s="2" t="s">
        <v>14</v>
      </c>
      <c r="E1772" s="2">
        <v>24</v>
      </c>
      <c r="F1772" s="2">
        <v>100</v>
      </c>
      <c r="G1772" s="2">
        <v>191</v>
      </c>
      <c r="H1772" s="9">
        <f t="shared" si="27"/>
        <v>27.411529289219047</v>
      </c>
      <c r="I1772" s="2" t="str" cm="1">
        <f t="array" ref="I1772">_xlfn.IFS(F1772&gt;=100,"Over weight",F1772&lt;100,"Average weight")</f>
        <v>Over weight</v>
      </c>
      <c r="J1772" s="2" t="str" cm="1">
        <f t="array" ref="J1772">_xlfn.IFS(G1772&lt;164,"Below Average height",G1772&gt;=165,"Above Average height",G1772=164,"Average height")</f>
        <v>Above Average height</v>
      </c>
      <c r="K1772" s="2" t="str" cm="1">
        <f t="array" ref="K1772">_xlfn.IFS(E1772&lt;=16,"Children",E1772&lt;=30,"Young Adults",E1772&lt;=45,"Middle-aged Adults",E1772&gt;45,"Old Adults")</f>
        <v>Young Adults</v>
      </c>
    </row>
    <row r="1773" spans="1:11" x14ac:dyDescent="0.45">
      <c r="A1773" s="2">
        <v>2082</v>
      </c>
      <c r="B1773" s="2" t="s">
        <v>2186</v>
      </c>
      <c r="C1773" s="2" t="s">
        <v>85</v>
      </c>
      <c r="D1773" s="2" t="s">
        <v>68</v>
      </c>
      <c r="E1773" s="2">
        <v>28</v>
      </c>
      <c r="F1773" s="2">
        <v>57</v>
      </c>
      <c r="G1773" s="2">
        <v>200</v>
      </c>
      <c r="H1773" s="9">
        <f t="shared" si="27"/>
        <v>14.25</v>
      </c>
      <c r="I1773" s="2" t="str" cm="1">
        <f t="array" ref="I1773">_xlfn.IFS(F1773&gt;=100,"Over weight",F1773&lt;100,"Average weight")</f>
        <v>Average weight</v>
      </c>
      <c r="J1773" s="2" t="str" cm="1">
        <f t="array" ref="J1773">_xlfn.IFS(G1773&lt;164,"Below Average height",G1773&gt;=165,"Above Average height",G1773=164,"Average height")</f>
        <v>Above Average height</v>
      </c>
      <c r="K1773" s="2" t="str" cm="1">
        <f t="array" ref="K1773">_xlfn.IFS(E1773&lt;=16,"Children",E1773&lt;=30,"Young Adults",E1773&lt;=45,"Middle-aged Adults",E1773&gt;45,"Old Adults")</f>
        <v>Young Adults</v>
      </c>
    </row>
    <row r="1774" spans="1:11" x14ac:dyDescent="0.45">
      <c r="A1774" s="2">
        <v>2083</v>
      </c>
      <c r="B1774" s="2" t="s">
        <v>2187</v>
      </c>
      <c r="C1774" s="2" t="s">
        <v>91</v>
      </c>
      <c r="D1774" s="2" t="s">
        <v>74</v>
      </c>
      <c r="E1774" s="2">
        <v>29</v>
      </c>
      <c r="F1774" s="2">
        <v>84</v>
      </c>
      <c r="G1774" s="2">
        <v>186</v>
      </c>
      <c r="H1774" s="9">
        <f t="shared" si="27"/>
        <v>24.280263614290668</v>
      </c>
      <c r="I1774" s="2" t="str" cm="1">
        <f t="array" ref="I1774">_xlfn.IFS(F1774&gt;=100,"Over weight",F1774&lt;100,"Average weight")</f>
        <v>Average weight</v>
      </c>
      <c r="J1774" s="2" t="str" cm="1">
        <f t="array" ref="J1774">_xlfn.IFS(G1774&lt;164,"Below Average height",G1774&gt;=165,"Above Average height",G1774=164,"Average height")</f>
        <v>Above Average height</v>
      </c>
      <c r="K1774" s="2" t="str" cm="1">
        <f t="array" ref="K1774">_xlfn.IFS(E1774&lt;=16,"Children",E1774&lt;=30,"Young Adults",E1774&lt;=45,"Middle-aged Adults",E1774&gt;45,"Old Adults")</f>
        <v>Young Adults</v>
      </c>
    </row>
    <row r="1775" spans="1:11" x14ac:dyDescent="0.45">
      <c r="A1775" s="2">
        <v>2084</v>
      </c>
      <c r="B1775" s="2" t="s">
        <v>2188</v>
      </c>
      <c r="C1775" s="2" t="s">
        <v>91</v>
      </c>
      <c r="D1775" s="2" t="s">
        <v>74</v>
      </c>
      <c r="E1775" s="2">
        <v>29</v>
      </c>
      <c r="F1775" s="2">
        <v>91</v>
      </c>
      <c r="G1775" s="2">
        <v>188</v>
      </c>
      <c r="H1775" s="9">
        <f t="shared" si="27"/>
        <v>25.746944318696244</v>
      </c>
      <c r="I1775" s="2" t="str" cm="1">
        <f t="array" ref="I1775">_xlfn.IFS(F1775&gt;=100,"Over weight",F1775&lt;100,"Average weight")</f>
        <v>Average weight</v>
      </c>
      <c r="J1775" s="2" t="str" cm="1">
        <f t="array" ref="J1775">_xlfn.IFS(G1775&lt;164,"Below Average height",G1775&gt;=165,"Above Average height",G1775=164,"Average height")</f>
        <v>Above Average height</v>
      </c>
      <c r="K1775" s="2" t="str" cm="1">
        <f t="array" ref="K1775">_xlfn.IFS(E1775&lt;=16,"Children",E1775&lt;=30,"Young Adults",E1775&lt;=45,"Middle-aged Adults",E1775&gt;45,"Old Adults")</f>
        <v>Young Adults</v>
      </c>
    </row>
    <row r="1776" spans="1:11" x14ac:dyDescent="0.45">
      <c r="A1776" s="2">
        <v>2085</v>
      </c>
      <c r="B1776" s="2" t="s">
        <v>2189</v>
      </c>
      <c r="C1776" s="2" t="s">
        <v>88</v>
      </c>
      <c r="D1776" s="2" t="s">
        <v>79</v>
      </c>
      <c r="E1776" s="2">
        <v>26</v>
      </c>
      <c r="F1776" s="2">
        <v>71</v>
      </c>
      <c r="G1776" s="2">
        <v>178</v>
      </c>
      <c r="H1776" s="9">
        <f t="shared" si="27"/>
        <v>22.408786769347305</v>
      </c>
      <c r="I1776" s="2" t="str" cm="1">
        <f t="array" ref="I1776">_xlfn.IFS(F1776&gt;=100,"Over weight",F1776&lt;100,"Average weight")</f>
        <v>Average weight</v>
      </c>
      <c r="J1776" s="2" t="str" cm="1">
        <f t="array" ref="J1776">_xlfn.IFS(G1776&lt;164,"Below Average height",G1776&gt;=165,"Above Average height",G1776=164,"Average height")</f>
        <v>Above Average height</v>
      </c>
      <c r="K1776" s="2" t="str" cm="1">
        <f t="array" ref="K1776">_xlfn.IFS(E1776&lt;=16,"Children",E1776&lt;=30,"Young Adults",E1776&lt;=45,"Middle-aged Adults",E1776&gt;45,"Old Adults")</f>
        <v>Young Adults</v>
      </c>
    </row>
    <row r="1777" spans="1:11" x14ac:dyDescent="0.45">
      <c r="A1777" s="2">
        <v>2086</v>
      </c>
      <c r="B1777" s="2" t="s">
        <v>2190</v>
      </c>
      <c r="C1777" s="2" t="s">
        <v>94</v>
      </c>
      <c r="D1777" s="2" t="s">
        <v>66</v>
      </c>
      <c r="E1777" s="2">
        <v>19</v>
      </c>
      <c r="F1777" s="2">
        <v>75</v>
      </c>
      <c r="G1777" s="2">
        <v>187</v>
      </c>
      <c r="H1777" s="9">
        <f t="shared" si="27"/>
        <v>21.447567845806283</v>
      </c>
      <c r="I1777" s="2" t="str" cm="1">
        <f t="array" ref="I1777">_xlfn.IFS(F1777&gt;=100,"Over weight",F1777&lt;100,"Average weight")</f>
        <v>Average weight</v>
      </c>
      <c r="J1777" s="2" t="str" cm="1">
        <f t="array" ref="J1777">_xlfn.IFS(G1777&lt;164,"Below Average height",G1777&gt;=165,"Above Average height",G1777=164,"Average height")</f>
        <v>Above Average height</v>
      </c>
      <c r="K1777" s="2" t="str" cm="1">
        <f t="array" ref="K1777">_xlfn.IFS(E1777&lt;=16,"Children",E1777&lt;=30,"Young Adults",E1777&lt;=45,"Middle-aged Adults",E1777&gt;45,"Old Adults")</f>
        <v>Young Adults</v>
      </c>
    </row>
    <row r="1778" spans="1:11" x14ac:dyDescent="0.45">
      <c r="A1778" s="2">
        <v>2087</v>
      </c>
      <c r="B1778" s="2" t="s">
        <v>2191</v>
      </c>
      <c r="C1778" s="2" t="s">
        <v>91</v>
      </c>
      <c r="D1778" s="2" t="s">
        <v>75</v>
      </c>
      <c r="E1778" s="2">
        <v>32</v>
      </c>
      <c r="F1778" s="2">
        <v>86</v>
      </c>
      <c r="G1778" s="2">
        <v>181</v>
      </c>
      <c r="H1778" s="9">
        <f t="shared" si="27"/>
        <v>26.25072494734593</v>
      </c>
      <c r="I1778" s="2" t="str" cm="1">
        <f t="array" ref="I1778">_xlfn.IFS(F1778&gt;=100,"Over weight",F1778&lt;100,"Average weight")</f>
        <v>Average weight</v>
      </c>
      <c r="J1778" s="2" t="str" cm="1">
        <f t="array" ref="J1778">_xlfn.IFS(G1778&lt;164,"Below Average height",G1778&gt;=165,"Above Average height",G1778=164,"Average height")</f>
        <v>Above Average height</v>
      </c>
      <c r="K1778" s="2" t="str" cm="1">
        <f t="array" ref="K1778">_xlfn.IFS(E1778&lt;=16,"Children",E1778&lt;=30,"Young Adults",E1778&lt;=45,"Middle-aged Adults",E1778&gt;45,"Old Adults")</f>
        <v>Middle-aged Adults</v>
      </c>
    </row>
    <row r="1779" spans="1:11" x14ac:dyDescent="0.45">
      <c r="A1779" s="2">
        <v>2088</v>
      </c>
      <c r="B1779" s="2" t="s">
        <v>2192</v>
      </c>
      <c r="C1779" s="2" t="s">
        <v>91</v>
      </c>
      <c r="D1779" s="2" t="s">
        <v>28</v>
      </c>
      <c r="E1779" s="2">
        <v>28</v>
      </c>
      <c r="F1779" s="2">
        <v>91</v>
      </c>
      <c r="G1779" s="2">
        <v>183</v>
      </c>
      <c r="H1779" s="9">
        <f t="shared" si="27"/>
        <v>27.173101615455817</v>
      </c>
      <c r="I1779" s="2" t="str" cm="1">
        <f t="array" ref="I1779">_xlfn.IFS(F1779&gt;=100,"Over weight",F1779&lt;100,"Average weight")</f>
        <v>Average weight</v>
      </c>
      <c r="J1779" s="2" t="str" cm="1">
        <f t="array" ref="J1779">_xlfn.IFS(G1779&lt;164,"Below Average height",G1779&gt;=165,"Above Average height",G1779=164,"Average height")</f>
        <v>Above Average height</v>
      </c>
      <c r="K1779" s="2" t="str" cm="1">
        <f t="array" ref="K1779">_xlfn.IFS(E1779&lt;=16,"Children",E1779&lt;=30,"Young Adults",E1779&lt;=45,"Middle-aged Adults",E1779&gt;45,"Old Adults")</f>
        <v>Young Adults</v>
      </c>
    </row>
    <row r="1780" spans="1:11" x14ac:dyDescent="0.45">
      <c r="A1780" s="2">
        <v>2089</v>
      </c>
      <c r="B1780" s="2" t="s">
        <v>2193</v>
      </c>
      <c r="C1780" s="2" t="s">
        <v>98</v>
      </c>
      <c r="D1780" s="2" t="s">
        <v>28</v>
      </c>
      <c r="E1780" s="2">
        <v>22</v>
      </c>
      <c r="F1780" s="2">
        <v>79</v>
      </c>
      <c r="G1780" s="2">
        <v>181</v>
      </c>
      <c r="H1780" s="9">
        <f t="shared" si="27"/>
        <v>24.114038033027075</v>
      </c>
      <c r="I1780" s="2" t="str" cm="1">
        <f t="array" ref="I1780">_xlfn.IFS(F1780&gt;=100,"Over weight",F1780&lt;100,"Average weight")</f>
        <v>Average weight</v>
      </c>
      <c r="J1780" s="2" t="str" cm="1">
        <f t="array" ref="J1780">_xlfn.IFS(G1780&lt;164,"Below Average height",G1780&gt;=165,"Above Average height",G1780=164,"Average height")</f>
        <v>Above Average height</v>
      </c>
      <c r="K1780" s="2" t="str" cm="1">
        <f t="array" ref="K1780">_xlfn.IFS(E1780&lt;=16,"Children",E1780&lt;=30,"Young Adults",E1780&lt;=45,"Middle-aged Adults",E1780&gt;45,"Old Adults")</f>
        <v>Young Adults</v>
      </c>
    </row>
    <row r="1781" spans="1:11" x14ac:dyDescent="0.45">
      <c r="A1781" s="2">
        <v>2090</v>
      </c>
      <c r="B1781" s="2" t="s">
        <v>2194</v>
      </c>
      <c r="C1781" s="2" t="s">
        <v>91</v>
      </c>
      <c r="D1781" s="2" t="s">
        <v>70</v>
      </c>
      <c r="E1781" s="2">
        <v>23</v>
      </c>
      <c r="F1781" s="2">
        <v>87</v>
      </c>
      <c r="G1781" s="2">
        <v>183</v>
      </c>
      <c r="H1781" s="9">
        <f t="shared" si="27"/>
        <v>25.978679566424791</v>
      </c>
      <c r="I1781" s="2" t="str" cm="1">
        <f t="array" ref="I1781">_xlfn.IFS(F1781&gt;=100,"Over weight",F1781&lt;100,"Average weight")</f>
        <v>Average weight</v>
      </c>
      <c r="J1781" s="2" t="str" cm="1">
        <f t="array" ref="J1781">_xlfn.IFS(G1781&lt;164,"Below Average height",G1781&gt;=165,"Above Average height",G1781=164,"Average height")</f>
        <v>Above Average height</v>
      </c>
      <c r="K1781" s="2" t="str" cm="1">
        <f t="array" ref="K1781">_xlfn.IFS(E1781&lt;=16,"Children",E1781&lt;=30,"Young Adults",E1781&lt;=45,"Middle-aged Adults",E1781&gt;45,"Old Adults")</f>
        <v>Young Adults</v>
      </c>
    </row>
    <row r="1782" spans="1:11" x14ac:dyDescent="0.45">
      <c r="A1782" s="2">
        <v>2091</v>
      </c>
      <c r="B1782" s="2" t="s">
        <v>2195</v>
      </c>
      <c r="C1782" s="2" t="s">
        <v>91</v>
      </c>
      <c r="D1782" s="2" t="s">
        <v>25</v>
      </c>
      <c r="E1782" s="2">
        <v>39</v>
      </c>
      <c r="F1782" s="2">
        <v>93</v>
      </c>
      <c r="G1782" s="2">
        <v>183</v>
      </c>
      <c r="H1782" s="9">
        <f t="shared" si="27"/>
        <v>27.77031263997133</v>
      </c>
      <c r="I1782" s="2" t="str" cm="1">
        <f t="array" ref="I1782">_xlfn.IFS(F1782&gt;=100,"Over weight",F1782&lt;100,"Average weight")</f>
        <v>Average weight</v>
      </c>
      <c r="J1782" s="2" t="str" cm="1">
        <f t="array" ref="J1782">_xlfn.IFS(G1782&lt;164,"Below Average height",G1782&gt;=165,"Above Average height",G1782=164,"Average height")</f>
        <v>Above Average height</v>
      </c>
      <c r="K1782" s="2" t="str" cm="1">
        <f t="array" ref="K1782">_xlfn.IFS(E1782&lt;=16,"Children",E1782&lt;=30,"Young Adults",E1782&lt;=45,"Middle-aged Adults",E1782&gt;45,"Old Adults")</f>
        <v>Middle-aged Adults</v>
      </c>
    </row>
    <row r="1783" spans="1:11" x14ac:dyDescent="0.45">
      <c r="A1783" s="2">
        <v>2092</v>
      </c>
      <c r="B1783" s="2" t="s">
        <v>2196</v>
      </c>
      <c r="C1783" s="2" t="s">
        <v>88</v>
      </c>
      <c r="D1783" s="2" t="s">
        <v>79</v>
      </c>
      <c r="E1783" s="2">
        <v>21</v>
      </c>
      <c r="F1783" s="2">
        <v>70</v>
      </c>
      <c r="G1783" s="2">
        <v>179</v>
      </c>
      <c r="H1783" s="9">
        <f t="shared" si="27"/>
        <v>21.847008520333322</v>
      </c>
      <c r="I1783" s="2" t="str" cm="1">
        <f t="array" ref="I1783">_xlfn.IFS(F1783&gt;=100,"Over weight",F1783&lt;100,"Average weight")</f>
        <v>Average weight</v>
      </c>
      <c r="J1783" s="2" t="str" cm="1">
        <f t="array" ref="J1783">_xlfn.IFS(G1783&lt;164,"Below Average height",G1783&gt;=165,"Above Average height",G1783=164,"Average height")</f>
        <v>Above Average height</v>
      </c>
      <c r="K1783" s="2" t="str" cm="1">
        <f t="array" ref="K1783">_xlfn.IFS(E1783&lt;=16,"Children",E1783&lt;=30,"Young Adults",E1783&lt;=45,"Middle-aged Adults",E1783&gt;45,"Old Adults")</f>
        <v>Young Adults</v>
      </c>
    </row>
    <row r="1784" spans="1:11" x14ac:dyDescent="0.45">
      <c r="A1784" s="2">
        <v>2095</v>
      </c>
      <c r="B1784" s="2" t="s">
        <v>2199</v>
      </c>
      <c r="C1784" s="2" t="s">
        <v>91</v>
      </c>
      <c r="D1784" s="2" t="s">
        <v>66</v>
      </c>
      <c r="E1784" s="2">
        <v>25</v>
      </c>
      <c r="F1784" s="2">
        <v>93</v>
      </c>
      <c r="G1784" s="2">
        <v>189</v>
      </c>
      <c r="H1784" s="9">
        <f t="shared" si="27"/>
        <v>26.035105400184765</v>
      </c>
      <c r="I1784" s="2" t="str" cm="1">
        <f t="array" ref="I1784">_xlfn.IFS(F1784&gt;=100,"Over weight",F1784&lt;100,"Average weight")</f>
        <v>Average weight</v>
      </c>
      <c r="J1784" s="2" t="str" cm="1">
        <f t="array" ref="J1784">_xlfn.IFS(G1784&lt;164,"Below Average height",G1784&gt;=165,"Above Average height",G1784=164,"Average height")</f>
        <v>Above Average height</v>
      </c>
      <c r="K1784" s="2" t="str" cm="1">
        <f t="array" ref="K1784">_xlfn.IFS(E1784&lt;=16,"Children",E1784&lt;=30,"Young Adults",E1784&lt;=45,"Middle-aged Adults",E1784&gt;45,"Old Adults")</f>
        <v>Young Adults</v>
      </c>
    </row>
    <row r="1785" spans="1:11" x14ac:dyDescent="0.45">
      <c r="A1785" s="2">
        <v>2096</v>
      </c>
      <c r="B1785" s="2" t="s">
        <v>2200</v>
      </c>
      <c r="C1785" s="2" t="s">
        <v>85</v>
      </c>
      <c r="D1785" s="2" t="s">
        <v>14</v>
      </c>
      <c r="E1785" s="2">
        <v>27</v>
      </c>
      <c r="F1785" s="2">
        <v>88</v>
      </c>
      <c r="G1785" s="2">
        <v>183</v>
      </c>
      <c r="H1785" s="9">
        <f t="shared" si="27"/>
        <v>26.277285078682549</v>
      </c>
      <c r="I1785" s="2" t="str" cm="1">
        <f t="array" ref="I1785">_xlfn.IFS(F1785&gt;=100,"Over weight",F1785&lt;100,"Average weight")</f>
        <v>Average weight</v>
      </c>
      <c r="J1785" s="2" t="str" cm="1">
        <f t="array" ref="J1785">_xlfn.IFS(G1785&lt;164,"Below Average height",G1785&gt;=165,"Above Average height",G1785=164,"Average height")</f>
        <v>Above Average height</v>
      </c>
      <c r="K1785" s="2" t="str" cm="1">
        <f t="array" ref="K1785">_xlfn.IFS(E1785&lt;=16,"Children",E1785&lt;=30,"Young Adults",E1785&lt;=45,"Middle-aged Adults",E1785&gt;45,"Old Adults")</f>
        <v>Young Adults</v>
      </c>
    </row>
    <row r="1786" spans="1:11" x14ac:dyDescent="0.45">
      <c r="A1786" s="2">
        <v>2097</v>
      </c>
      <c r="B1786" s="2" t="s">
        <v>2201</v>
      </c>
      <c r="C1786" s="2" t="s">
        <v>90</v>
      </c>
      <c r="D1786" s="2" t="s">
        <v>28</v>
      </c>
      <c r="E1786" s="2">
        <v>22</v>
      </c>
      <c r="F1786" s="2">
        <v>74</v>
      </c>
      <c r="G1786" s="2">
        <v>180</v>
      </c>
      <c r="H1786" s="9">
        <f t="shared" si="27"/>
        <v>22.839506172839506</v>
      </c>
      <c r="I1786" s="2" t="str" cm="1">
        <f t="array" ref="I1786">_xlfn.IFS(F1786&gt;=100,"Over weight",F1786&lt;100,"Average weight")</f>
        <v>Average weight</v>
      </c>
      <c r="J1786" s="2" t="str" cm="1">
        <f t="array" ref="J1786">_xlfn.IFS(G1786&lt;164,"Below Average height",G1786&gt;=165,"Above Average height",G1786=164,"Average height")</f>
        <v>Above Average height</v>
      </c>
      <c r="K1786" s="2" t="str" cm="1">
        <f t="array" ref="K1786">_xlfn.IFS(E1786&lt;=16,"Children",E1786&lt;=30,"Young Adults",E1786&lt;=45,"Middle-aged Adults",E1786&gt;45,"Old Adults")</f>
        <v>Young Adults</v>
      </c>
    </row>
    <row r="1787" spans="1:11" x14ac:dyDescent="0.45">
      <c r="A1787" s="2">
        <v>2098</v>
      </c>
      <c r="B1787" s="2" t="s">
        <v>2202</v>
      </c>
      <c r="C1787" s="2" t="s">
        <v>95</v>
      </c>
      <c r="D1787" s="2" t="s">
        <v>79</v>
      </c>
      <c r="E1787" s="2">
        <v>20</v>
      </c>
      <c r="F1787" s="2">
        <v>82</v>
      </c>
      <c r="G1787" s="2">
        <v>180</v>
      </c>
      <c r="H1787" s="9">
        <f t="shared" si="27"/>
        <v>25.308641975308639</v>
      </c>
      <c r="I1787" s="2" t="str" cm="1">
        <f t="array" ref="I1787">_xlfn.IFS(F1787&gt;=100,"Over weight",F1787&lt;100,"Average weight")</f>
        <v>Average weight</v>
      </c>
      <c r="J1787" s="2" t="str" cm="1">
        <f t="array" ref="J1787">_xlfn.IFS(G1787&lt;164,"Below Average height",G1787&gt;=165,"Above Average height",G1787=164,"Average height")</f>
        <v>Above Average height</v>
      </c>
      <c r="K1787" s="2" t="str" cm="1">
        <f t="array" ref="K1787">_xlfn.IFS(E1787&lt;=16,"Children",E1787&lt;=30,"Young Adults",E1787&lt;=45,"Middle-aged Adults",E1787&gt;45,"Old Adults")</f>
        <v>Young Adults</v>
      </c>
    </row>
    <row r="1788" spans="1:11" x14ac:dyDescent="0.45">
      <c r="A1788" s="2">
        <v>2100</v>
      </c>
      <c r="B1788" s="2" t="s">
        <v>2204</v>
      </c>
      <c r="C1788" s="2" t="s">
        <v>87</v>
      </c>
      <c r="D1788" s="2" t="s">
        <v>75</v>
      </c>
      <c r="E1788" s="2">
        <v>25</v>
      </c>
      <c r="F1788" s="2">
        <v>58</v>
      </c>
      <c r="G1788" s="2">
        <v>169</v>
      </c>
      <c r="H1788" s="9">
        <f t="shared" si="27"/>
        <v>20.307412205454995</v>
      </c>
      <c r="I1788" s="2" t="str" cm="1">
        <f t="array" ref="I1788">_xlfn.IFS(F1788&gt;=100,"Over weight",F1788&lt;100,"Average weight")</f>
        <v>Average weight</v>
      </c>
      <c r="J1788" s="2" t="str" cm="1">
        <f t="array" ref="J1788">_xlfn.IFS(G1788&lt;164,"Below Average height",G1788&gt;=165,"Above Average height",G1788=164,"Average height")</f>
        <v>Above Average height</v>
      </c>
      <c r="K1788" s="2" t="str" cm="1">
        <f t="array" ref="K1788">_xlfn.IFS(E1788&lt;=16,"Children",E1788&lt;=30,"Young Adults",E1788&lt;=45,"Middle-aged Adults",E1788&gt;45,"Old Adults")</f>
        <v>Young Adults</v>
      </c>
    </row>
    <row r="1789" spans="1:11" x14ac:dyDescent="0.45">
      <c r="A1789" s="2">
        <v>2102</v>
      </c>
      <c r="B1789" s="2" t="s">
        <v>2206</v>
      </c>
      <c r="C1789" s="2" t="s">
        <v>86</v>
      </c>
      <c r="D1789" s="2" t="s">
        <v>23</v>
      </c>
      <c r="E1789" s="2">
        <v>17</v>
      </c>
      <c r="F1789" s="2">
        <v>57</v>
      </c>
      <c r="G1789" s="2">
        <v>165</v>
      </c>
      <c r="H1789" s="9">
        <f t="shared" si="27"/>
        <v>20.936639118457304</v>
      </c>
      <c r="I1789" s="2" t="str" cm="1">
        <f t="array" ref="I1789">_xlfn.IFS(F1789&gt;=100,"Over weight",F1789&lt;100,"Average weight")</f>
        <v>Average weight</v>
      </c>
      <c r="J1789" s="2" t="str" cm="1">
        <f t="array" ref="J1789">_xlfn.IFS(G1789&lt;164,"Below Average height",G1789&gt;=165,"Above Average height",G1789=164,"Average height")</f>
        <v>Above Average height</v>
      </c>
      <c r="K1789" s="2" t="str" cm="1">
        <f t="array" ref="K1789">_xlfn.IFS(E1789&lt;=16,"Children",E1789&lt;=30,"Young Adults",E1789&lt;=45,"Middle-aged Adults",E1789&gt;45,"Old Adults")</f>
        <v>Young Adults</v>
      </c>
    </row>
    <row r="1790" spans="1:11" x14ac:dyDescent="0.45">
      <c r="A1790" s="2">
        <v>2103</v>
      </c>
      <c r="B1790" s="2" t="s">
        <v>2207</v>
      </c>
      <c r="C1790" s="2" t="s">
        <v>91</v>
      </c>
      <c r="D1790" s="2" t="s">
        <v>66</v>
      </c>
      <c r="E1790" s="2">
        <v>23</v>
      </c>
      <c r="F1790" s="2">
        <v>68</v>
      </c>
      <c r="G1790" s="2">
        <v>168</v>
      </c>
      <c r="H1790" s="9">
        <f t="shared" si="27"/>
        <v>24.092970521541954</v>
      </c>
      <c r="I1790" s="2" t="str" cm="1">
        <f t="array" ref="I1790">_xlfn.IFS(F1790&gt;=100,"Over weight",F1790&lt;100,"Average weight")</f>
        <v>Average weight</v>
      </c>
      <c r="J1790" s="2" t="str" cm="1">
        <f t="array" ref="J1790">_xlfn.IFS(G1790&lt;164,"Below Average height",G1790&gt;=165,"Above Average height",G1790=164,"Average height")</f>
        <v>Above Average height</v>
      </c>
      <c r="K1790" s="2" t="str" cm="1">
        <f t="array" ref="K1790">_xlfn.IFS(E1790&lt;=16,"Children",E1790&lt;=30,"Young Adults",E1790&lt;=45,"Middle-aged Adults",E1790&gt;45,"Old Adults")</f>
        <v>Young Adults</v>
      </c>
    </row>
    <row r="1791" spans="1:11" x14ac:dyDescent="0.45">
      <c r="A1791" s="2">
        <v>2105</v>
      </c>
      <c r="B1791" s="2" t="s">
        <v>2209</v>
      </c>
      <c r="C1791" s="2" t="s">
        <v>98</v>
      </c>
      <c r="D1791" s="2" t="s">
        <v>39</v>
      </c>
      <c r="E1791" s="2">
        <v>27</v>
      </c>
      <c r="F1791" s="2">
        <v>74</v>
      </c>
      <c r="G1791" s="2">
        <v>178</v>
      </c>
      <c r="H1791" s="9">
        <f t="shared" si="27"/>
        <v>23.355636914530994</v>
      </c>
      <c r="I1791" s="2" t="str" cm="1">
        <f t="array" ref="I1791">_xlfn.IFS(F1791&gt;=100,"Over weight",F1791&lt;100,"Average weight")</f>
        <v>Average weight</v>
      </c>
      <c r="J1791" s="2" t="str" cm="1">
        <f t="array" ref="J1791">_xlfn.IFS(G1791&lt;164,"Below Average height",G1791&gt;=165,"Above Average height",G1791=164,"Average height")</f>
        <v>Above Average height</v>
      </c>
      <c r="K1791" s="2" t="str" cm="1">
        <f t="array" ref="K1791">_xlfn.IFS(E1791&lt;=16,"Children",E1791&lt;=30,"Young Adults",E1791&lt;=45,"Middle-aged Adults",E1791&gt;45,"Old Adults")</f>
        <v>Young Adults</v>
      </c>
    </row>
    <row r="1792" spans="1:11" x14ac:dyDescent="0.45">
      <c r="A1792" s="2">
        <v>2106</v>
      </c>
      <c r="B1792" s="2" t="s">
        <v>2210</v>
      </c>
      <c r="C1792" s="2" t="s">
        <v>90</v>
      </c>
      <c r="D1792" s="2" t="s">
        <v>53</v>
      </c>
      <c r="E1792" s="2">
        <v>35</v>
      </c>
      <c r="F1792" s="2">
        <v>90</v>
      </c>
      <c r="G1792" s="2">
        <v>183</v>
      </c>
      <c r="H1792" s="9">
        <f t="shared" si="27"/>
        <v>26.874496103198062</v>
      </c>
      <c r="I1792" s="2" t="str" cm="1">
        <f t="array" ref="I1792">_xlfn.IFS(F1792&gt;=100,"Over weight",F1792&lt;100,"Average weight")</f>
        <v>Average weight</v>
      </c>
      <c r="J1792" s="2" t="str" cm="1">
        <f t="array" ref="J1792">_xlfn.IFS(G1792&lt;164,"Below Average height",G1792&gt;=165,"Above Average height",G1792=164,"Average height")</f>
        <v>Above Average height</v>
      </c>
      <c r="K1792" s="2" t="str" cm="1">
        <f t="array" ref="K1792">_xlfn.IFS(E1792&lt;=16,"Children",E1792&lt;=30,"Young Adults",E1792&lt;=45,"Middle-aged Adults",E1792&gt;45,"Old Adults")</f>
        <v>Middle-aged Adults</v>
      </c>
    </row>
    <row r="1793" spans="1:11" x14ac:dyDescent="0.45">
      <c r="A1793" s="2">
        <v>2107</v>
      </c>
      <c r="B1793" s="2" t="s">
        <v>2211</v>
      </c>
      <c r="C1793" s="2" t="s">
        <v>87</v>
      </c>
      <c r="D1793" s="2" t="s">
        <v>14</v>
      </c>
      <c r="E1793" s="2">
        <v>20</v>
      </c>
      <c r="F1793" s="2">
        <v>62</v>
      </c>
      <c r="G1793" s="2">
        <v>168</v>
      </c>
      <c r="H1793" s="9">
        <f t="shared" si="27"/>
        <v>21.9671201814059</v>
      </c>
      <c r="I1793" s="2" t="str" cm="1">
        <f t="array" ref="I1793">_xlfn.IFS(F1793&gt;=100,"Over weight",F1793&lt;100,"Average weight")</f>
        <v>Average weight</v>
      </c>
      <c r="J1793" s="2" t="str" cm="1">
        <f t="array" ref="J1793">_xlfn.IFS(G1793&lt;164,"Below Average height",G1793&gt;=165,"Above Average height",G1793=164,"Average height")</f>
        <v>Above Average height</v>
      </c>
      <c r="K1793" s="2" t="str" cm="1">
        <f t="array" ref="K1793">_xlfn.IFS(E1793&lt;=16,"Children",E1793&lt;=30,"Young Adults",E1793&lt;=45,"Middle-aged Adults",E1793&gt;45,"Old Adults")</f>
        <v>Young Adults</v>
      </c>
    </row>
    <row r="1794" spans="1:11" x14ac:dyDescent="0.45">
      <c r="A1794" s="2">
        <v>2108</v>
      </c>
      <c r="B1794" s="2" t="s">
        <v>2212</v>
      </c>
      <c r="C1794" s="2" t="s">
        <v>100</v>
      </c>
      <c r="D1794" s="2" t="s">
        <v>71</v>
      </c>
      <c r="E1794" s="2">
        <v>23</v>
      </c>
      <c r="F1794" s="2">
        <v>85</v>
      </c>
      <c r="G1794" s="2">
        <v>180</v>
      </c>
      <c r="H1794" s="9">
        <f t="shared" ref="H1794:H1857" si="28" xml:space="preserve"> F1794 / (( G1794/ 100) ^ 2)</f>
        <v>26.234567901234566</v>
      </c>
      <c r="I1794" s="2" t="str" cm="1">
        <f t="array" ref="I1794">_xlfn.IFS(F1794&gt;=100,"Over weight",F1794&lt;100,"Average weight")</f>
        <v>Average weight</v>
      </c>
      <c r="J1794" s="2" t="str" cm="1">
        <f t="array" ref="J1794">_xlfn.IFS(G1794&lt;164,"Below Average height",G1794&gt;=165,"Above Average height",G1794=164,"Average height")</f>
        <v>Above Average height</v>
      </c>
      <c r="K1794" s="2" t="str" cm="1">
        <f t="array" ref="K1794">_xlfn.IFS(E1794&lt;=16,"Children",E1794&lt;=30,"Young Adults",E1794&lt;=45,"Middle-aged Adults",E1794&gt;45,"Old Adults")</f>
        <v>Young Adults</v>
      </c>
    </row>
    <row r="1795" spans="1:11" x14ac:dyDescent="0.45">
      <c r="A1795" s="2">
        <v>2109</v>
      </c>
      <c r="B1795" s="2" t="s">
        <v>2213</v>
      </c>
      <c r="C1795" s="2" t="s">
        <v>94</v>
      </c>
      <c r="D1795" s="2" t="s">
        <v>36</v>
      </c>
      <c r="E1795" s="2">
        <v>22</v>
      </c>
      <c r="F1795" s="2">
        <v>68</v>
      </c>
      <c r="G1795" s="2">
        <v>175</v>
      </c>
      <c r="H1795" s="9">
        <f t="shared" si="28"/>
        <v>22.204081632653061</v>
      </c>
      <c r="I1795" s="2" t="str" cm="1">
        <f t="array" ref="I1795">_xlfn.IFS(F1795&gt;=100,"Over weight",F1795&lt;100,"Average weight")</f>
        <v>Average weight</v>
      </c>
      <c r="J1795" s="2" t="str" cm="1">
        <f t="array" ref="J1795">_xlfn.IFS(G1795&lt;164,"Below Average height",G1795&gt;=165,"Above Average height",G1795=164,"Average height")</f>
        <v>Above Average height</v>
      </c>
      <c r="K1795" s="2" t="str" cm="1">
        <f t="array" ref="K1795">_xlfn.IFS(E1795&lt;=16,"Children",E1795&lt;=30,"Young Adults",E1795&lt;=45,"Middle-aged Adults",E1795&gt;45,"Old Adults")</f>
        <v>Young Adults</v>
      </c>
    </row>
    <row r="1796" spans="1:11" x14ac:dyDescent="0.45">
      <c r="A1796" s="2">
        <v>2110</v>
      </c>
      <c r="B1796" s="2" t="s">
        <v>2214</v>
      </c>
      <c r="C1796" s="2" t="s">
        <v>86</v>
      </c>
      <c r="D1796" s="2" t="s">
        <v>66</v>
      </c>
      <c r="E1796" s="2">
        <v>28</v>
      </c>
      <c r="F1796" s="2">
        <v>57</v>
      </c>
      <c r="G1796" s="2">
        <v>182</v>
      </c>
      <c r="H1796" s="9">
        <f t="shared" si="28"/>
        <v>17.208066658616108</v>
      </c>
      <c r="I1796" s="2" t="str" cm="1">
        <f t="array" ref="I1796">_xlfn.IFS(F1796&gt;=100,"Over weight",F1796&lt;100,"Average weight")</f>
        <v>Average weight</v>
      </c>
      <c r="J1796" s="2" t="str" cm="1">
        <f t="array" ref="J1796">_xlfn.IFS(G1796&lt;164,"Below Average height",G1796&gt;=165,"Above Average height",G1796=164,"Average height")</f>
        <v>Above Average height</v>
      </c>
      <c r="K1796" s="2" t="str" cm="1">
        <f t="array" ref="K1796">_xlfn.IFS(E1796&lt;=16,"Children",E1796&lt;=30,"Young Adults",E1796&lt;=45,"Middle-aged Adults",E1796&gt;45,"Old Adults")</f>
        <v>Young Adults</v>
      </c>
    </row>
    <row r="1797" spans="1:11" x14ac:dyDescent="0.45">
      <c r="A1797" s="2">
        <v>2111</v>
      </c>
      <c r="B1797" s="2" t="s">
        <v>2215</v>
      </c>
      <c r="C1797" s="2" t="s">
        <v>89</v>
      </c>
      <c r="D1797" s="2" t="s">
        <v>66</v>
      </c>
      <c r="E1797" s="2">
        <v>27</v>
      </c>
      <c r="F1797" s="2">
        <v>68</v>
      </c>
      <c r="G1797" s="2">
        <v>172</v>
      </c>
      <c r="H1797" s="9">
        <f t="shared" si="28"/>
        <v>22.985397512168742</v>
      </c>
      <c r="I1797" s="2" t="str" cm="1">
        <f t="array" ref="I1797">_xlfn.IFS(F1797&gt;=100,"Over weight",F1797&lt;100,"Average weight")</f>
        <v>Average weight</v>
      </c>
      <c r="J1797" s="2" t="str" cm="1">
        <f t="array" ref="J1797">_xlfn.IFS(G1797&lt;164,"Below Average height",G1797&gt;=165,"Above Average height",G1797=164,"Average height")</f>
        <v>Above Average height</v>
      </c>
      <c r="K1797" s="2" t="str" cm="1">
        <f t="array" ref="K1797">_xlfn.IFS(E1797&lt;=16,"Children",E1797&lt;=30,"Young Adults",E1797&lt;=45,"Middle-aged Adults",E1797&gt;45,"Old Adults")</f>
        <v>Young Adults</v>
      </c>
    </row>
    <row r="1798" spans="1:11" x14ac:dyDescent="0.45">
      <c r="A1798" s="2">
        <v>2112</v>
      </c>
      <c r="B1798" s="2" t="s">
        <v>2216</v>
      </c>
      <c r="C1798" s="2" t="s">
        <v>85</v>
      </c>
      <c r="D1798" s="2" t="s">
        <v>81</v>
      </c>
      <c r="E1798" s="2">
        <v>27</v>
      </c>
      <c r="F1798" s="2">
        <v>65</v>
      </c>
      <c r="G1798" s="2">
        <v>180</v>
      </c>
      <c r="H1798" s="9">
        <f t="shared" si="28"/>
        <v>20.061728395061728</v>
      </c>
      <c r="I1798" s="2" t="str" cm="1">
        <f t="array" ref="I1798">_xlfn.IFS(F1798&gt;=100,"Over weight",F1798&lt;100,"Average weight")</f>
        <v>Average weight</v>
      </c>
      <c r="J1798" s="2" t="str" cm="1">
        <f t="array" ref="J1798">_xlfn.IFS(G1798&lt;164,"Below Average height",G1798&gt;=165,"Above Average height",G1798=164,"Average height")</f>
        <v>Above Average height</v>
      </c>
      <c r="K1798" s="2" t="str" cm="1">
        <f t="array" ref="K1798">_xlfn.IFS(E1798&lt;=16,"Children",E1798&lt;=30,"Young Adults",E1798&lt;=45,"Middle-aged Adults",E1798&gt;45,"Old Adults")</f>
        <v>Young Adults</v>
      </c>
    </row>
    <row r="1799" spans="1:11" x14ac:dyDescent="0.45">
      <c r="A1799" s="2">
        <v>2113</v>
      </c>
      <c r="B1799" s="2" t="s">
        <v>2217</v>
      </c>
      <c r="C1799" s="2" t="s">
        <v>100</v>
      </c>
      <c r="D1799" s="2" t="s">
        <v>37</v>
      </c>
      <c r="E1799" s="2">
        <v>32</v>
      </c>
      <c r="F1799" s="2">
        <v>78</v>
      </c>
      <c r="G1799" s="2">
        <v>178</v>
      </c>
      <c r="H1799" s="9">
        <f t="shared" si="28"/>
        <v>24.618103774775911</v>
      </c>
      <c r="I1799" s="2" t="str" cm="1">
        <f t="array" ref="I1799">_xlfn.IFS(F1799&gt;=100,"Over weight",F1799&lt;100,"Average weight")</f>
        <v>Average weight</v>
      </c>
      <c r="J1799" s="2" t="str" cm="1">
        <f t="array" ref="J1799">_xlfn.IFS(G1799&lt;164,"Below Average height",G1799&gt;=165,"Above Average height",G1799=164,"Average height")</f>
        <v>Above Average height</v>
      </c>
      <c r="K1799" s="2" t="str" cm="1">
        <f t="array" ref="K1799">_xlfn.IFS(E1799&lt;=16,"Children",E1799&lt;=30,"Young Adults",E1799&lt;=45,"Middle-aged Adults",E1799&gt;45,"Old Adults")</f>
        <v>Middle-aged Adults</v>
      </c>
    </row>
    <row r="1800" spans="1:11" x14ac:dyDescent="0.45">
      <c r="A1800" s="2">
        <v>2114</v>
      </c>
      <c r="B1800" s="2" t="s">
        <v>2218</v>
      </c>
      <c r="C1800" s="2" t="s">
        <v>87</v>
      </c>
      <c r="D1800" s="2" t="s">
        <v>66</v>
      </c>
      <c r="E1800" s="2">
        <v>22</v>
      </c>
      <c r="F1800" s="2">
        <v>80</v>
      </c>
      <c r="G1800" s="2">
        <v>180</v>
      </c>
      <c r="H1800" s="9">
        <f t="shared" si="28"/>
        <v>24.691358024691358</v>
      </c>
      <c r="I1800" s="2" t="str" cm="1">
        <f t="array" ref="I1800">_xlfn.IFS(F1800&gt;=100,"Over weight",F1800&lt;100,"Average weight")</f>
        <v>Average weight</v>
      </c>
      <c r="J1800" s="2" t="str" cm="1">
        <f t="array" ref="J1800">_xlfn.IFS(G1800&lt;164,"Below Average height",G1800&gt;=165,"Above Average height",G1800=164,"Average height")</f>
        <v>Above Average height</v>
      </c>
      <c r="K1800" s="2" t="str" cm="1">
        <f t="array" ref="K1800">_xlfn.IFS(E1800&lt;=16,"Children",E1800&lt;=30,"Young Adults",E1800&lt;=45,"Middle-aged Adults",E1800&gt;45,"Old Adults")</f>
        <v>Young Adults</v>
      </c>
    </row>
    <row r="1801" spans="1:11" x14ac:dyDescent="0.45">
      <c r="A1801" s="2">
        <v>2115</v>
      </c>
      <c r="B1801" s="2" t="s">
        <v>2219</v>
      </c>
      <c r="C1801" s="2" t="s">
        <v>94</v>
      </c>
      <c r="D1801" s="2" t="s">
        <v>66</v>
      </c>
      <c r="E1801" s="2">
        <v>23</v>
      </c>
      <c r="F1801" s="2">
        <v>57</v>
      </c>
      <c r="G1801" s="2">
        <v>168</v>
      </c>
      <c r="H1801" s="9">
        <f t="shared" si="28"/>
        <v>20.195578231292519</v>
      </c>
      <c r="I1801" s="2" t="str" cm="1">
        <f t="array" ref="I1801">_xlfn.IFS(F1801&gt;=100,"Over weight",F1801&lt;100,"Average weight")</f>
        <v>Average weight</v>
      </c>
      <c r="J1801" s="2" t="str" cm="1">
        <f t="array" ref="J1801">_xlfn.IFS(G1801&lt;164,"Below Average height",G1801&gt;=165,"Above Average height",G1801=164,"Average height")</f>
        <v>Above Average height</v>
      </c>
      <c r="K1801" s="2" t="str" cm="1">
        <f t="array" ref="K1801">_xlfn.IFS(E1801&lt;=16,"Children",E1801&lt;=30,"Young Adults",E1801&lt;=45,"Middle-aged Adults",E1801&gt;45,"Old Adults")</f>
        <v>Young Adults</v>
      </c>
    </row>
    <row r="1802" spans="1:11" x14ac:dyDescent="0.45">
      <c r="A1802" s="2">
        <v>2116</v>
      </c>
      <c r="B1802" s="2" t="s">
        <v>2220</v>
      </c>
      <c r="C1802" s="2" t="s">
        <v>93</v>
      </c>
      <c r="D1802" s="2" t="s">
        <v>5</v>
      </c>
      <c r="E1802" s="2">
        <v>27</v>
      </c>
      <c r="F1802" s="2">
        <v>66</v>
      </c>
      <c r="G1802" s="2">
        <v>173</v>
      </c>
      <c r="H1802" s="9">
        <f t="shared" si="28"/>
        <v>22.052190183434128</v>
      </c>
      <c r="I1802" s="2" t="str" cm="1">
        <f t="array" ref="I1802">_xlfn.IFS(F1802&gt;=100,"Over weight",F1802&lt;100,"Average weight")</f>
        <v>Average weight</v>
      </c>
      <c r="J1802" s="2" t="str" cm="1">
        <f t="array" ref="J1802">_xlfn.IFS(G1802&lt;164,"Below Average height",G1802&gt;=165,"Above Average height",G1802=164,"Average height")</f>
        <v>Above Average height</v>
      </c>
      <c r="K1802" s="2" t="str" cm="1">
        <f t="array" ref="K1802">_xlfn.IFS(E1802&lt;=16,"Children",E1802&lt;=30,"Young Adults",E1802&lt;=45,"Middle-aged Adults",E1802&gt;45,"Old Adults")</f>
        <v>Young Adults</v>
      </c>
    </row>
    <row r="1803" spans="1:11" x14ac:dyDescent="0.45">
      <c r="A1803" s="2">
        <v>2118</v>
      </c>
      <c r="B1803" s="2" t="s">
        <v>2222</v>
      </c>
      <c r="C1803" s="2" t="s">
        <v>94</v>
      </c>
      <c r="D1803" s="2" t="s">
        <v>57</v>
      </c>
      <c r="E1803" s="2">
        <v>40</v>
      </c>
      <c r="F1803" s="2">
        <v>74</v>
      </c>
      <c r="G1803" s="2">
        <v>175</v>
      </c>
      <c r="H1803" s="9">
        <f t="shared" si="28"/>
        <v>24.163265306122447</v>
      </c>
      <c r="I1803" s="2" t="str" cm="1">
        <f t="array" ref="I1803">_xlfn.IFS(F1803&gt;=100,"Over weight",F1803&lt;100,"Average weight")</f>
        <v>Average weight</v>
      </c>
      <c r="J1803" s="2" t="str" cm="1">
        <f t="array" ref="J1803">_xlfn.IFS(G1803&lt;164,"Below Average height",G1803&gt;=165,"Above Average height",G1803=164,"Average height")</f>
        <v>Above Average height</v>
      </c>
      <c r="K1803" s="2" t="str" cm="1">
        <f t="array" ref="K1803">_xlfn.IFS(E1803&lt;=16,"Children",E1803&lt;=30,"Young Adults",E1803&lt;=45,"Middle-aged Adults",E1803&gt;45,"Old Adults")</f>
        <v>Middle-aged Adults</v>
      </c>
    </row>
    <row r="1804" spans="1:11" x14ac:dyDescent="0.45">
      <c r="A1804" s="2">
        <v>2119</v>
      </c>
      <c r="B1804" s="2" t="s">
        <v>2223</v>
      </c>
      <c r="C1804" s="2" t="s">
        <v>94</v>
      </c>
      <c r="D1804" s="2" t="s">
        <v>79</v>
      </c>
      <c r="E1804" s="2">
        <v>34</v>
      </c>
      <c r="F1804" s="2">
        <v>51</v>
      </c>
      <c r="G1804" s="2">
        <v>165</v>
      </c>
      <c r="H1804" s="9">
        <f t="shared" si="28"/>
        <v>18.732782369146008</v>
      </c>
      <c r="I1804" s="2" t="str" cm="1">
        <f t="array" ref="I1804">_xlfn.IFS(F1804&gt;=100,"Over weight",F1804&lt;100,"Average weight")</f>
        <v>Average weight</v>
      </c>
      <c r="J1804" s="2" t="str" cm="1">
        <f t="array" ref="J1804">_xlfn.IFS(G1804&lt;164,"Below Average height",G1804&gt;=165,"Above Average height",G1804=164,"Average height")</f>
        <v>Above Average height</v>
      </c>
      <c r="K1804" s="2" t="str" cm="1">
        <f t="array" ref="K1804">_xlfn.IFS(E1804&lt;=16,"Children",E1804&lt;=30,"Young Adults",E1804&lt;=45,"Middle-aged Adults",E1804&gt;45,"Old Adults")</f>
        <v>Middle-aged Adults</v>
      </c>
    </row>
    <row r="1805" spans="1:11" x14ac:dyDescent="0.45">
      <c r="A1805" s="2">
        <v>2120</v>
      </c>
      <c r="B1805" s="2" t="s">
        <v>2224</v>
      </c>
      <c r="C1805" s="2" t="s">
        <v>93</v>
      </c>
      <c r="D1805" s="2" t="s">
        <v>17</v>
      </c>
      <c r="E1805" s="2">
        <v>19</v>
      </c>
      <c r="F1805" s="2">
        <v>74</v>
      </c>
      <c r="G1805" s="2">
        <v>178</v>
      </c>
      <c r="H1805" s="9">
        <f t="shared" si="28"/>
        <v>23.355636914530994</v>
      </c>
      <c r="I1805" s="2" t="str" cm="1">
        <f t="array" ref="I1805">_xlfn.IFS(F1805&gt;=100,"Over weight",F1805&lt;100,"Average weight")</f>
        <v>Average weight</v>
      </c>
      <c r="J1805" s="2" t="str" cm="1">
        <f t="array" ref="J1805">_xlfn.IFS(G1805&lt;164,"Below Average height",G1805&gt;=165,"Above Average height",G1805=164,"Average height")</f>
        <v>Above Average height</v>
      </c>
      <c r="K1805" s="2" t="str" cm="1">
        <f t="array" ref="K1805">_xlfn.IFS(E1805&lt;=16,"Children",E1805&lt;=30,"Young Adults",E1805&lt;=45,"Middle-aged Adults",E1805&gt;45,"Old Adults")</f>
        <v>Young Adults</v>
      </c>
    </row>
    <row r="1806" spans="1:11" x14ac:dyDescent="0.45">
      <c r="A1806" s="2">
        <v>2121</v>
      </c>
      <c r="B1806" s="2" t="s">
        <v>2225</v>
      </c>
      <c r="C1806" s="2" t="s">
        <v>91</v>
      </c>
      <c r="D1806" s="2" t="s">
        <v>17</v>
      </c>
      <c r="E1806" s="2">
        <v>23</v>
      </c>
      <c r="F1806" s="2">
        <v>70</v>
      </c>
      <c r="G1806" s="2">
        <v>178</v>
      </c>
      <c r="H1806" s="9">
        <f t="shared" si="28"/>
        <v>22.093170054286073</v>
      </c>
      <c r="I1806" s="2" t="str" cm="1">
        <f t="array" ref="I1806">_xlfn.IFS(F1806&gt;=100,"Over weight",F1806&lt;100,"Average weight")</f>
        <v>Average weight</v>
      </c>
      <c r="J1806" s="2" t="str" cm="1">
        <f t="array" ref="J1806">_xlfn.IFS(G1806&lt;164,"Below Average height",G1806&gt;=165,"Above Average height",G1806=164,"Average height")</f>
        <v>Above Average height</v>
      </c>
      <c r="K1806" s="2" t="str" cm="1">
        <f t="array" ref="K1806">_xlfn.IFS(E1806&lt;=16,"Children",E1806&lt;=30,"Young Adults",E1806&lt;=45,"Middle-aged Adults",E1806&gt;45,"Old Adults")</f>
        <v>Young Adults</v>
      </c>
    </row>
    <row r="1807" spans="1:11" x14ac:dyDescent="0.45">
      <c r="A1807" s="2">
        <v>2122</v>
      </c>
      <c r="B1807" s="2" t="s">
        <v>2226</v>
      </c>
      <c r="C1807" s="2" t="s">
        <v>89</v>
      </c>
      <c r="D1807" s="2" t="s">
        <v>66</v>
      </c>
      <c r="E1807" s="2">
        <v>24</v>
      </c>
      <c r="F1807" s="2">
        <v>68</v>
      </c>
      <c r="G1807" s="2">
        <v>172</v>
      </c>
      <c r="H1807" s="9">
        <f t="shared" si="28"/>
        <v>22.985397512168742</v>
      </c>
      <c r="I1807" s="2" t="str" cm="1">
        <f t="array" ref="I1807">_xlfn.IFS(F1807&gt;=100,"Over weight",F1807&lt;100,"Average weight")</f>
        <v>Average weight</v>
      </c>
      <c r="J1807" s="2" t="str" cm="1">
        <f t="array" ref="J1807">_xlfn.IFS(G1807&lt;164,"Below Average height",G1807&gt;=165,"Above Average height",G1807=164,"Average height")</f>
        <v>Above Average height</v>
      </c>
      <c r="K1807" s="2" t="str" cm="1">
        <f t="array" ref="K1807">_xlfn.IFS(E1807&lt;=16,"Children",E1807&lt;=30,"Young Adults",E1807&lt;=45,"Middle-aged Adults",E1807&gt;45,"Old Adults")</f>
        <v>Young Adults</v>
      </c>
    </row>
    <row r="1808" spans="1:11" x14ac:dyDescent="0.45">
      <c r="A1808" s="2">
        <v>2124</v>
      </c>
      <c r="B1808" s="2" t="s">
        <v>2228</v>
      </c>
      <c r="C1808" s="2" t="s">
        <v>88</v>
      </c>
      <c r="D1808" s="2" t="s">
        <v>66</v>
      </c>
      <c r="E1808" s="2">
        <v>22</v>
      </c>
      <c r="F1808" s="2">
        <v>80</v>
      </c>
      <c r="G1808" s="2">
        <v>185</v>
      </c>
      <c r="H1808" s="9">
        <f t="shared" si="28"/>
        <v>23.374726077428779</v>
      </c>
      <c r="I1808" s="2" t="str" cm="1">
        <f t="array" ref="I1808">_xlfn.IFS(F1808&gt;=100,"Over weight",F1808&lt;100,"Average weight")</f>
        <v>Average weight</v>
      </c>
      <c r="J1808" s="2" t="str" cm="1">
        <f t="array" ref="J1808">_xlfn.IFS(G1808&lt;164,"Below Average height",G1808&gt;=165,"Above Average height",G1808=164,"Average height")</f>
        <v>Above Average height</v>
      </c>
      <c r="K1808" s="2" t="str" cm="1">
        <f t="array" ref="K1808">_xlfn.IFS(E1808&lt;=16,"Children",E1808&lt;=30,"Young Adults",E1808&lt;=45,"Middle-aged Adults",E1808&gt;45,"Old Adults")</f>
        <v>Young Adults</v>
      </c>
    </row>
    <row r="1809" spans="1:11" x14ac:dyDescent="0.45">
      <c r="A1809" s="2">
        <v>2125</v>
      </c>
      <c r="B1809" s="2" t="s">
        <v>2229</v>
      </c>
      <c r="C1809" s="2" t="s">
        <v>94</v>
      </c>
      <c r="D1809" s="2" t="s">
        <v>66</v>
      </c>
      <c r="E1809" s="2">
        <v>27</v>
      </c>
      <c r="F1809" s="2">
        <v>71</v>
      </c>
      <c r="G1809" s="2">
        <v>181</v>
      </c>
      <c r="H1809" s="9">
        <f t="shared" si="28"/>
        <v>21.672110130948383</v>
      </c>
      <c r="I1809" s="2" t="str" cm="1">
        <f t="array" ref="I1809">_xlfn.IFS(F1809&gt;=100,"Over weight",F1809&lt;100,"Average weight")</f>
        <v>Average weight</v>
      </c>
      <c r="J1809" s="2" t="str" cm="1">
        <f t="array" ref="J1809">_xlfn.IFS(G1809&lt;164,"Below Average height",G1809&gt;=165,"Above Average height",G1809=164,"Average height")</f>
        <v>Above Average height</v>
      </c>
      <c r="K1809" s="2" t="str" cm="1">
        <f t="array" ref="K1809">_xlfn.IFS(E1809&lt;=16,"Children",E1809&lt;=30,"Young Adults",E1809&lt;=45,"Middle-aged Adults",E1809&gt;45,"Old Adults")</f>
        <v>Young Adults</v>
      </c>
    </row>
    <row r="1810" spans="1:11" x14ac:dyDescent="0.45">
      <c r="A1810" s="2">
        <v>2126</v>
      </c>
      <c r="B1810" s="2" t="s">
        <v>2230</v>
      </c>
      <c r="C1810" s="2" t="s">
        <v>85</v>
      </c>
      <c r="D1810" s="2" t="s">
        <v>8</v>
      </c>
      <c r="E1810" s="2">
        <v>20</v>
      </c>
      <c r="F1810" s="2">
        <v>66</v>
      </c>
      <c r="G1810" s="2">
        <v>166</v>
      </c>
      <c r="H1810" s="9">
        <f t="shared" si="28"/>
        <v>23.951226593119468</v>
      </c>
      <c r="I1810" s="2" t="str" cm="1">
        <f t="array" ref="I1810">_xlfn.IFS(F1810&gt;=100,"Over weight",F1810&lt;100,"Average weight")</f>
        <v>Average weight</v>
      </c>
      <c r="J1810" s="2" t="str" cm="1">
        <f t="array" ref="J1810">_xlfn.IFS(G1810&lt;164,"Below Average height",G1810&gt;=165,"Above Average height",G1810=164,"Average height")</f>
        <v>Above Average height</v>
      </c>
      <c r="K1810" s="2" t="str" cm="1">
        <f t="array" ref="K1810">_xlfn.IFS(E1810&lt;=16,"Children",E1810&lt;=30,"Young Adults",E1810&lt;=45,"Middle-aged Adults",E1810&gt;45,"Old Adults")</f>
        <v>Young Adults</v>
      </c>
    </row>
    <row r="1811" spans="1:11" x14ac:dyDescent="0.45">
      <c r="A1811" s="2">
        <v>2127</v>
      </c>
      <c r="B1811" s="2" t="s">
        <v>2231</v>
      </c>
      <c r="C1811" s="2" t="s">
        <v>87</v>
      </c>
      <c r="D1811" s="2" t="s">
        <v>14</v>
      </c>
      <c r="E1811" s="2">
        <v>26</v>
      </c>
      <c r="F1811" s="2">
        <v>70</v>
      </c>
      <c r="G1811" s="2">
        <v>177</v>
      </c>
      <c r="H1811" s="9">
        <f t="shared" si="28"/>
        <v>22.343515592581952</v>
      </c>
      <c r="I1811" s="2" t="str" cm="1">
        <f t="array" ref="I1811">_xlfn.IFS(F1811&gt;=100,"Over weight",F1811&lt;100,"Average weight")</f>
        <v>Average weight</v>
      </c>
      <c r="J1811" s="2" t="str" cm="1">
        <f t="array" ref="J1811">_xlfn.IFS(G1811&lt;164,"Below Average height",G1811&gt;=165,"Above Average height",G1811=164,"Average height")</f>
        <v>Above Average height</v>
      </c>
      <c r="K1811" s="2" t="str" cm="1">
        <f t="array" ref="K1811">_xlfn.IFS(E1811&lt;=16,"Children",E1811&lt;=30,"Young Adults",E1811&lt;=45,"Middle-aged Adults",E1811&gt;45,"Old Adults")</f>
        <v>Young Adults</v>
      </c>
    </row>
    <row r="1812" spans="1:11" x14ac:dyDescent="0.45">
      <c r="A1812" s="2">
        <v>2128</v>
      </c>
      <c r="B1812" s="2" t="s">
        <v>2232</v>
      </c>
      <c r="C1812" s="2" t="s">
        <v>86</v>
      </c>
      <c r="D1812" s="2" t="s">
        <v>23</v>
      </c>
      <c r="E1812" s="2">
        <v>16</v>
      </c>
      <c r="F1812" s="2">
        <v>57</v>
      </c>
      <c r="G1812" s="2">
        <v>168</v>
      </c>
      <c r="H1812" s="9">
        <f t="shared" si="28"/>
        <v>20.195578231292519</v>
      </c>
      <c r="I1812" s="2" t="str" cm="1">
        <f t="array" ref="I1812">_xlfn.IFS(F1812&gt;=100,"Over weight",F1812&lt;100,"Average weight")</f>
        <v>Average weight</v>
      </c>
      <c r="J1812" s="2" t="str" cm="1">
        <f t="array" ref="J1812">_xlfn.IFS(G1812&lt;164,"Below Average height",G1812&gt;=165,"Above Average height",G1812=164,"Average height")</f>
        <v>Above Average height</v>
      </c>
      <c r="K1812" s="2" t="str" cm="1">
        <f t="array" ref="K1812">_xlfn.IFS(E1812&lt;=16,"Children",E1812&lt;=30,"Young Adults",E1812&lt;=45,"Middle-aged Adults",E1812&gt;45,"Old Adults")</f>
        <v>Children</v>
      </c>
    </row>
    <row r="1813" spans="1:11" x14ac:dyDescent="0.45">
      <c r="A1813" s="2">
        <v>2129</v>
      </c>
      <c r="B1813" s="2" t="s">
        <v>2233</v>
      </c>
      <c r="C1813" s="2" t="s">
        <v>92</v>
      </c>
      <c r="D1813" s="2" t="s">
        <v>79</v>
      </c>
      <c r="E1813" s="2">
        <v>26</v>
      </c>
      <c r="F1813" s="2">
        <v>66</v>
      </c>
      <c r="G1813" s="2">
        <v>181</v>
      </c>
      <c r="H1813" s="9">
        <f t="shared" si="28"/>
        <v>20.145905192149201</v>
      </c>
      <c r="I1813" s="2" t="str" cm="1">
        <f t="array" ref="I1813">_xlfn.IFS(F1813&gt;=100,"Over weight",F1813&lt;100,"Average weight")</f>
        <v>Average weight</v>
      </c>
      <c r="J1813" s="2" t="str" cm="1">
        <f t="array" ref="J1813">_xlfn.IFS(G1813&lt;164,"Below Average height",G1813&gt;=165,"Above Average height",G1813=164,"Average height")</f>
        <v>Above Average height</v>
      </c>
      <c r="K1813" s="2" t="str" cm="1">
        <f t="array" ref="K1813">_xlfn.IFS(E1813&lt;=16,"Children",E1813&lt;=30,"Young Adults",E1813&lt;=45,"Middle-aged Adults",E1813&gt;45,"Old Adults")</f>
        <v>Young Adults</v>
      </c>
    </row>
    <row r="1814" spans="1:11" x14ac:dyDescent="0.45">
      <c r="A1814" s="2">
        <v>2130</v>
      </c>
      <c r="B1814" s="2" t="s">
        <v>2234</v>
      </c>
      <c r="C1814" s="2" t="s">
        <v>96</v>
      </c>
      <c r="D1814" s="2" t="s">
        <v>80</v>
      </c>
      <c r="E1814" s="2">
        <v>27</v>
      </c>
      <c r="F1814" s="2">
        <v>57</v>
      </c>
      <c r="G1814" s="2">
        <v>183</v>
      </c>
      <c r="H1814" s="9">
        <f t="shared" si="28"/>
        <v>17.020514198692105</v>
      </c>
      <c r="I1814" s="2" t="str" cm="1">
        <f t="array" ref="I1814">_xlfn.IFS(F1814&gt;=100,"Over weight",F1814&lt;100,"Average weight")</f>
        <v>Average weight</v>
      </c>
      <c r="J1814" s="2" t="str" cm="1">
        <f t="array" ref="J1814">_xlfn.IFS(G1814&lt;164,"Below Average height",G1814&gt;=165,"Above Average height",G1814=164,"Average height")</f>
        <v>Above Average height</v>
      </c>
      <c r="K1814" s="2" t="str" cm="1">
        <f t="array" ref="K1814">_xlfn.IFS(E1814&lt;=16,"Children",E1814&lt;=30,"Young Adults",E1814&lt;=45,"Middle-aged Adults",E1814&gt;45,"Old Adults")</f>
        <v>Young Adults</v>
      </c>
    </row>
    <row r="1815" spans="1:11" x14ac:dyDescent="0.45">
      <c r="A1815" s="2">
        <v>2131</v>
      </c>
      <c r="B1815" s="2" t="s">
        <v>2235</v>
      </c>
      <c r="C1815" s="2" t="s">
        <v>85</v>
      </c>
      <c r="D1815" s="2" t="s">
        <v>57</v>
      </c>
      <c r="E1815" s="2">
        <v>28</v>
      </c>
      <c r="F1815" s="2">
        <v>68</v>
      </c>
      <c r="G1815" s="2">
        <v>165</v>
      </c>
      <c r="H1815" s="9">
        <f t="shared" si="28"/>
        <v>24.977043158861342</v>
      </c>
      <c r="I1815" s="2" t="str" cm="1">
        <f t="array" ref="I1815">_xlfn.IFS(F1815&gt;=100,"Over weight",F1815&lt;100,"Average weight")</f>
        <v>Average weight</v>
      </c>
      <c r="J1815" s="2" t="str" cm="1">
        <f t="array" ref="J1815">_xlfn.IFS(G1815&lt;164,"Below Average height",G1815&gt;=165,"Above Average height",G1815=164,"Average height")</f>
        <v>Above Average height</v>
      </c>
      <c r="K1815" s="2" t="str" cm="1">
        <f t="array" ref="K1815">_xlfn.IFS(E1815&lt;=16,"Children",E1815&lt;=30,"Young Adults",E1815&lt;=45,"Middle-aged Adults",E1815&gt;45,"Old Adults")</f>
        <v>Young Adults</v>
      </c>
    </row>
    <row r="1816" spans="1:11" x14ac:dyDescent="0.45">
      <c r="A1816" s="2">
        <v>2132</v>
      </c>
      <c r="B1816" s="2" t="s">
        <v>2236</v>
      </c>
      <c r="C1816" s="2" t="s">
        <v>88</v>
      </c>
      <c r="D1816" s="2" t="s">
        <v>8</v>
      </c>
      <c r="E1816" s="2">
        <v>24</v>
      </c>
      <c r="F1816" s="2">
        <v>64</v>
      </c>
      <c r="G1816" s="2">
        <v>170</v>
      </c>
      <c r="H1816" s="9">
        <f t="shared" si="28"/>
        <v>22.145328719723185</v>
      </c>
      <c r="I1816" s="2" t="str" cm="1">
        <f t="array" ref="I1816">_xlfn.IFS(F1816&gt;=100,"Over weight",F1816&lt;100,"Average weight")</f>
        <v>Average weight</v>
      </c>
      <c r="J1816" s="2" t="str" cm="1">
        <f t="array" ref="J1816">_xlfn.IFS(G1816&lt;164,"Below Average height",G1816&gt;=165,"Above Average height",G1816=164,"Average height")</f>
        <v>Above Average height</v>
      </c>
      <c r="K1816" s="2" t="str" cm="1">
        <f t="array" ref="K1816">_xlfn.IFS(E1816&lt;=16,"Children",E1816&lt;=30,"Young Adults",E1816&lt;=45,"Middle-aged Adults",E1816&gt;45,"Old Adults")</f>
        <v>Young Adults</v>
      </c>
    </row>
    <row r="1817" spans="1:11" x14ac:dyDescent="0.45">
      <c r="A1817" s="2">
        <v>2133</v>
      </c>
      <c r="B1817" s="2" t="s">
        <v>2237</v>
      </c>
      <c r="C1817" s="2" t="s">
        <v>95</v>
      </c>
      <c r="D1817" s="2" t="s">
        <v>46</v>
      </c>
      <c r="E1817" s="2">
        <v>24</v>
      </c>
      <c r="F1817" s="2">
        <v>87</v>
      </c>
      <c r="G1817" s="2">
        <v>179</v>
      </c>
      <c r="H1817" s="9">
        <f t="shared" si="28"/>
        <v>27.152710589557131</v>
      </c>
      <c r="I1817" s="2" t="str" cm="1">
        <f t="array" ref="I1817">_xlfn.IFS(F1817&gt;=100,"Over weight",F1817&lt;100,"Average weight")</f>
        <v>Average weight</v>
      </c>
      <c r="J1817" s="2" t="str" cm="1">
        <f t="array" ref="J1817">_xlfn.IFS(G1817&lt;164,"Below Average height",G1817&gt;=165,"Above Average height",G1817=164,"Average height")</f>
        <v>Above Average height</v>
      </c>
      <c r="K1817" s="2" t="str" cm="1">
        <f t="array" ref="K1817">_xlfn.IFS(E1817&lt;=16,"Children",E1817&lt;=30,"Young Adults",E1817&lt;=45,"Middle-aged Adults",E1817&gt;45,"Old Adults")</f>
        <v>Young Adults</v>
      </c>
    </row>
    <row r="1818" spans="1:11" x14ac:dyDescent="0.45">
      <c r="A1818" s="2">
        <v>2134</v>
      </c>
      <c r="B1818" s="2" t="s">
        <v>2238</v>
      </c>
      <c r="C1818" s="2" t="s">
        <v>95</v>
      </c>
      <c r="D1818" s="2" t="s">
        <v>46</v>
      </c>
      <c r="E1818" s="2">
        <v>26</v>
      </c>
      <c r="F1818" s="2">
        <v>82</v>
      </c>
      <c r="G1818" s="2">
        <v>174</v>
      </c>
      <c r="H1818" s="9">
        <f t="shared" si="28"/>
        <v>27.08415906989034</v>
      </c>
      <c r="I1818" s="2" t="str" cm="1">
        <f t="array" ref="I1818">_xlfn.IFS(F1818&gt;=100,"Over weight",F1818&lt;100,"Average weight")</f>
        <v>Average weight</v>
      </c>
      <c r="J1818" s="2" t="str" cm="1">
        <f t="array" ref="J1818">_xlfn.IFS(G1818&lt;164,"Below Average height",G1818&gt;=165,"Above Average height",G1818=164,"Average height")</f>
        <v>Above Average height</v>
      </c>
      <c r="K1818" s="2" t="str" cm="1">
        <f t="array" ref="K1818">_xlfn.IFS(E1818&lt;=16,"Children",E1818&lt;=30,"Young Adults",E1818&lt;=45,"Middle-aged Adults",E1818&gt;45,"Old Adults")</f>
        <v>Young Adults</v>
      </c>
    </row>
    <row r="1819" spans="1:11" x14ac:dyDescent="0.45">
      <c r="A1819" s="2">
        <v>2135</v>
      </c>
      <c r="B1819" s="2" t="s">
        <v>2239</v>
      </c>
      <c r="C1819" s="2" t="s">
        <v>96</v>
      </c>
      <c r="D1819" s="2" t="s">
        <v>66</v>
      </c>
      <c r="E1819" s="2">
        <v>19</v>
      </c>
      <c r="F1819" s="2">
        <v>57</v>
      </c>
      <c r="G1819" s="2">
        <v>170</v>
      </c>
      <c r="H1819" s="9">
        <f t="shared" si="28"/>
        <v>19.723183391003463</v>
      </c>
      <c r="I1819" s="2" t="str" cm="1">
        <f t="array" ref="I1819">_xlfn.IFS(F1819&gt;=100,"Over weight",F1819&lt;100,"Average weight")</f>
        <v>Average weight</v>
      </c>
      <c r="J1819" s="2" t="str" cm="1">
        <f t="array" ref="J1819">_xlfn.IFS(G1819&lt;164,"Below Average height",G1819&gt;=165,"Above Average height",G1819=164,"Average height")</f>
        <v>Above Average height</v>
      </c>
      <c r="K1819" s="2" t="str" cm="1">
        <f t="array" ref="K1819">_xlfn.IFS(E1819&lt;=16,"Children",E1819&lt;=30,"Young Adults",E1819&lt;=45,"Middle-aged Adults",E1819&gt;45,"Old Adults")</f>
        <v>Young Adults</v>
      </c>
    </row>
    <row r="1820" spans="1:11" x14ac:dyDescent="0.45">
      <c r="A1820" s="2">
        <v>2136</v>
      </c>
      <c r="B1820" s="2" t="s">
        <v>2240</v>
      </c>
      <c r="C1820" s="2" t="s">
        <v>85</v>
      </c>
      <c r="D1820" s="2" t="s">
        <v>34</v>
      </c>
      <c r="E1820" s="2">
        <v>20</v>
      </c>
      <c r="F1820" s="2">
        <v>85</v>
      </c>
      <c r="G1820" s="2">
        <v>184</v>
      </c>
      <c r="H1820" s="9">
        <f t="shared" si="28"/>
        <v>25.10633270321361</v>
      </c>
      <c r="I1820" s="2" t="str" cm="1">
        <f t="array" ref="I1820">_xlfn.IFS(F1820&gt;=100,"Over weight",F1820&lt;100,"Average weight")</f>
        <v>Average weight</v>
      </c>
      <c r="J1820" s="2" t="str" cm="1">
        <f t="array" ref="J1820">_xlfn.IFS(G1820&lt;164,"Below Average height",G1820&gt;=165,"Above Average height",G1820=164,"Average height")</f>
        <v>Above Average height</v>
      </c>
      <c r="K1820" s="2" t="str" cm="1">
        <f t="array" ref="K1820">_xlfn.IFS(E1820&lt;=16,"Children",E1820&lt;=30,"Young Adults",E1820&lt;=45,"Middle-aged Adults",E1820&gt;45,"Old Adults")</f>
        <v>Young Adults</v>
      </c>
    </row>
    <row r="1821" spans="1:11" x14ac:dyDescent="0.45">
      <c r="A1821" s="2">
        <v>2137</v>
      </c>
      <c r="B1821" s="2" t="s">
        <v>2241</v>
      </c>
      <c r="C1821" s="2" t="s">
        <v>88</v>
      </c>
      <c r="D1821" s="2" t="s">
        <v>63</v>
      </c>
      <c r="E1821" s="2">
        <v>36</v>
      </c>
      <c r="F1821" s="2">
        <v>78</v>
      </c>
      <c r="G1821" s="2">
        <v>182</v>
      </c>
      <c r="H1821" s="9">
        <f t="shared" si="28"/>
        <v>23.547880690737831</v>
      </c>
      <c r="I1821" s="2" t="str" cm="1">
        <f t="array" ref="I1821">_xlfn.IFS(F1821&gt;=100,"Over weight",F1821&lt;100,"Average weight")</f>
        <v>Average weight</v>
      </c>
      <c r="J1821" s="2" t="str" cm="1">
        <f t="array" ref="J1821">_xlfn.IFS(G1821&lt;164,"Below Average height",G1821&gt;=165,"Above Average height",G1821=164,"Average height")</f>
        <v>Above Average height</v>
      </c>
      <c r="K1821" s="2" t="str" cm="1">
        <f t="array" ref="K1821">_xlfn.IFS(E1821&lt;=16,"Children",E1821&lt;=30,"Young Adults",E1821&lt;=45,"Middle-aged Adults",E1821&gt;45,"Old Adults")</f>
        <v>Middle-aged Adults</v>
      </c>
    </row>
    <row r="1822" spans="1:11" x14ac:dyDescent="0.45">
      <c r="A1822" s="2">
        <v>2138</v>
      </c>
      <c r="B1822" s="2" t="s">
        <v>2242</v>
      </c>
      <c r="C1822" s="2" t="s">
        <v>102</v>
      </c>
      <c r="D1822" s="2" t="s">
        <v>46</v>
      </c>
      <c r="E1822" s="2">
        <v>23</v>
      </c>
      <c r="F1822" s="2">
        <v>76</v>
      </c>
      <c r="G1822" s="2">
        <v>178</v>
      </c>
      <c r="H1822" s="9">
        <f t="shared" si="28"/>
        <v>23.98687034465345</v>
      </c>
      <c r="I1822" s="2" t="str" cm="1">
        <f t="array" ref="I1822">_xlfn.IFS(F1822&gt;=100,"Over weight",F1822&lt;100,"Average weight")</f>
        <v>Average weight</v>
      </c>
      <c r="J1822" s="2" t="str" cm="1">
        <f t="array" ref="J1822">_xlfn.IFS(G1822&lt;164,"Below Average height",G1822&gt;=165,"Above Average height",G1822=164,"Average height")</f>
        <v>Above Average height</v>
      </c>
      <c r="K1822" s="2" t="str" cm="1">
        <f t="array" ref="K1822">_xlfn.IFS(E1822&lt;=16,"Children",E1822&lt;=30,"Young Adults",E1822&lt;=45,"Middle-aged Adults",E1822&gt;45,"Old Adults")</f>
        <v>Young Adults</v>
      </c>
    </row>
    <row r="1823" spans="1:11" x14ac:dyDescent="0.45">
      <c r="A1823" s="2">
        <v>2139</v>
      </c>
      <c r="B1823" s="2" t="s">
        <v>2243</v>
      </c>
      <c r="C1823" s="2" t="s">
        <v>94</v>
      </c>
      <c r="D1823" s="2" t="s">
        <v>64</v>
      </c>
      <c r="E1823" s="2">
        <v>36</v>
      </c>
      <c r="F1823" s="2">
        <v>60</v>
      </c>
      <c r="G1823" s="2">
        <v>165</v>
      </c>
      <c r="H1823" s="9">
        <f t="shared" si="28"/>
        <v>22.03856749311295</v>
      </c>
      <c r="I1823" s="2" t="str" cm="1">
        <f t="array" ref="I1823">_xlfn.IFS(F1823&gt;=100,"Over weight",F1823&lt;100,"Average weight")</f>
        <v>Average weight</v>
      </c>
      <c r="J1823" s="2" t="str" cm="1">
        <f t="array" ref="J1823">_xlfn.IFS(G1823&lt;164,"Below Average height",G1823&gt;=165,"Above Average height",G1823=164,"Average height")</f>
        <v>Above Average height</v>
      </c>
      <c r="K1823" s="2" t="str" cm="1">
        <f t="array" ref="K1823">_xlfn.IFS(E1823&lt;=16,"Children",E1823&lt;=30,"Young Adults",E1823&lt;=45,"Middle-aged Adults",E1823&gt;45,"Old Adults")</f>
        <v>Middle-aged Adults</v>
      </c>
    </row>
    <row r="1824" spans="1:11" x14ac:dyDescent="0.45">
      <c r="A1824" s="2">
        <v>2140</v>
      </c>
      <c r="B1824" s="2" t="s">
        <v>2244</v>
      </c>
      <c r="C1824" s="2" t="s">
        <v>94</v>
      </c>
      <c r="D1824" s="2" t="s">
        <v>5</v>
      </c>
      <c r="E1824" s="2">
        <v>24</v>
      </c>
      <c r="F1824" s="2">
        <v>67</v>
      </c>
      <c r="G1824" s="2">
        <v>178</v>
      </c>
      <c r="H1824" s="9">
        <f t="shared" si="28"/>
        <v>21.146319909102385</v>
      </c>
      <c r="I1824" s="2" t="str" cm="1">
        <f t="array" ref="I1824">_xlfn.IFS(F1824&gt;=100,"Over weight",F1824&lt;100,"Average weight")</f>
        <v>Average weight</v>
      </c>
      <c r="J1824" s="2" t="str" cm="1">
        <f t="array" ref="J1824">_xlfn.IFS(G1824&lt;164,"Below Average height",G1824&gt;=165,"Above Average height",G1824=164,"Average height")</f>
        <v>Above Average height</v>
      </c>
      <c r="K1824" s="2" t="str" cm="1">
        <f t="array" ref="K1824">_xlfn.IFS(E1824&lt;=16,"Children",E1824&lt;=30,"Young Adults",E1824&lt;=45,"Middle-aged Adults",E1824&gt;45,"Old Adults")</f>
        <v>Young Adults</v>
      </c>
    </row>
    <row r="1825" spans="1:11" x14ac:dyDescent="0.45">
      <c r="A1825" s="2">
        <v>2141</v>
      </c>
      <c r="B1825" s="2" t="s">
        <v>2245</v>
      </c>
      <c r="C1825" s="2" t="s">
        <v>85</v>
      </c>
      <c r="D1825" s="2" t="s">
        <v>3</v>
      </c>
      <c r="E1825" s="2">
        <v>29</v>
      </c>
      <c r="F1825" s="2">
        <v>90</v>
      </c>
      <c r="G1825" s="2">
        <v>183</v>
      </c>
      <c r="H1825" s="9">
        <f t="shared" si="28"/>
        <v>26.874496103198062</v>
      </c>
      <c r="I1825" s="2" t="str" cm="1">
        <f t="array" ref="I1825">_xlfn.IFS(F1825&gt;=100,"Over weight",F1825&lt;100,"Average weight")</f>
        <v>Average weight</v>
      </c>
      <c r="J1825" s="2" t="str" cm="1">
        <f t="array" ref="J1825">_xlfn.IFS(G1825&lt;164,"Below Average height",G1825&gt;=165,"Above Average height",G1825=164,"Average height")</f>
        <v>Above Average height</v>
      </c>
      <c r="K1825" s="2" t="str" cm="1">
        <f t="array" ref="K1825">_xlfn.IFS(E1825&lt;=16,"Children",E1825&lt;=30,"Young Adults",E1825&lt;=45,"Middle-aged Adults",E1825&gt;45,"Old Adults")</f>
        <v>Young Adults</v>
      </c>
    </row>
    <row r="1826" spans="1:11" x14ac:dyDescent="0.45">
      <c r="A1826" s="2">
        <v>2142</v>
      </c>
      <c r="B1826" s="2" t="s">
        <v>2246</v>
      </c>
      <c r="C1826" s="2" t="s">
        <v>85</v>
      </c>
      <c r="D1826" s="2" t="s">
        <v>3</v>
      </c>
      <c r="E1826" s="2">
        <v>25</v>
      </c>
      <c r="F1826" s="2">
        <v>62</v>
      </c>
      <c r="G1826" s="2">
        <v>167</v>
      </c>
      <c r="H1826" s="9">
        <f t="shared" si="28"/>
        <v>22.230987127541326</v>
      </c>
      <c r="I1826" s="2" t="str" cm="1">
        <f t="array" ref="I1826">_xlfn.IFS(F1826&gt;=100,"Over weight",F1826&lt;100,"Average weight")</f>
        <v>Average weight</v>
      </c>
      <c r="J1826" s="2" t="str" cm="1">
        <f t="array" ref="J1826">_xlfn.IFS(G1826&lt;164,"Below Average height",G1826&gt;=165,"Above Average height",G1826=164,"Average height")</f>
        <v>Above Average height</v>
      </c>
      <c r="K1826" s="2" t="str" cm="1">
        <f t="array" ref="K1826">_xlfn.IFS(E1826&lt;=16,"Children",E1826&lt;=30,"Young Adults",E1826&lt;=45,"Middle-aged Adults",E1826&gt;45,"Old Adults")</f>
        <v>Young Adults</v>
      </c>
    </row>
    <row r="1827" spans="1:11" x14ac:dyDescent="0.45">
      <c r="A1827" s="2">
        <v>2143</v>
      </c>
      <c r="B1827" s="2" t="s">
        <v>2247</v>
      </c>
      <c r="C1827" s="2" t="s">
        <v>85</v>
      </c>
      <c r="D1827" s="2" t="s">
        <v>3</v>
      </c>
      <c r="E1827" s="2">
        <v>27</v>
      </c>
      <c r="F1827" s="2">
        <v>60</v>
      </c>
      <c r="G1827" s="2">
        <v>165</v>
      </c>
      <c r="H1827" s="9">
        <f t="shared" si="28"/>
        <v>22.03856749311295</v>
      </c>
      <c r="I1827" s="2" t="str" cm="1">
        <f t="array" ref="I1827">_xlfn.IFS(F1827&gt;=100,"Over weight",F1827&lt;100,"Average weight")</f>
        <v>Average weight</v>
      </c>
      <c r="J1827" s="2" t="str" cm="1">
        <f t="array" ref="J1827">_xlfn.IFS(G1827&lt;164,"Below Average height",G1827&gt;=165,"Above Average height",G1827=164,"Average height")</f>
        <v>Above Average height</v>
      </c>
      <c r="K1827" s="2" t="str" cm="1">
        <f t="array" ref="K1827">_xlfn.IFS(E1827&lt;=16,"Children",E1827&lt;=30,"Young Adults",E1827&lt;=45,"Middle-aged Adults",E1827&gt;45,"Old Adults")</f>
        <v>Young Adults</v>
      </c>
    </row>
    <row r="1828" spans="1:11" x14ac:dyDescent="0.45">
      <c r="A1828" s="2">
        <v>2144</v>
      </c>
      <c r="B1828" s="2" t="s">
        <v>2248</v>
      </c>
      <c r="C1828" s="2" t="s">
        <v>89</v>
      </c>
      <c r="D1828" s="2" t="s">
        <v>39</v>
      </c>
      <c r="E1828" s="2">
        <v>34</v>
      </c>
      <c r="F1828" s="2">
        <v>63</v>
      </c>
      <c r="G1828" s="2">
        <v>167</v>
      </c>
      <c r="H1828" s="9">
        <f t="shared" si="28"/>
        <v>22.589551436050055</v>
      </c>
      <c r="I1828" s="2" t="str" cm="1">
        <f t="array" ref="I1828">_xlfn.IFS(F1828&gt;=100,"Over weight",F1828&lt;100,"Average weight")</f>
        <v>Average weight</v>
      </c>
      <c r="J1828" s="2" t="str" cm="1">
        <f t="array" ref="J1828">_xlfn.IFS(G1828&lt;164,"Below Average height",G1828&gt;=165,"Above Average height",G1828=164,"Average height")</f>
        <v>Above Average height</v>
      </c>
      <c r="K1828" s="2" t="str" cm="1">
        <f t="array" ref="K1828">_xlfn.IFS(E1828&lt;=16,"Children",E1828&lt;=30,"Young Adults",E1828&lt;=45,"Middle-aged Adults",E1828&gt;45,"Old Adults")</f>
        <v>Middle-aged Adults</v>
      </c>
    </row>
    <row r="1829" spans="1:11" x14ac:dyDescent="0.45">
      <c r="A1829" s="2">
        <v>2145</v>
      </c>
      <c r="B1829" s="2" t="s">
        <v>2249</v>
      </c>
      <c r="C1829" s="2" t="s">
        <v>95</v>
      </c>
      <c r="D1829" s="2" t="s">
        <v>14</v>
      </c>
      <c r="E1829" s="2">
        <v>23</v>
      </c>
      <c r="F1829" s="2">
        <v>68</v>
      </c>
      <c r="G1829" s="2">
        <v>171</v>
      </c>
      <c r="H1829" s="9">
        <f t="shared" si="28"/>
        <v>23.255018638213471</v>
      </c>
      <c r="I1829" s="2" t="str" cm="1">
        <f t="array" ref="I1829">_xlfn.IFS(F1829&gt;=100,"Over weight",F1829&lt;100,"Average weight")</f>
        <v>Average weight</v>
      </c>
      <c r="J1829" s="2" t="str" cm="1">
        <f t="array" ref="J1829">_xlfn.IFS(G1829&lt;164,"Below Average height",G1829&gt;=165,"Above Average height",G1829=164,"Average height")</f>
        <v>Above Average height</v>
      </c>
      <c r="K1829" s="2" t="str" cm="1">
        <f t="array" ref="K1829">_xlfn.IFS(E1829&lt;=16,"Children",E1829&lt;=30,"Young Adults",E1829&lt;=45,"Middle-aged Adults",E1829&gt;45,"Old Adults")</f>
        <v>Young Adults</v>
      </c>
    </row>
    <row r="1830" spans="1:11" x14ac:dyDescent="0.45">
      <c r="A1830" s="2">
        <v>2146</v>
      </c>
      <c r="B1830" s="2" t="s">
        <v>2250</v>
      </c>
      <c r="C1830" s="2" t="s">
        <v>88</v>
      </c>
      <c r="D1830" s="2" t="s">
        <v>75</v>
      </c>
      <c r="E1830" s="2">
        <v>38</v>
      </c>
      <c r="F1830" s="2">
        <v>85</v>
      </c>
      <c r="G1830" s="2">
        <v>186</v>
      </c>
      <c r="H1830" s="9">
        <f t="shared" si="28"/>
        <v>24.56931437160365</v>
      </c>
      <c r="I1830" s="2" t="str" cm="1">
        <f t="array" ref="I1830">_xlfn.IFS(F1830&gt;=100,"Over weight",F1830&lt;100,"Average weight")</f>
        <v>Average weight</v>
      </c>
      <c r="J1830" s="2" t="str" cm="1">
        <f t="array" ref="J1830">_xlfn.IFS(G1830&lt;164,"Below Average height",G1830&gt;=165,"Above Average height",G1830=164,"Average height")</f>
        <v>Above Average height</v>
      </c>
      <c r="K1830" s="2" t="str" cm="1">
        <f t="array" ref="K1830">_xlfn.IFS(E1830&lt;=16,"Children",E1830&lt;=30,"Young Adults",E1830&lt;=45,"Middle-aged Adults",E1830&gt;45,"Old Adults")</f>
        <v>Middle-aged Adults</v>
      </c>
    </row>
    <row r="1831" spans="1:11" x14ac:dyDescent="0.45">
      <c r="A1831" s="2">
        <v>2147</v>
      </c>
      <c r="B1831" s="2" t="s">
        <v>2251</v>
      </c>
      <c r="C1831" s="2" t="s">
        <v>85</v>
      </c>
      <c r="D1831" s="2" t="s">
        <v>14</v>
      </c>
      <c r="E1831" s="2">
        <v>20</v>
      </c>
      <c r="F1831" s="2">
        <v>67</v>
      </c>
      <c r="G1831" s="2">
        <v>172</v>
      </c>
      <c r="H1831" s="9">
        <f t="shared" si="28"/>
        <v>22.647376960519203</v>
      </c>
      <c r="I1831" s="2" t="str" cm="1">
        <f t="array" ref="I1831">_xlfn.IFS(F1831&gt;=100,"Over weight",F1831&lt;100,"Average weight")</f>
        <v>Average weight</v>
      </c>
      <c r="J1831" s="2" t="str" cm="1">
        <f t="array" ref="J1831">_xlfn.IFS(G1831&lt;164,"Below Average height",G1831&gt;=165,"Above Average height",G1831=164,"Average height")</f>
        <v>Above Average height</v>
      </c>
      <c r="K1831" s="2" t="str" cm="1">
        <f t="array" ref="K1831">_xlfn.IFS(E1831&lt;=16,"Children",E1831&lt;=30,"Young Adults",E1831&lt;=45,"Middle-aged Adults",E1831&gt;45,"Old Adults")</f>
        <v>Young Adults</v>
      </c>
    </row>
    <row r="1832" spans="1:11" x14ac:dyDescent="0.45">
      <c r="A1832" s="2">
        <v>2148</v>
      </c>
      <c r="B1832" s="2" t="s">
        <v>2252</v>
      </c>
      <c r="C1832" s="2" t="s">
        <v>88</v>
      </c>
      <c r="D1832" s="2" t="s">
        <v>70</v>
      </c>
      <c r="E1832" s="2">
        <v>26</v>
      </c>
      <c r="F1832" s="2">
        <v>65</v>
      </c>
      <c r="G1832" s="2">
        <v>174</v>
      </c>
      <c r="H1832" s="9">
        <f t="shared" si="28"/>
        <v>21.469150482230148</v>
      </c>
      <c r="I1832" s="2" t="str" cm="1">
        <f t="array" ref="I1832">_xlfn.IFS(F1832&gt;=100,"Over weight",F1832&lt;100,"Average weight")</f>
        <v>Average weight</v>
      </c>
      <c r="J1832" s="2" t="str" cm="1">
        <f t="array" ref="J1832">_xlfn.IFS(G1832&lt;164,"Below Average height",G1832&gt;=165,"Above Average height",G1832=164,"Average height")</f>
        <v>Above Average height</v>
      </c>
      <c r="K1832" s="2" t="str" cm="1">
        <f t="array" ref="K1832">_xlfn.IFS(E1832&lt;=16,"Children",E1832&lt;=30,"Young Adults",E1832&lt;=45,"Middle-aged Adults",E1832&gt;45,"Old Adults")</f>
        <v>Young Adults</v>
      </c>
    </row>
    <row r="1833" spans="1:11" x14ac:dyDescent="0.45">
      <c r="A1833" s="2">
        <v>2149</v>
      </c>
      <c r="B1833" s="2" t="s">
        <v>2253</v>
      </c>
      <c r="C1833" s="2" t="s">
        <v>85</v>
      </c>
      <c r="D1833" s="2" t="s">
        <v>39</v>
      </c>
      <c r="E1833" s="2">
        <v>31</v>
      </c>
      <c r="F1833" s="2">
        <v>75</v>
      </c>
      <c r="G1833" s="2">
        <v>175</v>
      </c>
      <c r="H1833" s="9">
        <f t="shared" si="28"/>
        <v>24.489795918367346</v>
      </c>
      <c r="I1833" s="2" t="str" cm="1">
        <f t="array" ref="I1833">_xlfn.IFS(F1833&gt;=100,"Over weight",F1833&lt;100,"Average weight")</f>
        <v>Average weight</v>
      </c>
      <c r="J1833" s="2" t="str" cm="1">
        <f t="array" ref="J1833">_xlfn.IFS(G1833&lt;164,"Below Average height",G1833&gt;=165,"Above Average height",G1833=164,"Average height")</f>
        <v>Above Average height</v>
      </c>
      <c r="K1833" s="2" t="str" cm="1">
        <f t="array" ref="K1833">_xlfn.IFS(E1833&lt;=16,"Children",E1833&lt;=30,"Young Adults",E1833&lt;=45,"Middle-aged Adults",E1833&gt;45,"Old Adults")</f>
        <v>Middle-aged Adults</v>
      </c>
    </row>
    <row r="1834" spans="1:11" x14ac:dyDescent="0.45">
      <c r="A1834" s="2">
        <v>2150</v>
      </c>
      <c r="B1834" s="2" t="s">
        <v>2254</v>
      </c>
      <c r="C1834" s="2" t="s">
        <v>94</v>
      </c>
      <c r="D1834" s="2" t="s">
        <v>23</v>
      </c>
      <c r="E1834" s="2">
        <v>23</v>
      </c>
      <c r="F1834" s="2">
        <v>70</v>
      </c>
      <c r="G1834" s="2">
        <v>175</v>
      </c>
      <c r="H1834" s="9">
        <f t="shared" si="28"/>
        <v>22.857142857142858</v>
      </c>
      <c r="I1834" s="2" t="str" cm="1">
        <f t="array" ref="I1834">_xlfn.IFS(F1834&gt;=100,"Over weight",F1834&lt;100,"Average weight")</f>
        <v>Average weight</v>
      </c>
      <c r="J1834" s="2" t="str" cm="1">
        <f t="array" ref="J1834">_xlfn.IFS(G1834&lt;164,"Below Average height",G1834&gt;=165,"Above Average height",G1834=164,"Average height")</f>
        <v>Above Average height</v>
      </c>
      <c r="K1834" s="2" t="str" cm="1">
        <f t="array" ref="K1834">_xlfn.IFS(E1834&lt;=16,"Children",E1834&lt;=30,"Young Adults",E1834&lt;=45,"Middle-aged Adults",E1834&gt;45,"Old Adults")</f>
        <v>Young Adults</v>
      </c>
    </row>
    <row r="1835" spans="1:11" x14ac:dyDescent="0.45">
      <c r="A1835" s="2">
        <v>2151</v>
      </c>
      <c r="B1835" s="2" t="s">
        <v>2255</v>
      </c>
      <c r="C1835" s="2" t="s">
        <v>93</v>
      </c>
      <c r="D1835" s="2" t="s">
        <v>59</v>
      </c>
      <c r="E1835" s="2">
        <v>18</v>
      </c>
      <c r="F1835" s="2">
        <v>61</v>
      </c>
      <c r="G1835" s="2">
        <v>166</v>
      </c>
      <c r="H1835" s="9">
        <f t="shared" si="28"/>
        <v>22.136739730004358</v>
      </c>
      <c r="I1835" s="2" t="str" cm="1">
        <f t="array" ref="I1835">_xlfn.IFS(F1835&gt;=100,"Over weight",F1835&lt;100,"Average weight")</f>
        <v>Average weight</v>
      </c>
      <c r="J1835" s="2" t="str" cm="1">
        <f t="array" ref="J1835">_xlfn.IFS(G1835&lt;164,"Below Average height",G1835&gt;=165,"Above Average height",G1835=164,"Average height")</f>
        <v>Above Average height</v>
      </c>
      <c r="K1835" s="2" t="str" cm="1">
        <f t="array" ref="K1835">_xlfn.IFS(E1835&lt;=16,"Children",E1835&lt;=30,"Young Adults",E1835&lt;=45,"Middle-aged Adults",E1835&gt;45,"Old Adults")</f>
        <v>Young Adults</v>
      </c>
    </row>
    <row r="1836" spans="1:11" x14ac:dyDescent="0.45">
      <c r="A1836" s="2">
        <v>2152</v>
      </c>
      <c r="B1836" s="2" t="s">
        <v>2256</v>
      </c>
      <c r="C1836" s="2" t="s">
        <v>93</v>
      </c>
      <c r="D1836" s="2" t="s">
        <v>21</v>
      </c>
      <c r="E1836" s="2">
        <v>34</v>
      </c>
      <c r="F1836" s="2">
        <v>85</v>
      </c>
      <c r="G1836" s="2">
        <v>183</v>
      </c>
      <c r="H1836" s="9">
        <f t="shared" si="28"/>
        <v>25.381468541909282</v>
      </c>
      <c r="I1836" s="2" t="str" cm="1">
        <f t="array" ref="I1836">_xlfn.IFS(F1836&gt;=100,"Over weight",F1836&lt;100,"Average weight")</f>
        <v>Average weight</v>
      </c>
      <c r="J1836" s="2" t="str" cm="1">
        <f t="array" ref="J1836">_xlfn.IFS(G1836&lt;164,"Below Average height",G1836&gt;=165,"Above Average height",G1836=164,"Average height")</f>
        <v>Above Average height</v>
      </c>
      <c r="K1836" s="2" t="str" cm="1">
        <f t="array" ref="K1836">_xlfn.IFS(E1836&lt;=16,"Children",E1836&lt;=30,"Young Adults",E1836&lt;=45,"Middle-aged Adults",E1836&gt;45,"Old Adults")</f>
        <v>Middle-aged Adults</v>
      </c>
    </row>
    <row r="1837" spans="1:11" x14ac:dyDescent="0.45">
      <c r="A1837" s="2">
        <v>2153</v>
      </c>
      <c r="B1837" s="2" t="s">
        <v>2257</v>
      </c>
      <c r="C1837" s="2" t="s">
        <v>91</v>
      </c>
      <c r="D1837" s="2" t="s">
        <v>46</v>
      </c>
      <c r="E1837" s="2">
        <v>28</v>
      </c>
      <c r="F1837" s="2">
        <v>88</v>
      </c>
      <c r="G1837" s="2">
        <v>182</v>
      </c>
      <c r="H1837" s="9">
        <f t="shared" si="28"/>
        <v>26.566839753652939</v>
      </c>
      <c r="I1837" s="2" t="str" cm="1">
        <f t="array" ref="I1837">_xlfn.IFS(F1837&gt;=100,"Over weight",F1837&lt;100,"Average weight")</f>
        <v>Average weight</v>
      </c>
      <c r="J1837" s="2" t="str" cm="1">
        <f t="array" ref="J1837">_xlfn.IFS(G1837&lt;164,"Below Average height",G1837&gt;=165,"Above Average height",G1837=164,"Average height")</f>
        <v>Above Average height</v>
      </c>
      <c r="K1837" s="2" t="str" cm="1">
        <f t="array" ref="K1837">_xlfn.IFS(E1837&lt;=16,"Children",E1837&lt;=30,"Young Adults",E1837&lt;=45,"Middle-aged Adults",E1837&gt;45,"Old Adults")</f>
        <v>Young Adults</v>
      </c>
    </row>
    <row r="1838" spans="1:11" x14ac:dyDescent="0.45">
      <c r="A1838" s="2">
        <v>2154</v>
      </c>
      <c r="B1838" s="2" t="s">
        <v>2258</v>
      </c>
      <c r="C1838" s="2" t="s">
        <v>91</v>
      </c>
      <c r="D1838" s="2" t="s">
        <v>25</v>
      </c>
      <c r="E1838" s="2">
        <v>27</v>
      </c>
      <c r="F1838" s="2">
        <v>62</v>
      </c>
      <c r="G1838" s="2">
        <v>172</v>
      </c>
      <c r="H1838" s="9">
        <f t="shared" si="28"/>
        <v>20.957274202271499</v>
      </c>
      <c r="I1838" s="2" t="str" cm="1">
        <f t="array" ref="I1838">_xlfn.IFS(F1838&gt;=100,"Over weight",F1838&lt;100,"Average weight")</f>
        <v>Average weight</v>
      </c>
      <c r="J1838" s="2" t="str" cm="1">
        <f t="array" ref="J1838">_xlfn.IFS(G1838&lt;164,"Below Average height",G1838&gt;=165,"Above Average height",G1838=164,"Average height")</f>
        <v>Above Average height</v>
      </c>
      <c r="K1838" s="2" t="str" cm="1">
        <f t="array" ref="K1838">_xlfn.IFS(E1838&lt;=16,"Children",E1838&lt;=30,"Young Adults",E1838&lt;=45,"Middle-aged Adults",E1838&gt;45,"Old Adults")</f>
        <v>Young Adults</v>
      </c>
    </row>
    <row r="1839" spans="1:11" x14ac:dyDescent="0.45">
      <c r="A1839" s="2">
        <v>2155</v>
      </c>
      <c r="B1839" s="2" t="s">
        <v>2259</v>
      </c>
      <c r="C1839" s="2" t="s">
        <v>95</v>
      </c>
      <c r="D1839" s="2" t="s">
        <v>70</v>
      </c>
      <c r="E1839" s="2">
        <v>25</v>
      </c>
      <c r="F1839" s="2">
        <v>67</v>
      </c>
      <c r="G1839" s="2">
        <v>167</v>
      </c>
      <c r="H1839" s="9">
        <f t="shared" si="28"/>
        <v>24.023808670084982</v>
      </c>
      <c r="I1839" s="2" t="str" cm="1">
        <f t="array" ref="I1839">_xlfn.IFS(F1839&gt;=100,"Over weight",F1839&lt;100,"Average weight")</f>
        <v>Average weight</v>
      </c>
      <c r="J1839" s="2" t="str" cm="1">
        <f t="array" ref="J1839">_xlfn.IFS(G1839&lt;164,"Below Average height",G1839&gt;=165,"Above Average height",G1839=164,"Average height")</f>
        <v>Above Average height</v>
      </c>
      <c r="K1839" s="2" t="str" cm="1">
        <f t="array" ref="K1839">_xlfn.IFS(E1839&lt;=16,"Children",E1839&lt;=30,"Young Adults",E1839&lt;=45,"Middle-aged Adults",E1839&gt;45,"Old Adults")</f>
        <v>Young Adults</v>
      </c>
    </row>
    <row r="1840" spans="1:11" x14ac:dyDescent="0.45">
      <c r="A1840" s="2">
        <v>2156</v>
      </c>
      <c r="B1840" s="2" t="s">
        <v>2260</v>
      </c>
      <c r="C1840" s="2" t="s">
        <v>93</v>
      </c>
      <c r="D1840" s="2" t="s">
        <v>60</v>
      </c>
      <c r="E1840" s="2">
        <v>20</v>
      </c>
      <c r="F1840" s="2">
        <v>57</v>
      </c>
      <c r="G1840" s="2">
        <v>200</v>
      </c>
      <c r="H1840" s="9">
        <f t="shared" si="28"/>
        <v>14.25</v>
      </c>
      <c r="I1840" s="2" t="str" cm="1">
        <f t="array" ref="I1840">_xlfn.IFS(F1840&gt;=100,"Over weight",F1840&lt;100,"Average weight")</f>
        <v>Average weight</v>
      </c>
      <c r="J1840" s="2" t="str" cm="1">
        <f t="array" ref="J1840">_xlfn.IFS(G1840&lt;164,"Below Average height",G1840&gt;=165,"Above Average height",G1840=164,"Average height")</f>
        <v>Above Average height</v>
      </c>
      <c r="K1840" s="2" t="str" cm="1">
        <f t="array" ref="K1840">_xlfn.IFS(E1840&lt;=16,"Children",E1840&lt;=30,"Young Adults",E1840&lt;=45,"Middle-aged Adults",E1840&gt;45,"Old Adults")</f>
        <v>Young Adults</v>
      </c>
    </row>
    <row r="1841" spans="1:11" x14ac:dyDescent="0.45">
      <c r="A1841" s="2">
        <v>2157</v>
      </c>
      <c r="B1841" s="2" t="s">
        <v>2261</v>
      </c>
      <c r="C1841" s="2" t="s">
        <v>94</v>
      </c>
      <c r="D1841" s="2" t="s">
        <v>21</v>
      </c>
      <c r="E1841" s="2">
        <v>25</v>
      </c>
      <c r="F1841" s="2">
        <v>60</v>
      </c>
      <c r="G1841" s="2">
        <v>176</v>
      </c>
      <c r="H1841" s="9">
        <f t="shared" si="28"/>
        <v>19.369834710743802</v>
      </c>
      <c r="I1841" s="2" t="str" cm="1">
        <f t="array" ref="I1841">_xlfn.IFS(F1841&gt;=100,"Over weight",F1841&lt;100,"Average weight")</f>
        <v>Average weight</v>
      </c>
      <c r="J1841" s="2" t="str" cm="1">
        <f t="array" ref="J1841">_xlfn.IFS(G1841&lt;164,"Below Average height",G1841&gt;=165,"Above Average height",G1841=164,"Average height")</f>
        <v>Above Average height</v>
      </c>
      <c r="K1841" s="2" t="str" cm="1">
        <f t="array" ref="K1841">_xlfn.IFS(E1841&lt;=16,"Children",E1841&lt;=30,"Young Adults",E1841&lt;=45,"Middle-aged Adults",E1841&gt;45,"Old Adults")</f>
        <v>Young Adults</v>
      </c>
    </row>
    <row r="1842" spans="1:11" x14ac:dyDescent="0.45">
      <c r="A1842" s="2">
        <v>2159</v>
      </c>
      <c r="B1842" s="2" t="s">
        <v>2263</v>
      </c>
      <c r="C1842" s="2" t="s">
        <v>98</v>
      </c>
      <c r="D1842" s="2" t="s">
        <v>59</v>
      </c>
      <c r="E1842" s="2">
        <v>24</v>
      </c>
      <c r="F1842" s="2">
        <v>71</v>
      </c>
      <c r="G1842" s="2">
        <v>176</v>
      </c>
      <c r="H1842" s="9">
        <f t="shared" si="28"/>
        <v>22.920971074380166</v>
      </c>
      <c r="I1842" s="2" t="str" cm="1">
        <f t="array" ref="I1842">_xlfn.IFS(F1842&gt;=100,"Over weight",F1842&lt;100,"Average weight")</f>
        <v>Average weight</v>
      </c>
      <c r="J1842" s="2" t="str" cm="1">
        <f t="array" ref="J1842">_xlfn.IFS(G1842&lt;164,"Below Average height",G1842&gt;=165,"Above Average height",G1842=164,"Average height")</f>
        <v>Above Average height</v>
      </c>
      <c r="K1842" s="2" t="str" cm="1">
        <f t="array" ref="K1842">_xlfn.IFS(E1842&lt;=16,"Children",E1842&lt;=30,"Young Adults",E1842&lt;=45,"Middle-aged Adults",E1842&gt;45,"Old Adults")</f>
        <v>Young Adults</v>
      </c>
    </row>
    <row r="1843" spans="1:11" x14ac:dyDescent="0.45">
      <c r="A1843" s="2">
        <v>2160</v>
      </c>
      <c r="B1843" s="2" t="s">
        <v>2264</v>
      </c>
      <c r="C1843" s="2" t="s">
        <v>89</v>
      </c>
      <c r="D1843" s="2" t="s">
        <v>66</v>
      </c>
      <c r="E1843" s="2">
        <v>27</v>
      </c>
      <c r="F1843" s="2">
        <v>75</v>
      </c>
      <c r="G1843" s="2">
        <v>189</v>
      </c>
      <c r="H1843" s="9">
        <f t="shared" si="28"/>
        <v>20.99605274208449</v>
      </c>
      <c r="I1843" s="2" t="str" cm="1">
        <f t="array" ref="I1843">_xlfn.IFS(F1843&gt;=100,"Over weight",F1843&lt;100,"Average weight")</f>
        <v>Average weight</v>
      </c>
      <c r="J1843" s="2" t="str" cm="1">
        <f t="array" ref="J1843">_xlfn.IFS(G1843&lt;164,"Below Average height",G1843&gt;=165,"Above Average height",G1843=164,"Average height")</f>
        <v>Above Average height</v>
      </c>
      <c r="K1843" s="2" t="str" cm="1">
        <f t="array" ref="K1843">_xlfn.IFS(E1843&lt;=16,"Children",E1843&lt;=30,"Young Adults",E1843&lt;=45,"Middle-aged Adults",E1843&gt;45,"Old Adults")</f>
        <v>Young Adults</v>
      </c>
    </row>
    <row r="1844" spans="1:11" x14ac:dyDescent="0.45">
      <c r="A1844" s="2">
        <v>2161</v>
      </c>
      <c r="B1844" s="2" t="s">
        <v>2265</v>
      </c>
      <c r="C1844" s="2" t="s">
        <v>94</v>
      </c>
      <c r="D1844" s="2" t="s">
        <v>60</v>
      </c>
      <c r="E1844" s="2">
        <v>29</v>
      </c>
      <c r="F1844" s="2">
        <v>57</v>
      </c>
      <c r="G1844" s="2">
        <v>200</v>
      </c>
      <c r="H1844" s="9">
        <f t="shared" si="28"/>
        <v>14.25</v>
      </c>
      <c r="I1844" s="2" t="str" cm="1">
        <f t="array" ref="I1844">_xlfn.IFS(F1844&gt;=100,"Over weight",F1844&lt;100,"Average weight")</f>
        <v>Average weight</v>
      </c>
      <c r="J1844" s="2" t="str" cm="1">
        <f t="array" ref="J1844">_xlfn.IFS(G1844&lt;164,"Below Average height",G1844&gt;=165,"Above Average height",G1844=164,"Average height")</f>
        <v>Above Average height</v>
      </c>
      <c r="K1844" s="2" t="str" cm="1">
        <f t="array" ref="K1844">_xlfn.IFS(E1844&lt;=16,"Children",E1844&lt;=30,"Young Adults",E1844&lt;=45,"Middle-aged Adults",E1844&gt;45,"Old Adults")</f>
        <v>Young Adults</v>
      </c>
    </row>
    <row r="1845" spans="1:11" x14ac:dyDescent="0.45">
      <c r="A1845" s="2">
        <v>2162</v>
      </c>
      <c r="B1845" s="2" t="s">
        <v>2266</v>
      </c>
      <c r="C1845" s="2" t="s">
        <v>89</v>
      </c>
      <c r="D1845" s="2" t="s">
        <v>66</v>
      </c>
      <c r="E1845" s="2">
        <v>20</v>
      </c>
      <c r="F1845" s="2">
        <v>78</v>
      </c>
      <c r="G1845" s="2">
        <v>183</v>
      </c>
      <c r="H1845" s="9">
        <f t="shared" si="28"/>
        <v>23.291229956104985</v>
      </c>
      <c r="I1845" s="2" t="str" cm="1">
        <f t="array" ref="I1845">_xlfn.IFS(F1845&gt;=100,"Over weight",F1845&lt;100,"Average weight")</f>
        <v>Average weight</v>
      </c>
      <c r="J1845" s="2" t="str" cm="1">
        <f t="array" ref="J1845">_xlfn.IFS(G1845&lt;164,"Below Average height",G1845&gt;=165,"Above Average height",G1845=164,"Average height")</f>
        <v>Above Average height</v>
      </c>
      <c r="K1845" s="2" t="str" cm="1">
        <f t="array" ref="K1845">_xlfn.IFS(E1845&lt;=16,"Children",E1845&lt;=30,"Young Adults",E1845&lt;=45,"Middle-aged Adults",E1845&gt;45,"Old Adults")</f>
        <v>Young Adults</v>
      </c>
    </row>
    <row r="1846" spans="1:11" x14ac:dyDescent="0.45">
      <c r="A1846" s="2">
        <v>2163</v>
      </c>
      <c r="B1846" s="2" t="s">
        <v>2267</v>
      </c>
      <c r="C1846" s="2" t="s">
        <v>85</v>
      </c>
      <c r="D1846" s="2" t="s">
        <v>71</v>
      </c>
      <c r="E1846" s="2">
        <v>21</v>
      </c>
      <c r="F1846" s="2">
        <v>80</v>
      </c>
      <c r="G1846" s="2">
        <v>184</v>
      </c>
      <c r="H1846" s="9">
        <f t="shared" si="28"/>
        <v>23.629489603024574</v>
      </c>
      <c r="I1846" s="2" t="str" cm="1">
        <f t="array" ref="I1846">_xlfn.IFS(F1846&gt;=100,"Over weight",F1846&lt;100,"Average weight")</f>
        <v>Average weight</v>
      </c>
      <c r="J1846" s="2" t="str" cm="1">
        <f t="array" ref="J1846">_xlfn.IFS(G1846&lt;164,"Below Average height",G1846&gt;=165,"Above Average height",G1846=164,"Average height")</f>
        <v>Above Average height</v>
      </c>
      <c r="K1846" s="2" t="str" cm="1">
        <f t="array" ref="K1846">_xlfn.IFS(E1846&lt;=16,"Children",E1846&lt;=30,"Young Adults",E1846&lt;=45,"Middle-aged Adults",E1846&gt;45,"Old Adults")</f>
        <v>Young Adults</v>
      </c>
    </row>
    <row r="1847" spans="1:11" x14ac:dyDescent="0.45">
      <c r="A1847" s="2">
        <v>2164</v>
      </c>
      <c r="B1847" s="2" t="s">
        <v>2268</v>
      </c>
      <c r="C1847" s="2" t="s">
        <v>90</v>
      </c>
      <c r="D1847" s="2" t="s">
        <v>66</v>
      </c>
      <c r="E1847" s="2">
        <v>27</v>
      </c>
      <c r="F1847" s="2">
        <v>62</v>
      </c>
      <c r="G1847" s="2">
        <v>179</v>
      </c>
      <c r="H1847" s="9">
        <f t="shared" si="28"/>
        <v>19.350207546580943</v>
      </c>
      <c r="I1847" s="2" t="str" cm="1">
        <f t="array" ref="I1847">_xlfn.IFS(F1847&gt;=100,"Over weight",F1847&lt;100,"Average weight")</f>
        <v>Average weight</v>
      </c>
      <c r="J1847" s="2" t="str" cm="1">
        <f t="array" ref="J1847">_xlfn.IFS(G1847&lt;164,"Below Average height",G1847&gt;=165,"Above Average height",G1847=164,"Average height")</f>
        <v>Above Average height</v>
      </c>
      <c r="K1847" s="2" t="str" cm="1">
        <f t="array" ref="K1847">_xlfn.IFS(E1847&lt;=16,"Children",E1847&lt;=30,"Young Adults",E1847&lt;=45,"Middle-aged Adults",E1847&gt;45,"Old Adults")</f>
        <v>Young Adults</v>
      </c>
    </row>
    <row r="1848" spans="1:11" x14ac:dyDescent="0.45">
      <c r="A1848" s="2">
        <v>2165</v>
      </c>
      <c r="B1848" s="2" t="s">
        <v>2269</v>
      </c>
      <c r="C1848" s="2" t="s">
        <v>97</v>
      </c>
      <c r="D1848" s="2" t="s">
        <v>21</v>
      </c>
      <c r="E1848" s="2">
        <v>28</v>
      </c>
      <c r="F1848" s="2">
        <v>67</v>
      </c>
      <c r="G1848" s="2">
        <v>179</v>
      </c>
      <c r="H1848" s="9">
        <f t="shared" si="28"/>
        <v>20.910708155176181</v>
      </c>
      <c r="I1848" s="2" t="str" cm="1">
        <f t="array" ref="I1848">_xlfn.IFS(F1848&gt;=100,"Over weight",F1848&lt;100,"Average weight")</f>
        <v>Average weight</v>
      </c>
      <c r="J1848" s="2" t="str" cm="1">
        <f t="array" ref="J1848">_xlfn.IFS(G1848&lt;164,"Below Average height",G1848&gt;=165,"Above Average height",G1848=164,"Average height")</f>
        <v>Above Average height</v>
      </c>
      <c r="K1848" s="2" t="str" cm="1">
        <f t="array" ref="K1848">_xlfn.IFS(E1848&lt;=16,"Children",E1848&lt;=30,"Young Adults",E1848&lt;=45,"Middle-aged Adults",E1848&gt;45,"Old Adults")</f>
        <v>Young Adults</v>
      </c>
    </row>
    <row r="1849" spans="1:11" x14ac:dyDescent="0.45">
      <c r="A1849" s="2">
        <v>2167</v>
      </c>
      <c r="B1849" s="2" t="s">
        <v>2271</v>
      </c>
      <c r="C1849" s="2" t="s">
        <v>88</v>
      </c>
      <c r="D1849" s="2" t="s">
        <v>21</v>
      </c>
      <c r="E1849" s="2">
        <v>27</v>
      </c>
      <c r="F1849" s="2">
        <v>75</v>
      </c>
      <c r="G1849" s="2">
        <v>180</v>
      </c>
      <c r="H1849" s="9">
        <f t="shared" si="28"/>
        <v>23.148148148148145</v>
      </c>
      <c r="I1849" s="2" t="str" cm="1">
        <f t="array" ref="I1849">_xlfn.IFS(F1849&gt;=100,"Over weight",F1849&lt;100,"Average weight")</f>
        <v>Average weight</v>
      </c>
      <c r="J1849" s="2" t="str" cm="1">
        <f t="array" ref="J1849">_xlfn.IFS(G1849&lt;164,"Below Average height",G1849&gt;=165,"Above Average height",G1849=164,"Average height")</f>
        <v>Above Average height</v>
      </c>
      <c r="K1849" s="2" t="str" cm="1">
        <f t="array" ref="K1849">_xlfn.IFS(E1849&lt;=16,"Children",E1849&lt;=30,"Young Adults",E1849&lt;=45,"Middle-aged Adults",E1849&gt;45,"Old Adults")</f>
        <v>Young Adults</v>
      </c>
    </row>
    <row r="1850" spans="1:11" x14ac:dyDescent="0.45">
      <c r="A1850" s="2">
        <v>2168</v>
      </c>
      <c r="B1850" s="2" t="s">
        <v>2272</v>
      </c>
      <c r="C1850" s="2" t="s">
        <v>88</v>
      </c>
      <c r="D1850" s="2" t="s">
        <v>22</v>
      </c>
      <c r="E1850" s="2">
        <v>42</v>
      </c>
      <c r="F1850" s="2">
        <v>80</v>
      </c>
      <c r="G1850" s="2">
        <v>188</v>
      </c>
      <c r="H1850" s="9">
        <f t="shared" si="28"/>
        <v>22.634676324128566</v>
      </c>
      <c r="I1850" s="2" t="str" cm="1">
        <f t="array" ref="I1850">_xlfn.IFS(F1850&gt;=100,"Over weight",F1850&lt;100,"Average weight")</f>
        <v>Average weight</v>
      </c>
      <c r="J1850" s="2" t="str" cm="1">
        <f t="array" ref="J1850">_xlfn.IFS(G1850&lt;164,"Below Average height",G1850&gt;=165,"Above Average height",G1850=164,"Average height")</f>
        <v>Above Average height</v>
      </c>
      <c r="K1850" s="2" t="str" cm="1">
        <f t="array" ref="K1850">_xlfn.IFS(E1850&lt;=16,"Children",E1850&lt;=30,"Young Adults",E1850&lt;=45,"Middle-aged Adults",E1850&gt;45,"Old Adults")</f>
        <v>Middle-aged Adults</v>
      </c>
    </row>
    <row r="1851" spans="1:11" x14ac:dyDescent="0.45">
      <c r="A1851" s="2">
        <v>2169</v>
      </c>
      <c r="B1851" s="2" t="s">
        <v>2273</v>
      </c>
      <c r="C1851" s="2" t="s">
        <v>87</v>
      </c>
      <c r="D1851" s="2" t="s">
        <v>8</v>
      </c>
      <c r="E1851" s="2">
        <v>27</v>
      </c>
      <c r="F1851" s="2">
        <v>60</v>
      </c>
      <c r="G1851" s="2">
        <v>168</v>
      </c>
      <c r="H1851" s="9">
        <f t="shared" si="28"/>
        <v>21.258503401360546</v>
      </c>
      <c r="I1851" s="2" t="str" cm="1">
        <f t="array" ref="I1851">_xlfn.IFS(F1851&gt;=100,"Over weight",F1851&lt;100,"Average weight")</f>
        <v>Average weight</v>
      </c>
      <c r="J1851" s="2" t="str" cm="1">
        <f t="array" ref="J1851">_xlfn.IFS(G1851&lt;164,"Below Average height",G1851&gt;=165,"Above Average height",G1851=164,"Average height")</f>
        <v>Above Average height</v>
      </c>
      <c r="K1851" s="2" t="str" cm="1">
        <f t="array" ref="K1851">_xlfn.IFS(E1851&lt;=16,"Children",E1851&lt;=30,"Young Adults",E1851&lt;=45,"Middle-aged Adults",E1851&gt;45,"Old Adults")</f>
        <v>Young Adults</v>
      </c>
    </row>
    <row r="1852" spans="1:11" x14ac:dyDescent="0.45">
      <c r="A1852" s="2">
        <v>2170</v>
      </c>
      <c r="B1852" s="2" t="s">
        <v>2274</v>
      </c>
      <c r="C1852" s="2" t="s">
        <v>87</v>
      </c>
      <c r="D1852" s="2" t="s">
        <v>8</v>
      </c>
      <c r="E1852" s="2">
        <v>25</v>
      </c>
      <c r="F1852" s="2">
        <v>79</v>
      </c>
      <c r="G1852" s="2">
        <v>184</v>
      </c>
      <c r="H1852" s="9">
        <f t="shared" si="28"/>
        <v>23.334120982986768</v>
      </c>
      <c r="I1852" s="2" t="str" cm="1">
        <f t="array" ref="I1852">_xlfn.IFS(F1852&gt;=100,"Over weight",F1852&lt;100,"Average weight")</f>
        <v>Average weight</v>
      </c>
      <c r="J1852" s="2" t="str" cm="1">
        <f t="array" ref="J1852">_xlfn.IFS(G1852&lt;164,"Below Average height",G1852&gt;=165,"Above Average height",G1852=164,"Average height")</f>
        <v>Above Average height</v>
      </c>
      <c r="K1852" s="2" t="str" cm="1">
        <f t="array" ref="K1852">_xlfn.IFS(E1852&lt;=16,"Children",E1852&lt;=30,"Young Adults",E1852&lt;=45,"Middle-aged Adults",E1852&gt;45,"Old Adults")</f>
        <v>Young Adults</v>
      </c>
    </row>
    <row r="1853" spans="1:11" x14ac:dyDescent="0.45">
      <c r="A1853" s="2">
        <v>2172</v>
      </c>
      <c r="B1853" s="2" t="s">
        <v>2276</v>
      </c>
      <c r="C1853" s="2" t="s">
        <v>89</v>
      </c>
      <c r="D1853" s="2" t="s">
        <v>58</v>
      </c>
      <c r="E1853" s="2">
        <v>23</v>
      </c>
      <c r="F1853" s="2">
        <v>72</v>
      </c>
      <c r="G1853" s="2">
        <v>176</v>
      </c>
      <c r="H1853" s="9">
        <f t="shared" si="28"/>
        <v>23.243801652892564</v>
      </c>
      <c r="I1853" s="2" t="str" cm="1">
        <f t="array" ref="I1853">_xlfn.IFS(F1853&gt;=100,"Over weight",F1853&lt;100,"Average weight")</f>
        <v>Average weight</v>
      </c>
      <c r="J1853" s="2" t="str" cm="1">
        <f t="array" ref="J1853">_xlfn.IFS(G1853&lt;164,"Below Average height",G1853&gt;=165,"Above Average height",G1853=164,"Average height")</f>
        <v>Above Average height</v>
      </c>
      <c r="K1853" s="2" t="str" cm="1">
        <f t="array" ref="K1853">_xlfn.IFS(E1853&lt;=16,"Children",E1853&lt;=30,"Young Adults",E1853&lt;=45,"Middle-aged Adults",E1853&gt;45,"Old Adults")</f>
        <v>Young Adults</v>
      </c>
    </row>
    <row r="1854" spans="1:11" x14ac:dyDescent="0.45">
      <c r="A1854" s="2">
        <v>2173</v>
      </c>
      <c r="B1854" s="2" t="s">
        <v>2277</v>
      </c>
      <c r="C1854" s="2" t="s">
        <v>94</v>
      </c>
      <c r="D1854" s="2" t="s">
        <v>23</v>
      </c>
      <c r="E1854" s="2">
        <v>32</v>
      </c>
      <c r="F1854" s="2">
        <v>58</v>
      </c>
      <c r="G1854" s="2">
        <v>168</v>
      </c>
      <c r="H1854" s="9">
        <f t="shared" si="28"/>
        <v>20.549886621315196</v>
      </c>
      <c r="I1854" s="2" t="str" cm="1">
        <f t="array" ref="I1854">_xlfn.IFS(F1854&gt;=100,"Over weight",F1854&lt;100,"Average weight")</f>
        <v>Average weight</v>
      </c>
      <c r="J1854" s="2" t="str" cm="1">
        <f t="array" ref="J1854">_xlfn.IFS(G1854&lt;164,"Below Average height",G1854&gt;=165,"Above Average height",G1854=164,"Average height")</f>
        <v>Above Average height</v>
      </c>
      <c r="K1854" s="2" t="str" cm="1">
        <f t="array" ref="K1854">_xlfn.IFS(E1854&lt;=16,"Children",E1854&lt;=30,"Young Adults",E1854&lt;=45,"Middle-aged Adults",E1854&gt;45,"Old Adults")</f>
        <v>Middle-aged Adults</v>
      </c>
    </row>
    <row r="1855" spans="1:11" x14ac:dyDescent="0.45">
      <c r="A1855" s="2">
        <v>2174</v>
      </c>
      <c r="B1855" s="2" t="s">
        <v>2278</v>
      </c>
      <c r="C1855" s="2" t="s">
        <v>86</v>
      </c>
      <c r="D1855" s="2" t="s">
        <v>66</v>
      </c>
      <c r="E1855" s="2">
        <v>25</v>
      </c>
      <c r="F1855" s="2">
        <v>57</v>
      </c>
      <c r="G1855" s="2">
        <v>180</v>
      </c>
      <c r="H1855" s="9">
        <f t="shared" si="28"/>
        <v>17.592592592592592</v>
      </c>
      <c r="I1855" s="2" t="str" cm="1">
        <f t="array" ref="I1855">_xlfn.IFS(F1855&gt;=100,"Over weight",F1855&lt;100,"Average weight")</f>
        <v>Average weight</v>
      </c>
      <c r="J1855" s="2" t="str" cm="1">
        <f t="array" ref="J1855">_xlfn.IFS(G1855&lt;164,"Below Average height",G1855&gt;=165,"Above Average height",G1855=164,"Average height")</f>
        <v>Above Average height</v>
      </c>
      <c r="K1855" s="2" t="str" cm="1">
        <f t="array" ref="K1855">_xlfn.IFS(E1855&lt;=16,"Children",E1855&lt;=30,"Young Adults",E1855&lt;=45,"Middle-aged Adults",E1855&gt;45,"Old Adults")</f>
        <v>Young Adults</v>
      </c>
    </row>
    <row r="1856" spans="1:11" x14ac:dyDescent="0.45">
      <c r="A1856" s="2">
        <v>2175</v>
      </c>
      <c r="B1856" s="2" t="s">
        <v>2279</v>
      </c>
      <c r="C1856" s="2" t="s">
        <v>87</v>
      </c>
      <c r="D1856" s="2" t="s">
        <v>75</v>
      </c>
      <c r="E1856" s="2">
        <v>17</v>
      </c>
      <c r="F1856" s="2">
        <v>58</v>
      </c>
      <c r="G1856" s="2">
        <v>166</v>
      </c>
      <c r="H1856" s="9">
        <f t="shared" si="28"/>
        <v>21.048047612135289</v>
      </c>
      <c r="I1856" s="2" t="str" cm="1">
        <f t="array" ref="I1856">_xlfn.IFS(F1856&gt;=100,"Over weight",F1856&lt;100,"Average weight")</f>
        <v>Average weight</v>
      </c>
      <c r="J1856" s="2" t="str" cm="1">
        <f t="array" ref="J1856">_xlfn.IFS(G1856&lt;164,"Below Average height",G1856&gt;=165,"Above Average height",G1856=164,"Average height")</f>
        <v>Above Average height</v>
      </c>
      <c r="K1856" s="2" t="str" cm="1">
        <f t="array" ref="K1856">_xlfn.IFS(E1856&lt;=16,"Children",E1856&lt;=30,"Young Adults",E1856&lt;=45,"Middle-aged Adults",E1856&gt;45,"Old Adults")</f>
        <v>Young Adults</v>
      </c>
    </row>
    <row r="1857" spans="1:11" x14ac:dyDescent="0.45">
      <c r="A1857" s="2">
        <v>2176</v>
      </c>
      <c r="B1857" s="2" t="s">
        <v>2280</v>
      </c>
      <c r="C1857" s="2" t="s">
        <v>96</v>
      </c>
      <c r="D1857" s="2" t="s">
        <v>80</v>
      </c>
      <c r="E1857" s="2">
        <v>26</v>
      </c>
      <c r="F1857" s="2">
        <v>57</v>
      </c>
      <c r="G1857" s="2">
        <v>183</v>
      </c>
      <c r="H1857" s="9">
        <f t="shared" si="28"/>
        <v>17.020514198692105</v>
      </c>
      <c r="I1857" s="2" t="str" cm="1">
        <f t="array" ref="I1857">_xlfn.IFS(F1857&gt;=100,"Over weight",F1857&lt;100,"Average weight")</f>
        <v>Average weight</v>
      </c>
      <c r="J1857" s="2" t="str" cm="1">
        <f t="array" ref="J1857">_xlfn.IFS(G1857&lt;164,"Below Average height",G1857&gt;=165,"Above Average height",G1857=164,"Average height")</f>
        <v>Above Average height</v>
      </c>
      <c r="K1857" s="2" t="str" cm="1">
        <f t="array" ref="K1857">_xlfn.IFS(E1857&lt;=16,"Children",E1857&lt;=30,"Young Adults",E1857&lt;=45,"Middle-aged Adults",E1857&gt;45,"Old Adults")</f>
        <v>Young Adults</v>
      </c>
    </row>
    <row r="1858" spans="1:11" x14ac:dyDescent="0.45">
      <c r="A1858" s="2">
        <v>2177</v>
      </c>
      <c r="B1858" s="2" t="s">
        <v>2281</v>
      </c>
      <c r="C1858" s="2" t="s">
        <v>85</v>
      </c>
      <c r="D1858" s="2" t="s">
        <v>80</v>
      </c>
      <c r="E1858" s="2">
        <v>22</v>
      </c>
      <c r="F1858" s="2">
        <v>70</v>
      </c>
      <c r="G1858" s="2">
        <v>165</v>
      </c>
      <c r="H1858" s="9">
        <f t="shared" ref="H1858:H1921" si="29" xml:space="preserve"> F1858 / (( G1858/ 100) ^ 2)</f>
        <v>25.711662075298442</v>
      </c>
      <c r="I1858" s="2" t="str" cm="1">
        <f t="array" ref="I1858">_xlfn.IFS(F1858&gt;=100,"Over weight",F1858&lt;100,"Average weight")</f>
        <v>Average weight</v>
      </c>
      <c r="J1858" s="2" t="str" cm="1">
        <f t="array" ref="J1858">_xlfn.IFS(G1858&lt;164,"Below Average height",G1858&gt;=165,"Above Average height",G1858=164,"Average height")</f>
        <v>Above Average height</v>
      </c>
      <c r="K1858" s="2" t="str" cm="1">
        <f t="array" ref="K1858">_xlfn.IFS(E1858&lt;=16,"Children",E1858&lt;=30,"Young Adults",E1858&lt;=45,"Middle-aged Adults",E1858&gt;45,"Old Adults")</f>
        <v>Young Adults</v>
      </c>
    </row>
    <row r="1859" spans="1:11" x14ac:dyDescent="0.45">
      <c r="A1859" s="2">
        <v>2178</v>
      </c>
      <c r="B1859" s="2" t="s">
        <v>2282</v>
      </c>
      <c r="C1859" s="2" t="s">
        <v>96</v>
      </c>
      <c r="D1859" s="2" t="s">
        <v>30</v>
      </c>
      <c r="E1859" s="2">
        <v>45</v>
      </c>
      <c r="F1859" s="2">
        <v>57</v>
      </c>
      <c r="G1859" s="2">
        <v>189</v>
      </c>
      <c r="H1859" s="9">
        <f t="shared" si="29"/>
        <v>15.957000083984212</v>
      </c>
      <c r="I1859" s="2" t="str" cm="1">
        <f t="array" ref="I1859">_xlfn.IFS(F1859&gt;=100,"Over weight",F1859&lt;100,"Average weight")</f>
        <v>Average weight</v>
      </c>
      <c r="J1859" s="2" t="str" cm="1">
        <f t="array" ref="J1859">_xlfn.IFS(G1859&lt;164,"Below Average height",G1859&gt;=165,"Above Average height",G1859=164,"Average height")</f>
        <v>Above Average height</v>
      </c>
      <c r="K1859" s="2" t="str" cm="1">
        <f t="array" ref="K1859">_xlfn.IFS(E1859&lt;=16,"Children",E1859&lt;=30,"Young Adults",E1859&lt;=45,"Middle-aged Adults",E1859&gt;45,"Old Adults")</f>
        <v>Middle-aged Adults</v>
      </c>
    </row>
    <row r="1860" spans="1:11" x14ac:dyDescent="0.45">
      <c r="A1860" s="2">
        <v>2179</v>
      </c>
      <c r="B1860" s="2" t="s">
        <v>2283</v>
      </c>
      <c r="C1860" s="2" t="s">
        <v>91</v>
      </c>
      <c r="D1860" s="2" t="s">
        <v>60</v>
      </c>
      <c r="E1860" s="2">
        <v>22</v>
      </c>
      <c r="F1860" s="2">
        <v>75</v>
      </c>
      <c r="G1860" s="2">
        <v>182</v>
      </c>
      <c r="H1860" s="9">
        <f t="shared" si="29"/>
        <v>22.642192971863299</v>
      </c>
      <c r="I1860" s="2" t="str" cm="1">
        <f t="array" ref="I1860">_xlfn.IFS(F1860&gt;=100,"Over weight",F1860&lt;100,"Average weight")</f>
        <v>Average weight</v>
      </c>
      <c r="J1860" s="2" t="str" cm="1">
        <f t="array" ref="J1860">_xlfn.IFS(G1860&lt;164,"Below Average height",G1860&gt;=165,"Above Average height",G1860=164,"Average height")</f>
        <v>Above Average height</v>
      </c>
      <c r="K1860" s="2" t="str" cm="1">
        <f t="array" ref="K1860">_xlfn.IFS(E1860&lt;=16,"Children",E1860&lt;=30,"Young Adults",E1860&lt;=45,"Middle-aged Adults",E1860&gt;45,"Old Adults")</f>
        <v>Young Adults</v>
      </c>
    </row>
    <row r="1861" spans="1:11" x14ac:dyDescent="0.45">
      <c r="A1861" s="2">
        <v>2180</v>
      </c>
      <c r="B1861" s="2" t="s">
        <v>2284</v>
      </c>
      <c r="C1861" s="2" t="s">
        <v>91</v>
      </c>
      <c r="D1861" s="2" t="s">
        <v>66</v>
      </c>
      <c r="E1861" s="2">
        <v>28</v>
      </c>
      <c r="F1861" s="2">
        <v>65</v>
      </c>
      <c r="G1861" s="2">
        <v>176</v>
      </c>
      <c r="H1861" s="9">
        <f t="shared" si="29"/>
        <v>20.983987603305785</v>
      </c>
      <c r="I1861" s="2" t="str" cm="1">
        <f t="array" ref="I1861">_xlfn.IFS(F1861&gt;=100,"Over weight",F1861&lt;100,"Average weight")</f>
        <v>Average weight</v>
      </c>
      <c r="J1861" s="2" t="str" cm="1">
        <f t="array" ref="J1861">_xlfn.IFS(G1861&lt;164,"Below Average height",G1861&gt;=165,"Above Average height",G1861=164,"Average height")</f>
        <v>Above Average height</v>
      </c>
      <c r="K1861" s="2" t="str" cm="1">
        <f t="array" ref="K1861">_xlfn.IFS(E1861&lt;=16,"Children",E1861&lt;=30,"Young Adults",E1861&lt;=45,"Middle-aged Adults",E1861&gt;45,"Old Adults")</f>
        <v>Young Adults</v>
      </c>
    </row>
    <row r="1862" spans="1:11" x14ac:dyDescent="0.45">
      <c r="A1862" s="2">
        <v>2181</v>
      </c>
      <c r="B1862" s="2" t="s">
        <v>2285</v>
      </c>
      <c r="C1862" s="2" t="s">
        <v>94</v>
      </c>
      <c r="D1862" s="2" t="s">
        <v>69</v>
      </c>
      <c r="E1862" s="2">
        <v>19</v>
      </c>
      <c r="F1862" s="2">
        <v>69</v>
      </c>
      <c r="G1862" s="2">
        <v>174</v>
      </c>
      <c r="H1862" s="9">
        <f t="shared" si="29"/>
        <v>22.790328973444311</v>
      </c>
      <c r="I1862" s="2" t="str" cm="1">
        <f t="array" ref="I1862">_xlfn.IFS(F1862&gt;=100,"Over weight",F1862&lt;100,"Average weight")</f>
        <v>Average weight</v>
      </c>
      <c r="J1862" s="2" t="str" cm="1">
        <f t="array" ref="J1862">_xlfn.IFS(G1862&lt;164,"Below Average height",G1862&gt;=165,"Above Average height",G1862=164,"Average height")</f>
        <v>Above Average height</v>
      </c>
      <c r="K1862" s="2" t="str" cm="1">
        <f t="array" ref="K1862">_xlfn.IFS(E1862&lt;=16,"Children",E1862&lt;=30,"Young Adults",E1862&lt;=45,"Middle-aged Adults",E1862&gt;45,"Old Adults")</f>
        <v>Young Adults</v>
      </c>
    </row>
    <row r="1863" spans="1:11" x14ac:dyDescent="0.45">
      <c r="A1863" s="2">
        <v>2182</v>
      </c>
      <c r="B1863" s="2" t="s">
        <v>2286</v>
      </c>
      <c r="C1863" s="2" t="s">
        <v>94</v>
      </c>
      <c r="D1863" s="2" t="s">
        <v>6</v>
      </c>
      <c r="E1863" s="2">
        <v>26</v>
      </c>
      <c r="F1863" s="2">
        <v>58</v>
      </c>
      <c r="G1863" s="2">
        <v>171</v>
      </c>
      <c r="H1863" s="9">
        <f t="shared" si="29"/>
        <v>19.835162956123252</v>
      </c>
      <c r="I1863" s="2" t="str" cm="1">
        <f t="array" ref="I1863">_xlfn.IFS(F1863&gt;=100,"Over weight",F1863&lt;100,"Average weight")</f>
        <v>Average weight</v>
      </c>
      <c r="J1863" s="2" t="str" cm="1">
        <f t="array" ref="J1863">_xlfn.IFS(G1863&lt;164,"Below Average height",G1863&gt;=165,"Above Average height",G1863=164,"Average height")</f>
        <v>Above Average height</v>
      </c>
      <c r="K1863" s="2" t="str" cm="1">
        <f t="array" ref="K1863">_xlfn.IFS(E1863&lt;=16,"Children",E1863&lt;=30,"Young Adults",E1863&lt;=45,"Middle-aged Adults",E1863&gt;45,"Old Adults")</f>
        <v>Young Adults</v>
      </c>
    </row>
    <row r="1864" spans="1:11" x14ac:dyDescent="0.45">
      <c r="A1864" s="2">
        <v>2183</v>
      </c>
      <c r="B1864" s="2" t="s">
        <v>2287</v>
      </c>
      <c r="C1864" s="2" t="s">
        <v>87</v>
      </c>
      <c r="D1864" s="2" t="s">
        <v>66</v>
      </c>
      <c r="E1864" s="2">
        <v>22</v>
      </c>
      <c r="F1864" s="2">
        <v>68</v>
      </c>
      <c r="G1864" s="2">
        <v>170</v>
      </c>
      <c r="H1864" s="9">
        <f t="shared" si="29"/>
        <v>23.529411764705884</v>
      </c>
      <c r="I1864" s="2" t="str" cm="1">
        <f t="array" ref="I1864">_xlfn.IFS(F1864&gt;=100,"Over weight",F1864&lt;100,"Average weight")</f>
        <v>Average weight</v>
      </c>
      <c r="J1864" s="2" t="str" cm="1">
        <f t="array" ref="J1864">_xlfn.IFS(G1864&lt;164,"Below Average height",G1864&gt;=165,"Above Average height",G1864=164,"Average height")</f>
        <v>Above Average height</v>
      </c>
      <c r="K1864" s="2" t="str" cm="1">
        <f t="array" ref="K1864">_xlfn.IFS(E1864&lt;=16,"Children",E1864&lt;=30,"Young Adults",E1864&lt;=45,"Middle-aged Adults",E1864&gt;45,"Old Adults")</f>
        <v>Young Adults</v>
      </c>
    </row>
    <row r="1865" spans="1:11" x14ac:dyDescent="0.45">
      <c r="A1865" s="2">
        <v>2184</v>
      </c>
      <c r="B1865" s="2" t="s">
        <v>2288</v>
      </c>
      <c r="C1865" s="2" t="s">
        <v>95</v>
      </c>
      <c r="D1865" s="2" t="s">
        <v>14</v>
      </c>
      <c r="E1865" s="2">
        <v>18</v>
      </c>
      <c r="F1865" s="2">
        <v>70</v>
      </c>
      <c r="G1865" s="2">
        <v>176</v>
      </c>
      <c r="H1865" s="9">
        <f t="shared" si="29"/>
        <v>22.598140495867771</v>
      </c>
      <c r="I1865" s="2" t="str" cm="1">
        <f t="array" ref="I1865">_xlfn.IFS(F1865&gt;=100,"Over weight",F1865&lt;100,"Average weight")</f>
        <v>Average weight</v>
      </c>
      <c r="J1865" s="2" t="str" cm="1">
        <f t="array" ref="J1865">_xlfn.IFS(G1865&lt;164,"Below Average height",G1865&gt;=165,"Above Average height",G1865=164,"Average height")</f>
        <v>Above Average height</v>
      </c>
      <c r="K1865" s="2" t="str" cm="1">
        <f t="array" ref="K1865">_xlfn.IFS(E1865&lt;=16,"Children",E1865&lt;=30,"Young Adults",E1865&lt;=45,"Middle-aged Adults",E1865&gt;45,"Old Adults")</f>
        <v>Young Adults</v>
      </c>
    </row>
    <row r="1866" spans="1:11" x14ac:dyDescent="0.45">
      <c r="A1866" s="2">
        <v>2185</v>
      </c>
      <c r="B1866" s="2" t="s">
        <v>2289</v>
      </c>
      <c r="C1866" s="2" t="s">
        <v>94</v>
      </c>
      <c r="D1866" s="2" t="s">
        <v>74</v>
      </c>
      <c r="E1866" s="2">
        <v>32</v>
      </c>
      <c r="F1866" s="2">
        <v>78</v>
      </c>
      <c r="G1866" s="2">
        <v>182</v>
      </c>
      <c r="H1866" s="9">
        <f t="shared" si="29"/>
        <v>23.547880690737831</v>
      </c>
      <c r="I1866" s="2" t="str" cm="1">
        <f t="array" ref="I1866">_xlfn.IFS(F1866&gt;=100,"Over weight",F1866&lt;100,"Average weight")</f>
        <v>Average weight</v>
      </c>
      <c r="J1866" s="2" t="str" cm="1">
        <f t="array" ref="J1866">_xlfn.IFS(G1866&lt;164,"Below Average height",G1866&gt;=165,"Above Average height",G1866=164,"Average height")</f>
        <v>Above Average height</v>
      </c>
      <c r="K1866" s="2" t="str" cm="1">
        <f t="array" ref="K1866">_xlfn.IFS(E1866&lt;=16,"Children",E1866&lt;=30,"Young Adults",E1866&lt;=45,"Middle-aged Adults",E1866&gt;45,"Old Adults")</f>
        <v>Middle-aged Adults</v>
      </c>
    </row>
    <row r="1867" spans="1:11" x14ac:dyDescent="0.45">
      <c r="A1867" s="2">
        <v>2186</v>
      </c>
      <c r="B1867" s="2" t="s">
        <v>2290</v>
      </c>
      <c r="C1867" s="2" t="s">
        <v>94</v>
      </c>
      <c r="D1867" s="2" t="s">
        <v>71</v>
      </c>
      <c r="E1867" s="2">
        <v>26</v>
      </c>
      <c r="F1867" s="2">
        <v>66</v>
      </c>
      <c r="G1867" s="2">
        <v>173</v>
      </c>
      <c r="H1867" s="9">
        <f t="shared" si="29"/>
        <v>22.052190183434128</v>
      </c>
      <c r="I1867" s="2" t="str" cm="1">
        <f t="array" ref="I1867">_xlfn.IFS(F1867&gt;=100,"Over weight",F1867&lt;100,"Average weight")</f>
        <v>Average weight</v>
      </c>
      <c r="J1867" s="2" t="str" cm="1">
        <f t="array" ref="J1867">_xlfn.IFS(G1867&lt;164,"Below Average height",G1867&gt;=165,"Above Average height",G1867=164,"Average height")</f>
        <v>Above Average height</v>
      </c>
      <c r="K1867" s="2" t="str" cm="1">
        <f t="array" ref="K1867">_xlfn.IFS(E1867&lt;=16,"Children",E1867&lt;=30,"Young Adults",E1867&lt;=45,"Middle-aged Adults",E1867&gt;45,"Old Adults")</f>
        <v>Young Adults</v>
      </c>
    </row>
    <row r="1868" spans="1:11" x14ac:dyDescent="0.45">
      <c r="A1868" s="2">
        <v>2187</v>
      </c>
      <c r="B1868" s="2" t="s">
        <v>2291</v>
      </c>
      <c r="C1868" s="2" t="s">
        <v>90</v>
      </c>
      <c r="D1868" s="2" t="s">
        <v>19</v>
      </c>
      <c r="E1868" s="2">
        <v>48</v>
      </c>
      <c r="F1868" s="2">
        <v>92</v>
      </c>
      <c r="G1868" s="2">
        <v>190</v>
      </c>
      <c r="H1868" s="9">
        <f t="shared" si="29"/>
        <v>25.48476454293629</v>
      </c>
      <c r="I1868" s="2" t="str" cm="1">
        <f t="array" ref="I1868">_xlfn.IFS(F1868&gt;=100,"Over weight",F1868&lt;100,"Average weight")</f>
        <v>Average weight</v>
      </c>
      <c r="J1868" s="2" t="str" cm="1">
        <f t="array" ref="J1868">_xlfn.IFS(G1868&lt;164,"Below Average height",G1868&gt;=165,"Above Average height",G1868=164,"Average height")</f>
        <v>Above Average height</v>
      </c>
      <c r="K1868" s="2" t="str" cm="1">
        <f t="array" ref="K1868">_xlfn.IFS(E1868&lt;=16,"Children",E1868&lt;=30,"Young Adults",E1868&lt;=45,"Middle-aged Adults",E1868&gt;45,"Old Adults")</f>
        <v>Old Adults</v>
      </c>
    </row>
    <row r="1869" spans="1:11" x14ac:dyDescent="0.45">
      <c r="A1869" s="2">
        <v>2188</v>
      </c>
      <c r="B1869" s="2" t="s">
        <v>2292</v>
      </c>
      <c r="C1869" s="2" t="s">
        <v>86</v>
      </c>
      <c r="D1869" s="2" t="s">
        <v>66</v>
      </c>
      <c r="E1869" s="2">
        <v>20</v>
      </c>
      <c r="F1869" s="2">
        <v>43</v>
      </c>
      <c r="G1869" s="2">
        <v>184</v>
      </c>
      <c r="H1869" s="9">
        <f t="shared" si="29"/>
        <v>12.700850661625708</v>
      </c>
      <c r="I1869" s="2" t="str" cm="1">
        <f t="array" ref="I1869">_xlfn.IFS(F1869&gt;=100,"Over weight",F1869&lt;100,"Average weight")</f>
        <v>Average weight</v>
      </c>
      <c r="J1869" s="2" t="str" cm="1">
        <f t="array" ref="J1869">_xlfn.IFS(G1869&lt;164,"Below Average height",G1869&gt;=165,"Above Average height",G1869=164,"Average height")</f>
        <v>Above Average height</v>
      </c>
      <c r="K1869" s="2" t="str" cm="1">
        <f t="array" ref="K1869">_xlfn.IFS(E1869&lt;=16,"Children",E1869&lt;=30,"Young Adults",E1869&lt;=45,"Middle-aged Adults",E1869&gt;45,"Old Adults")</f>
        <v>Young Adults</v>
      </c>
    </row>
    <row r="1870" spans="1:11" x14ac:dyDescent="0.45">
      <c r="A1870" s="2">
        <v>2189</v>
      </c>
      <c r="B1870" s="2" t="s">
        <v>2293</v>
      </c>
      <c r="C1870" s="2" t="s">
        <v>94</v>
      </c>
      <c r="D1870" s="2" t="s">
        <v>28</v>
      </c>
      <c r="E1870" s="2">
        <v>35</v>
      </c>
      <c r="F1870" s="2">
        <v>70</v>
      </c>
      <c r="G1870" s="2">
        <v>175</v>
      </c>
      <c r="H1870" s="9">
        <f t="shared" si="29"/>
        <v>22.857142857142858</v>
      </c>
      <c r="I1870" s="2" t="str" cm="1">
        <f t="array" ref="I1870">_xlfn.IFS(F1870&gt;=100,"Over weight",F1870&lt;100,"Average weight")</f>
        <v>Average weight</v>
      </c>
      <c r="J1870" s="2" t="str" cm="1">
        <f t="array" ref="J1870">_xlfn.IFS(G1870&lt;164,"Below Average height",G1870&gt;=165,"Above Average height",G1870=164,"Average height")</f>
        <v>Above Average height</v>
      </c>
      <c r="K1870" s="2" t="str" cm="1">
        <f t="array" ref="K1870">_xlfn.IFS(E1870&lt;=16,"Children",E1870&lt;=30,"Young Adults",E1870&lt;=45,"Middle-aged Adults",E1870&gt;45,"Old Adults")</f>
        <v>Middle-aged Adults</v>
      </c>
    </row>
    <row r="1871" spans="1:11" x14ac:dyDescent="0.45">
      <c r="A1871" s="2">
        <v>2190</v>
      </c>
      <c r="B1871" s="2" t="s">
        <v>2294</v>
      </c>
      <c r="C1871" s="2" t="s">
        <v>88</v>
      </c>
      <c r="D1871" s="2" t="s">
        <v>17</v>
      </c>
      <c r="E1871" s="2">
        <v>18</v>
      </c>
      <c r="F1871" s="2">
        <v>60</v>
      </c>
      <c r="G1871" s="2">
        <v>170</v>
      </c>
      <c r="H1871" s="9">
        <f t="shared" si="29"/>
        <v>20.761245674740486</v>
      </c>
      <c r="I1871" s="2" t="str" cm="1">
        <f t="array" ref="I1871">_xlfn.IFS(F1871&gt;=100,"Over weight",F1871&lt;100,"Average weight")</f>
        <v>Average weight</v>
      </c>
      <c r="J1871" s="2" t="str" cm="1">
        <f t="array" ref="J1871">_xlfn.IFS(G1871&lt;164,"Below Average height",G1871&gt;=165,"Above Average height",G1871=164,"Average height")</f>
        <v>Above Average height</v>
      </c>
      <c r="K1871" s="2" t="str" cm="1">
        <f t="array" ref="K1871">_xlfn.IFS(E1871&lt;=16,"Children",E1871&lt;=30,"Young Adults",E1871&lt;=45,"Middle-aged Adults",E1871&gt;45,"Old Adults")</f>
        <v>Young Adults</v>
      </c>
    </row>
    <row r="1872" spans="1:11" x14ac:dyDescent="0.45">
      <c r="A1872" s="2">
        <v>2191</v>
      </c>
      <c r="B1872" s="2" t="s">
        <v>2295</v>
      </c>
      <c r="C1872" s="2" t="s">
        <v>98</v>
      </c>
      <c r="D1872" s="2" t="s">
        <v>17</v>
      </c>
      <c r="E1872" s="2">
        <v>20</v>
      </c>
      <c r="F1872" s="2">
        <v>67</v>
      </c>
      <c r="G1872" s="2">
        <v>179</v>
      </c>
      <c r="H1872" s="9">
        <f t="shared" si="29"/>
        <v>20.910708155176181</v>
      </c>
      <c r="I1872" s="2" t="str" cm="1">
        <f t="array" ref="I1872">_xlfn.IFS(F1872&gt;=100,"Over weight",F1872&lt;100,"Average weight")</f>
        <v>Average weight</v>
      </c>
      <c r="J1872" s="2" t="str" cm="1">
        <f t="array" ref="J1872">_xlfn.IFS(G1872&lt;164,"Below Average height",G1872&gt;=165,"Above Average height",G1872=164,"Average height")</f>
        <v>Above Average height</v>
      </c>
      <c r="K1872" s="2" t="str" cm="1">
        <f t="array" ref="K1872">_xlfn.IFS(E1872&lt;=16,"Children",E1872&lt;=30,"Young Adults",E1872&lt;=45,"Middle-aged Adults",E1872&gt;45,"Old Adults")</f>
        <v>Young Adults</v>
      </c>
    </row>
    <row r="1873" spans="1:11" x14ac:dyDescent="0.45">
      <c r="A1873" s="2">
        <v>2194</v>
      </c>
      <c r="B1873" s="2" t="s">
        <v>2298</v>
      </c>
      <c r="C1873" s="2" t="s">
        <v>91</v>
      </c>
      <c r="D1873" s="2" t="s">
        <v>46</v>
      </c>
      <c r="E1873" s="2">
        <v>23</v>
      </c>
      <c r="F1873" s="2">
        <v>88</v>
      </c>
      <c r="G1873" s="2">
        <v>184</v>
      </c>
      <c r="H1873" s="9">
        <f t="shared" si="29"/>
        <v>25.992438563327031</v>
      </c>
      <c r="I1873" s="2" t="str" cm="1">
        <f t="array" ref="I1873">_xlfn.IFS(F1873&gt;=100,"Over weight",F1873&lt;100,"Average weight")</f>
        <v>Average weight</v>
      </c>
      <c r="J1873" s="2" t="str" cm="1">
        <f t="array" ref="J1873">_xlfn.IFS(G1873&lt;164,"Below Average height",G1873&gt;=165,"Above Average height",G1873=164,"Average height")</f>
        <v>Above Average height</v>
      </c>
      <c r="K1873" s="2" t="str" cm="1">
        <f t="array" ref="K1873">_xlfn.IFS(E1873&lt;=16,"Children",E1873&lt;=30,"Young Adults",E1873&lt;=45,"Middle-aged Adults",E1873&gt;45,"Old Adults")</f>
        <v>Young Adults</v>
      </c>
    </row>
    <row r="1874" spans="1:11" x14ac:dyDescent="0.45">
      <c r="A1874" s="2">
        <v>2195</v>
      </c>
      <c r="B1874" s="2" t="s">
        <v>2299</v>
      </c>
      <c r="C1874" s="2" t="s">
        <v>91</v>
      </c>
      <c r="D1874" s="2" t="s">
        <v>66</v>
      </c>
      <c r="E1874" s="2">
        <v>29</v>
      </c>
      <c r="F1874" s="2">
        <v>59</v>
      </c>
      <c r="G1874" s="2">
        <v>167</v>
      </c>
      <c r="H1874" s="9">
        <f t="shared" si="29"/>
        <v>21.155294202015131</v>
      </c>
      <c r="I1874" s="2" t="str" cm="1">
        <f t="array" ref="I1874">_xlfn.IFS(F1874&gt;=100,"Over weight",F1874&lt;100,"Average weight")</f>
        <v>Average weight</v>
      </c>
      <c r="J1874" s="2" t="str" cm="1">
        <f t="array" ref="J1874">_xlfn.IFS(G1874&lt;164,"Below Average height",G1874&gt;=165,"Above Average height",G1874=164,"Average height")</f>
        <v>Above Average height</v>
      </c>
      <c r="K1874" s="2" t="str" cm="1">
        <f t="array" ref="K1874">_xlfn.IFS(E1874&lt;=16,"Children",E1874&lt;=30,"Young Adults",E1874&lt;=45,"Middle-aged Adults",E1874&gt;45,"Old Adults")</f>
        <v>Young Adults</v>
      </c>
    </row>
    <row r="1875" spans="1:11" x14ac:dyDescent="0.45">
      <c r="A1875" s="2">
        <v>2196</v>
      </c>
      <c r="B1875" s="2" t="s">
        <v>2300</v>
      </c>
      <c r="C1875" s="2" t="s">
        <v>88</v>
      </c>
      <c r="D1875" s="2" t="s">
        <v>21</v>
      </c>
      <c r="E1875" s="2">
        <v>20</v>
      </c>
      <c r="F1875" s="2">
        <v>61</v>
      </c>
      <c r="G1875" s="2">
        <v>169</v>
      </c>
      <c r="H1875" s="9">
        <f t="shared" si="29"/>
        <v>21.357795595392322</v>
      </c>
      <c r="I1875" s="2" t="str" cm="1">
        <f t="array" ref="I1875">_xlfn.IFS(F1875&gt;=100,"Over weight",F1875&lt;100,"Average weight")</f>
        <v>Average weight</v>
      </c>
      <c r="J1875" s="2" t="str" cm="1">
        <f t="array" ref="J1875">_xlfn.IFS(G1875&lt;164,"Below Average height",G1875&gt;=165,"Above Average height",G1875=164,"Average height")</f>
        <v>Above Average height</v>
      </c>
      <c r="K1875" s="2" t="str" cm="1">
        <f t="array" ref="K1875">_xlfn.IFS(E1875&lt;=16,"Children",E1875&lt;=30,"Young Adults",E1875&lt;=45,"Middle-aged Adults",E1875&gt;45,"Old Adults")</f>
        <v>Young Adults</v>
      </c>
    </row>
    <row r="1876" spans="1:11" x14ac:dyDescent="0.45">
      <c r="A1876" s="2">
        <v>2197</v>
      </c>
      <c r="B1876" s="2" t="s">
        <v>2301</v>
      </c>
      <c r="C1876" s="2" t="s">
        <v>88</v>
      </c>
      <c r="D1876" s="2" t="s">
        <v>21</v>
      </c>
      <c r="E1876" s="2">
        <v>27</v>
      </c>
      <c r="F1876" s="2">
        <v>68</v>
      </c>
      <c r="G1876" s="2">
        <v>184</v>
      </c>
      <c r="H1876" s="9">
        <f t="shared" si="29"/>
        <v>20.085066162570886</v>
      </c>
      <c r="I1876" s="2" t="str" cm="1">
        <f t="array" ref="I1876">_xlfn.IFS(F1876&gt;=100,"Over weight",F1876&lt;100,"Average weight")</f>
        <v>Average weight</v>
      </c>
      <c r="J1876" s="2" t="str" cm="1">
        <f t="array" ref="J1876">_xlfn.IFS(G1876&lt;164,"Below Average height",G1876&gt;=165,"Above Average height",G1876=164,"Average height")</f>
        <v>Above Average height</v>
      </c>
      <c r="K1876" s="2" t="str" cm="1">
        <f t="array" ref="K1876">_xlfn.IFS(E1876&lt;=16,"Children",E1876&lt;=30,"Young Adults",E1876&lt;=45,"Middle-aged Adults",E1876&gt;45,"Old Adults")</f>
        <v>Young Adults</v>
      </c>
    </row>
    <row r="1877" spans="1:11" x14ac:dyDescent="0.45">
      <c r="A1877" s="2">
        <v>2198</v>
      </c>
      <c r="B1877" s="2" t="s">
        <v>2302</v>
      </c>
      <c r="C1877" s="2" t="s">
        <v>94</v>
      </c>
      <c r="D1877" s="2" t="s">
        <v>2</v>
      </c>
      <c r="E1877" s="2">
        <v>31</v>
      </c>
      <c r="F1877" s="2">
        <v>68</v>
      </c>
      <c r="G1877" s="2">
        <v>180</v>
      </c>
      <c r="H1877" s="9">
        <f t="shared" si="29"/>
        <v>20.987654320987652</v>
      </c>
      <c r="I1877" s="2" t="str" cm="1">
        <f t="array" ref="I1877">_xlfn.IFS(F1877&gt;=100,"Over weight",F1877&lt;100,"Average weight")</f>
        <v>Average weight</v>
      </c>
      <c r="J1877" s="2" t="str" cm="1">
        <f t="array" ref="J1877">_xlfn.IFS(G1877&lt;164,"Below Average height",G1877&gt;=165,"Above Average height",G1877=164,"Average height")</f>
        <v>Above Average height</v>
      </c>
      <c r="K1877" s="2" t="str" cm="1">
        <f t="array" ref="K1877">_xlfn.IFS(E1877&lt;=16,"Children",E1877&lt;=30,"Young Adults",E1877&lt;=45,"Middle-aged Adults",E1877&gt;45,"Old Adults")</f>
        <v>Middle-aged Adults</v>
      </c>
    </row>
    <row r="1878" spans="1:11" x14ac:dyDescent="0.45">
      <c r="A1878" s="2">
        <v>2199</v>
      </c>
      <c r="B1878" s="2" t="s">
        <v>2303</v>
      </c>
      <c r="C1878" s="2" t="s">
        <v>94</v>
      </c>
      <c r="D1878" s="2" t="s">
        <v>80</v>
      </c>
      <c r="E1878" s="2">
        <v>31</v>
      </c>
      <c r="F1878" s="2">
        <v>69</v>
      </c>
      <c r="G1878" s="2">
        <v>178</v>
      </c>
      <c r="H1878" s="9">
        <f t="shared" si="29"/>
        <v>21.777553339224845</v>
      </c>
      <c r="I1878" s="2" t="str" cm="1">
        <f t="array" ref="I1878">_xlfn.IFS(F1878&gt;=100,"Over weight",F1878&lt;100,"Average weight")</f>
        <v>Average weight</v>
      </c>
      <c r="J1878" s="2" t="str" cm="1">
        <f t="array" ref="J1878">_xlfn.IFS(G1878&lt;164,"Below Average height",G1878&gt;=165,"Above Average height",G1878=164,"Average height")</f>
        <v>Above Average height</v>
      </c>
      <c r="K1878" s="2" t="str" cm="1">
        <f t="array" ref="K1878">_xlfn.IFS(E1878&lt;=16,"Children",E1878&lt;=30,"Young Adults",E1878&lt;=45,"Middle-aged Adults",E1878&gt;45,"Old Adults")</f>
        <v>Middle-aged Adults</v>
      </c>
    </row>
    <row r="1879" spans="1:11" x14ac:dyDescent="0.45">
      <c r="A1879" s="2">
        <v>2200</v>
      </c>
      <c r="B1879" s="2" t="s">
        <v>2304</v>
      </c>
      <c r="C1879" s="2" t="s">
        <v>90</v>
      </c>
      <c r="D1879" s="2" t="s">
        <v>75</v>
      </c>
      <c r="E1879" s="2">
        <v>27</v>
      </c>
      <c r="F1879" s="2">
        <v>70</v>
      </c>
      <c r="G1879" s="2">
        <v>172</v>
      </c>
      <c r="H1879" s="9">
        <f t="shared" si="29"/>
        <v>23.661438615467823</v>
      </c>
      <c r="I1879" s="2" t="str" cm="1">
        <f t="array" ref="I1879">_xlfn.IFS(F1879&gt;=100,"Over weight",F1879&lt;100,"Average weight")</f>
        <v>Average weight</v>
      </c>
      <c r="J1879" s="2" t="str" cm="1">
        <f t="array" ref="J1879">_xlfn.IFS(G1879&lt;164,"Below Average height",G1879&gt;=165,"Above Average height",G1879=164,"Average height")</f>
        <v>Above Average height</v>
      </c>
      <c r="K1879" s="2" t="str" cm="1">
        <f t="array" ref="K1879">_xlfn.IFS(E1879&lt;=16,"Children",E1879&lt;=30,"Young Adults",E1879&lt;=45,"Middle-aged Adults",E1879&gt;45,"Old Adults")</f>
        <v>Young Adults</v>
      </c>
    </row>
    <row r="1880" spans="1:11" x14ac:dyDescent="0.45">
      <c r="A1880" s="2">
        <v>2201</v>
      </c>
      <c r="B1880" s="2" t="s">
        <v>2305</v>
      </c>
      <c r="C1880" s="2" t="s">
        <v>87</v>
      </c>
      <c r="D1880" s="2" t="s">
        <v>75</v>
      </c>
      <c r="E1880" s="2">
        <v>34</v>
      </c>
      <c r="F1880" s="2">
        <v>90</v>
      </c>
      <c r="G1880" s="2">
        <v>178</v>
      </c>
      <c r="H1880" s="9">
        <f t="shared" si="29"/>
        <v>28.405504355510669</v>
      </c>
      <c r="I1880" s="2" t="str" cm="1">
        <f t="array" ref="I1880">_xlfn.IFS(F1880&gt;=100,"Over weight",F1880&lt;100,"Average weight")</f>
        <v>Average weight</v>
      </c>
      <c r="J1880" s="2" t="str" cm="1">
        <f t="array" ref="J1880">_xlfn.IFS(G1880&lt;164,"Below Average height",G1880&gt;=165,"Above Average height",G1880=164,"Average height")</f>
        <v>Above Average height</v>
      </c>
      <c r="K1880" s="2" t="str" cm="1">
        <f t="array" ref="K1880">_xlfn.IFS(E1880&lt;=16,"Children",E1880&lt;=30,"Young Adults",E1880&lt;=45,"Middle-aged Adults",E1880&gt;45,"Old Adults")</f>
        <v>Middle-aged Adults</v>
      </c>
    </row>
    <row r="1881" spans="1:11" x14ac:dyDescent="0.45">
      <c r="A1881" s="2">
        <v>2203</v>
      </c>
      <c r="B1881" s="2" t="s">
        <v>2307</v>
      </c>
      <c r="C1881" s="2" t="s">
        <v>93</v>
      </c>
      <c r="D1881" s="2" t="s">
        <v>28</v>
      </c>
      <c r="E1881" s="2">
        <v>29</v>
      </c>
      <c r="F1881" s="2">
        <v>92</v>
      </c>
      <c r="G1881" s="2">
        <v>189</v>
      </c>
      <c r="H1881" s="9">
        <f t="shared" si="29"/>
        <v>25.755158030290307</v>
      </c>
      <c r="I1881" s="2" t="str" cm="1">
        <f t="array" ref="I1881">_xlfn.IFS(F1881&gt;=100,"Over weight",F1881&lt;100,"Average weight")</f>
        <v>Average weight</v>
      </c>
      <c r="J1881" s="2" t="str" cm="1">
        <f t="array" ref="J1881">_xlfn.IFS(G1881&lt;164,"Below Average height",G1881&gt;=165,"Above Average height",G1881=164,"Average height")</f>
        <v>Above Average height</v>
      </c>
      <c r="K1881" s="2" t="str" cm="1">
        <f t="array" ref="K1881">_xlfn.IFS(E1881&lt;=16,"Children",E1881&lt;=30,"Young Adults",E1881&lt;=45,"Middle-aged Adults",E1881&gt;45,"Old Adults")</f>
        <v>Young Adults</v>
      </c>
    </row>
    <row r="1882" spans="1:11" x14ac:dyDescent="0.45">
      <c r="A1882" s="2">
        <v>2204</v>
      </c>
      <c r="B1882" s="2" t="s">
        <v>2308</v>
      </c>
      <c r="C1882" s="2" t="s">
        <v>85</v>
      </c>
      <c r="D1882" s="2" t="s">
        <v>14</v>
      </c>
      <c r="E1882" s="2">
        <v>25</v>
      </c>
      <c r="F1882" s="2">
        <v>95</v>
      </c>
      <c r="G1882" s="2">
        <v>184</v>
      </c>
      <c r="H1882" s="9">
        <f t="shared" si="29"/>
        <v>28.060018903591683</v>
      </c>
      <c r="I1882" s="2" t="str" cm="1">
        <f t="array" ref="I1882">_xlfn.IFS(F1882&gt;=100,"Over weight",F1882&lt;100,"Average weight")</f>
        <v>Average weight</v>
      </c>
      <c r="J1882" s="2" t="str" cm="1">
        <f t="array" ref="J1882">_xlfn.IFS(G1882&lt;164,"Below Average height",G1882&gt;=165,"Above Average height",G1882=164,"Average height")</f>
        <v>Above Average height</v>
      </c>
      <c r="K1882" s="2" t="str" cm="1">
        <f t="array" ref="K1882">_xlfn.IFS(E1882&lt;=16,"Children",E1882&lt;=30,"Young Adults",E1882&lt;=45,"Middle-aged Adults",E1882&gt;45,"Old Adults")</f>
        <v>Young Adults</v>
      </c>
    </row>
    <row r="1883" spans="1:11" x14ac:dyDescent="0.45">
      <c r="A1883" s="2">
        <v>2205</v>
      </c>
      <c r="B1883" s="2" t="s">
        <v>2309</v>
      </c>
      <c r="C1883" s="2" t="s">
        <v>97</v>
      </c>
      <c r="D1883" s="2" t="s">
        <v>80</v>
      </c>
      <c r="E1883" s="2">
        <v>29</v>
      </c>
      <c r="F1883" s="2">
        <v>67</v>
      </c>
      <c r="G1883" s="2">
        <v>183</v>
      </c>
      <c r="H1883" s="9">
        <f t="shared" si="29"/>
        <v>20.006569321269669</v>
      </c>
      <c r="I1883" s="2" t="str" cm="1">
        <f t="array" ref="I1883">_xlfn.IFS(F1883&gt;=100,"Over weight",F1883&lt;100,"Average weight")</f>
        <v>Average weight</v>
      </c>
      <c r="J1883" s="2" t="str" cm="1">
        <f t="array" ref="J1883">_xlfn.IFS(G1883&lt;164,"Below Average height",G1883&gt;=165,"Above Average height",G1883=164,"Average height")</f>
        <v>Above Average height</v>
      </c>
      <c r="K1883" s="2" t="str" cm="1">
        <f t="array" ref="K1883">_xlfn.IFS(E1883&lt;=16,"Children",E1883&lt;=30,"Young Adults",E1883&lt;=45,"Middle-aged Adults",E1883&gt;45,"Old Adults")</f>
        <v>Young Adults</v>
      </c>
    </row>
    <row r="1884" spans="1:11" x14ac:dyDescent="0.45">
      <c r="A1884" s="2">
        <v>2206</v>
      </c>
      <c r="B1884" s="2" t="s">
        <v>2310</v>
      </c>
      <c r="C1884" s="2" t="s">
        <v>85</v>
      </c>
      <c r="D1884" s="2" t="s">
        <v>71</v>
      </c>
      <c r="E1884" s="2">
        <v>28</v>
      </c>
      <c r="F1884" s="2">
        <v>91</v>
      </c>
      <c r="G1884" s="2">
        <v>188</v>
      </c>
      <c r="H1884" s="9">
        <f t="shared" si="29"/>
        <v>25.746944318696244</v>
      </c>
      <c r="I1884" s="2" t="str" cm="1">
        <f t="array" ref="I1884">_xlfn.IFS(F1884&gt;=100,"Over weight",F1884&lt;100,"Average weight")</f>
        <v>Average weight</v>
      </c>
      <c r="J1884" s="2" t="str" cm="1">
        <f t="array" ref="J1884">_xlfn.IFS(G1884&lt;164,"Below Average height",G1884&gt;=165,"Above Average height",G1884=164,"Average height")</f>
        <v>Above Average height</v>
      </c>
      <c r="K1884" s="2" t="str" cm="1">
        <f t="array" ref="K1884">_xlfn.IFS(E1884&lt;=16,"Children",E1884&lt;=30,"Young Adults",E1884&lt;=45,"Middle-aged Adults",E1884&gt;45,"Old Adults")</f>
        <v>Young Adults</v>
      </c>
    </row>
    <row r="1885" spans="1:11" x14ac:dyDescent="0.45">
      <c r="A1885" s="2">
        <v>2207</v>
      </c>
      <c r="B1885" s="2" t="s">
        <v>2311</v>
      </c>
      <c r="C1885" s="2" t="s">
        <v>90</v>
      </c>
      <c r="D1885" s="2" t="s">
        <v>5</v>
      </c>
      <c r="E1885" s="2">
        <v>25</v>
      </c>
      <c r="F1885" s="2">
        <v>101</v>
      </c>
      <c r="G1885" s="2">
        <v>181</v>
      </c>
      <c r="H1885" s="9">
        <f t="shared" si="29"/>
        <v>30.829339763743477</v>
      </c>
      <c r="I1885" s="2" t="str" cm="1">
        <f t="array" ref="I1885">_xlfn.IFS(F1885&gt;=100,"Over weight",F1885&lt;100,"Average weight")</f>
        <v>Over weight</v>
      </c>
      <c r="J1885" s="2" t="str" cm="1">
        <f t="array" ref="J1885">_xlfn.IFS(G1885&lt;164,"Below Average height",G1885&gt;=165,"Above Average height",G1885=164,"Average height")</f>
        <v>Above Average height</v>
      </c>
      <c r="K1885" s="2" t="str" cm="1">
        <f t="array" ref="K1885">_xlfn.IFS(E1885&lt;=16,"Children",E1885&lt;=30,"Young Adults",E1885&lt;=45,"Middle-aged Adults",E1885&gt;45,"Old Adults")</f>
        <v>Young Adults</v>
      </c>
    </row>
    <row r="1886" spans="1:11" x14ac:dyDescent="0.45">
      <c r="A1886" s="2">
        <v>2208</v>
      </c>
      <c r="B1886" s="2" t="s">
        <v>2312</v>
      </c>
      <c r="C1886" s="2" t="s">
        <v>91</v>
      </c>
      <c r="D1886" s="2" t="s">
        <v>46</v>
      </c>
      <c r="E1886" s="2">
        <v>28</v>
      </c>
      <c r="F1886" s="2">
        <v>95</v>
      </c>
      <c r="G1886" s="2">
        <v>192</v>
      </c>
      <c r="H1886" s="9">
        <f t="shared" si="29"/>
        <v>25.770399305555557</v>
      </c>
      <c r="I1886" s="2" t="str" cm="1">
        <f t="array" ref="I1886">_xlfn.IFS(F1886&gt;=100,"Over weight",F1886&lt;100,"Average weight")</f>
        <v>Average weight</v>
      </c>
      <c r="J1886" s="2" t="str" cm="1">
        <f t="array" ref="J1886">_xlfn.IFS(G1886&lt;164,"Below Average height",G1886&gt;=165,"Above Average height",G1886=164,"Average height")</f>
        <v>Above Average height</v>
      </c>
      <c r="K1886" s="2" t="str" cm="1">
        <f t="array" ref="K1886">_xlfn.IFS(E1886&lt;=16,"Children",E1886&lt;=30,"Young Adults",E1886&lt;=45,"Middle-aged Adults",E1886&gt;45,"Old Adults")</f>
        <v>Young Adults</v>
      </c>
    </row>
    <row r="1887" spans="1:11" x14ac:dyDescent="0.45">
      <c r="A1887" s="2">
        <v>2209</v>
      </c>
      <c r="B1887" s="2" t="s">
        <v>2313</v>
      </c>
      <c r="C1887" s="2" t="s">
        <v>91</v>
      </c>
      <c r="D1887" s="2" t="s">
        <v>75</v>
      </c>
      <c r="E1887" s="2">
        <v>24</v>
      </c>
      <c r="F1887" s="2">
        <v>90</v>
      </c>
      <c r="G1887" s="2">
        <v>194</v>
      </c>
      <c r="H1887" s="9">
        <f t="shared" si="29"/>
        <v>23.913274524391539</v>
      </c>
      <c r="I1887" s="2" t="str" cm="1">
        <f t="array" ref="I1887">_xlfn.IFS(F1887&gt;=100,"Over weight",F1887&lt;100,"Average weight")</f>
        <v>Average weight</v>
      </c>
      <c r="J1887" s="2" t="str" cm="1">
        <f t="array" ref="J1887">_xlfn.IFS(G1887&lt;164,"Below Average height",G1887&gt;=165,"Above Average height",G1887=164,"Average height")</f>
        <v>Above Average height</v>
      </c>
      <c r="K1887" s="2" t="str" cm="1">
        <f t="array" ref="K1887">_xlfn.IFS(E1887&lt;=16,"Children",E1887&lt;=30,"Young Adults",E1887&lt;=45,"Middle-aged Adults",E1887&gt;45,"Old Adults")</f>
        <v>Young Adults</v>
      </c>
    </row>
    <row r="1888" spans="1:11" x14ac:dyDescent="0.45">
      <c r="A1888" s="2">
        <v>2210</v>
      </c>
      <c r="B1888" s="2" t="s">
        <v>2314</v>
      </c>
      <c r="C1888" s="2" t="s">
        <v>87</v>
      </c>
      <c r="D1888" s="2" t="s">
        <v>80</v>
      </c>
      <c r="E1888" s="2">
        <v>27</v>
      </c>
      <c r="F1888" s="2">
        <v>75</v>
      </c>
      <c r="G1888" s="2">
        <v>175</v>
      </c>
      <c r="H1888" s="9">
        <f t="shared" si="29"/>
        <v>24.489795918367346</v>
      </c>
      <c r="I1888" s="2" t="str" cm="1">
        <f t="array" ref="I1888">_xlfn.IFS(F1888&gt;=100,"Over weight",F1888&lt;100,"Average weight")</f>
        <v>Average weight</v>
      </c>
      <c r="J1888" s="2" t="str" cm="1">
        <f t="array" ref="J1888">_xlfn.IFS(G1888&lt;164,"Below Average height",G1888&gt;=165,"Above Average height",G1888=164,"Average height")</f>
        <v>Above Average height</v>
      </c>
      <c r="K1888" s="2" t="str" cm="1">
        <f t="array" ref="K1888">_xlfn.IFS(E1888&lt;=16,"Children",E1888&lt;=30,"Young Adults",E1888&lt;=45,"Middle-aged Adults",E1888&gt;45,"Old Adults")</f>
        <v>Young Adults</v>
      </c>
    </row>
    <row r="1889" spans="1:11" x14ac:dyDescent="0.45">
      <c r="A1889" s="2">
        <v>2211</v>
      </c>
      <c r="B1889" s="2" t="s">
        <v>2315</v>
      </c>
      <c r="C1889" s="2" t="s">
        <v>91</v>
      </c>
      <c r="D1889" s="2" t="s">
        <v>14</v>
      </c>
      <c r="E1889" s="2">
        <v>25</v>
      </c>
      <c r="F1889" s="2">
        <v>93</v>
      </c>
      <c r="G1889" s="2">
        <v>191</v>
      </c>
      <c r="H1889" s="9">
        <f t="shared" si="29"/>
        <v>25.492722238973712</v>
      </c>
      <c r="I1889" s="2" t="str" cm="1">
        <f t="array" ref="I1889">_xlfn.IFS(F1889&gt;=100,"Over weight",F1889&lt;100,"Average weight")</f>
        <v>Average weight</v>
      </c>
      <c r="J1889" s="2" t="str" cm="1">
        <f t="array" ref="J1889">_xlfn.IFS(G1889&lt;164,"Below Average height",G1889&gt;=165,"Above Average height",G1889=164,"Average height")</f>
        <v>Above Average height</v>
      </c>
      <c r="K1889" s="2" t="str" cm="1">
        <f t="array" ref="K1889">_xlfn.IFS(E1889&lt;=16,"Children",E1889&lt;=30,"Young Adults",E1889&lt;=45,"Middle-aged Adults",E1889&gt;45,"Old Adults")</f>
        <v>Young Adults</v>
      </c>
    </row>
    <row r="1890" spans="1:11" x14ac:dyDescent="0.45">
      <c r="A1890" s="2">
        <v>2212</v>
      </c>
      <c r="B1890" s="2" t="s">
        <v>2316</v>
      </c>
      <c r="C1890" s="2" t="s">
        <v>91</v>
      </c>
      <c r="D1890" s="2" t="s">
        <v>80</v>
      </c>
      <c r="E1890" s="2">
        <v>22</v>
      </c>
      <c r="F1890" s="2">
        <v>62</v>
      </c>
      <c r="G1890" s="2">
        <v>165</v>
      </c>
      <c r="H1890" s="9">
        <f t="shared" si="29"/>
        <v>22.77318640955005</v>
      </c>
      <c r="I1890" s="2" t="str" cm="1">
        <f t="array" ref="I1890">_xlfn.IFS(F1890&gt;=100,"Over weight",F1890&lt;100,"Average weight")</f>
        <v>Average weight</v>
      </c>
      <c r="J1890" s="2" t="str" cm="1">
        <f t="array" ref="J1890">_xlfn.IFS(G1890&lt;164,"Below Average height",G1890&gt;=165,"Above Average height",G1890=164,"Average height")</f>
        <v>Above Average height</v>
      </c>
      <c r="K1890" s="2" t="str" cm="1">
        <f t="array" ref="K1890">_xlfn.IFS(E1890&lt;=16,"Children",E1890&lt;=30,"Young Adults",E1890&lt;=45,"Middle-aged Adults",E1890&gt;45,"Old Adults")</f>
        <v>Young Adults</v>
      </c>
    </row>
    <row r="1891" spans="1:11" x14ac:dyDescent="0.45">
      <c r="A1891" s="2">
        <v>2213</v>
      </c>
      <c r="B1891" s="2" t="s">
        <v>2317</v>
      </c>
      <c r="C1891" s="2" t="s">
        <v>85</v>
      </c>
      <c r="D1891" s="2" t="s">
        <v>65</v>
      </c>
      <c r="E1891" s="2">
        <v>24</v>
      </c>
      <c r="F1891" s="2">
        <v>94</v>
      </c>
      <c r="G1891" s="2">
        <v>191</v>
      </c>
      <c r="H1891" s="9">
        <f t="shared" si="29"/>
        <v>25.766837531865903</v>
      </c>
      <c r="I1891" s="2" t="str" cm="1">
        <f t="array" ref="I1891">_xlfn.IFS(F1891&gt;=100,"Over weight",F1891&lt;100,"Average weight")</f>
        <v>Average weight</v>
      </c>
      <c r="J1891" s="2" t="str" cm="1">
        <f t="array" ref="J1891">_xlfn.IFS(G1891&lt;164,"Below Average height",G1891&gt;=165,"Above Average height",G1891=164,"Average height")</f>
        <v>Above Average height</v>
      </c>
      <c r="K1891" s="2" t="str" cm="1">
        <f t="array" ref="K1891">_xlfn.IFS(E1891&lt;=16,"Children",E1891&lt;=30,"Young Adults",E1891&lt;=45,"Middle-aged Adults",E1891&gt;45,"Old Adults")</f>
        <v>Young Adults</v>
      </c>
    </row>
    <row r="1892" spans="1:11" x14ac:dyDescent="0.45">
      <c r="A1892" s="2">
        <v>2214</v>
      </c>
      <c r="B1892" s="2" t="s">
        <v>2318</v>
      </c>
      <c r="C1892" s="2" t="s">
        <v>90</v>
      </c>
      <c r="D1892" s="2" t="s">
        <v>6</v>
      </c>
      <c r="E1892" s="2">
        <v>37</v>
      </c>
      <c r="F1892" s="2">
        <v>98</v>
      </c>
      <c r="G1892" s="2">
        <v>191</v>
      </c>
      <c r="H1892" s="9">
        <f t="shared" si="29"/>
        <v>26.863298703434666</v>
      </c>
      <c r="I1892" s="2" t="str" cm="1">
        <f t="array" ref="I1892">_xlfn.IFS(F1892&gt;=100,"Over weight",F1892&lt;100,"Average weight")</f>
        <v>Average weight</v>
      </c>
      <c r="J1892" s="2" t="str" cm="1">
        <f t="array" ref="J1892">_xlfn.IFS(G1892&lt;164,"Below Average height",G1892&gt;=165,"Above Average height",G1892=164,"Average height")</f>
        <v>Above Average height</v>
      </c>
      <c r="K1892" s="2" t="str" cm="1">
        <f t="array" ref="K1892">_xlfn.IFS(E1892&lt;=16,"Children",E1892&lt;=30,"Young Adults",E1892&lt;=45,"Middle-aged Adults",E1892&gt;45,"Old Adults")</f>
        <v>Middle-aged Adults</v>
      </c>
    </row>
    <row r="1893" spans="1:11" x14ac:dyDescent="0.45">
      <c r="A1893" s="2">
        <v>2215</v>
      </c>
      <c r="B1893" s="2" t="s">
        <v>2319</v>
      </c>
      <c r="C1893" s="2" t="s">
        <v>91</v>
      </c>
      <c r="D1893" s="2" t="s">
        <v>70</v>
      </c>
      <c r="E1893" s="2">
        <v>30</v>
      </c>
      <c r="F1893" s="2">
        <v>86</v>
      </c>
      <c r="G1893" s="2">
        <v>186</v>
      </c>
      <c r="H1893" s="9">
        <f t="shared" si="29"/>
        <v>24.858365128916635</v>
      </c>
      <c r="I1893" s="2" t="str" cm="1">
        <f t="array" ref="I1893">_xlfn.IFS(F1893&gt;=100,"Over weight",F1893&lt;100,"Average weight")</f>
        <v>Average weight</v>
      </c>
      <c r="J1893" s="2" t="str" cm="1">
        <f t="array" ref="J1893">_xlfn.IFS(G1893&lt;164,"Below Average height",G1893&gt;=165,"Above Average height",G1893=164,"Average height")</f>
        <v>Above Average height</v>
      </c>
      <c r="K1893" s="2" t="str" cm="1">
        <f t="array" ref="K1893">_xlfn.IFS(E1893&lt;=16,"Children",E1893&lt;=30,"Young Adults",E1893&lt;=45,"Middle-aged Adults",E1893&gt;45,"Old Adults")</f>
        <v>Young Adults</v>
      </c>
    </row>
    <row r="1894" spans="1:11" x14ac:dyDescent="0.45">
      <c r="A1894" s="2">
        <v>2216</v>
      </c>
      <c r="B1894" s="2" t="s">
        <v>2320</v>
      </c>
      <c r="C1894" s="2" t="s">
        <v>91</v>
      </c>
      <c r="D1894" s="2" t="s">
        <v>8</v>
      </c>
      <c r="E1894" s="2">
        <v>21</v>
      </c>
      <c r="F1894" s="2">
        <v>83</v>
      </c>
      <c r="G1894" s="2">
        <v>187</v>
      </c>
      <c r="H1894" s="9">
        <f t="shared" si="29"/>
        <v>23.735308416025617</v>
      </c>
      <c r="I1894" s="2" t="str" cm="1">
        <f t="array" ref="I1894">_xlfn.IFS(F1894&gt;=100,"Over weight",F1894&lt;100,"Average weight")</f>
        <v>Average weight</v>
      </c>
      <c r="J1894" s="2" t="str" cm="1">
        <f t="array" ref="J1894">_xlfn.IFS(G1894&lt;164,"Below Average height",G1894&gt;=165,"Above Average height",G1894=164,"Average height")</f>
        <v>Above Average height</v>
      </c>
      <c r="K1894" s="2" t="str" cm="1">
        <f t="array" ref="K1894">_xlfn.IFS(E1894&lt;=16,"Children",E1894&lt;=30,"Young Adults",E1894&lt;=45,"Middle-aged Adults",E1894&gt;45,"Old Adults")</f>
        <v>Young Adults</v>
      </c>
    </row>
    <row r="1895" spans="1:11" x14ac:dyDescent="0.45">
      <c r="A1895" s="2">
        <v>2217</v>
      </c>
      <c r="B1895" s="2" t="s">
        <v>2321</v>
      </c>
      <c r="C1895" s="2" t="s">
        <v>91</v>
      </c>
      <c r="D1895" s="2" t="s">
        <v>8</v>
      </c>
      <c r="E1895" s="2">
        <v>22</v>
      </c>
      <c r="F1895" s="2">
        <v>104</v>
      </c>
      <c r="G1895" s="2">
        <v>195</v>
      </c>
      <c r="H1895" s="9">
        <f t="shared" si="29"/>
        <v>27.350427350427353</v>
      </c>
      <c r="I1895" s="2" t="str" cm="1">
        <f t="array" ref="I1895">_xlfn.IFS(F1895&gt;=100,"Over weight",F1895&lt;100,"Average weight")</f>
        <v>Over weight</v>
      </c>
      <c r="J1895" s="2" t="str" cm="1">
        <f t="array" ref="J1895">_xlfn.IFS(G1895&lt;164,"Below Average height",G1895&gt;=165,"Above Average height",G1895=164,"Average height")</f>
        <v>Above Average height</v>
      </c>
      <c r="K1895" s="2" t="str" cm="1">
        <f t="array" ref="K1895">_xlfn.IFS(E1895&lt;=16,"Children",E1895&lt;=30,"Young Adults",E1895&lt;=45,"Middle-aged Adults",E1895&gt;45,"Old Adults")</f>
        <v>Young Adults</v>
      </c>
    </row>
    <row r="1896" spans="1:11" x14ac:dyDescent="0.45">
      <c r="A1896" s="2">
        <v>2218</v>
      </c>
      <c r="B1896" s="2" t="s">
        <v>2322</v>
      </c>
      <c r="C1896" s="2" t="s">
        <v>91</v>
      </c>
      <c r="D1896" s="2" t="s">
        <v>80</v>
      </c>
      <c r="E1896" s="2">
        <v>24</v>
      </c>
      <c r="F1896" s="2">
        <v>93</v>
      </c>
      <c r="G1896" s="2">
        <v>183</v>
      </c>
      <c r="H1896" s="9">
        <f t="shared" si="29"/>
        <v>27.77031263997133</v>
      </c>
      <c r="I1896" s="2" t="str" cm="1">
        <f t="array" ref="I1896">_xlfn.IFS(F1896&gt;=100,"Over weight",F1896&lt;100,"Average weight")</f>
        <v>Average weight</v>
      </c>
      <c r="J1896" s="2" t="str" cm="1">
        <f t="array" ref="J1896">_xlfn.IFS(G1896&lt;164,"Below Average height",G1896&gt;=165,"Above Average height",G1896=164,"Average height")</f>
        <v>Above Average height</v>
      </c>
      <c r="K1896" s="2" t="str" cm="1">
        <f t="array" ref="K1896">_xlfn.IFS(E1896&lt;=16,"Children",E1896&lt;=30,"Young Adults",E1896&lt;=45,"Middle-aged Adults",E1896&gt;45,"Old Adults")</f>
        <v>Young Adults</v>
      </c>
    </row>
    <row r="1897" spans="1:11" x14ac:dyDescent="0.45">
      <c r="A1897" s="2">
        <v>2219</v>
      </c>
      <c r="B1897" s="2" t="s">
        <v>2323</v>
      </c>
      <c r="C1897" s="2" t="s">
        <v>95</v>
      </c>
      <c r="D1897" s="2" t="s">
        <v>63</v>
      </c>
      <c r="E1897" s="2">
        <v>24</v>
      </c>
      <c r="F1897" s="2">
        <v>60</v>
      </c>
      <c r="G1897" s="2">
        <v>170</v>
      </c>
      <c r="H1897" s="9">
        <f t="shared" si="29"/>
        <v>20.761245674740486</v>
      </c>
      <c r="I1897" s="2" t="str" cm="1">
        <f t="array" ref="I1897">_xlfn.IFS(F1897&gt;=100,"Over weight",F1897&lt;100,"Average weight")</f>
        <v>Average weight</v>
      </c>
      <c r="J1897" s="2" t="str" cm="1">
        <f t="array" ref="J1897">_xlfn.IFS(G1897&lt;164,"Below Average height",G1897&gt;=165,"Above Average height",G1897=164,"Average height")</f>
        <v>Above Average height</v>
      </c>
      <c r="K1897" s="2" t="str" cm="1">
        <f t="array" ref="K1897">_xlfn.IFS(E1897&lt;=16,"Children",E1897&lt;=30,"Young Adults",E1897&lt;=45,"Middle-aged Adults",E1897&gt;45,"Old Adults")</f>
        <v>Young Adults</v>
      </c>
    </row>
    <row r="1898" spans="1:11" x14ac:dyDescent="0.45">
      <c r="A1898" s="2">
        <v>2220</v>
      </c>
      <c r="B1898" s="2" t="s">
        <v>2324</v>
      </c>
      <c r="C1898" s="2" t="s">
        <v>85</v>
      </c>
      <c r="D1898" s="2" t="s">
        <v>39</v>
      </c>
      <c r="E1898" s="2">
        <v>29</v>
      </c>
      <c r="F1898" s="2">
        <v>93</v>
      </c>
      <c r="G1898" s="2">
        <v>190</v>
      </c>
      <c r="H1898" s="9">
        <f t="shared" si="29"/>
        <v>25.761772853185597</v>
      </c>
      <c r="I1898" s="2" t="str" cm="1">
        <f t="array" ref="I1898">_xlfn.IFS(F1898&gt;=100,"Over weight",F1898&lt;100,"Average weight")</f>
        <v>Average weight</v>
      </c>
      <c r="J1898" s="2" t="str" cm="1">
        <f t="array" ref="J1898">_xlfn.IFS(G1898&lt;164,"Below Average height",G1898&gt;=165,"Above Average height",G1898=164,"Average height")</f>
        <v>Above Average height</v>
      </c>
      <c r="K1898" s="2" t="str" cm="1">
        <f t="array" ref="K1898">_xlfn.IFS(E1898&lt;=16,"Children",E1898&lt;=30,"Young Adults",E1898&lt;=45,"Middle-aged Adults",E1898&gt;45,"Old Adults")</f>
        <v>Young Adults</v>
      </c>
    </row>
    <row r="1899" spans="1:11" x14ac:dyDescent="0.45">
      <c r="A1899" s="2">
        <v>2221</v>
      </c>
      <c r="B1899" s="2" t="s">
        <v>2325</v>
      </c>
      <c r="C1899" s="2" t="s">
        <v>97</v>
      </c>
      <c r="D1899" s="2" t="s">
        <v>6</v>
      </c>
      <c r="E1899" s="2">
        <v>32</v>
      </c>
      <c r="F1899" s="2">
        <v>63</v>
      </c>
      <c r="G1899" s="2">
        <v>177</v>
      </c>
      <c r="H1899" s="9">
        <f t="shared" si="29"/>
        <v>20.109164033323754</v>
      </c>
      <c r="I1899" s="2" t="str" cm="1">
        <f t="array" ref="I1899">_xlfn.IFS(F1899&gt;=100,"Over weight",F1899&lt;100,"Average weight")</f>
        <v>Average weight</v>
      </c>
      <c r="J1899" s="2" t="str" cm="1">
        <f t="array" ref="J1899">_xlfn.IFS(G1899&lt;164,"Below Average height",G1899&gt;=165,"Above Average height",G1899=164,"Average height")</f>
        <v>Above Average height</v>
      </c>
      <c r="K1899" s="2" t="str" cm="1">
        <f t="array" ref="K1899">_xlfn.IFS(E1899&lt;=16,"Children",E1899&lt;=30,"Young Adults",E1899&lt;=45,"Middle-aged Adults",E1899&gt;45,"Old Adults")</f>
        <v>Middle-aged Adults</v>
      </c>
    </row>
    <row r="1900" spans="1:11" x14ac:dyDescent="0.45">
      <c r="A1900" s="2">
        <v>2222</v>
      </c>
      <c r="B1900" s="2" t="s">
        <v>2326</v>
      </c>
      <c r="C1900" s="2" t="s">
        <v>85</v>
      </c>
      <c r="D1900" s="2" t="s">
        <v>28</v>
      </c>
      <c r="E1900" s="2">
        <v>22</v>
      </c>
      <c r="F1900" s="2">
        <v>75</v>
      </c>
      <c r="G1900" s="2">
        <v>172</v>
      </c>
      <c r="H1900" s="9">
        <f t="shared" si="29"/>
        <v>25.351541373715524</v>
      </c>
      <c r="I1900" s="2" t="str" cm="1">
        <f t="array" ref="I1900">_xlfn.IFS(F1900&gt;=100,"Over weight",F1900&lt;100,"Average weight")</f>
        <v>Average weight</v>
      </c>
      <c r="J1900" s="2" t="str" cm="1">
        <f t="array" ref="J1900">_xlfn.IFS(G1900&lt;164,"Below Average height",G1900&gt;=165,"Above Average height",G1900=164,"Average height")</f>
        <v>Above Average height</v>
      </c>
      <c r="K1900" s="2" t="str" cm="1">
        <f t="array" ref="K1900">_xlfn.IFS(E1900&lt;=16,"Children",E1900&lt;=30,"Young Adults",E1900&lt;=45,"Middle-aged Adults",E1900&gt;45,"Old Adults")</f>
        <v>Young Adults</v>
      </c>
    </row>
    <row r="1901" spans="1:11" x14ac:dyDescent="0.45">
      <c r="A1901" s="2">
        <v>2223</v>
      </c>
      <c r="B1901" s="2" t="s">
        <v>2327</v>
      </c>
      <c r="C1901" s="2" t="s">
        <v>89</v>
      </c>
      <c r="D1901" s="2" t="s">
        <v>39</v>
      </c>
      <c r="E1901" s="2">
        <v>22</v>
      </c>
      <c r="F1901" s="2">
        <v>90</v>
      </c>
      <c r="G1901" s="2">
        <v>193</v>
      </c>
      <c r="H1901" s="9">
        <f t="shared" si="29"/>
        <v>24.161722462347985</v>
      </c>
      <c r="I1901" s="2" t="str" cm="1">
        <f t="array" ref="I1901">_xlfn.IFS(F1901&gt;=100,"Over weight",F1901&lt;100,"Average weight")</f>
        <v>Average weight</v>
      </c>
      <c r="J1901" s="2" t="str" cm="1">
        <f t="array" ref="J1901">_xlfn.IFS(G1901&lt;164,"Below Average height",G1901&gt;=165,"Above Average height",G1901=164,"Average height")</f>
        <v>Above Average height</v>
      </c>
      <c r="K1901" s="2" t="str" cm="1">
        <f t="array" ref="K1901">_xlfn.IFS(E1901&lt;=16,"Children",E1901&lt;=30,"Young Adults",E1901&lt;=45,"Middle-aged Adults",E1901&gt;45,"Old Adults")</f>
        <v>Young Adults</v>
      </c>
    </row>
    <row r="1902" spans="1:11" x14ac:dyDescent="0.45">
      <c r="A1902" s="2">
        <v>2224</v>
      </c>
      <c r="B1902" s="2" t="s">
        <v>2328</v>
      </c>
      <c r="C1902" s="2" t="s">
        <v>94</v>
      </c>
      <c r="D1902" s="2" t="s">
        <v>60</v>
      </c>
      <c r="E1902" s="2">
        <v>28</v>
      </c>
      <c r="F1902" s="2">
        <v>43</v>
      </c>
      <c r="G1902" s="2">
        <v>200</v>
      </c>
      <c r="H1902" s="9">
        <f t="shared" si="29"/>
        <v>10.75</v>
      </c>
      <c r="I1902" s="2" t="str" cm="1">
        <f t="array" ref="I1902">_xlfn.IFS(F1902&gt;=100,"Over weight",F1902&lt;100,"Average weight")</f>
        <v>Average weight</v>
      </c>
      <c r="J1902" s="2" t="str" cm="1">
        <f t="array" ref="J1902">_xlfn.IFS(G1902&lt;164,"Below Average height",G1902&gt;=165,"Above Average height",G1902=164,"Average height")</f>
        <v>Above Average height</v>
      </c>
      <c r="K1902" s="2" t="str" cm="1">
        <f t="array" ref="K1902">_xlfn.IFS(E1902&lt;=16,"Children",E1902&lt;=30,"Young Adults",E1902&lt;=45,"Middle-aged Adults",E1902&gt;45,"Old Adults")</f>
        <v>Young Adults</v>
      </c>
    </row>
    <row r="1903" spans="1:11" x14ac:dyDescent="0.45">
      <c r="A1903" s="2">
        <v>2225</v>
      </c>
      <c r="B1903" s="2" t="s">
        <v>2329</v>
      </c>
      <c r="C1903" s="2" t="s">
        <v>91</v>
      </c>
      <c r="D1903" s="2" t="s">
        <v>21</v>
      </c>
      <c r="E1903" s="2">
        <v>23</v>
      </c>
      <c r="F1903" s="2">
        <v>71</v>
      </c>
      <c r="G1903" s="2">
        <v>187</v>
      </c>
      <c r="H1903" s="9">
        <f t="shared" si="29"/>
        <v>20.303697560696612</v>
      </c>
      <c r="I1903" s="2" t="str" cm="1">
        <f t="array" ref="I1903">_xlfn.IFS(F1903&gt;=100,"Over weight",F1903&lt;100,"Average weight")</f>
        <v>Average weight</v>
      </c>
      <c r="J1903" s="2" t="str" cm="1">
        <f t="array" ref="J1903">_xlfn.IFS(G1903&lt;164,"Below Average height",G1903&gt;=165,"Above Average height",G1903=164,"Average height")</f>
        <v>Above Average height</v>
      </c>
      <c r="K1903" s="2" t="str" cm="1">
        <f t="array" ref="K1903">_xlfn.IFS(E1903&lt;=16,"Children",E1903&lt;=30,"Young Adults",E1903&lt;=45,"Middle-aged Adults",E1903&gt;45,"Old Adults")</f>
        <v>Young Adults</v>
      </c>
    </row>
    <row r="1904" spans="1:11" x14ac:dyDescent="0.45">
      <c r="A1904" s="2">
        <v>2226</v>
      </c>
      <c r="B1904" s="2" t="s">
        <v>2330</v>
      </c>
      <c r="C1904" s="2" t="s">
        <v>88</v>
      </c>
      <c r="D1904" s="2" t="s">
        <v>28</v>
      </c>
      <c r="E1904" s="2">
        <v>24</v>
      </c>
      <c r="F1904" s="2">
        <v>85</v>
      </c>
      <c r="G1904" s="2">
        <v>186</v>
      </c>
      <c r="H1904" s="9">
        <f t="shared" si="29"/>
        <v>24.56931437160365</v>
      </c>
      <c r="I1904" s="2" t="str" cm="1">
        <f t="array" ref="I1904">_xlfn.IFS(F1904&gt;=100,"Over weight",F1904&lt;100,"Average weight")</f>
        <v>Average weight</v>
      </c>
      <c r="J1904" s="2" t="str" cm="1">
        <f t="array" ref="J1904">_xlfn.IFS(G1904&lt;164,"Below Average height",G1904&gt;=165,"Above Average height",G1904=164,"Average height")</f>
        <v>Above Average height</v>
      </c>
      <c r="K1904" s="2" t="str" cm="1">
        <f t="array" ref="K1904">_xlfn.IFS(E1904&lt;=16,"Children",E1904&lt;=30,"Young Adults",E1904&lt;=45,"Middle-aged Adults",E1904&gt;45,"Old Adults")</f>
        <v>Young Adults</v>
      </c>
    </row>
    <row r="1905" spans="1:11" x14ac:dyDescent="0.45">
      <c r="A1905" s="2">
        <v>2227</v>
      </c>
      <c r="B1905" s="2" t="s">
        <v>2331</v>
      </c>
      <c r="C1905" s="2" t="s">
        <v>91</v>
      </c>
      <c r="D1905" s="2" t="s">
        <v>75</v>
      </c>
      <c r="E1905" s="2">
        <v>26</v>
      </c>
      <c r="F1905" s="2">
        <v>85</v>
      </c>
      <c r="G1905" s="2">
        <v>192</v>
      </c>
      <c r="H1905" s="9">
        <f t="shared" si="29"/>
        <v>23.057725694444446</v>
      </c>
      <c r="I1905" s="2" t="str" cm="1">
        <f t="array" ref="I1905">_xlfn.IFS(F1905&gt;=100,"Over weight",F1905&lt;100,"Average weight")</f>
        <v>Average weight</v>
      </c>
      <c r="J1905" s="2" t="str" cm="1">
        <f t="array" ref="J1905">_xlfn.IFS(G1905&lt;164,"Below Average height",G1905&gt;=165,"Above Average height",G1905=164,"Average height")</f>
        <v>Above Average height</v>
      </c>
      <c r="K1905" s="2" t="str" cm="1">
        <f t="array" ref="K1905">_xlfn.IFS(E1905&lt;=16,"Children",E1905&lt;=30,"Young Adults",E1905&lt;=45,"Middle-aged Adults",E1905&gt;45,"Old Adults")</f>
        <v>Young Adults</v>
      </c>
    </row>
    <row r="1906" spans="1:11" x14ac:dyDescent="0.45">
      <c r="A1906" s="2">
        <v>2229</v>
      </c>
      <c r="B1906" s="2" t="s">
        <v>2333</v>
      </c>
      <c r="C1906" s="2" t="s">
        <v>90</v>
      </c>
      <c r="D1906" s="2" t="s">
        <v>66</v>
      </c>
      <c r="E1906" s="2">
        <v>34</v>
      </c>
      <c r="F1906" s="2">
        <v>100</v>
      </c>
      <c r="G1906" s="2">
        <v>186</v>
      </c>
      <c r="H1906" s="9">
        <f t="shared" si="29"/>
        <v>28.905075731298414</v>
      </c>
      <c r="I1906" s="2" t="str" cm="1">
        <f t="array" ref="I1906">_xlfn.IFS(F1906&gt;=100,"Over weight",F1906&lt;100,"Average weight")</f>
        <v>Over weight</v>
      </c>
      <c r="J1906" s="2" t="str" cm="1">
        <f t="array" ref="J1906">_xlfn.IFS(G1906&lt;164,"Below Average height",G1906&gt;=165,"Above Average height",G1906=164,"Average height")</f>
        <v>Above Average height</v>
      </c>
      <c r="K1906" s="2" t="str" cm="1">
        <f t="array" ref="K1906">_xlfn.IFS(E1906&lt;=16,"Children",E1906&lt;=30,"Young Adults",E1906&lt;=45,"Middle-aged Adults",E1906&gt;45,"Old Adults")</f>
        <v>Middle-aged Adults</v>
      </c>
    </row>
    <row r="1907" spans="1:11" x14ac:dyDescent="0.45">
      <c r="A1907" s="2">
        <v>2231</v>
      </c>
      <c r="B1907" s="2" t="s">
        <v>2335</v>
      </c>
      <c r="C1907" s="2" t="s">
        <v>87</v>
      </c>
      <c r="D1907" s="2" t="s">
        <v>28</v>
      </c>
      <c r="E1907" s="2">
        <v>22</v>
      </c>
      <c r="F1907" s="2">
        <v>80</v>
      </c>
      <c r="G1907" s="2">
        <v>180</v>
      </c>
      <c r="H1907" s="9">
        <f t="shared" si="29"/>
        <v>24.691358024691358</v>
      </c>
      <c r="I1907" s="2" t="str" cm="1">
        <f t="array" ref="I1907">_xlfn.IFS(F1907&gt;=100,"Over weight",F1907&lt;100,"Average weight")</f>
        <v>Average weight</v>
      </c>
      <c r="J1907" s="2" t="str" cm="1">
        <f t="array" ref="J1907">_xlfn.IFS(G1907&lt;164,"Below Average height",G1907&gt;=165,"Above Average height",G1907=164,"Average height")</f>
        <v>Above Average height</v>
      </c>
      <c r="K1907" s="2" t="str" cm="1">
        <f t="array" ref="K1907">_xlfn.IFS(E1907&lt;=16,"Children",E1907&lt;=30,"Young Adults",E1907&lt;=45,"Middle-aged Adults",E1907&gt;45,"Old Adults")</f>
        <v>Young Adults</v>
      </c>
    </row>
    <row r="1908" spans="1:11" x14ac:dyDescent="0.45">
      <c r="A1908" s="2">
        <v>2233</v>
      </c>
      <c r="B1908" s="2" t="s">
        <v>2337</v>
      </c>
      <c r="C1908" s="2" t="s">
        <v>100</v>
      </c>
      <c r="D1908" s="2" t="s">
        <v>28</v>
      </c>
      <c r="E1908" s="2">
        <v>23</v>
      </c>
      <c r="F1908" s="2">
        <v>88</v>
      </c>
      <c r="G1908" s="2">
        <v>190</v>
      </c>
      <c r="H1908" s="9">
        <f t="shared" si="29"/>
        <v>24.37673130193906</v>
      </c>
      <c r="I1908" s="2" t="str" cm="1">
        <f t="array" ref="I1908">_xlfn.IFS(F1908&gt;=100,"Over weight",F1908&lt;100,"Average weight")</f>
        <v>Average weight</v>
      </c>
      <c r="J1908" s="2" t="str" cm="1">
        <f t="array" ref="J1908">_xlfn.IFS(G1908&lt;164,"Below Average height",G1908&gt;=165,"Above Average height",G1908=164,"Average height")</f>
        <v>Above Average height</v>
      </c>
      <c r="K1908" s="2" t="str" cm="1">
        <f t="array" ref="K1908">_xlfn.IFS(E1908&lt;=16,"Children",E1908&lt;=30,"Young Adults",E1908&lt;=45,"Middle-aged Adults",E1908&gt;45,"Old Adults")</f>
        <v>Young Adults</v>
      </c>
    </row>
    <row r="1909" spans="1:11" x14ac:dyDescent="0.45">
      <c r="A1909" s="2">
        <v>2234</v>
      </c>
      <c r="B1909" s="2" t="s">
        <v>2338</v>
      </c>
      <c r="C1909" s="2" t="s">
        <v>88</v>
      </c>
      <c r="D1909" s="2" t="s">
        <v>19</v>
      </c>
      <c r="E1909" s="2">
        <v>28</v>
      </c>
      <c r="F1909" s="2">
        <v>60</v>
      </c>
      <c r="G1909" s="2">
        <v>173</v>
      </c>
      <c r="H1909" s="9">
        <f t="shared" si="29"/>
        <v>20.047445621303751</v>
      </c>
      <c r="I1909" s="2" t="str" cm="1">
        <f t="array" ref="I1909">_xlfn.IFS(F1909&gt;=100,"Over weight",F1909&lt;100,"Average weight")</f>
        <v>Average weight</v>
      </c>
      <c r="J1909" s="2" t="str" cm="1">
        <f t="array" ref="J1909">_xlfn.IFS(G1909&lt;164,"Below Average height",G1909&gt;=165,"Above Average height",G1909=164,"Average height")</f>
        <v>Above Average height</v>
      </c>
      <c r="K1909" s="2" t="str" cm="1">
        <f t="array" ref="K1909">_xlfn.IFS(E1909&lt;=16,"Children",E1909&lt;=30,"Young Adults",E1909&lt;=45,"Middle-aged Adults",E1909&gt;45,"Old Adults")</f>
        <v>Young Adults</v>
      </c>
    </row>
    <row r="1910" spans="1:11" x14ac:dyDescent="0.45">
      <c r="A1910" s="2">
        <v>2235</v>
      </c>
      <c r="B1910" s="2" t="s">
        <v>2339</v>
      </c>
      <c r="C1910" s="2" t="s">
        <v>92</v>
      </c>
      <c r="D1910" s="2" t="s">
        <v>63</v>
      </c>
      <c r="E1910" s="2">
        <v>22</v>
      </c>
      <c r="F1910" s="2">
        <v>53</v>
      </c>
      <c r="G1910" s="2">
        <v>173</v>
      </c>
      <c r="H1910" s="9">
        <f t="shared" si="29"/>
        <v>17.70857696548498</v>
      </c>
      <c r="I1910" s="2" t="str" cm="1">
        <f t="array" ref="I1910">_xlfn.IFS(F1910&gt;=100,"Over weight",F1910&lt;100,"Average weight")</f>
        <v>Average weight</v>
      </c>
      <c r="J1910" s="2" t="str" cm="1">
        <f t="array" ref="J1910">_xlfn.IFS(G1910&lt;164,"Below Average height",G1910&gt;=165,"Above Average height",G1910=164,"Average height")</f>
        <v>Above Average height</v>
      </c>
      <c r="K1910" s="2" t="str" cm="1">
        <f t="array" ref="K1910">_xlfn.IFS(E1910&lt;=16,"Children",E1910&lt;=30,"Young Adults",E1910&lt;=45,"Middle-aged Adults",E1910&gt;45,"Old Adults")</f>
        <v>Young Adults</v>
      </c>
    </row>
    <row r="1911" spans="1:11" x14ac:dyDescent="0.45">
      <c r="A1911" s="2">
        <v>2236</v>
      </c>
      <c r="B1911" s="2" t="s">
        <v>2340</v>
      </c>
      <c r="C1911" s="2" t="s">
        <v>100</v>
      </c>
      <c r="D1911" s="2" t="s">
        <v>59</v>
      </c>
      <c r="E1911" s="2">
        <v>35</v>
      </c>
      <c r="F1911" s="2">
        <v>62</v>
      </c>
      <c r="G1911" s="2">
        <v>165</v>
      </c>
      <c r="H1911" s="9">
        <f t="shared" si="29"/>
        <v>22.77318640955005</v>
      </c>
      <c r="I1911" s="2" t="str" cm="1">
        <f t="array" ref="I1911">_xlfn.IFS(F1911&gt;=100,"Over weight",F1911&lt;100,"Average weight")</f>
        <v>Average weight</v>
      </c>
      <c r="J1911" s="2" t="str" cm="1">
        <f t="array" ref="J1911">_xlfn.IFS(G1911&lt;164,"Below Average height",G1911&gt;=165,"Above Average height",G1911=164,"Average height")</f>
        <v>Above Average height</v>
      </c>
      <c r="K1911" s="2" t="str" cm="1">
        <f t="array" ref="K1911">_xlfn.IFS(E1911&lt;=16,"Children",E1911&lt;=30,"Young Adults",E1911&lt;=45,"Middle-aged Adults",E1911&gt;45,"Old Adults")</f>
        <v>Middle-aged Adults</v>
      </c>
    </row>
    <row r="1912" spans="1:11" x14ac:dyDescent="0.45">
      <c r="A1912" s="2">
        <v>2237</v>
      </c>
      <c r="B1912" s="2" t="s">
        <v>2341</v>
      </c>
      <c r="C1912" s="2" t="s">
        <v>96</v>
      </c>
      <c r="D1912" s="2" t="s">
        <v>75</v>
      </c>
      <c r="E1912" s="2">
        <v>33</v>
      </c>
      <c r="F1912" s="2">
        <v>43</v>
      </c>
      <c r="G1912" s="2">
        <v>176</v>
      </c>
      <c r="H1912" s="9">
        <f t="shared" si="29"/>
        <v>13.881714876033058</v>
      </c>
      <c r="I1912" s="2" t="str" cm="1">
        <f t="array" ref="I1912">_xlfn.IFS(F1912&gt;=100,"Over weight",F1912&lt;100,"Average weight")</f>
        <v>Average weight</v>
      </c>
      <c r="J1912" s="2" t="str" cm="1">
        <f t="array" ref="J1912">_xlfn.IFS(G1912&lt;164,"Below Average height",G1912&gt;=165,"Above Average height",G1912=164,"Average height")</f>
        <v>Above Average height</v>
      </c>
      <c r="K1912" s="2" t="str" cm="1">
        <f t="array" ref="K1912">_xlfn.IFS(E1912&lt;=16,"Children",E1912&lt;=30,"Young Adults",E1912&lt;=45,"Middle-aged Adults",E1912&gt;45,"Old Adults")</f>
        <v>Middle-aged Adults</v>
      </c>
    </row>
    <row r="1913" spans="1:11" x14ac:dyDescent="0.45">
      <c r="A1913" s="2">
        <v>2238</v>
      </c>
      <c r="B1913" s="2" t="s">
        <v>2342</v>
      </c>
      <c r="C1913" s="2" t="s">
        <v>88</v>
      </c>
      <c r="D1913" s="2" t="s">
        <v>65</v>
      </c>
      <c r="E1913" s="2">
        <v>26</v>
      </c>
      <c r="F1913" s="2">
        <v>57</v>
      </c>
      <c r="G1913" s="2">
        <v>168</v>
      </c>
      <c r="H1913" s="9">
        <f t="shared" si="29"/>
        <v>20.195578231292519</v>
      </c>
      <c r="I1913" s="2" t="str" cm="1">
        <f t="array" ref="I1913">_xlfn.IFS(F1913&gt;=100,"Over weight",F1913&lt;100,"Average weight")</f>
        <v>Average weight</v>
      </c>
      <c r="J1913" s="2" t="str" cm="1">
        <f t="array" ref="J1913">_xlfn.IFS(G1913&lt;164,"Below Average height",G1913&gt;=165,"Above Average height",G1913=164,"Average height")</f>
        <v>Above Average height</v>
      </c>
      <c r="K1913" s="2" t="str" cm="1">
        <f t="array" ref="K1913">_xlfn.IFS(E1913&lt;=16,"Children",E1913&lt;=30,"Young Adults",E1913&lt;=45,"Middle-aged Adults",E1913&gt;45,"Old Adults")</f>
        <v>Young Adults</v>
      </c>
    </row>
    <row r="1914" spans="1:11" x14ac:dyDescent="0.45">
      <c r="A1914" s="2">
        <v>2239</v>
      </c>
      <c r="B1914" s="2" t="s">
        <v>2343</v>
      </c>
      <c r="C1914" s="2" t="s">
        <v>90</v>
      </c>
      <c r="D1914" s="2" t="s">
        <v>21</v>
      </c>
      <c r="E1914" s="2">
        <v>27</v>
      </c>
      <c r="F1914" s="2">
        <v>92</v>
      </c>
      <c r="G1914" s="2">
        <v>190</v>
      </c>
      <c r="H1914" s="9">
        <f t="shared" si="29"/>
        <v>25.48476454293629</v>
      </c>
      <c r="I1914" s="2" t="str" cm="1">
        <f t="array" ref="I1914">_xlfn.IFS(F1914&gt;=100,"Over weight",F1914&lt;100,"Average weight")</f>
        <v>Average weight</v>
      </c>
      <c r="J1914" s="2" t="str" cm="1">
        <f t="array" ref="J1914">_xlfn.IFS(G1914&lt;164,"Below Average height",G1914&gt;=165,"Above Average height",G1914=164,"Average height")</f>
        <v>Above Average height</v>
      </c>
      <c r="K1914" s="2" t="str" cm="1">
        <f t="array" ref="K1914">_xlfn.IFS(E1914&lt;=16,"Children",E1914&lt;=30,"Young Adults",E1914&lt;=45,"Middle-aged Adults",E1914&gt;45,"Old Adults")</f>
        <v>Young Adults</v>
      </c>
    </row>
    <row r="1915" spans="1:11" x14ac:dyDescent="0.45">
      <c r="A1915" s="2">
        <v>2240</v>
      </c>
      <c r="B1915" s="2" t="s">
        <v>2344</v>
      </c>
      <c r="C1915" s="2" t="s">
        <v>87</v>
      </c>
      <c r="D1915" s="2" t="s">
        <v>66</v>
      </c>
      <c r="E1915" s="2">
        <v>21</v>
      </c>
      <c r="F1915" s="2">
        <v>62</v>
      </c>
      <c r="G1915" s="2">
        <v>176</v>
      </c>
      <c r="H1915" s="9">
        <f t="shared" si="29"/>
        <v>20.015495867768596</v>
      </c>
      <c r="I1915" s="2" t="str" cm="1">
        <f t="array" ref="I1915">_xlfn.IFS(F1915&gt;=100,"Over weight",F1915&lt;100,"Average weight")</f>
        <v>Average weight</v>
      </c>
      <c r="J1915" s="2" t="str" cm="1">
        <f t="array" ref="J1915">_xlfn.IFS(G1915&lt;164,"Below Average height",G1915&gt;=165,"Above Average height",G1915=164,"Average height")</f>
        <v>Above Average height</v>
      </c>
      <c r="K1915" s="2" t="str" cm="1">
        <f t="array" ref="K1915">_xlfn.IFS(E1915&lt;=16,"Children",E1915&lt;=30,"Young Adults",E1915&lt;=45,"Middle-aged Adults",E1915&gt;45,"Old Adults")</f>
        <v>Young Adults</v>
      </c>
    </row>
    <row r="1916" spans="1:11" x14ac:dyDescent="0.45">
      <c r="A1916" s="2">
        <v>2241</v>
      </c>
      <c r="B1916" s="2" t="s">
        <v>2345</v>
      </c>
      <c r="C1916" s="2" t="s">
        <v>94</v>
      </c>
      <c r="D1916" s="2" t="s">
        <v>26</v>
      </c>
      <c r="E1916" s="2">
        <v>26</v>
      </c>
      <c r="F1916" s="2">
        <v>52</v>
      </c>
      <c r="G1916" s="2">
        <v>165</v>
      </c>
      <c r="H1916" s="9">
        <f t="shared" si="29"/>
        <v>19.100091827364558</v>
      </c>
      <c r="I1916" s="2" t="str" cm="1">
        <f t="array" ref="I1916">_xlfn.IFS(F1916&gt;=100,"Over weight",F1916&lt;100,"Average weight")</f>
        <v>Average weight</v>
      </c>
      <c r="J1916" s="2" t="str" cm="1">
        <f t="array" ref="J1916">_xlfn.IFS(G1916&lt;164,"Below Average height",G1916&gt;=165,"Above Average height",G1916=164,"Average height")</f>
        <v>Above Average height</v>
      </c>
      <c r="K1916" s="2" t="str" cm="1">
        <f t="array" ref="K1916">_xlfn.IFS(E1916&lt;=16,"Children",E1916&lt;=30,"Young Adults",E1916&lt;=45,"Middle-aged Adults",E1916&gt;45,"Old Adults")</f>
        <v>Young Adults</v>
      </c>
    </row>
    <row r="1917" spans="1:11" x14ac:dyDescent="0.45">
      <c r="A1917" s="2">
        <v>2242</v>
      </c>
      <c r="B1917" s="2" t="s">
        <v>2346</v>
      </c>
      <c r="C1917" s="2" t="s">
        <v>91</v>
      </c>
      <c r="D1917" s="2" t="s">
        <v>14</v>
      </c>
      <c r="E1917" s="2">
        <v>31</v>
      </c>
      <c r="F1917" s="2">
        <v>71</v>
      </c>
      <c r="G1917" s="2">
        <v>175</v>
      </c>
      <c r="H1917" s="9">
        <f t="shared" si="29"/>
        <v>23.183673469387756</v>
      </c>
      <c r="I1917" s="2" t="str" cm="1">
        <f t="array" ref="I1917">_xlfn.IFS(F1917&gt;=100,"Over weight",F1917&lt;100,"Average weight")</f>
        <v>Average weight</v>
      </c>
      <c r="J1917" s="2" t="str" cm="1">
        <f t="array" ref="J1917">_xlfn.IFS(G1917&lt;164,"Below Average height",G1917&gt;=165,"Above Average height",G1917=164,"Average height")</f>
        <v>Above Average height</v>
      </c>
      <c r="K1917" s="2" t="str" cm="1">
        <f t="array" ref="K1917">_xlfn.IFS(E1917&lt;=16,"Children",E1917&lt;=30,"Young Adults",E1917&lt;=45,"Middle-aged Adults",E1917&gt;45,"Old Adults")</f>
        <v>Middle-aged Adults</v>
      </c>
    </row>
    <row r="1918" spans="1:11" x14ac:dyDescent="0.45">
      <c r="A1918" s="2">
        <v>2243</v>
      </c>
      <c r="B1918" s="2" t="s">
        <v>2347</v>
      </c>
      <c r="C1918" s="2" t="s">
        <v>95</v>
      </c>
      <c r="D1918" s="2" t="s">
        <v>65</v>
      </c>
      <c r="E1918" s="2">
        <v>24</v>
      </c>
      <c r="F1918" s="2">
        <v>78</v>
      </c>
      <c r="G1918" s="2">
        <v>173</v>
      </c>
      <c r="H1918" s="9">
        <f t="shared" si="29"/>
        <v>26.061679307694877</v>
      </c>
      <c r="I1918" s="2" t="str" cm="1">
        <f t="array" ref="I1918">_xlfn.IFS(F1918&gt;=100,"Over weight",F1918&lt;100,"Average weight")</f>
        <v>Average weight</v>
      </c>
      <c r="J1918" s="2" t="str" cm="1">
        <f t="array" ref="J1918">_xlfn.IFS(G1918&lt;164,"Below Average height",G1918&gt;=165,"Above Average height",G1918=164,"Average height")</f>
        <v>Above Average height</v>
      </c>
      <c r="K1918" s="2" t="str" cm="1">
        <f t="array" ref="K1918">_xlfn.IFS(E1918&lt;=16,"Children",E1918&lt;=30,"Young Adults",E1918&lt;=45,"Middle-aged Adults",E1918&gt;45,"Old Adults")</f>
        <v>Young Adults</v>
      </c>
    </row>
    <row r="1919" spans="1:11" x14ac:dyDescent="0.45">
      <c r="A1919" s="2">
        <v>2244</v>
      </c>
      <c r="B1919" s="2" t="s">
        <v>2348</v>
      </c>
      <c r="C1919" s="2" t="s">
        <v>95</v>
      </c>
      <c r="D1919" s="2" t="s">
        <v>65</v>
      </c>
      <c r="E1919" s="2">
        <v>21</v>
      </c>
      <c r="F1919" s="2">
        <v>77</v>
      </c>
      <c r="G1919" s="2">
        <v>175</v>
      </c>
      <c r="H1919" s="9">
        <f t="shared" si="29"/>
        <v>25.142857142857142</v>
      </c>
      <c r="I1919" s="2" t="str" cm="1">
        <f t="array" ref="I1919">_xlfn.IFS(F1919&gt;=100,"Over weight",F1919&lt;100,"Average weight")</f>
        <v>Average weight</v>
      </c>
      <c r="J1919" s="2" t="str" cm="1">
        <f t="array" ref="J1919">_xlfn.IFS(G1919&lt;164,"Below Average height",G1919&gt;=165,"Above Average height",G1919=164,"Average height")</f>
        <v>Above Average height</v>
      </c>
      <c r="K1919" s="2" t="str" cm="1">
        <f t="array" ref="K1919">_xlfn.IFS(E1919&lt;=16,"Children",E1919&lt;=30,"Young Adults",E1919&lt;=45,"Middle-aged Adults",E1919&gt;45,"Old Adults")</f>
        <v>Young Adults</v>
      </c>
    </row>
    <row r="1920" spans="1:11" x14ac:dyDescent="0.45">
      <c r="A1920" s="2">
        <v>2245</v>
      </c>
      <c r="B1920" s="2" t="s">
        <v>2349</v>
      </c>
      <c r="C1920" s="2" t="s">
        <v>94</v>
      </c>
      <c r="D1920" s="2" t="s">
        <v>25</v>
      </c>
      <c r="E1920" s="2">
        <v>24</v>
      </c>
      <c r="F1920" s="2">
        <v>85</v>
      </c>
      <c r="G1920" s="2">
        <v>191</v>
      </c>
      <c r="H1920" s="9">
        <f t="shared" si="29"/>
        <v>23.299799895836188</v>
      </c>
      <c r="I1920" s="2" t="str" cm="1">
        <f t="array" ref="I1920">_xlfn.IFS(F1920&gt;=100,"Over weight",F1920&lt;100,"Average weight")</f>
        <v>Average weight</v>
      </c>
      <c r="J1920" s="2" t="str" cm="1">
        <f t="array" ref="J1920">_xlfn.IFS(G1920&lt;164,"Below Average height",G1920&gt;=165,"Above Average height",G1920=164,"Average height")</f>
        <v>Above Average height</v>
      </c>
      <c r="K1920" s="2" t="str" cm="1">
        <f t="array" ref="K1920">_xlfn.IFS(E1920&lt;=16,"Children",E1920&lt;=30,"Young Adults",E1920&lt;=45,"Middle-aged Adults",E1920&gt;45,"Old Adults")</f>
        <v>Young Adults</v>
      </c>
    </row>
    <row r="1921" spans="1:11" x14ac:dyDescent="0.45">
      <c r="A1921" s="2">
        <v>2246</v>
      </c>
      <c r="B1921" s="2" t="s">
        <v>2350</v>
      </c>
      <c r="C1921" s="2" t="s">
        <v>91</v>
      </c>
      <c r="D1921" s="2" t="s">
        <v>70</v>
      </c>
      <c r="E1921" s="2">
        <v>35</v>
      </c>
      <c r="F1921" s="2">
        <v>96</v>
      </c>
      <c r="G1921" s="2">
        <v>191</v>
      </c>
      <c r="H1921" s="9">
        <f t="shared" si="29"/>
        <v>26.315068117650284</v>
      </c>
      <c r="I1921" s="2" t="str" cm="1">
        <f t="array" ref="I1921">_xlfn.IFS(F1921&gt;=100,"Over weight",F1921&lt;100,"Average weight")</f>
        <v>Average weight</v>
      </c>
      <c r="J1921" s="2" t="str" cm="1">
        <f t="array" ref="J1921">_xlfn.IFS(G1921&lt;164,"Below Average height",G1921&gt;=165,"Above Average height",G1921=164,"Average height")</f>
        <v>Above Average height</v>
      </c>
      <c r="K1921" s="2" t="str" cm="1">
        <f t="array" ref="K1921">_xlfn.IFS(E1921&lt;=16,"Children",E1921&lt;=30,"Young Adults",E1921&lt;=45,"Middle-aged Adults",E1921&gt;45,"Old Adults")</f>
        <v>Middle-aged Adults</v>
      </c>
    </row>
    <row r="1922" spans="1:11" x14ac:dyDescent="0.45">
      <c r="A1922" s="2">
        <v>2247</v>
      </c>
      <c r="B1922" s="2" t="s">
        <v>2351</v>
      </c>
      <c r="C1922" s="2" t="s">
        <v>91</v>
      </c>
      <c r="D1922" s="2" t="s">
        <v>75</v>
      </c>
      <c r="E1922" s="2">
        <v>32</v>
      </c>
      <c r="F1922" s="2">
        <v>93</v>
      </c>
      <c r="G1922" s="2">
        <v>181</v>
      </c>
      <c r="H1922" s="9">
        <f t="shared" ref="H1922:H1985" si="30" xml:space="preserve"> F1922 / (( G1922/ 100) ^ 2)</f>
        <v>28.387411861664784</v>
      </c>
      <c r="I1922" s="2" t="str" cm="1">
        <f t="array" ref="I1922">_xlfn.IFS(F1922&gt;=100,"Over weight",F1922&lt;100,"Average weight")</f>
        <v>Average weight</v>
      </c>
      <c r="J1922" s="2" t="str" cm="1">
        <f t="array" ref="J1922">_xlfn.IFS(G1922&lt;164,"Below Average height",G1922&gt;=165,"Above Average height",G1922=164,"Average height")</f>
        <v>Above Average height</v>
      </c>
      <c r="K1922" s="2" t="str" cm="1">
        <f t="array" ref="K1922">_xlfn.IFS(E1922&lt;=16,"Children",E1922&lt;=30,"Young Adults",E1922&lt;=45,"Middle-aged Adults",E1922&gt;45,"Old Adults")</f>
        <v>Middle-aged Adults</v>
      </c>
    </row>
    <row r="1923" spans="1:11" x14ac:dyDescent="0.45">
      <c r="A1923" s="2">
        <v>2248</v>
      </c>
      <c r="B1923" s="2" t="s">
        <v>2352</v>
      </c>
      <c r="C1923" s="2" t="s">
        <v>85</v>
      </c>
      <c r="D1923" s="2" t="s">
        <v>6</v>
      </c>
      <c r="E1923" s="2">
        <v>28</v>
      </c>
      <c r="F1923" s="2">
        <v>94</v>
      </c>
      <c r="G1923" s="2">
        <v>185</v>
      </c>
      <c r="H1923" s="9">
        <f t="shared" si="30"/>
        <v>27.465303140978815</v>
      </c>
      <c r="I1923" s="2" t="str" cm="1">
        <f t="array" ref="I1923">_xlfn.IFS(F1923&gt;=100,"Over weight",F1923&lt;100,"Average weight")</f>
        <v>Average weight</v>
      </c>
      <c r="J1923" s="2" t="str" cm="1">
        <f t="array" ref="J1923">_xlfn.IFS(G1923&lt;164,"Below Average height",G1923&gt;=165,"Above Average height",G1923=164,"Average height")</f>
        <v>Above Average height</v>
      </c>
      <c r="K1923" s="2" t="str" cm="1">
        <f t="array" ref="K1923">_xlfn.IFS(E1923&lt;=16,"Children",E1923&lt;=30,"Young Adults",E1923&lt;=45,"Middle-aged Adults",E1923&gt;45,"Old Adults")</f>
        <v>Young Adults</v>
      </c>
    </row>
    <row r="1924" spans="1:11" x14ac:dyDescent="0.45">
      <c r="A1924" s="2">
        <v>2249</v>
      </c>
      <c r="B1924" s="2" t="s">
        <v>2353</v>
      </c>
      <c r="C1924" s="2" t="s">
        <v>94</v>
      </c>
      <c r="D1924" s="2" t="s">
        <v>49</v>
      </c>
      <c r="E1924" s="2">
        <v>23</v>
      </c>
      <c r="F1924" s="2">
        <v>77</v>
      </c>
      <c r="G1924" s="2">
        <v>178</v>
      </c>
      <c r="H1924" s="9">
        <f t="shared" si="30"/>
        <v>24.302487059714682</v>
      </c>
      <c r="I1924" s="2" t="str" cm="1">
        <f t="array" ref="I1924">_xlfn.IFS(F1924&gt;=100,"Over weight",F1924&lt;100,"Average weight")</f>
        <v>Average weight</v>
      </c>
      <c r="J1924" s="2" t="str" cm="1">
        <f t="array" ref="J1924">_xlfn.IFS(G1924&lt;164,"Below Average height",G1924&gt;=165,"Above Average height",G1924=164,"Average height")</f>
        <v>Above Average height</v>
      </c>
      <c r="K1924" s="2" t="str" cm="1">
        <f t="array" ref="K1924">_xlfn.IFS(E1924&lt;=16,"Children",E1924&lt;=30,"Young Adults",E1924&lt;=45,"Middle-aged Adults",E1924&gt;45,"Old Adults")</f>
        <v>Young Adults</v>
      </c>
    </row>
    <row r="1925" spans="1:11" x14ac:dyDescent="0.45">
      <c r="A1925" s="2">
        <v>2250</v>
      </c>
      <c r="B1925" s="2" t="s">
        <v>2354</v>
      </c>
      <c r="C1925" s="2" t="s">
        <v>96</v>
      </c>
      <c r="D1925" s="2" t="s">
        <v>75</v>
      </c>
      <c r="E1925" s="2">
        <v>30</v>
      </c>
      <c r="F1925" s="2">
        <v>43</v>
      </c>
      <c r="G1925" s="2">
        <v>181</v>
      </c>
      <c r="H1925" s="9">
        <f t="shared" si="30"/>
        <v>13.125362473672965</v>
      </c>
      <c r="I1925" s="2" t="str" cm="1">
        <f t="array" ref="I1925">_xlfn.IFS(F1925&gt;=100,"Over weight",F1925&lt;100,"Average weight")</f>
        <v>Average weight</v>
      </c>
      <c r="J1925" s="2" t="str" cm="1">
        <f t="array" ref="J1925">_xlfn.IFS(G1925&lt;164,"Below Average height",G1925&gt;=165,"Above Average height",G1925=164,"Average height")</f>
        <v>Above Average height</v>
      </c>
      <c r="K1925" s="2" t="str" cm="1">
        <f t="array" ref="K1925">_xlfn.IFS(E1925&lt;=16,"Children",E1925&lt;=30,"Young Adults",E1925&lt;=45,"Middle-aged Adults",E1925&gt;45,"Old Adults")</f>
        <v>Young Adults</v>
      </c>
    </row>
    <row r="1926" spans="1:11" x14ac:dyDescent="0.45">
      <c r="A1926" s="2">
        <v>2251</v>
      </c>
      <c r="B1926" s="2" t="s">
        <v>2355</v>
      </c>
      <c r="C1926" s="2" t="s">
        <v>88</v>
      </c>
      <c r="D1926" s="2" t="s">
        <v>80</v>
      </c>
      <c r="E1926" s="2">
        <v>25</v>
      </c>
      <c r="F1926" s="2">
        <v>60</v>
      </c>
      <c r="G1926" s="2">
        <v>168</v>
      </c>
      <c r="H1926" s="9">
        <f t="shared" si="30"/>
        <v>21.258503401360546</v>
      </c>
      <c r="I1926" s="2" t="str" cm="1">
        <f t="array" ref="I1926">_xlfn.IFS(F1926&gt;=100,"Over weight",F1926&lt;100,"Average weight")</f>
        <v>Average weight</v>
      </c>
      <c r="J1926" s="2" t="str" cm="1">
        <f t="array" ref="J1926">_xlfn.IFS(G1926&lt;164,"Below Average height",G1926&gt;=165,"Above Average height",G1926=164,"Average height")</f>
        <v>Above Average height</v>
      </c>
      <c r="K1926" s="2" t="str" cm="1">
        <f t="array" ref="K1926">_xlfn.IFS(E1926&lt;=16,"Children",E1926&lt;=30,"Young Adults",E1926&lt;=45,"Middle-aged Adults",E1926&gt;45,"Old Adults")</f>
        <v>Young Adults</v>
      </c>
    </row>
    <row r="1927" spans="1:11" x14ac:dyDescent="0.45">
      <c r="A1927" s="2">
        <v>2252</v>
      </c>
      <c r="B1927" s="2" t="s">
        <v>2356</v>
      </c>
      <c r="C1927" s="2" t="s">
        <v>91</v>
      </c>
      <c r="D1927" s="2" t="s">
        <v>70</v>
      </c>
      <c r="E1927" s="2">
        <v>37</v>
      </c>
      <c r="F1927" s="2">
        <v>100</v>
      </c>
      <c r="G1927" s="2">
        <v>190</v>
      </c>
      <c r="H1927" s="9">
        <f t="shared" si="30"/>
        <v>27.70083102493075</v>
      </c>
      <c r="I1927" s="2" t="str" cm="1">
        <f t="array" ref="I1927">_xlfn.IFS(F1927&gt;=100,"Over weight",F1927&lt;100,"Average weight")</f>
        <v>Over weight</v>
      </c>
      <c r="J1927" s="2" t="str" cm="1">
        <f t="array" ref="J1927">_xlfn.IFS(G1927&lt;164,"Below Average height",G1927&gt;=165,"Above Average height",G1927=164,"Average height")</f>
        <v>Above Average height</v>
      </c>
      <c r="K1927" s="2" t="str" cm="1">
        <f t="array" ref="K1927">_xlfn.IFS(E1927&lt;=16,"Children",E1927&lt;=30,"Young Adults",E1927&lt;=45,"Middle-aged Adults",E1927&gt;45,"Old Adults")</f>
        <v>Middle-aged Adults</v>
      </c>
    </row>
    <row r="1928" spans="1:11" x14ac:dyDescent="0.45">
      <c r="A1928" s="2">
        <v>2253</v>
      </c>
      <c r="B1928" s="2" t="s">
        <v>2357</v>
      </c>
      <c r="C1928" s="2" t="s">
        <v>91</v>
      </c>
      <c r="D1928" s="2" t="s">
        <v>28</v>
      </c>
      <c r="E1928" s="2">
        <v>31</v>
      </c>
      <c r="F1928" s="2">
        <v>90</v>
      </c>
      <c r="G1928" s="2">
        <v>181</v>
      </c>
      <c r="H1928" s="9">
        <f t="shared" si="30"/>
        <v>27.471688898385274</v>
      </c>
      <c r="I1928" s="2" t="str" cm="1">
        <f t="array" ref="I1928">_xlfn.IFS(F1928&gt;=100,"Over weight",F1928&lt;100,"Average weight")</f>
        <v>Average weight</v>
      </c>
      <c r="J1928" s="2" t="str" cm="1">
        <f t="array" ref="J1928">_xlfn.IFS(G1928&lt;164,"Below Average height",G1928&gt;=165,"Above Average height",G1928=164,"Average height")</f>
        <v>Above Average height</v>
      </c>
      <c r="K1928" s="2" t="str" cm="1">
        <f t="array" ref="K1928">_xlfn.IFS(E1928&lt;=16,"Children",E1928&lt;=30,"Young Adults",E1928&lt;=45,"Middle-aged Adults",E1928&gt;45,"Old Adults")</f>
        <v>Middle-aged Adults</v>
      </c>
    </row>
    <row r="1929" spans="1:11" x14ac:dyDescent="0.45">
      <c r="A1929" s="2">
        <v>2254</v>
      </c>
      <c r="B1929" s="2" t="s">
        <v>2358</v>
      </c>
      <c r="C1929" s="2" t="s">
        <v>85</v>
      </c>
      <c r="D1929" s="2" t="s">
        <v>75</v>
      </c>
      <c r="E1929" s="2">
        <v>31</v>
      </c>
      <c r="F1929" s="2">
        <v>70</v>
      </c>
      <c r="G1929" s="2">
        <v>171</v>
      </c>
      <c r="H1929" s="9">
        <f t="shared" si="30"/>
        <v>23.938989774631512</v>
      </c>
      <c r="I1929" s="2" t="str" cm="1">
        <f t="array" ref="I1929">_xlfn.IFS(F1929&gt;=100,"Over weight",F1929&lt;100,"Average weight")</f>
        <v>Average weight</v>
      </c>
      <c r="J1929" s="2" t="str" cm="1">
        <f t="array" ref="J1929">_xlfn.IFS(G1929&lt;164,"Below Average height",G1929&gt;=165,"Above Average height",G1929=164,"Average height")</f>
        <v>Above Average height</v>
      </c>
      <c r="K1929" s="2" t="str" cm="1">
        <f t="array" ref="K1929">_xlfn.IFS(E1929&lt;=16,"Children",E1929&lt;=30,"Young Adults",E1929&lt;=45,"Middle-aged Adults",E1929&gt;45,"Old Adults")</f>
        <v>Middle-aged Adults</v>
      </c>
    </row>
    <row r="1930" spans="1:11" x14ac:dyDescent="0.45">
      <c r="A1930" s="2">
        <v>2255</v>
      </c>
      <c r="B1930" s="2" t="s">
        <v>2359</v>
      </c>
      <c r="C1930" s="2" t="s">
        <v>90</v>
      </c>
      <c r="D1930" s="2" t="s">
        <v>21</v>
      </c>
      <c r="E1930" s="2">
        <v>22</v>
      </c>
      <c r="F1930" s="2">
        <v>98</v>
      </c>
      <c r="G1930" s="2">
        <v>185</v>
      </c>
      <c r="H1930" s="9">
        <f t="shared" si="30"/>
        <v>28.634039444850252</v>
      </c>
      <c r="I1930" s="2" t="str" cm="1">
        <f t="array" ref="I1930">_xlfn.IFS(F1930&gt;=100,"Over weight",F1930&lt;100,"Average weight")</f>
        <v>Average weight</v>
      </c>
      <c r="J1930" s="2" t="str" cm="1">
        <f t="array" ref="J1930">_xlfn.IFS(G1930&lt;164,"Below Average height",G1930&gt;=165,"Above Average height",G1930=164,"Average height")</f>
        <v>Above Average height</v>
      </c>
      <c r="K1930" s="2" t="str" cm="1">
        <f t="array" ref="K1930">_xlfn.IFS(E1930&lt;=16,"Children",E1930&lt;=30,"Young Adults",E1930&lt;=45,"Middle-aged Adults",E1930&gt;45,"Old Adults")</f>
        <v>Young Adults</v>
      </c>
    </row>
    <row r="1931" spans="1:11" x14ac:dyDescent="0.45">
      <c r="A1931" s="2">
        <v>2258</v>
      </c>
      <c r="B1931" s="2" t="s">
        <v>2362</v>
      </c>
      <c r="C1931" s="2" t="s">
        <v>89</v>
      </c>
      <c r="D1931" s="2" t="s">
        <v>41</v>
      </c>
      <c r="E1931" s="2">
        <v>27</v>
      </c>
      <c r="F1931" s="2">
        <v>80</v>
      </c>
      <c r="G1931" s="2">
        <v>178</v>
      </c>
      <c r="H1931" s="9">
        <f t="shared" si="30"/>
        <v>25.249337204898371</v>
      </c>
      <c r="I1931" s="2" t="str" cm="1">
        <f t="array" ref="I1931">_xlfn.IFS(F1931&gt;=100,"Over weight",F1931&lt;100,"Average weight")</f>
        <v>Average weight</v>
      </c>
      <c r="J1931" s="2" t="str" cm="1">
        <f t="array" ref="J1931">_xlfn.IFS(G1931&lt;164,"Below Average height",G1931&gt;=165,"Above Average height",G1931=164,"Average height")</f>
        <v>Above Average height</v>
      </c>
      <c r="K1931" s="2" t="str" cm="1">
        <f t="array" ref="K1931">_xlfn.IFS(E1931&lt;=16,"Children",E1931&lt;=30,"Young Adults",E1931&lt;=45,"Middle-aged Adults",E1931&gt;45,"Old Adults")</f>
        <v>Young Adults</v>
      </c>
    </row>
    <row r="1932" spans="1:11" x14ac:dyDescent="0.45">
      <c r="A1932" s="2">
        <v>2260</v>
      </c>
      <c r="B1932" s="2" t="s">
        <v>2364</v>
      </c>
      <c r="C1932" s="2" t="s">
        <v>85</v>
      </c>
      <c r="D1932" s="2" t="s">
        <v>80</v>
      </c>
      <c r="E1932" s="2">
        <v>29</v>
      </c>
      <c r="F1932" s="2">
        <v>95</v>
      </c>
      <c r="G1932" s="2">
        <v>183</v>
      </c>
      <c r="H1932" s="9">
        <f t="shared" si="30"/>
        <v>28.367523664486843</v>
      </c>
      <c r="I1932" s="2" t="str" cm="1">
        <f t="array" ref="I1932">_xlfn.IFS(F1932&gt;=100,"Over weight",F1932&lt;100,"Average weight")</f>
        <v>Average weight</v>
      </c>
      <c r="J1932" s="2" t="str" cm="1">
        <f t="array" ref="J1932">_xlfn.IFS(G1932&lt;164,"Below Average height",G1932&gt;=165,"Above Average height",G1932=164,"Average height")</f>
        <v>Above Average height</v>
      </c>
      <c r="K1932" s="2" t="str" cm="1">
        <f t="array" ref="K1932">_xlfn.IFS(E1932&lt;=16,"Children",E1932&lt;=30,"Young Adults",E1932&lt;=45,"Middle-aged Adults",E1932&gt;45,"Old Adults")</f>
        <v>Young Adults</v>
      </c>
    </row>
    <row r="1933" spans="1:11" x14ac:dyDescent="0.45">
      <c r="A1933" s="2">
        <v>2261</v>
      </c>
      <c r="B1933" s="2" t="s">
        <v>2365</v>
      </c>
      <c r="C1933" s="2" t="s">
        <v>91</v>
      </c>
      <c r="D1933" s="2" t="s">
        <v>28</v>
      </c>
      <c r="E1933" s="2">
        <v>25</v>
      </c>
      <c r="F1933" s="2">
        <v>92</v>
      </c>
      <c r="G1933" s="2">
        <v>187</v>
      </c>
      <c r="H1933" s="9">
        <f t="shared" si="30"/>
        <v>26.309016557522373</v>
      </c>
      <c r="I1933" s="2" t="str" cm="1">
        <f t="array" ref="I1933">_xlfn.IFS(F1933&gt;=100,"Over weight",F1933&lt;100,"Average weight")</f>
        <v>Average weight</v>
      </c>
      <c r="J1933" s="2" t="str" cm="1">
        <f t="array" ref="J1933">_xlfn.IFS(G1933&lt;164,"Below Average height",G1933&gt;=165,"Above Average height",G1933=164,"Average height")</f>
        <v>Above Average height</v>
      </c>
      <c r="K1933" s="2" t="str" cm="1">
        <f t="array" ref="K1933">_xlfn.IFS(E1933&lt;=16,"Children",E1933&lt;=30,"Young Adults",E1933&lt;=45,"Middle-aged Adults",E1933&gt;45,"Old Adults")</f>
        <v>Young Adults</v>
      </c>
    </row>
    <row r="1934" spans="1:11" x14ac:dyDescent="0.45">
      <c r="A1934" s="2">
        <v>2262</v>
      </c>
      <c r="B1934" s="2" t="s">
        <v>2366</v>
      </c>
      <c r="C1934" s="2" t="s">
        <v>94</v>
      </c>
      <c r="D1934" s="2" t="s">
        <v>17</v>
      </c>
      <c r="E1934" s="2">
        <v>22</v>
      </c>
      <c r="F1934" s="2">
        <v>83</v>
      </c>
      <c r="G1934" s="2">
        <v>188</v>
      </c>
      <c r="H1934" s="9">
        <f t="shared" si="30"/>
        <v>23.483476686283389</v>
      </c>
      <c r="I1934" s="2" t="str" cm="1">
        <f t="array" ref="I1934">_xlfn.IFS(F1934&gt;=100,"Over weight",F1934&lt;100,"Average weight")</f>
        <v>Average weight</v>
      </c>
      <c r="J1934" s="2" t="str" cm="1">
        <f t="array" ref="J1934">_xlfn.IFS(G1934&lt;164,"Below Average height",G1934&gt;=165,"Above Average height",G1934=164,"Average height")</f>
        <v>Above Average height</v>
      </c>
      <c r="K1934" s="2" t="str" cm="1">
        <f t="array" ref="K1934">_xlfn.IFS(E1934&lt;=16,"Children",E1934&lt;=30,"Young Adults",E1934&lt;=45,"Middle-aged Adults",E1934&gt;45,"Old Adults")</f>
        <v>Young Adults</v>
      </c>
    </row>
    <row r="1935" spans="1:11" x14ac:dyDescent="0.45">
      <c r="A1935" s="2">
        <v>2263</v>
      </c>
      <c r="B1935" s="2" t="s">
        <v>2367</v>
      </c>
      <c r="C1935" s="2" t="s">
        <v>91</v>
      </c>
      <c r="D1935" s="2" t="s">
        <v>17</v>
      </c>
      <c r="E1935" s="2">
        <v>27</v>
      </c>
      <c r="F1935" s="2">
        <v>60</v>
      </c>
      <c r="G1935" s="2">
        <v>169</v>
      </c>
      <c r="H1935" s="9">
        <f t="shared" si="30"/>
        <v>21.007667798746546</v>
      </c>
      <c r="I1935" s="2" t="str" cm="1">
        <f t="array" ref="I1935">_xlfn.IFS(F1935&gt;=100,"Over weight",F1935&lt;100,"Average weight")</f>
        <v>Average weight</v>
      </c>
      <c r="J1935" s="2" t="str" cm="1">
        <f t="array" ref="J1935">_xlfn.IFS(G1935&lt;164,"Below Average height",G1935&gt;=165,"Above Average height",G1935=164,"Average height")</f>
        <v>Above Average height</v>
      </c>
      <c r="K1935" s="2" t="str" cm="1">
        <f t="array" ref="K1935">_xlfn.IFS(E1935&lt;=16,"Children",E1935&lt;=30,"Young Adults",E1935&lt;=45,"Middle-aged Adults",E1935&gt;45,"Old Adults")</f>
        <v>Young Adults</v>
      </c>
    </row>
    <row r="1936" spans="1:11" x14ac:dyDescent="0.45">
      <c r="A1936" s="2">
        <v>2265</v>
      </c>
      <c r="B1936" s="2" t="s">
        <v>2369</v>
      </c>
      <c r="C1936" s="2" t="s">
        <v>98</v>
      </c>
      <c r="D1936" s="2" t="s">
        <v>44</v>
      </c>
      <c r="E1936" s="2">
        <v>22</v>
      </c>
      <c r="F1936" s="2">
        <v>65</v>
      </c>
      <c r="G1936" s="2">
        <v>178</v>
      </c>
      <c r="H1936" s="9">
        <f t="shared" si="30"/>
        <v>20.515086478979924</v>
      </c>
      <c r="I1936" s="2" t="str" cm="1">
        <f t="array" ref="I1936">_xlfn.IFS(F1936&gt;=100,"Over weight",F1936&lt;100,"Average weight")</f>
        <v>Average weight</v>
      </c>
      <c r="J1936" s="2" t="str" cm="1">
        <f t="array" ref="J1936">_xlfn.IFS(G1936&lt;164,"Below Average height",G1936&gt;=165,"Above Average height",G1936=164,"Average height")</f>
        <v>Above Average height</v>
      </c>
      <c r="K1936" s="2" t="str" cm="1">
        <f t="array" ref="K1936">_xlfn.IFS(E1936&lt;=16,"Children",E1936&lt;=30,"Young Adults",E1936&lt;=45,"Middle-aged Adults",E1936&gt;45,"Old Adults")</f>
        <v>Young Adults</v>
      </c>
    </row>
    <row r="1937" spans="1:11" x14ac:dyDescent="0.45">
      <c r="A1937" s="2">
        <v>2266</v>
      </c>
      <c r="B1937" s="2" t="s">
        <v>2370</v>
      </c>
      <c r="C1937" s="2" t="s">
        <v>93</v>
      </c>
      <c r="D1937" s="2" t="s">
        <v>71</v>
      </c>
      <c r="E1937" s="2">
        <v>32</v>
      </c>
      <c r="F1937" s="2">
        <v>80</v>
      </c>
      <c r="G1937" s="2">
        <v>185</v>
      </c>
      <c r="H1937" s="9">
        <f t="shared" si="30"/>
        <v>23.374726077428779</v>
      </c>
      <c r="I1937" s="2" t="str" cm="1">
        <f t="array" ref="I1937">_xlfn.IFS(F1937&gt;=100,"Over weight",F1937&lt;100,"Average weight")</f>
        <v>Average weight</v>
      </c>
      <c r="J1937" s="2" t="str" cm="1">
        <f t="array" ref="J1937">_xlfn.IFS(G1937&lt;164,"Below Average height",G1937&gt;=165,"Above Average height",G1937=164,"Average height")</f>
        <v>Above Average height</v>
      </c>
      <c r="K1937" s="2" t="str" cm="1">
        <f t="array" ref="K1937">_xlfn.IFS(E1937&lt;=16,"Children",E1937&lt;=30,"Young Adults",E1937&lt;=45,"Middle-aged Adults",E1937&gt;45,"Old Adults")</f>
        <v>Middle-aged Adults</v>
      </c>
    </row>
    <row r="1938" spans="1:11" x14ac:dyDescent="0.45">
      <c r="A1938" s="2">
        <v>2267</v>
      </c>
      <c r="B1938" s="2" t="s">
        <v>2371</v>
      </c>
      <c r="C1938" s="2" t="s">
        <v>85</v>
      </c>
      <c r="D1938" s="2" t="s">
        <v>75</v>
      </c>
      <c r="E1938" s="2">
        <v>25</v>
      </c>
      <c r="F1938" s="2">
        <v>63</v>
      </c>
      <c r="G1938" s="2">
        <v>167</v>
      </c>
      <c r="H1938" s="9">
        <f t="shared" si="30"/>
        <v>22.589551436050055</v>
      </c>
      <c r="I1938" s="2" t="str" cm="1">
        <f t="array" ref="I1938">_xlfn.IFS(F1938&gt;=100,"Over weight",F1938&lt;100,"Average weight")</f>
        <v>Average weight</v>
      </c>
      <c r="J1938" s="2" t="str" cm="1">
        <f t="array" ref="J1938">_xlfn.IFS(G1938&lt;164,"Below Average height",G1938&gt;=165,"Above Average height",G1938=164,"Average height")</f>
        <v>Above Average height</v>
      </c>
      <c r="K1938" s="2" t="str" cm="1">
        <f t="array" ref="K1938">_xlfn.IFS(E1938&lt;=16,"Children",E1938&lt;=30,"Young Adults",E1938&lt;=45,"Middle-aged Adults",E1938&gt;45,"Old Adults")</f>
        <v>Young Adults</v>
      </c>
    </row>
    <row r="1939" spans="1:11" x14ac:dyDescent="0.45">
      <c r="A1939" s="2">
        <v>2268</v>
      </c>
      <c r="B1939" s="2" t="s">
        <v>2372</v>
      </c>
      <c r="C1939" s="2" t="s">
        <v>91</v>
      </c>
      <c r="D1939" s="2" t="s">
        <v>80</v>
      </c>
      <c r="E1939" s="2">
        <v>25</v>
      </c>
      <c r="F1939" s="2">
        <v>90</v>
      </c>
      <c r="G1939" s="2">
        <v>185</v>
      </c>
      <c r="H1939" s="9">
        <f t="shared" si="30"/>
        <v>26.296566837107374</v>
      </c>
      <c r="I1939" s="2" t="str" cm="1">
        <f t="array" ref="I1939">_xlfn.IFS(F1939&gt;=100,"Over weight",F1939&lt;100,"Average weight")</f>
        <v>Average weight</v>
      </c>
      <c r="J1939" s="2" t="str" cm="1">
        <f t="array" ref="J1939">_xlfn.IFS(G1939&lt;164,"Below Average height",G1939&gt;=165,"Above Average height",G1939=164,"Average height")</f>
        <v>Above Average height</v>
      </c>
      <c r="K1939" s="2" t="str" cm="1">
        <f t="array" ref="K1939">_xlfn.IFS(E1939&lt;=16,"Children",E1939&lt;=30,"Young Adults",E1939&lt;=45,"Middle-aged Adults",E1939&gt;45,"Old Adults")</f>
        <v>Young Adults</v>
      </c>
    </row>
    <row r="1940" spans="1:11" x14ac:dyDescent="0.45">
      <c r="A1940" s="2">
        <v>2271</v>
      </c>
      <c r="B1940" s="2" t="s">
        <v>2375</v>
      </c>
      <c r="C1940" s="2" t="s">
        <v>90</v>
      </c>
      <c r="D1940" s="2" t="s">
        <v>41</v>
      </c>
      <c r="E1940" s="2">
        <v>36</v>
      </c>
      <c r="F1940" s="2">
        <v>88</v>
      </c>
      <c r="G1940" s="2">
        <v>175</v>
      </c>
      <c r="H1940" s="9">
        <f t="shared" si="30"/>
        <v>28.73469387755102</v>
      </c>
      <c r="I1940" s="2" t="str" cm="1">
        <f t="array" ref="I1940">_xlfn.IFS(F1940&gt;=100,"Over weight",F1940&lt;100,"Average weight")</f>
        <v>Average weight</v>
      </c>
      <c r="J1940" s="2" t="str" cm="1">
        <f t="array" ref="J1940">_xlfn.IFS(G1940&lt;164,"Below Average height",G1940&gt;=165,"Above Average height",G1940=164,"Average height")</f>
        <v>Above Average height</v>
      </c>
      <c r="K1940" s="2" t="str" cm="1">
        <f t="array" ref="K1940">_xlfn.IFS(E1940&lt;=16,"Children",E1940&lt;=30,"Young Adults",E1940&lt;=45,"Middle-aged Adults",E1940&gt;45,"Old Adults")</f>
        <v>Middle-aged Adults</v>
      </c>
    </row>
    <row r="1941" spans="1:11" x14ac:dyDescent="0.45">
      <c r="A1941" s="2">
        <v>2272</v>
      </c>
      <c r="B1941" s="2" t="s">
        <v>2376</v>
      </c>
      <c r="C1941" s="2" t="s">
        <v>96</v>
      </c>
      <c r="D1941" s="2" t="s">
        <v>60</v>
      </c>
      <c r="E1941" s="2">
        <v>27</v>
      </c>
      <c r="F1941" s="2">
        <v>43</v>
      </c>
      <c r="G1941" s="2">
        <v>200</v>
      </c>
      <c r="H1941" s="9">
        <f t="shared" si="30"/>
        <v>10.75</v>
      </c>
      <c r="I1941" s="2" t="str" cm="1">
        <f t="array" ref="I1941">_xlfn.IFS(F1941&gt;=100,"Over weight",F1941&lt;100,"Average weight")</f>
        <v>Average weight</v>
      </c>
      <c r="J1941" s="2" t="str" cm="1">
        <f t="array" ref="J1941">_xlfn.IFS(G1941&lt;164,"Below Average height",G1941&gt;=165,"Above Average height",G1941=164,"Average height")</f>
        <v>Above Average height</v>
      </c>
      <c r="K1941" s="2" t="str" cm="1">
        <f t="array" ref="K1941">_xlfn.IFS(E1941&lt;=16,"Children",E1941&lt;=30,"Young Adults",E1941&lt;=45,"Middle-aged Adults",E1941&gt;45,"Old Adults")</f>
        <v>Young Adults</v>
      </c>
    </row>
    <row r="1942" spans="1:11" x14ac:dyDescent="0.45">
      <c r="A1942" s="2">
        <v>2273</v>
      </c>
      <c r="B1942" s="2" t="s">
        <v>2377</v>
      </c>
      <c r="C1942" s="2" t="s">
        <v>94</v>
      </c>
      <c r="D1942" s="2" t="s">
        <v>60</v>
      </c>
      <c r="E1942" s="2">
        <v>34</v>
      </c>
      <c r="F1942" s="2">
        <v>43</v>
      </c>
      <c r="G1942" s="2">
        <v>200</v>
      </c>
      <c r="H1942" s="9">
        <f t="shared" si="30"/>
        <v>10.75</v>
      </c>
      <c r="I1942" s="2" t="str" cm="1">
        <f t="array" ref="I1942">_xlfn.IFS(F1942&gt;=100,"Over weight",F1942&lt;100,"Average weight")</f>
        <v>Average weight</v>
      </c>
      <c r="J1942" s="2" t="str" cm="1">
        <f t="array" ref="J1942">_xlfn.IFS(G1942&lt;164,"Below Average height",G1942&gt;=165,"Above Average height",G1942=164,"Average height")</f>
        <v>Above Average height</v>
      </c>
      <c r="K1942" s="2" t="str" cm="1">
        <f t="array" ref="K1942">_xlfn.IFS(E1942&lt;=16,"Children",E1942&lt;=30,"Young Adults",E1942&lt;=45,"Middle-aged Adults",E1942&gt;45,"Old Adults")</f>
        <v>Middle-aged Adults</v>
      </c>
    </row>
    <row r="1943" spans="1:11" x14ac:dyDescent="0.45">
      <c r="A1943" s="2">
        <v>2274</v>
      </c>
      <c r="B1943" s="2" t="s">
        <v>2378</v>
      </c>
      <c r="C1943" s="2" t="s">
        <v>91</v>
      </c>
      <c r="D1943" s="2" t="s">
        <v>74</v>
      </c>
      <c r="E1943" s="2">
        <v>20</v>
      </c>
      <c r="F1943" s="2">
        <v>75</v>
      </c>
      <c r="G1943" s="2">
        <v>172</v>
      </c>
      <c r="H1943" s="9">
        <f t="shared" si="30"/>
        <v>25.351541373715524</v>
      </c>
      <c r="I1943" s="2" t="str" cm="1">
        <f t="array" ref="I1943">_xlfn.IFS(F1943&gt;=100,"Over weight",F1943&lt;100,"Average weight")</f>
        <v>Average weight</v>
      </c>
      <c r="J1943" s="2" t="str" cm="1">
        <f t="array" ref="J1943">_xlfn.IFS(G1943&lt;164,"Below Average height",G1943&gt;=165,"Above Average height",G1943=164,"Average height")</f>
        <v>Above Average height</v>
      </c>
      <c r="K1943" s="2" t="str" cm="1">
        <f t="array" ref="K1943">_xlfn.IFS(E1943&lt;=16,"Children",E1943&lt;=30,"Young Adults",E1943&lt;=45,"Middle-aged Adults",E1943&gt;45,"Old Adults")</f>
        <v>Young Adults</v>
      </c>
    </row>
    <row r="1944" spans="1:11" x14ac:dyDescent="0.45">
      <c r="A1944" s="2">
        <v>2275</v>
      </c>
      <c r="B1944" s="2" t="s">
        <v>2379</v>
      </c>
      <c r="C1944" s="2" t="s">
        <v>88</v>
      </c>
      <c r="D1944" s="2" t="s">
        <v>60</v>
      </c>
      <c r="E1944" s="2">
        <v>24</v>
      </c>
      <c r="F1944" s="2">
        <v>43</v>
      </c>
      <c r="G1944" s="2">
        <v>200</v>
      </c>
      <c r="H1944" s="9">
        <f t="shared" si="30"/>
        <v>10.75</v>
      </c>
      <c r="I1944" s="2" t="str" cm="1">
        <f t="array" ref="I1944">_xlfn.IFS(F1944&gt;=100,"Over weight",F1944&lt;100,"Average weight")</f>
        <v>Average weight</v>
      </c>
      <c r="J1944" s="2" t="str" cm="1">
        <f t="array" ref="J1944">_xlfn.IFS(G1944&lt;164,"Below Average height",G1944&gt;=165,"Above Average height",G1944=164,"Average height")</f>
        <v>Above Average height</v>
      </c>
      <c r="K1944" s="2" t="str" cm="1">
        <f t="array" ref="K1944">_xlfn.IFS(E1944&lt;=16,"Children",E1944&lt;=30,"Young Adults",E1944&lt;=45,"Middle-aged Adults",E1944&gt;45,"Old Adults")</f>
        <v>Young Adults</v>
      </c>
    </row>
    <row r="1945" spans="1:11" x14ac:dyDescent="0.45">
      <c r="A1945" s="2">
        <v>2276</v>
      </c>
      <c r="B1945" s="2" t="s">
        <v>2380</v>
      </c>
      <c r="C1945" s="2" t="s">
        <v>85</v>
      </c>
      <c r="D1945" s="2" t="s">
        <v>60</v>
      </c>
      <c r="E1945" s="2">
        <v>27</v>
      </c>
      <c r="F1945" s="2">
        <v>43</v>
      </c>
      <c r="G1945" s="2">
        <v>200</v>
      </c>
      <c r="H1945" s="9">
        <f t="shared" si="30"/>
        <v>10.75</v>
      </c>
      <c r="I1945" s="2" t="str" cm="1">
        <f t="array" ref="I1945">_xlfn.IFS(F1945&gt;=100,"Over weight",F1945&lt;100,"Average weight")</f>
        <v>Average weight</v>
      </c>
      <c r="J1945" s="2" t="str" cm="1">
        <f t="array" ref="J1945">_xlfn.IFS(G1945&lt;164,"Below Average height",G1945&gt;=165,"Above Average height",G1945=164,"Average height")</f>
        <v>Above Average height</v>
      </c>
      <c r="K1945" s="2" t="str" cm="1">
        <f t="array" ref="K1945">_xlfn.IFS(E1945&lt;=16,"Children",E1945&lt;=30,"Young Adults",E1945&lt;=45,"Middle-aged Adults",E1945&gt;45,"Old Adults")</f>
        <v>Young Adults</v>
      </c>
    </row>
    <row r="1946" spans="1:11" x14ac:dyDescent="0.45">
      <c r="A1946" s="2">
        <v>2277</v>
      </c>
      <c r="B1946" s="2" t="s">
        <v>2381</v>
      </c>
      <c r="C1946" s="2" t="s">
        <v>95</v>
      </c>
      <c r="D1946" s="2" t="s">
        <v>80</v>
      </c>
      <c r="E1946" s="2">
        <v>22</v>
      </c>
      <c r="F1946" s="2">
        <v>70</v>
      </c>
      <c r="G1946" s="2">
        <v>165</v>
      </c>
      <c r="H1946" s="9">
        <f t="shared" si="30"/>
        <v>25.711662075298442</v>
      </c>
      <c r="I1946" s="2" t="str" cm="1">
        <f t="array" ref="I1946">_xlfn.IFS(F1946&gt;=100,"Over weight",F1946&lt;100,"Average weight")</f>
        <v>Average weight</v>
      </c>
      <c r="J1946" s="2" t="str" cm="1">
        <f t="array" ref="J1946">_xlfn.IFS(G1946&lt;164,"Below Average height",G1946&gt;=165,"Above Average height",G1946=164,"Average height")</f>
        <v>Above Average height</v>
      </c>
      <c r="K1946" s="2" t="str" cm="1">
        <f t="array" ref="K1946">_xlfn.IFS(E1946&lt;=16,"Children",E1946&lt;=30,"Young Adults",E1946&lt;=45,"Middle-aged Adults",E1946&gt;45,"Old Adults")</f>
        <v>Young Adults</v>
      </c>
    </row>
    <row r="1947" spans="1:11" x14ac:dyDescent="0.45">
      <c r="A1947" s="2">
        <v>2278</v>
      </c>
      <c r="B1947" s="2" t="s">
        <v>2382</v>
      </c>
      <c r="C1947" s="2" t="s">
        <v>89</v>
      </c>
      <c r="D1947" s="2" t="s">
        <v>80</v>
      </c>
      <c r="E1947" s="2">
        <v>23</v>
      </c>
      <c r="F1947" s="2">
        <v>68</v>
      </c>
      <c r="G1947" s="2">
        <v>173</v>
      </c>
      <c r="H1947" s="9">
        <f t="shared" si="30"/>
        <v>22.720438370810918</v>
      </c>
      <c r="I1947" s="2" t="str" cm="1">
        <f t="array" ref="I1947">_xlfn.IFS(F1947&gt;=100,"Over weight",F1947&lt;100,"Average weight")</f>
        <v>Average weight</v>
      </c>
      <c r="J1947" s="2" t="str" cm="1">
        <f t="array" ref="J1947">_xlfn.IFS(G1947&lt;164,"Below Average height",G1947&gt;=165,"Above Average height",G1947=164,"Average height")</f>
        <v>Above Average height</v>
      </c>
      <c r="K1947" s="2" t="str" cm="1">
        <f t="array" ref="K1947">_xlfn.IFS(E1947&lt;=16,"Children",E1947&lt;=30,"Young Adults",E1947&lt;=45,"Middle-aged Adults",E1947&gt;45,"Old Adults")</f>
        <v>Young Adults</v>
      </c>
    </row>
    <row r="1948" spans="1:11" x14ac:dyDescent="0.45">
      <c r="A1948" s="2">
        <v>2279</v>
      </c>
      <c r="B1948" s="2" t="s">
        <v>2383</v>
      </c>
      <c r="C1948" s="2" t="s">
        <v>88</v>
      </c>
      <c r="D1948" s="2" t="s">
        <v>8</v>
      </c>
      <c r="E1948" s="2">
        <v>32</v>
      </c>
      <c r="F1948" s="2">
        <v>73</v>
      </c>
      <c r="G1948" s="2">
        <v>177</v>
      </c>
      <c r="H1948" s="9">
        <f t="shared" si="30"/>
        <v>23.301094832264035</v>
      </c>
      <c r="I1948" s="2" t="str" cm="1">
        <f t="array" ref="I1948">_xlfn.IFS(F1948&gt;=100,"Over weight",F1948&lt;100,"Average weight")</f>
        <v>Average weight</v>
      </c>
      <c r="J1948" s="2" t="str" cm="1">
        <f t="array" ref="J1948">_xlfn.IFS(G1948&lt;164,"Below Average height",G1948&gt;=165,"Above Average height",G1948=164,"Average height")</f>
        <v>Above Average height</v>
      </c>
      <c r="K1948" s="2" t="str" cm="1">
        <f t="array" ref="K1948">_xlfn.IFS(E1948&lt;=16,"Children",E1948&lt;=30,"Young Adults",E1948&lt;=45,"Middle-aged Adults",E1948&gt;45,"Old Adults")</f>
        <v>Middle-aged Adults</v>
      </c>
    </row>
    <row r="1949" spans="1:11" x14ac:dyDescent="0.45">
      <c r="A1949" s="2">
        <v>2280</v>
      </c>
      <c r="B1949" s="2" t="s">
        <v>2384</v>
      </c>
      <c r="C1949" s="2" t="s">
        <v>91</v>
      </c>
      <c r="D1949" s="2" t="s">
        <v>14</v>
      </c>
      <c r="E1949" s="2">
        <v>23</v>
      </c>
      <c r="F1949" s="2">
        <v>66</v>
      </c>
      <c r="G1949" s="2">
        <v>173</v>
      </c>
      <c r="H1949" s="9">
        <f t="shared" si="30"/>
        <v>22.052190183434128</v>
      </c>
      <c r="I1949" s="2" t="str" cm="1">
        <f t="array" ref="I1949">_xlfn.IFS(F1949&gt;=100,"Over weight",F1949&lt;100,"Average weight")</f>
        <v>Average weight</v>
      </c>
      <c r="J1949" s="2" t="str" cm="1">
        <f t="array" ref="J1949">_xlfn.IFS(G1949&lt;164,"Below Average height",G1949&gt;=165,"Above Average height",G1949=164,"Average height")</f>
        <v>Above Average height</v>
      </c>
      <c r="K1949" s="2" t="str" cm="1">
        <f t="array" ref="K1949">_xlfn.IFS(E1949&lt;=16,"Children",E1949&lt;=30,"Young Adults",E1949&lt;=45,"Middle-aged Adults",E1949&gt;45,"Old Adults")</f>
        <v>Young Adults</v>
      </c>
    </row>
    <row r="1950" spans="1:11" x14ac:dyDescent="0.45">
      <c r="A1950" s="2">
        <v>2281</v>
      </c>
      <c r="B1950" s="2" t="s">
        <v>2385</v>
      </c>
      <c r="C1950" s="2" t="s">
        <v>88</v>
      </c>
      <c r="D1950" s="2" t="s">
        <v>63</v>
      </c>
      <c r="E1950" s="2">
        <v>21</v>
      </c>
      <c r="F1950" s="2">
        <v>62</v>
      </c>
      <c r="G1950" s="2">
        <v>178</v>
      </c>
      <c r="H1950" s="9">
        <f t="shared" si="30"/>
        <v>19.568236333796236</v>
      </c>
      <c r="I1950" s="2" t="str" cm="1">
        <f t="array" ref="I1950">_xlfn.IFS(F1950&gt;=100,"Over weight",F1950&lt;100,"Average weight")</f>
        <v>Average weight</v>
      </c>
      <c r="J1950" s="2" t="str" cm="1">
        <f t="array" ref="J1950">_xlfn.IFS(G1950&lt;164,"Below Average height",G1950&gt;=165,"Above Average height",G1950=164,"Average height")</f>
        <v>Above Average height</v>
      </c>
      <c r="K1950" s="2" t="str" cm="1">
        <f t="array" ref="K1950">_xlfn.IFS(E1950&lt;=16,"Children",E1950&lt;=30,"Young Adults",E1950&lt;=45,"Middle-aged Adults",E1950&gt;45,"Old Adults")</f>
        <v>Young Adults</v>
      </c>
    </row>
    <row r="1951" spans="1:11" x14ac:dyDescent="0.45">
      <c r="A1951" s="2">
        <v>2282</v>
      </c>
      <c r="B1951" s="2" t="s">
        <v>2386</v>
      </c>
      <c r="C1951" s="2" t="s">
        <v>86</v>
      </c>
      <c r="D1951" s="2" t="s">
        <v>28</v>
      </c>
      <c r="E1951" s="2">
        <v>30</v>
      </c>
      <c r="F1951" s="2">
        <v>43</v>
      </c>
      <c r="G1951" s="2">
        <v>175</v>
      </c>
      <c r="H1951" s="9">
        <f t="shared" si="30"/>
        <v>14.040816326530612</v>
      </c>
      <c r="I1951" s="2" t="str" cm="1">
        <f t="array" ref="I1951">_xlfn.IFS(F1951&gt;=100,"Over weight",F1951&lt;100,"Average weight")</f>
        <v>Average weight</v>
      </c>
      <c r="J1951" s="2" t="str" cm="1">
        <f t="array" ref="J1951">_xlfn.IFS(G1951&lt;164,"Below Average height",G1951&gt;=165,"Above Average height",G1951=164,"Average height")</f>
        <v>Above Average height</v>
      </c>
      <c r="K1951" s="2" t="str" cm="1">
        <f t="array" ref="K1951">_xlfn.IFS(E1951&lt;=16,"Children",E1951&lt;=30,"Young Adults",E1951&lt;=45,"Middle-aged Adults",E1951&gt;45,"Old Adults")</f>
        <v>Young Adults</v>
      </c>
    </row>
    <row r="1952" spans="1:11" x14ac:dyDescent="0.45">
      <c r="A1952" s="2">
        <v>2285</v>
      </c>
      <c r="B1952" s="2" t="s">
        <v>2389</v>
      </c>
      <c r="C1952" s="2" t="s">
        <v>88</v>
      </c>
      <c r="D1952" s="2" t="s">
        <v>33</v>
      </c>
      <c r="E1952" s="2">
        <v>37</v>
      </c>
      <c r="F1952" s="2">
        <v>72</v>
      </c>
      <c r="G1952" s="2">
        <v>182</v>
      </c>
      <c r="H1952" s="9">
        <f t="shared" si="30"/>
        <v>21.736505252988767</v>
      </c>
      <c r="I1952" s="2" t="str" cm="1">
        <f t="array" ref="I1952">_xlfn.IFS(F1952&gt;=100,"Over weight",F1952&lt;100,"Average weight")</f>
        <v>Average weight</v>
      </c>
      <c r="J1952" s="2" t="str" cm="1">
        <f t="array" ref="J1952">_xlfn.IFS(G1952&lt;164,"Below Average height",G1952&gt;=165,"Above Average height",G1952=164,"Average height")</f>
        <v>Above Average height</v>
      </c>
      <c r="K1952" s="2" t="str" cm="1">
        <f t="array" ref="K1952">_xlfn.IFS(E1952&lt;=16,"Children",E1952&lt;=30,"Young Adults",E1952&lt;=45,"Middle-aged Adults",E1952&gt;45,"Old Adults")</f>
        <v>Middle-aged Adults</v>
      </c>
    </row>
    <row r="1953" spans="1:11" x14ac:dyDescent="0.45">
      <c r="A1953" s="2">
        <v>2286</v>
      </c>
      <c r="B1953" s="2" t="s">
        <v>2390</v>
      </c>
      <c r="C1953" s="2" t="s">
        <v>94</v>
      </c>
      <c r="D1953" s="2" t="s">
        <v>33</v>
      </c>
      <c r="E1953" s="2">
        <v>33</v>
      </c>
      <c r="F1953" s="2">
        <v>78</v>
      </c>
      <c r="G1953" s="2">
        <v>182</v>
      </c>
      <c r="H1953" s="9">
        <f t="shared" si="30"/>
        <v>23.547880690737831</v>
      </c>
      <c r="I1953" s="2" t="str" cm="1">
        <f t="array" ref="I1953">_xlfn.IFS(F1953&gt;=100,"Over weight",F1953&lt;100,"Average weight")</f>
        <v>Average weight</v>
      </c>
      <c r="J1953" s="2" t="str" cm="1">
        <f t="array" ref="J1953">_xlfn.IFS(G1953&lt;164,"Below Average height",G1953&gt;=165,"Above Average height",G1953=164,"Average height")</f>
        <v>Above Average height</v>
      </c>
      <c r="K1953" s="2" t="str" cm="1">
        <f t="array" ref="K1953">_xlfn.IFS(E1953&lt;=16,"Children",E1953&lt;=30,"Young Adults",E1953&lt;=45,"Middle-aged Adults",E1953&gt;45,"Old Adults")</f>
        <v>Middle-aged Adults</v>
      </c>
    </row>
    <row r="1954" spans="1:11" x14ac:dyDescent="0.45">
      <c r="A1954" s="2">
        <v>2288</v>
      </c>
      <c r="B1954" s="2" t="s">
        <v>2392</v>
      </c>
      <c r="C1954" s="2" t="s">
        <v>86</v>
      </c>
      <c r="D1954" s="2" t="s">
        <v>41</v>
      </c>
      <c r="E1954" s="2">
        <v>23</v>
      </c>
      <c r="F1954" s="2">
        <v>43</v>
      </c>
      <c r="G1954" s="2">
        <v>165</v>
      </c>
      <c r="H1954" s="9">
        <f t="shared" si="30"/>
        <v>15.794306703397615</v>
      </c>
      <c r="I1954" s="2" t="str" cm="1">
        <f t="array" ref="I1954">_xlfn.IFS(F1954&gt;=100,"Over weight",F1954&lt;100,"Average weight")</f>
        <v>Average weight</v>
      </c>
      <c r="J1954" s="2" t="str" cm="1">
        <f t="array" ref="J1954">_xlfn.IFS(G1954&lt;164,"Below Average height",G1954&gt;=165,"Above Average height",G1954=164,"Average height")</f>
        <v>Above Average height</v>
      </c>
      <c r="K1954" s="2" t="str" cm="1">
        <f t="array" ref="K1954">_xlfn.IFS(E1954&lt;=16,"Children",E1954&lt;=30,"Young Adults",E1954&lt;=45,"Middle-aged Adults",E1954&gt;45,"Old Adults")</f>
        <v>Young Adults</v>
      </c>
    </row>
    <row r="1955" spans="1:11" x14ac:dyDescent="0.45">
      <c r="A1955" s="2">
        <v>2289</v>
      </c>
      <c r="B1955" s="2" t="s">
        <v>2393</v>
      </c>
      <c r="C1955" s="2" t="s">
        <v>97</v>
      </c>
      <c r="D1955" s="2" t="s">
        <v>41</v>
      </c>
      <c r="E1955" s="2">
        <v>29</v>
      </c>
      <c r="F1955" s="2">
        <v>63</v>
      </c>
      <c r="G1955" s="2">
        <v>171</v>
      </c>
      <c r="H1955" s="9">
        <f t="shared" si="30"/>
        <v>21.545090797168363</v>
      </c>
      <c r="I1955" s="2" t="str" cm="1">
        <f t="array" ref="I1955">_xlfn.IFS(F1955&gt;=100,"Over weight",F1955&lt;100,"Average weight")</f>
        <v>Average weight</v>
      </c>
      <c r="J1955" s="2" t="str" cm="1">
        <f t="array" ref="J1955">_xlfn.IFS(G1955&lt;164,"Below Average height",G1955&gt;=165,"Above Average height",G1955=164,"Average height")</f>
        <v>Above Average height</v>
      </c>
      <c r="K1955" s="2" t="str" cm="1">
        <f t="array" ref="K1955">_xlfn.IFS(E1955&lt;=16,"Children",E1955&lt;=30,"Young Adults",E1955&lt;=45,"Middle-aged Adults",E1955&gt;45,"Old Adults")</f>
        <v>Young Adults</v>
      </c>
    </row>
    <row r="1956" spans="1:11" x14ac:dyDescent="0.45">
      <c r="A1956" s="2">
        <v>2290</v>
      </c>
      <c r="B1956" s="2" t="s">
        <v>2394</v>
      </c>
      <c r="C1956" s="2" t="s">
        <v>98</v>
      </c>
      <c r="D1956" s="2" t="s">
        <v>41</v>
      </c>
      <c r="E1956" s="2">
        <v>22</v>
      </c>
      <c r="F1956" s="2">
        <v>66</v>
      </c>
      <c r="G1956" s="2">
        <v>170</v>
      </c>
      <c r="H1956" s="9">
        <f t="shared" si="30"/>
        <v>22.837370242214536</v>
      </c>
      <c r="I1956" s="2" t="str" cm="1">
        <f t="array" ref="I1956">_xlfn.IFS(F1956&gt;=100,"Over weight",F1956&lt;100,"Average weight")</f>
        <v>Average weight</v>
      </c>
      <c r="J1956" s="2" t="str" cm="1">
        <f t="array" ref="J1956">_xlfn.IFS(G1956&lt;164,"Below Average height",G1956&gt;=165,"Above Average height",G1956=164,"Average height")</f>
        <v>Above Average height</v>
      </c>
      <c r="K1956" s="2" t="str" cm="1">
        <f t="array" ref="K1956">_xlfn.IFS(E1956&lt;=16,"Children",E1956&lt;=30,"Young Adults",E1956&lt;=45,"Middle-aged Adults",E1956&gt;45,"Old Adults")</f>
        <v>Young Adults</v>
      </c>
    </row>
    <row r="1957" spans="1:11" x14ac:dyDescent="0.45">
      <c r="A1957" s="2">
        <v>2291</v>
      </c>
      <c r="B1957" s="2" t="s">
        <v>2395</v>
      </c>
      <c r="C1957" s="2" t="s">
        <v>92</v>
      </c>
      <c r="D1957" s="2" t="s">
        <v>41</v>
      </c>
      <c r="E1957" s="2">
        <v>22</v>
      </c>
      <c r="F1957" s="2">
        <v>61</v>
      </c>
      <c r="G1957" s="2">
        <v>175</v>
      </c>
      <c r="H1957" s="9">
        <f t="shared" si="30"/>
        <v>19.918367346938776</v>
      </c>
      <c r="I1957" s="2" t="str" cm="1">
        <f t="array" ref="I1957">_xlfn.IFS(F1957&gt;=100,"Over weight",F1957&lt;100,"Average weight")</f>
        <v>Average weight</v>
      </c>
      <c r="J1957" s="2" t="str" cm="1">
        <f t="array" ref="J1957">_xlfn.IFS(G1957&lt;164,"Below Average height",G1957&gt;=165,"Above Average height",G1957=164,"Average height")</f>
        <v>Above Average height</v>
      </c>
      <c r="K1957" s="2" t="str" cm="1">
        <f t="array" ref="K1957">_xlfn.IFS(E1957&lt;=16,"Children",E1957&lt;=30,"Young Adults",E1957&lt;=45,"Middle-aged Adults",E1957&gt;45,"Old Adults")</f>
        <v>Young Adults</v>
      </c>
    </row>
    <row r="1958" spans="1:11" x14ac:dyDescent="0.45">
      <c r="A1958" s="2">
        <v>2292</v>
      </c>
      <c r="B1958" s="2" t="s">
        <v>2396</v>
      </c>
      <c r="C1958" s="2" t="s">
        <v>93</v>
      </c>
      <c r="D1958" s="2" t="s">
        <v>41</v>
      </c>
      <c r="E1958" s="2">
        <v>26</v>
      </c>
      <c r="F1958" s="2">
        <v>64</v>
      </c>
      <c r="G1958" s="2">
        <v>165</v>
      </c>
      <c r="H1958" s="9">
        <f t="shared" si="30"/>
        <v>23.507805325987146</v>
      </c>
      <c r="I1958" s="2" t="str" cm="1">
        <f t="array" ref="I1958">_xlfn.IFS(F1958&gt;=100,"Over weight",F1958&lt;100,"Average weight")</f>
        <v>Average weight</v>
      </c>
      <c r="J1958" s="2" t="str" cm="1">
        <f t="array" ref="J1958">_xlfn.IFS(G1958&lt;164,"Below Average height",G1958&gt;=165,"Above Average height",G1958=164,"Average height")</f>
        <v>Above Average height</v>
      </c>
      <c r="K1958" s="2" t="str" cm="1">
        <f t="array" ref="K1958">_xlfn.IFS(E1958&lt;=16,"Children",E1958&lt;=30,"Young Adults",E1958&lt;=45,"Middle-aged Adults",E1958&gt;45,"Old Adults")</f>
        <v>Young Adults</v>
      </c>
    </row>
    <row r="1959" spans="1:11" x14ac:dyDescent="0.45">
      <c r="A1959" s="2">
        <v>2293</v>
      </c>
      <c r="B1959" s="2" t="s">
        <v>2397</v>
      </c>
      <c r="C1959" s="2" t="s">
        <v>87</v>
      </c>
      <c r="D1959" s="2" t="s">
        <v>41</v>
      </c>
      <c r="E1959" s="2">
        <v>36</v>
      </c>
      <c r="F1959" s="2">
        <v>86</v>
      </c>
      <c r="G1959" s="2">
        <v>177</v>
      </c>
      <c r="H1959" s="9">
        <f t="shared" si="30"/>
        <v>27.450604870886398</v>
      </c>
      <c r="I1959" s="2" t="str" cm="1">
        <f t="array" ref="I1959">_xlfn.IFS(F1959&gt;=100,"Over weight",F1959&lt;100,"Average weight")</f>
        <v>Average weight</v>
      </c>
      <c r="J1959" s="2" t="str" cm="1">
        <f t="array" ref="J1959">_xlfn.IFS(G1959&lt;164,"Below Average height",G1959&gt;=165,"Above Average height",G1959=164,"Average height")</f>
        <v>Above Average height</v>
      </c>
      <c r="K1959" s="2" t="str" cm="1">
        <f t="array" ref="K1959">_xlfn.IFS(E1959&lt;=16,"Children",E1959&lt;=30,"Young Adults",E1959&lt;=45,"Middle-aged Adults",E1959&gt;45,"Old Adults")</f>
        <v>Middle-aged Adults</v>
      </c>
    </row>
    <row r="1960" spans="1:11" x14ac:dyDescent="0.45">
      <c r="A1960" s="2">
        <v>2294</v>
      </c>
      <c r="B1960" s="2" t="s">
        <v>2398</v>
      </c>
      <c r="C1960" s="2" t="s">
        <v>86</v>
      </c>
      <c r="D1960" s="2" t="s">
        <v>79</v>
      </c>
      <c r="E1960" s="2">
        <v>22</v>
      </c>
      <c r="F1960" s="2">
        <v>43</v>
      </c>
      <c r="G1960" s="2">
        <v>177</v>
      </c>
      <c r="H1960" s="9">
        <f t="shared" si="30"/>
        <v>13.725302435443199</v>
      </c>
      <c r="I1960" s="2" t="str" cm="1">
        <f t="array" ref="I1960">_xlfn.IFS(F1960&gt;=100,"Over weight",F1960&lt;100,"Average weight")</f>
        <v>Average weight</v>
      </c>
      <c r="J1960" s="2" t="str" cm="1">
        <f t="array" ref="J1960">_xlfn.IFS(G1960&lt;164,"Below Average height",G1960&gt;=165,"Above Average height",G1960=164,"Average height")</f>
        <v>Above Average height</v>
      </c>
      <c r="K1960" s="2" t="str" cm="1">
        <f t="array" ref="K1960">_xlfn.IFS(E1960&lt;=16,"Children",E1960&lt;=30,"Young Adults",E1960&lt;=45,"Middle-aged Adults",E1960&gt;45,"Old Adults")</f>
        <v>Young Adults</v>
      </c>
    </row>
    <row r="1961" spans="1:11" x14ac:dyDescent="0.45">
      <c r="A1961" s="2">
        <v>2295</v>
      </c>
      <c r="B1961" s="2" t="s">
        <v>2399</v>
      </c>
      <c r="C1961" s="2" t="s">
        <v>91</v>
      </c>
      <c r="D1961" s="2" t="s">
        <v>74</v>
      </c>
      <c r="E1961" s="2">
        <v>31</v>
      </c>
      <c r="F1961" s="2">
        <v>98</v>
      </c>
      <c r="G1961" s="2">
        <v>193</v>
      </c>
      <c r="H1961" s="9">
        <f t="shared" si="30"/>
        <v>26.309431125667803</v>
      </c>
      <c r="I1961" s="2" t="str" cm="1">
        <f t="array" ref="I1961">_xlfn.IFS(F1961&gt;=100,"Over weight",F1961&lt;100,"Average weight")</f>
        <v>Average weight</v>
      </c>
      <c r="J1961" s="2" t="str" cm="1">
        <f t="array" ref="J1961">_xlfn.IFS(G1961&lt;164,"Below Average height",G1961&gt;=165,"Above Average height",G1961=164,"Average height")</f>
        <v>Above Average height</v>
      </c>
      <c r="K1961" s="2" t="str" cm="1">
        <f t="array" ref="K1961">_xlfn.IFS(E1961&lt;=16,"Children",E1961&lt;=30,"Young Adults",E1961&lt;=45,"Middle-aged Adults",E1961&gt;45,"Old Adults")</f>
        <v>Middle-aged Adults</v>
      </c>
    </row>
    <row r="1962" spans="1:11" x14ac:dyDescent="0.45">
      <c r="A1962" s="2">
        <v>2296</v>
      </c>
      <c r="B1962" s="2" t="s">
        <v>2400</v>
      </c>
      <c r="C1962" s="2" t="s">
        <v>97</v>
      </c>
      <c r="D1962" s="2" t="s">
        <v>25</v>
      </c>
      <c r="E1962" s="2">
        <v>28</v>
      </c>
      <c r="F1962" s="2">
        <v>56</v>
      </c>
      <c r="G1962" s="2">
        <v>166</v>
      </c>
      <c r="H1962" s="9">
        <f t="shared" si="30"/>
        <v>20.322252866889244</v>
      </c>
      <c r="I1962" s="2" t="str" cm="1">
        <f t="array" ref="I1962">_xlfn.IFS(F1962&gt;=100,"Over weight",F1962&lt;100,"Average weight")</f>
        <v>Average weight</v>
      </c>
      <c r="J1962" s="2" t="str" cm="1">
        <f t="array" ref="J1962">_xlfn.IFS(G1962&lt;164,"Below Average height",G1962&gt;=165,"Above Average height",G1962=164,"Average height")</f>
        <v>Above Average height</v>
      </c>
      <c r="K1962" s="2" t="str" cm="1">
        <f t="array" ref="K1962">_xlfn.IFS(E1962&lt;=16,"Children",E1962&lt;=30,"Young Adults",E1962&lt;=45,"Middle-aged Adults",E1962&gt;45,"Old Adults")</f>
        <v>Young Adults</v>
      </c>
    </row>
    <row r="1963" spans="1:11" x14ac:dyDescent="0.45">
      <c r="A1963" s="2">
        <v>2297</v>
      </c>
      <c r="B1963" s="2" t="s">
        <v>2401</v>
      </c>
      <c r="C1963" s="2" t="s">
        <v>94</v>
      </c>
      <c r="D1963" s="2" t="s">
        <v>75</v>
      </c>
      <c r="E1963" s="2">
        <v>23</v>
      </c>
      <c r="F1963" s="2">
        <v>72</v>
      </c>
      <c r="G1963" s="2">
        <v>183</v>
      </c>
      <c r="H1963" s="9">
        <f t="shared" si="30"/>
        <v>21.49959688255845</v>
      </c>
      <c r="I1963" s="2" t="str" cm="1">
        <f t="array" ref="I1963">_xlfn.IFS(F1963&gt;=100,"Over weight",F1963&lt;100,"Average weight")</f>
        <v>Average weight</v>
      </c>
      <c r="J1963" s="2" t="str" cm="1">
        <f t="array" ref="J1963">_xlfn.IFS(G1963&lt;164,"Below Average height",G1963&gt;=165,"Above Average height",G1963=164,"Average height")</f>
        <v>Above Average height</v>
      </c>
      <c r="K1963" s="2" t="str" cm="1">
        <f t="array" ref="K1963">_xlfn.IFS(E1963&lt;=16,"Children",E1963&lt;=30,"Young Adults",E1963&lt;=45,"Middle-aged Adults",E1963&gt;45,"Old Adults")</f>
        <v>Young Adults</v>
      </c>
    </row>
    <row r="1964" spans="1:11" x14ac:dyDescent="0.45">
      <c r="A1964" s="2">
        <v>2298</v>
      </c>
      <c r="B1964" s="2" t="s">
        <v>2402</v>
      </c>
      <c r="C1964" s="2" t="s">
        <v>94</v>
      </c>
      <c r="D1964" s="2" t="s">
        <v>23</v>
      </c>
      <c r="E1964" s="2">
        <v>20</v>
      </c>
      <c r="F1964" s="2">
        <v>86</v>
      </c>
      <c r="G1964" s="2">
        <v>193</v>
      </c>
      <c r="H1964" s="9">
        <f t="shared" si="30"/>
        <v>23.087868130688072</v>
      </c>
      <c r="I1964" s="2" t="str" cm="1">
        <f t="array" ref="I1964">_xlfn.IFS(F1964&gt;=100,"Over weight",F1964&lt;100,"Average weight")</f>
        <v>Average weight</v>
      </c>
      <c r="J1964" s="2" t="str" cm="1">
        <f t="array" ref="J1964">_xlfn.IFS(G1964&lt;164,"Below Average height",G1964&gt;=165,"Above Average height",G1964=164,"Average height")</f>
        <v>Above Average height</v>
      </c>
      <c r="K1964" s="2" t="str" cm="1">
        <f t="array" ref="K1964">_xlfn.IFS(E1964&lt;=16,"Children",E1964&lt;=30,"Young Adults",E1964&lt;=45,"Middle-aged Adults",E1964&gt;45,"Old Adults")</f>
        <v>Young Adults</v>
      </c>
    </row>
    <row r="1965" spans="1:11" x14ac:dyDescent="0.45">
      <c r="A1965" s="2">
        <v>2299</v>
      </c>
      <c r="B1965" s="2" t="s">
        <v>2403</v>
      </c>
      <c r="C1965" s="2" t="s">
        <v>91</v>
      </c>
      <c r="D1965" s="2" t="s">
        <v>17</v>
      </c>
      <c r="E1965" s="2">
        <v>23</v>
      </c>
      <c r="F1965" s="2">
        <v>67</v>
      </c>
      <c r="G1965" s="2">
        <v>175</v>
      </c>
      <c r="H1965" s="9">
        <f t="shared" si="30"/>
        <v>21.877551020408163</v>
      </c>
      <c r="I1965" s="2" t="str" cm="1">
        <f t="array" ref="I1965">_xlfn.IFS(F1965&gt;=100,"Over weight",F1965&lt;100,"Average weight")</f>
        <v>Average weight</v>
      </c>
      <c r="J1965" s="2" t="str" cm="1">
        <f t="array" ref="J1965">_xlfn.IFS(G1965&lt;164,"Below Average height",G1965&gt;=165,"Above Average height",G1965=164,"Average height")</f>
        <v>Above Average height</v>
      </c>
      <c r="K1965" s="2" t="str" cm="1">
        <f t="array" ref="K1965">_xlfn.IFS(E1965&lt;=16,"Children",E1965&lt;=30,"Young Adults",E1965&lt;=45,"Middle-aged Adults",E1965&gt;45,"Old Adults")</f>
        <v>Young Adults</v>
      </c>
    </row>
    <row r="1966" spans="1:11" x14ac:dyDescent="0.45">
      <c r="A1966" s="2">
        <v>2300</v>
      </c>
      <c r="B1966" s="2" t="s">
        <v>2404</v>
      </c>
      <c r="C1966" s="2" t="s">
        <v>97</v>
      </c>
      <c r="D1966" s="2" t="s">
        <v>60</v>
      </c>
      <c r="E1966" s="2">
        <v>24</v>
      </c>
      <c r="F1966" s="2">
        <v>43</v>
      </c>
      <c r="G1966" s="2">
        <v>181</v>
      </c>
      <c r="H1966" s="9">
        <f t="shared" si="30"/>
        <v>13.125362473672965</v>
      </c>
      <c r="I1966" s="2" t="str" cm="1">
        <f t="array" ref="I1966">_xlfn.IFS(F1966&gt;=100,"Over weight",F1966&lt;100,"Average weight")</f>
        <v>Average weight</v>
      </c>
      <c r="J1966" s="2" t="str" cm="1">
        <f t="array" ref="J1966">_xlfn.IFS(G1966&lt;164,"Below Average height",G1966&gt;=165,"Above Average height",G1966=164,"Average height")</f>
        <v>Above Average height</v>
      </c>
      <c r="K1966" s="2" t="str" cm="1">
        <f t="array" ref="K1966">_xlfn.IFS(E1966&lt;=16,"Children",E1966&lt;=30,"Young Adults",E1966&lt;=45,"Middle-aged Adults",E1966&gt;45,"Old Adults")</f>
        <v>Young Adults</v>
      </c>
    </row>
    <row r="1967" spans="1:11" x14ac:dyDescent="0.45">
      <c r="A1967" s="2">
        <v>2301</v>
      </c>
      <c r="B1967" s="2" t="s">
        <v>2405</v>
      </c>
      <c r="C1967" s="2" t="s">
        <v>88</v>
      </c>
      <c r="D1967" s="2" t="s">
        <v>14</v>
      </c>
      <c r="E1967" s="2">
        <v>21</v>
      </c>
      <c r="F1967" s="2">
        <v>59</v>
      </c>
      <c r="G1967" s="2">
        <v>170</v>
      </c>
      <c r="H1967" s="9">
        <f t="shared" si="30"/>
        <v>20.415224913494811</v>
      </c>
      <c r="I1967" s="2" t="str" cm="1">
        <f t="array" ref="I1967">_xlfn.IFS(F1967&gt;=100,"Over weight",F1967&lt;100,"Average weight")</f>
        <v>Average weight</v>
      </c>
      <c r="J1967" s="2" t="str" cm="1">
        <f t="array" ref="J1967">_xlfn.IFS(G1967&lt;164,"Below Average height",G1967&gt;=165,"Above Average height",G1967=164,"Average height")</f>
        <v>Above Average height</v>
      </c>
      <c r="K1967" s="2" t="str" cm="1">
        <f t="array" ref="K1967">_xlfn.IFS(E1967&lt;=16,"Children",E1967&lt;=30,"Young Adults",E1967&lt;=45,"Middle-aged Adults",E1967&gt;45,"Old Adults")</f>
        <v>Young Adults</v>
      </c>
    </row>
    <row r="1968" spans="1:11" x14ac:dyDescent="0.45">
      <c r="A1968" s="2">
        <v>2303</v>
      </c>
      <c r="B1968" s="2" t="s">
        <v>2407</v>
      </c>
      <c r="C1968" s="2" t="s">
        <v>95</v>
      </c>
      <c r="D1968" s="2" t="s">
        <v>65</v>
      </c>
      <c r="E1968" s="2">
        <v>22</v>
      </c>
      <c r="F1968" s="2">
        <v>85</v>
      </c>
      <c r="G1968" s="2">
        <v>177</v>
      </c>
      <c r="H1968" s="9">
        <f t="shared" si="30"/>
        <v>27.13141179099237</v>
      </c>
      <c r="I1968" s="2" t="str" cm="1">
        <f t="array" ref="I1968">_xlfn.IFS(F1968&gt;=100,"Over weight",F1968&lt;100,"Average weight")</f>
        <v>Average weight</v>
      </c>
      <c r="J1968" s="2" t="str" cm="1">
        <f t="array" ref="J1968">_xlfn.IFS(G1968&lt;164,"Below Average height",G1968&gt;=165,"Above Average height",G1968=164,"Average height")</f>
        <v>Above Average height</v>
      </c>
      <c r="K1968" s="2" t="str" cm="1">
        <f t="array" ref="K1968">_xlfn.IFS(E1968&lt;=16,"Children",E1968&lt;=30,"Young Adults",E1968&lt;=45,"Middle-aged Adults",E1968&gt;45,"Old Adults")</f>
        <v>Young Adults</v>
      </c>
    </row>
    <row r="1969" spans="1:11" x14ac:dyDescent="0.45">
      <c r="A1969" s="2">
        <v>2304</v>
      </c>
      <c r="B1969" s="2" t="s">
        <v>2408</v>
      </c>
      <c r="C1969" s="2" t="s">
        <v>100</v>
      </c>
      <c r="D1969" s="2" t="s">
        <v>41</v>
      </c>
      <c r="E1969" s="2">
        <v>27</v>
      </c>
      <c r="F1969" s="2">
        <v>78</v>
      </c>
      <c r="G1969" s="2">
        <v>177</v>
      </c>
      <c r="H1969" s="9">
        <f t="shared" si="30"/>
        <v>24.897060231734173</v>
      </c>
      <c r="I1969" s="2" t="str" cm="1">
        <f t="array" ref="I1969">_xlfn.IFS(F1969&gt;=100,"Over weight",F1969&lt;100,"Average weight")</f>
        <v>Average weight</v>
      </c>
      <c r="J1969" s="2" t="str" cm="1">
        <f t="array" ref="J1969">_xlfn.IFS(G1969&lt;164,"Below Average height",G1969&gt;=165,"Above Average height",G1969=164,"Average height")</f>
        <v>Above Average height</v>
      </c>
      <c r="K1969" s="2" t="str" cm="1">
        <f t="array" ref="K1969">_xlfn.IFS(E1969&lt;=16,"Children",E1969&lt;=30,"Young Adults",E1969&lt;=45,"Middle-aged Adults",E1969&gt;45,"Old Adults")</f>
        <v>Young Adults</v>
      </c>
    </row>
    <row r="1970" spans="1:11" x14ac:dyDescent="0.45">
      <c r="A1970" s="2">
        <v>2306</v>
      </c>
      <c r="B1970" s="2" t="s">
        <v>2410</v>
      </c>
      <c r="C1970" s="2" t="s">
        <v>88</v>
      </c>
      <c r="D1970" s="2" t="s">
        <v>66</v>
      </c>
      <c r="E1970" s="2">
        <v>29</v>
      </c>
      <c r="F1970" s="2">
        <v>73</v>
      </c>
      <c r="G1970" s="2">
        <v>173</v>
      </c>
      <c r="H1970" s="9">
        <f t="shared" si="30"/>
        <v>24.391058839252899</v>
      </c>
      <c r="I1970" s="2" t="str" cm="1">
        <f t="array" ref="I1970">_xlfn.IFS(F1970&gt;=100,"Over weight",F1970&lt;100,"Average weight")</f>
        <v>Average weight</v>
      </c>
      <c r="J1970" s="2" t="str" cm="1">
        <f t="array" ref="J1970">_xlfn.IFS(G1970&lt;164,"Below Average height",G1970&gt;=165,"Above Average height",G1970=164,"Average height")</f>
        <v>Above Average height</v>
      </c>
      <c r="K1970" s="2" t="str" cm="1">
        <f t="array" ref="K1970">_xlfn.IFS(E1970&lt;=16,"Children",E1970&lt;=30,"Young Adults",E1970&lt;=45,"Middle-aged Adults",E1970&gt;45,"Old Adults")</f>
        <v>Young Adults</v>
      </c>
    </row>
    <row r="1971" spans="1:11" x14ac:dyDescent="0.45">
      <c r="A1971" s="2">
        <v>2307</v>
      </c>
      <c r="B1971" s="2" t="s">
        <v>2411</v>
      </c>
      <c r="C1971" s="2" t="s">
        <v>88</v>
      </c>
      <c r="D1971" s="2" t="s">
        <v>66</v>
      </c>
      <c r="E1971" s="2">
        <v>27</v>
      </c>
      <c r="F1971" s="2">
        <v>65</v>
      </c>
      <c r="G1971" s="2">
        <v>169</v>
      </c>
      <c r="H1971" s="9">
        <f t="shared" si="30"/>
        <v>22.758306781975424</v>
      </c>
      <c r="I1971" s="2" t="str" cm="1">
        <f t="array" ref="I1971">_xlfn.IFS(F1971&gt;=100,"Over weight",F1971&lt;100,"Average weight")</f>
        <v>Average weight</v>
      </c>
      <c r="J1971" s="2" t="str" cm="1">
        <f t="array" ref="J1971">_xlfn.IFS(G1971&lt;164,"Below Average height",G1971&gt;=165,"Above Average height",G1971=164,"Average height")</f>
        <v>Above Average height</v>
      </c>
      <c r="K1971" s="2" t="str" cm="1">
        <f t="array" ref="K1971">_xlfn.IFS(E1971&lt;=16,"Children",E1971&lt;=30,"Young Adults",E1971&lt;=45,"Middle-aged Adults",E1971&gt;45,"Old Adults")</f>
        <v>Young Adults</v>
      </c>
    </row>
    <row r="1972" spans="1:11" x14ac:dyDescent="0.45">
      <c r="A1972" s="2">
        <v>2308</v>
      </c>
      <c r="B1972" s="2" t="s">
        <v>2412</v>
      </c>
      <c r="C1972" s="2" t="s">
        <v>88</v>
      </c>
      <c r="D1972" s="2" t="s">
        <v>80</v>
      </c>
      <c r="E1972" s="2">
        <v>33</v>
      </c>
      <c r="F1972" s="2">
        <v>82</v>
      </c>
      <c r="G1972" s="2">
        <v>180</v>
      </c>
      <c r="H1972" s="9">
        <f t="shared" si="30"/>
        <v>25.308641975308639</v>
      </c>
      <c r="I1972" s="2" t="str" cm="1">
        <f t="array" ref="I1972">_xlfn.IFS(F1972&gt;=100,"Over weight",F1972&lt;100,"Average weight")</f>
        <v>Average weight</v>
      </c>
      <c r="J1972" s="2" t="str" cm="1">
        <f t="array" ref="J1972">_xlfn.IFS(G1972&lt;164,"Below Average height",G1972&gt;=165,"Above Average height",G1972=164,"Average height")</f>
        <v>Above Average height</v>
      </c>
      <c r="K1972" s="2" t="str" cm="1">
        <f t="array" ref="K1972">_xlfn.IFS(E1972&lt;=16,"Children",E1972&lt;=30,"Young Adults",E1972&lt;=45,"Middle-aged Adults",E1972&gt;45,"Old Adults")</f>
        <v>Middle-aged Adults</v>
      </c>
    </row>
    <row r="1973" spans="1:11" x14ac:dyDescent="0.45">
      <c r="A1973" s="2">
        <v>2309</v>
      </c>
      <c r="B1973" s="2" t="s">
        <v>2413</v>
      </c>
      <c r="C1973" s="2" t="s">
        <v>94</v>
      </c>
      <c r="D1973" s="2" t="s">
        <v>28</v>
      </c>
      <c r="E1973" s="2">
        <v>30</v>
      </c>
      <c r="F1973" s="2">
        <v>85</v>
      </c>
      <c r="G1973" s="2">
        <v>186</v>
      </c>
      <c r="H1973" s="9">
        <f t="shared" si="30"/>
        <v>24.56931437160365</v>
      </c>
      <c r="I1973" s="2" t="str" cm="1">
        <f t="array" ref="I1973">_xlfn.IFS(F1973&gt;=100,"Over weight",F1973&lt;100,"Average weight")</f>
        <v>Average weight</v>
      </c>
      <c r="J1973" s="2" t="str" cm="1">
        <f t="array" ref="J1973">_xlfn.IFS(G1973&lt;164,"Below Average height",G1973&gt;=165,"Above Average height",G1973=164,"Average height")</f>
        <v>Above Average height</v>
      </c>
      <c r="K1973" s="2" t="str" cm="1">
        <f t="array" ref="K1973">_xlfn.IFS(E1973&lt;=16,"Children",E1973&lt;=30,"Young Adults",E1973&lt;=45,"Middle-aged Adults",E1973&gt;45,"Old Adults")</f>
        <v>Young Adults</v>
      </c>
    </row>
    <row r="1974" spans="1:11" x14ac:dyDescent="0.45">
      <c r="A1974" s="2">
        <v>2310</v>
      </c>
      <c r="B1974" s="2" t="s">
        <v>2414</v>
      </c>
      <c r="C1974" s="2" t="s">
        <v>94</v>
      </c>
      <c r="D1974" s="2" t="s">
        <v>24</v>
      </c>
      <c r="E1974" s="2">
        <v>35</v>
      </c>
      <c r="F1974" s="2">
        <v>63</v>
      </c>
      <c r="G1974" s="2">
        <v>177</v>
      </c>
      <c r="H1974" s="9">
        <f t="shared" si="30"/>
        <v>20.109164033323754</v>
      </c>
      <c r="I1974" s="2" t="str" cm="1">
        <f t="array" ref="I1974">_xlfn.IFS(F1974&gt;=100,"Over weight",F1974&lt;100,"Average weight")</f>
        <v>Average weight</v>
      </c>
      <c r="J1974" s="2" t="str" cm="1">
        <f t="array" ref="J1974">_xlfn.IFS(G1974&lt;164,"Below Average height",G1974&gt;=165,"Above Average height",G1974=164,"Average height")</f>
        <v>Above Average height</v>
      </c>
      <c r="K1974" s="2" t="str" cm="1">
        <f t="array" ref="K1974">_xlfn.IFS(E1974&lt;=16,"Children",E1974&lt;=30,"Young Adults",E1974&lt;=45,"Middle-aged Adults",E1974&gt;45,"Old Adults")</f>
        <v>Middle-aged Adults</v>
      </c>
    </row>
    <row r="1975" spans="1:11" x14ac:dyDescent="0.45">
      <c r="A1975" s="2">
        <v>2312</v>
      </c>
      <c r="B1975" s="2" t="s">
        <v>2416</v>
      </c>
      <c r="C1975" s="2" t="s">
        <v>98</v>
      </c>
      <c r="D1975" s="2" t="s">
        <v>58</v>
      </c>
      <c r="E1975" s="2">
        <v>20</v>
      </c>
      <c r="F1975" s="2">
        <v>73</v>
      </c>
      <c r="G1975" s="2">
        <v>182</v>
      </c>
      <c r="H1975" s="9">
        <f t="shared" si="30"/>
        <v>22.03840115928028</v>
      </c>
      <c r="I1975" s="2" t="str" cm="1">
        <f t="array" ref="I1975">_xlfn.IFS(F1975&gt;=100,"Over weight",F1975&lt;100,"Average weight")</f>
        <v>Average weight</v>
      </c>
      <c r="J1975" s="2" t="str" cm="1">
        <f t="array" ref="J1975">_xlfn.IFS(G1975&lt;164,"Below Average height",G1975&gt;=165,"Above Average height",G1975=164,"Average height")</f>
        <v>Above Average height</v>
      </c>
      <c r="K1975" s="2" t="str" cm="1">
        <f t="array" ref="K1975">_xlfn.IFS(E1975&lt;=16,"Children",E1975&lt;=30,"Young Adults",E1975&lt;=45,"Middle-aged Adults",E1975&gt;45,"Old Adults")</f>
        <v>Young Adults</v>
      </c>
    </row>
    <row r="1976" spans="1:11" x14ac:dyDescent="0.45">
      <c r="A1976" s="2">
        <v>2314</v>
      </c>
      <c r="B1976" s="2" t="s">
        <v>2418</v>
      </c>
      <c r="C1976" s="2" t="s">
        <v>94</v>
      </c>
      <c r="D1976" s="2" t="s">
        <v>49</v>
      </c>
      <c r="E1976" s="2">
        <v>25</v>
      </c>
      <c r="F1976" s="2">
        <v>60</v>
      </c>
      <c r="G1976" s="2">
        <v>168</v>
      </c>
      <c r="H1976" s="9">
        <f t="shared" si="30"/>
        <v>21.258503401360546</v>
      </c>
      <c r="I1976" s="2" t="str" cm="1">
        <f t="array" ref="I1976">_xlfn.IFS(F1976&gt;=100,"Over weight",F1976&lt;100,"Average weight")</f>
        <v>Average weight</v>
      </c>
      <c r="J1976" s="2" t="str" cm="1">
        <f t="array" ref="J1976">_xlfn.IFS(G1976&lt;164,"Below Average height",G1976&gt;=165,"Above Average height",G1976=164,"Average height")</f>
        <v>Above Average height</v>
      </c>
      <c r="K1976" s="2" t="str" cm="1">
        <f t="array" ref="K1976">_xlfn.IFS(E1976&lt;=16,"Children",E1976&lt;=30,"Young Adults",E1976&lt;=45,"Middle-aged Adults",E1976&gt;45,"Old Adults")</f>
        <v>Young Adults</v>
      </c>
    </row>
    <row r="1977" spans="1:11" x14ac:dyDescent="0.45">
      <c r="A1977" s="2">
        <v>2315</v>
      </c>
      <c r="B1977" s="2" t="s">
        <v>2419</v>
      </c>
      <c r="C1977" s="2" t="s">
        <v>85</v>
      </c>
      <c r="D1977" s="2" t="s">
        <v>73</v>
      </c>
      <c r="E1977" s="2">
        <v>22</v>
      </c>
      <c r="F1977" s="2">
        <v>85</v>
      </c>
      <c r="G1977" s="2">
        <v>178</v>
      </c>
      <c r="H1977" s="9">
        <f t="shared" si="30"/>
        <v>26.82742078020452</v>
      </c>
      <c r="I1977" s="2" t="str" cm="1">
        <f t="array" ref="I1977">_xlfn.IFS(F1977&gt;=100,"Over weight",F1977&lt;100,"Average weight")</f>
        <v>Average weight</v>
      </c>
      <c r="J1977" s="2" t="str" cm="1">
        <f t="array" ref="J1977">_xlfn.IFS(G1977&lt;164,"Below Average height",G1977&gt;=165,"Above Average height",G1977=164,"Average height")</f>
        <v>Above Average height</v>
      </c>
      <c r="K1977" s="2" t="str" cm="1">
        <f t="array" ref="K1977">_xlfn.IFS(E1977&lt;=16,"Children",E1977&lt;=30,"Young Adults",E1977&lt;=45,"Middle-aged Adults",E1977&gt;45,"Old Adults")</f>
        <v>Young Adults</v>
      </c>
    </row>
    <row r="1978" spans="1:11" x14ac:dyDescent="0.45">
      <c r="A1978" s="2">
        <v>2316</v>
      </c>
      <c r="B1978" s="2" t="s">
        <v>2420</v>
      </c>
      <c r="C1978" s="2" t="s">
        <v>90</v>
      </c>
      <c r="D1978" s="2" t="s">
        <v>70</v>
      </c>
      <c r="E1978" s="2">
        <v>35</v>
      </c>
      <c r="F1978" s="2">
        <v>105</v>
      </c>
      <c r="G1978" s="2">
        <v>182</v>
      </c>
      <c r="H1978" s="9">
        <f t="shared" si="30"/>
        <v>31.69907016060862</v>
      </c>
      <c r="I1978" s="2" t="str" cm="1">
        <f t="array" ref="I1978">_xlfn.IFS(F1978&gt;=100,"Over weight",F1978&lt;100,"Average weight")</f>
        <v>Over weight</v>
      </c>
      <c r="J1978" s="2" t="str" cm="1">
        <f t="array" ref="J1978">_xlfn.IFS(G1978&lt;164,"Below Average height",G1978&gt;=165,"Above Average height",G1978=164,"Average height")</f>
        <v>Above Average height</v>
      </c>
      <c r="K1978" s="2" t="str" cm="1">
        <f t="array" ref="K1978">_xlfn.IFS(E1978&lt;=16,"Children",E1978&lt;=30,"Young Adults",E1978&lt;=45,"Middle-aged Adults",E1978&gt;45,"Old Adults")</f>
        <v>Middle-aged Adults</v>
      </c>
    </row>
    <row r="1979" spans="1:11" x14ac:dyDescent="0.45">
      <c r="A1979" s="2">
        <v>2317</v>
      </c>
      <c r="B1979" s="2" t="s">
        <v>2421</v>
      </c>
      <c r="C1979" s="2" t="s">
        <v>93</v>
      </c>
      <c r="D1979" s="2" t="s">
        <v>80</v>
      </c>
      <c r="E1979" s="2">
        <v>23</v>
      </c>
      <c r="F1979" s="2">
        <v>61</v>
      </c>
      <c r="G1979" s="2">
        <v>170</v>
      </c>
      <c r="H1979" s="9">
        <f t="shared" si="30"/>
        <v>21.107266435986162</v>
      </c>
      <c r="I1979" s="2" t="str" cm="1">
        <f t="array" ref="I1979">_xlfn.IFS(F1979&gt;=100,"Over weight",F1979&lt;100,"Average weight")</f>
        <v>Average weight</v>
      </c>
      <c r="J1979" s="2" t="str" cm="1">
        <f t="array" ref="J1979">_xlfn.IFS(G1979&lt;164,"Below Average height",G1979&gt;=165,"Above Average height",G1979=164,"Average height")</f>
        <v>Above Average height</v>
      </c>
      <c r="K1979" s="2" t="str" cm="1">
        <f t="array" ref="K1979">_xlfn.IFS(E1979&lt;=16,"Children",E1979&lt;=30,"Young Adults",E1979&lt;=45,"Middle-aged Adults",E1979&gt;45,"Old Adults")</f>
        <v>Young Adults</v>
      </c>
    </row>
    <row r="1980" spans="1:11" x14ac:dyDescent="0.45">
      <c r="A1980" s="2">
        <v>2318</v>
      </c>
      <c r="B1980" s="2" t="s">
        <v>2422</v>
      </c>
      <c r="C1980" s="2" t="s">
        <v>85</v>
      </c>
      <c r="D1980" s="2" t="s">
        <v>39</v>
      </c>
      <c r="E1980" s="2">
        <v>31</v>
      </c>
      <c r="F1980" s="2">
        <v>80</v>
      </c>
      <c r="G1980" s="2">
        <v>177</v>
      </c>
      <c r="H1980" s="9">
        <f t="shared" si="30"/>
        <v>25.535446391522228</v>
      </c>
      <c r="I1980" s="2" t="str" cm="1">
        <f t="array" ref="I1980">_xlfn.IFS(F1980&gt;=100,"Over weight",F1980&lt;100,"Average weight")</f>
        <v>Average weight</v>
      </c>
      <c r="J1980" s="2" t="str" cm="1">
        <f t="array" ref="J1980">_xlfn.IFS(G1980&lt;164,"Below Average height",G1980&gt;=165,"Above Average height",G1980=164,"Average height")</f>
        <v>Above Average height</v>
      </c>
      <c r="K1980" s="2" t="str" cm="1">
        <f t="array" ref="K1980">_xlfn.IFS(E1980&lt;=16,"Children",E1980&lt;=30,"Young Adults",E1980&lt;=45,"Middle-aged Adults",E1980&gt;45,"Old Adults")</f>
        <v>Middle-aged Adults</v>
      </c>
    </row>
    <row r="1981" spans="1:11" x14ac:dyDescent="0.45">
      <c r="A1981" s="2">
        <v>2320</v>
      </c>
      <c r="B1981" s="2" t="s">
        <v>2424</v>
      </c>
      <c r="C1981" s="2" t="s">
        <v>91</v>
      </c>
      <c r="D1981" s="2" t="s">
        <v>80</v>
      </c>
      <c r="E1981" s="2">
        <v>35</v>
      </c>
      <c r="F1981" s="2">
        <v>91</v>
      </c>
      <c r="G1981" s="2">
        <v>180</v>
      </c>
      <c r="H1981" s="9">
        <f t="shared" si="30"/>
        <v>28.086419753086417</v>
      </c>
      <c r="I1981" s="2" t="str" cm="1">
        <f t="array" ref="I1981">_xlfn.IFS(F1981&gt;=100,"Over weight",F1981&lt;100,"Average weight")</f>
        <v>Average weight</v>
      </c>
      <c r="J1981" s="2" t="str" cm="1">
        <f t="array" ref="J1981">_xlfn.IFS(G1981&lt;164,"Below Average height",G1981&gt;=165,"Above Average height",G1981=164,"Average height")</f>
        <v>Above Average height</v>
      </c>
      <c r="K1981" s="2" t="str" cm="1">
        <f t="array" ref="K1981">_xlfn.IFS(E1981&lt;=16,"Children",E1981&lt;=30,"Young Adults",E1981&lt;=45,"Middle-aged Adults",E1981&gt;45,"Old Adults")</f>
        <v>Middle-aged Adults</v>
      </c>
    </row>
    <row r="1982" spans="1:11" x14ac:dyDescent="0.45">
      <c r="A1982" s="2">
        <v>2321</v>
      </c>
      <c r="B1982" s="2" t="s">
        <v>2425</v>
      </c>
      <c r="C1982" s="2" t="s">
        <v>94</v>
      </c>
      <c r="D1982" s="2" t="s">
        <v>22</v>
      </c>
      <c r="E1982" s="2">
        <v>32</v>
      </c>
      <c r="F1982" s="2">
        <v>71</v>
      </c>
      <c r="G1982" s="2">
        <v>187</v>
      </c>
      <c r="H1982" s="9">
        <f t="shared" si="30"/>
        <v>20.303697560696612</v>
      </c>
      <c r="I1982" s="2" t="str" cm="1">
        <f t="array" ref="I1982">_xlfn.IFS(F1982&gt;=100,"Over weight",F1982&lt;100,"Average weight")</f>
        <v>Average weight</v>
      </c>
      <c r="J1982" s="2" t="str" cm="1">
        <f t="array" ref="J1982">_xlfn.IFS(G1982&lt;164,"Below Average height",G1982&gt;=165,"Above Average height",G1982=164,"Average height")</f>
        <v>Above Average height</v>
      </c>
      <c r="K1982" s="2" t="str" cm="1">
        <f t="array" ref="K1982">_xlfn.IFS(E1982&lt;=16,"Children",E1982&lt;=30,"Young Adults",E1982&lt;=45,"Middle-aged Adults",E1982&gt;45,"Old Adults")</f>
        <v>Middle-aged Adults</v>
      </c>
    </row>
    <row r="1983" spans="1:11" x14ac:dyDescent="0.45">
      <c r="A1983" s="2">
        <v>2322</v>
      </c>
      <c r="B1983" s="2" t="s">
        <v>2426</v>
      </c>
      <c r="C1983" s="2" t="s">
        <v>91</v>
      </c>
      <c r="D1983" s="2" t="s">
        <v>60</v>
      </c>
      <c r="E1983" s="2">
        <v>26</v>
      </c>
      <c r="F1983" s="2">
        <v>86</v>
      </c>
      <c r="G1983" s="2">
        <v>180</v>
      </c>
      <c r="H1983" s="9">
        <f t="shared" si="30"/>
        <v>26.543209876543209</v>
      </c>
      <c r="I1983" s="2" t="str" cm="1">
        <f t="array" ref="I1983">_xlfn.IFS(F1983&gt;=100,"Over weight",F1983&lt;100,"Average weight")</f>
        <v>Average weight</v>
      </c>
      <c r="J1983" s="2" t="str" cm="1">
        <f t="array" ref="J1983">_xlfn.IFS(G1983&lt;164,"Below Average height",G1983&gt;=165,"Above Average height",G1983=164,"Average height")</f>
        <v>Above Average height</v>
      </c>
      <c r="K1983" s="2" t="str" cm="1">
        <f t="array" ref="K1983">_xlfn.IFS(E1983&lt;=16,"Children",E1983&lt;=30,"Young Adults",E1983&lt;=45,"Middle-aged Adults",E1983&gt;45,"Old Adults")</f>
        <v>Young Adults</v>
      </c>
    </row>
    <row r="1984" spans="1:11" x14ac:dyDescent="0.45">
      <c r="A1984" s="2">
        <v>2323</v>
      </c>
      <c r="B1984" s="2" t="s">
        <v>2427</v>
      </c>
      <c r="C1984" s="2" t="s">
        <v>91</v>
      </c>
      <c r="D1984" s="2" t="s">
        <v>14</v>
      </c>
      <c r="E1984" s="2">
        <v>30</v>
      </c>
      <c r="F1984" s="2">
        <v>107</v>
      </c>
      <c r="G1984" s="2">
        <v>193</v>
      </c>
      <c r="H1984" s="9">
        <f t="shared" si="30"/>
        <v>28.725603371902601</v>
      </c>
      <c r="I1984" s="2" t="str" cm="1">
        <f t="array" ref="I1984">_xlfn.IFS(F1984&gt;=100,"Over weight",F1984&lt;100,"Average weight")</f>
        <v>Over weight</v>
      </c>
      <c r="J1984" s="2" t="str" cm="1">
        <f t="array" ref="J1984">_xlfn.IFS(G1984&lt;164,"Below Average height",G1984&gt;=165,"Above Average height",G1984=164,"Average height")</f>
        <v>Above Average height</v>
      </c>
      <c r="K1984" s="2" t="str" cm="1">
        <f t="array" ref="K1984">_xlfn.IFS(E1984&lt;=16,"Children",E1984&lt;=30,"Young Adults",E1984&lt;=45,"Middle-aged Adults",E1984&gt;45,"Old Adults")</f>
        <v>Young Adults</v>
      </c>
    </row>
    <row r="1985" spans="1:11" x14ac:dyDescent="0.45">
      <c r="A1985" s="2">
        <v>2324</v>
      </c>
      <c r="B1985" s="2" t="s">
        <v>2428</v>
      </c>
      <c r="C1985" s="2" t="s">
        <v>85</v>
      </c>
      <c r="D1985" s="2" t="s">
        <v>34</v>
      </c>
      <c r="E1985" s="2">
        <v>25</v>
      </c>
      <c r="F1985" s="2">
        <v>86</v>
      </c>
      <c r="G1985" s="2">
        <v>183</v>
      </c>
      <c r="H1985" s="9">
        <f t="shared" si="30"/>
        <v>25.680074054167036</v>
      </c>
      <c r="I1985" s="2" t="str" cm="1">
        <f t="array" ref="I1985">_xlfn.IFS(F1985&gt;=100,"Over weight",F1985&lt;100,"Average weight")</f>
        <v>Average weight</v>
      </c>
      <c r="J1985" s="2" t="str" cm="1">
        <f t="array" ref="J1985">_xlfn.IFS(G1985&lt;164,"Below Average height",G1985&gt;=165,"Above Average height",G1985=164,"Average height")</f>
        <v>Above Average height</v>
      </c>
      <c r="K1985" s="2" t="str" cm="1">
        <f t="array" ref="K1985">_xlfn.IFS(E1985&lt;=16,"Children",E1985&lt;=30,"Young Adults",E1985&lt;=45,"Middle-aged Adults",E1985&gt;45,"Old Adults")</f>
        <v>Young Adults</v>
      </c>
    </row>
    <row r="1986" spans="1:11" x14ac:dyDescent="0.45">
      <c r="A1986" s="2">
        <v>2325</v>
      </c>
      <c r="B1986" s="2" t="s">
        <v>2429</v>
      </c>
      <c r="C1986" s="2" t="s">
        <v>93</v>
      </c>
      <c r="D1986" s="2" t="s">
        <v>26</v>
      </c>
      <c r="E1986" s="2">
        <v>18</v>
      </c>
      <c r="F1986" s="2">
        <v>60</v>
      </c>
      <c r="G1986" s="2">
        <v>167</v>
      </c>
      <c r="H1986" s="9">
        <f t="shared" ref="H1986:H2049" si="31" xml:space="preserve"> F1986 / (( G1986/ 100) ^ 2)</f>
        <v>21.513858510523864</v>
      </c>
      <c r="I1986" s="2" t="str" cm="1">
        <f t="array" ref="I1986">_xlfn.IFS(F1986&gt;=100,"Over weight",F1986&lt;100,"Average weight")</f>
        <v>Average weight</v>
      </c>
      <c r="J1986" s="2" t="str" cm="1">
        <f t="array" ref="J1986">_xlfn.IFS(G1986&lt;164,"Below Average height",G1986&gt;=165,"Above Average height",G1986=164,"Average height")</f>
        <v>Above Average height</v>
      </c>
      <c r="K1986" s="2" t="str" cm="1">
        <f t="array" ref="K1986">_xlfn.IFS(E1986&lt;=16,"Children",E1986&lt;=30,"Young Adults",E1986&lt;=45,"Middle-aged Adults",E1986&gt;45,"Old Adults")</f>
        <v>Young Adults</v>
      </c>
    </row>
    <row r="1987" spans="1:11" x14ac:dyDescent="0.45">
      <c r="A1987" s="2">
        <v>2326</v>
      </c>
      <c r="B1987" s="2" t="s">
        <v>2430</v>
      </c>
      <c r="C1987" s="2" t="s">
        <v>91</v>
      </c>
      <c r="D1987" s="2" t="s">
        <v>25</v>
      </c>
      <c r="E1987" s="2">
        <v>23</v>
      </c>
      <c r="F1987" s="2">
        <v>66</v>
      </c>
      <c r="G1987" s="2">
        <v>170</v>
      </c>
      <c r="H1987" s="9">
        <f t="shared" si="31"/>
        <v>22.837370242214536</v>
      </c>
      <c r="I1987" s="2" t="str" cm="1">
        <f t="array" ref="I1987">_xlfn.IFS(F1987&gt;=100,"Over weight",F1987&lt;100,"Average weight")</f>
        <v>Average weight</v>
      </c>
      <c r="J1987" s="2" t="str" cm="1">
        <f t="array" ref="J1987">_xlfn.IFS(G1987&lt;164,"Below Average height",G1987&gt;=165,"Above Average height",G1987=164,"Average height")</f>
        <v>Above Average height</v>
      </c>
      <c r="K1987" s="2" t="str" cm="1">
        <f t="array" ref="K1987">_xlfn.IFS(E1987&lt;=16,"Children",E1987&lt;=30,"Young Adults",E1987&lt;=45,"Middle-aged Adults",E1987&gt;45,"Old Adults")</f>
        <v>Young Adults</v>
      </c>
    </row>
    <row r="1988" spans="1:11" x14ac:dyDescent="0.45">
      <c r="A1988" s="2">
        <v>2327</v>
      </c>
      <c r="B1988" s="2" t="s">
        <v>2431</v>
      </c>
      <c r="C1988" s="2" t="s">
        <v>91</v>
      </c>
      <c r="D1988" s="2" t="s">
        <v>74</v>
      </c>
      <c r="E1988" s="2">
        <v>24</v>
      </c>
      <c r="F1988" s="2">
        <v>62</v>
      </c>
      <c r="G1988" s="2">
        <v>168</v>
      </c>
      <c r="H1988" s="9">
        <f t="shared" si="31"/>
        <v>21.9671201814059</v>
      </c>
      <c r="I1988" s="2" t="str" cm="1">
        <f t="array" ref="I1988">_xlfn.IFS(F1988&gt;=100,"Over weight",F1988&lt;100,"Average weight")</f>
        <v>Average weight</v>
      </c>
      <c r="J1988" s="2" t="str" cm="1">
        <f t="array" ref="J1988">_xlfn.IFS(G1988&lt;164,"Below Average height",G1988&gt;=165,"Above Average height",G1988=164,"Average height")</f>
        <v>Above Average height</v>
      </c>
      <c r="K1988" s="2" t="str" cm="1">
        <f t="array" ref="K1988">_xlfn.IFS(E1988&lt;=16,"Children",E1988&lt;=30,"Young Adults",E1988&lt;=45,"Middle-aged Adults",E1988&gt;45,"Old Adults")</f>
        <v>Young Adults</v>
      </c>
    </row>
    <row r="1989" spans="1:11" x14ac:dyDescent="0.45">
      <c r="A1989" s="2">
        <v>2328</v>
      </c>
      <c r="B1989" s="2" t="s">
        <v>2432</v>
      </c>
      <c r="C1989" s="2" t="s">
        <v>90</v>
      </c>
      <c r="D1989" s="2" t="s">
        <v>66</v>
      </c>
      <c r="E1989" s="2">
        <v>37</v>
      </c>
      <c r="F1989" s="2">
        <v>73</v>
      </c>
      <c r="G1989" s="2">
        <v>173</v>
      </c>
      <c r="H1989" s="9">
        <f t="shared" si="31"/>
        <v>24.391058839252899</v>
      </c>
      <c r="I1989" s="2" t="str" cm="1">
        <f t="array" ref="I1989">_xlfn.IFS(F1989&gt;=100,"Over weight",F1989&lt;100,"Average weight")</f>
        <v>Average weight</v>
      </c>
      <c r="J1989" s="2" t="str" cm="1">
        <f t="array" ref="J1989">_xlfn.IFS(G1989&lt;164,"Below Average height",G1989&gt;=165,"Above Average height",G1989=164,"Average height")</f>
        <v>Above Average height</v>
      </c>
      <c r="K1989" s="2" t="str" cm="1">
        <f t="array" ref="K1989">_xlfn.IFS(E1989&lt;=16,"Children",E1989&lt;=30,"Young Adults",E1989&lt;=45,"Middle-aged Adults",E1989&gt;45,"Old Adults")</f>
        <v>Middle-aged Adults</v>
      </c>
    </row>
    <row r="1990" spans="1:11" x14ac:dyDescent="0.45">
      <c r="A1990" s="2">
        <v>2329</v>
      </c>
      <c r="B1990" s="2" t="s">
        <v>2433</v>
      </c>
      <c r="C1990" s="2" t="s">
        <v>91</v>
      </c>
      <c r="D1990" s="2" t="s">
        <v>25</v>
      </c>
      <c r="E1990" s="2">
        <v>34</v>
      </c>
      <c r="F1990" s="2">
        <v>88</v>
      </c>
      <c r="G1990" s="2">
        <v>178</v>
      </c>
      <c r="H1990" s="9">
        <f t="shared" si="31"/>
        <v>27.774270925388208</v>
      </c>
      <c r="I1990" s="2" t="str" cm="1">
        <f t="array" ref="I1990">_xlfn.IFS(F1990&gt;=100,"Over weight",F1990&lt;100,"Average weight")</f>
        <v>Average weight</v>
      </c>
      <c r="J1990" s="2" t="str" cm="1">
        <f t="array" ref="J1990">_xlfn.IFS(G1990&lt;164,"Below Average height",G1990&gt;=165,"Above Average height",G1990=164,"Average height")</f>
        <v>Above Average height</v>
      </c>
      <c r="K1990" s="2" t="str" cm="1">
        <f t="array" ref="K1990">_xlfn.IFS(E1990&lt;=16,"Children",E1990&lt;=30,"Young Adults",E1990&lt;=45,"Middle-aged Adults",E1990&gt;45,"Old Adults")</f>
        <v>Middle-aged Adults</v>
      </c>
    </row>
    <row r="1991" spans="1:11" x14ac:dyDescent="0.45">
      <c r="A1991" s="2">
        <v>2330</v>
      </c>
      <c r="B1991" s="2" t="s">
        <v>2434</v>
      </c>
      <c r="C1991" s="2" t="s">
        <v>95</v>
      </c>
      <c r="D1991" s="2" t="s">
        <v>46</v>
      </c>
      <c r="E1991" s="2">
        <v>26</v>
      </c>
      <c r="F1991" s="2">
        <v>67</v>
      </c>
      <c r="G1991" s="2">
        <v>172</v>
      </c>
      <c r="H1991" s="9">
        <f t="shared" si="31"/>
        <v>22.647376960519203</v>
      </c>
      <c r="I1991" s="2" t="str" cm="1">
        <f t="array" ref="I1991">_xlfn.IFS(F1991&gt;=100,"Over weight",F1991&lt;100,"Average weight")</f>
        <v>Average weight</v>
      </c>
      <c r="J1991" s="2" t="str" cm="1">
        <f t="array" ref="J1991">_xlfn.IFS(G1991&lt;164,"Below Average height",G1991&gt;=165,"Above Average height",G1991=164,"Average height")</f>
        <v>Above Average height</v>
      </c>
      <c r="K1991" s="2" t="str" cm="1">
        <f t="array" ref="K1991">_xlfn.IFS(E1991&lt;=16,"Children",E1991&lt;=30,"Young Adults",E1991&lt;=45,"Middle-aged Adults",E1991&gt;45,"Old Adults")</f>
        <v>Young Adults</v>
      </c>
    </row>
    <row r="1992" spans="1:11" x14ac:dyDescent="0.45">
      <c r="A1992" s="2">
        <v>2331</v>
      </c>
      <c r="B1992" s="2" t="s">
        <v>2435</v>
      </c>
      <c r="C1992" s="2" t="s">
        <v>90</v>
      </c>
      <c r="D1992" s="2" t="s">
        <v>28</v>
      </c>
      <c r="E1992" s="2">
        <v>25</v>
      </c>
      <c r="F1992" s="2">
        <v>75</v>
      </c>
      <c r="G1992" s="2">
        <v>170</v>
      </c>
      <c r="H1992" s="9">
        <f t="shared" si="31"/>
        <v>25.95155709342561</v>
      </c>
      <c r="I1992" s="2" t="str" cm="1">
        <f t="array" ref="I1992">_xlfn.IFS(F1992&gt;=100,"Over weight",F1992&lt;100,"Average weight")</f>
        <v>Average weight</v>
      </c>
      <c r="J1992" s="2" t="str" cm="1">
        <f t="array" ref="J1992">_xlfn.IFS(G1992&lt;164,"Below Average height",G1992&gt;=165,"Above Average height",G1992=164,"Average height")</f>
        <v>Above Average height</v>
      </c>
      <c r="K1992" s="2" t="str" cm="1">
        <f t="array" ref="K1992">_xlfn.IFS(E1992&lt;=16,"Children",E1992&lt;=30,"Young Adults",E1992&lt;=45,"Middle-aged Adults",E1992&gt;45,"Old Adults")</f>
        <v>Young Adults</v>
      </c>
    </row>
    <row r="1993" spans="1:11" x14ac:dyDescent="0.45">
      <c r="A1993" s="2">
        <v>2332</v>
      </c>
      <c r="B1993" s="2" t="s">
        <v>2436</v>
      </c>
      <c r="C1993" s="2" t="s">
        <v>85</v>
      </c>
      <c r="D1993" s="2" t="s">
        <v>26</v>
      </c>
      <c r="E1993" s="2">
        <v>23</v>
      </c>
      <c r="F1993" s="2">
        <v>81</v>
      </c>
      <c r="G1993" s="2">
        <v>184</v>
      </c>
      <c r="H1993" s="9">
        <f t="shared" si="31"/>
        <v>23.92485822306238</v>
      </c>
      <c r="I1993" s="2" t="str" cm="1">
        <f t="array" ref="I1993">_xlfn.IFS(F1993&gt;=100,"Over weight",F1993&lt;100,"Average weight")</f>
        <v>Average weight</v>
      </c>
      <c r="J1993" s="2" t="str" cm="1">
        <f t="array" ref="J1993">_xlfn.IFS(G1993&lt;164,"Below Average height",G1993&gt;=165,"Above Average height",G1993=164,"Average height")</f>
        <v>Above Average height</v>
      </c>
      <c r="K1993" s="2" t="str" cm="1">
        <f t="array" ref="K1993">_xlfn.IFS(E1993&lt;=16,"Children",E1993&lt;=30,"Young Adults",E1993&lt;=45,"Middle-aged Adults",E1993&gt;45,"Old Adults")</f>
        <v>Young Adults</v>
      </c>
    </row>
    <row r="1994" spans="1:11" x14ac:dyDescent="0.45">
      <c r="A1994" s="2">
        <v>2333</v>
      </c>
      <c r="B1994" s="2" t="s">
        <v>2437</v>
      </c>
      <c r="C1994" s="2" t="s">
        <v>91</v>
      </c>
      <c r="D1994" s="2" t="s">
        <v>66</v>
      </c>
      <c r="E1994" s="2">
        <v>25</v>
      </c>
      <c r="F1994" s="2">
        <v>63</v>
      </c>
      <c r="G1994" s="2">
        <v>170</v>
      </c>
      <c r="H1994" s="9">
        <f t="shared" si="31"/>
        <v>21.79930795847751</v>
      </c>
      <c r="I1994" s="2" t="str" cm="1">
        <f t="array" ref="I1994">_xlfn.IFS(F1994&gt;=100,"Over weight",F1994&lt;100,"Average weight")</f>
        <v>Average weight</v>
      </c>
      <c r="J1994" s="2" t="str" cm="1">
        <f t="array" ref="J1994">_xlfn.IFS(G1994&lt;164,"Below Average height",G1994&gt;=165,"Above Average height",G1994=164,"Average height")</f>
        <v>Above Average height</v>
      </c>
      <c r="K1994" s="2" t="str" cm="1">
        <f t="array" ref="K1994">_xlfn.IFS(E1994&lt;=16,"Children",E1994&lt;=30,"Young Adults",E1994&lt;=45,"Middle-aged Adults",E1994&gt;45,"Old Adults")</f>
        <v>Young Adults</v>
      </c>
    </row>
    <row r="1995" spans="1:11" x14ac:dyDescent="0.45">
      <c r="A1995" s="2">
        <v>2334</v>
      </c>
      <c r="B1995" s="2" t="s">
        <v>2438</v>
      </c>
      <c r="C1995" s="2" t="s">
        <v>88</v>
      </c>
      <c r="D1995" s="2" t="s">
        <v>23</v>
      </c>
      <c r="E1995" s="2">
        <v>33</v>
      </c>
      <c r="F1995" s="2">
        <v>73</v>
      </c>
      <c r="G1995" s="2">
        <v>184</v>
      </c>
      <c r="H1995" s="9">
        <f t="shared" si="31"/>
        <v>21.561909262759922</v>
      </c>
      <c r="I1995" s="2" t="str" cm="1">
        <f t="array" ref="I1995">_xlfn.IFS(F1995&gt;=100,"Over weight",F1995&lt;100,"Average weight")</f>
        <v>Average weight</v>
      </c>
      <c r="J1995" s="2" t="str" cm="1">
        <f t="array" ref="J1995">_xlfn.IFS(G1995&lt;164,"Below Average height",G1995&gt;=165,"Above Average height",G1995=164,"Average height")</f>
        <v>Above Average height</v>
      </c>
      <c r="K1995" s="2" t="str" cm="1">
        <f t="array" ref="K1995">_xlfn.IFS(E1995&lt;=16,"Children",E1995&lt;=30,"Young Adults",E1995&lt;=45,"Middle-aged Adults",E1995&gt;45,"Old Adults")</f>
        <v>Middle-aged Adults</v>
      </c>
    </row>
    <row r="1996" spans="1:11" x14ac:dyDescent="0.45">
      <c r="A1996" s="2">
        <v>2335</v>
      </c>
      <c r="B1996" s="2" t="s">
        <v>2439</v>
      </c>
      <c r="C1996" s="2" t="s">
        <v>92</v>
      </c>
      <c r="D1996" s="2" t="s">
        <v>41</v>
      </c>
      <c r="E1996" s="2">
        <v>20</v>
      </c>
      <c r="F1996" s="2">
        <v>58</v>
      </c>
      <c r="G1996" s="2">
        <v>174</v>
      </c>
      <c r="H1996" s="9">
        <f t="shared" si="31"/>
        <v>19.157088122605362</v>
      </c>
      <c r="I1996" s="2" t="str" cm="1">
        <f t="array" ref="I1996">_xlfn.IFS(F1996&gt;=100,"Over weight",F1996&lt;100,"Average weight")</f>
        <v>Average weight</v>
      </c>
      <c r="J1996" s="2" t="str" cm="1">
        <f t="array" ref="J1996">_xlfn.IFS(G1996&lt;164,"Below Average height",G1996&gt;=165,"Above Average height",G1996=164,"Average height")</f>
        <v>Above Average height</v>
      </c>
      <c r="K1996" s="2" t="str" cm="1">
        <f t="array" ref="K1996">_xlfn.IFS(E1996&lt;=16,"Children",E1996&lt;=30,"Young Adults",E1996&lt;=45,"Middle-aged Adults",E1996&gt;45,"Old Adults")</f>
        <v>Young Adults</v>
      </c>
    </row>
    <row r="1997" spans="1:11" x14ac:dyDescent="0.45">
      <c r="A1997" s="2">
        <v>2336</v>
      </c>
      <c r="B1997" s="2" t="s">
        <v>2440</v>
      </c>
      <c r="C1997" s="2" t="s">
        <v>91</v>
      </c>
      <c r="D1997" s="2" t="s">
        <v>14</v>
      </c>
      <c r="E1997" s="2">
        <v>21</v>
      </c>
      <c r="F1997" s="2">
        <v>95</v>
      </c>
      <c r="G1997" s="2">
        <v>188</v>
      </c>
      <c r="H1997" s="9">
        <f t="shared" si="31"/>
        <v>26.878678134902671</v>
      </c>
      <c r="I1997" s="2" t="str" cm="1">
        <f t="array" ref="I1997">_xlfn.IFS(F1997&gt;=100,"Over weight",F1997&lt;100,"Average weight")</f>
        <v>Average weight</v>
      </c>
      <c r="J1997" s="2" t="str" cm="1">
        <f t="array" ref="J1997">_xlfn.IFS(G1997&lt;164,"Below Average height",G1997&gt;=165,"Above Average height",G1997=164,"Average height")</f>
        <v>Above Average height</v>
      </c>
      <c r="K1997" s="2" t="str" cm="1">
        <f t="array" ref="K1997">_xlfn.IFS(E1997&lt;=16,"Children",E1997&lt;=30,"Young Adults",E1997&lt;=45,"Middle-aged Adults",E1997&gt;45,"Old Adults")</f>
        <v>Young Adults</v>
      </c>
    </row>
    <row r="1998" spans="1:11" x14ac:dyDescent="0.45">
      <c r="A1998" s="2">
        <v>2337</v>
      </c>
      <c r="B1998" s="2" t="s">
        <v>2441</v>
      </c>
      <c r="C1998" s="2" t="s">
        <v>88</v>
      </c>
      <c r="D1998" s="2" t="s">
        <v>65</v>
      </c>
      <c r="E1998" s="2">
        <v>31</v>
      </c>
      <c r="F1998" s="2">
        <v>60</v>
      </c>
      <c r="G1998" s="2">
        <v>172</v>
      </c>
      <c r="H1998" s="9">
        <f t="shared" si="31"/>
        <v>20.281233098972418</v>
      </c>
      <c r="I1998" s="2" t="str" cm="1">
        <f t="array" ref="I1998">_xlfn.IFS(F1998&gt;=100,"Over weight",F1998&lt;100,"Average weight")</f>
        <v>Average weight</v>
      </c>
      <c r="J1998" s="2" t="str" cm="1">
        <f t="array" ref="J1998">_xlfn.IFS(G1998&lt;164,"Below Average height",G1998&gt;=165,"Above Average height",G1998=164,"Average height")</f>
        <v>Above Average height</v>
      </c>
      <c r="K1998" s="2" t="str" cm="1">
        <f t="array" ref="K1998">_xlfn.IFS(E1998&lt;=16,"Children",E1998&lt;=30,"Young Adults",E1998&lt;=45,"Middle-aged Adults",E1998&gt;45,"Old Adults")</f>
        <v>Middle-aged Adults</v>
      </c>
    </row>
    <row r="1999" spans="1:11" x14ac:dyDescent="0.45">
      <c r="A1999" s="2">
        <v>2338</v>
      </c>
      <c r="B1999" s="2" t="s">
        <v>2442</v>
      </c>
      <c r="C1999" s="2" t="s">
        <v>85</v>
      </c>
      <c r="D1999" s="2" t="s">
        <v>0</v>
      </c>
      <c r="E1999" s="2">
        <v>23</v>
      </c>
      <c r="F1999" s="2">
        <v>74</v>
      </c>
      <c r="G1999" s="2">
        <v>181</v>
      </c>
      <c r="H1999" s="9">
        <f t="shared" si="31"/>
        <v>22.587833094227893</v>
      </c>
      <c r="I1999" s="2" t="str" cm="1">
        <f t="array" ref="I1999">_xlfn.IFS(F1999&gt;=100,"Over weight",F1999&lt;100,"Average weight")</f>
        <v>Average weight</v>
      </c>
      <c r="J1999" s="2" t="str" cm="1">
        <f t="array" ref="J1999">_xlfn.IFS(G1999&lt;164,"Below Average height",G1999&gt;=165,"Above Average height",G1999=164,"Average height")</f>
        <v>Above Average height</v>
      </c>
      <c r="K1999" s="2" t="str" cm="1">
        <f t="array" ref="K1999">_xlfn.IFS(E1999&lt;=16,"Children",E1999&lt;=30,"Young Adults",E1999&lt;=45,"Middle-aged Adults",E1999&gt;45,"Old Adults")</f>
        <v>Young Adults</v>
      </c>
    </row>
    <row r="2000" spans="1:11" x14ac:dyDescent="0.45">
      <c r="A2000" s="2">
        <v>2339</v>
      </c>
      <c r="B2000" s="2" t="s">
        <v>2443</v>
      </c>
      <c r="C2000" s="2" t="s">
        <v>91</v>
      </c>
      <c r="D2000" s="2" t="s">
        <v>60</v>
      </c>
      <c r="E2000" s="2">
        <v>25</v>
      </c>
      <c r="F2000" s="2">
        <v>96</v>
      </c>
      <c r="G2000" s="2">
        <v>188</v>
      </c>
      <c r="H2000" s="9">
        <f t="shared" si="31"/>
        <v>27.16161158895428</v>
      </c>
      <c r="I2000" s="2" t="str" cm="1">
        <f t="array" ref="I2000">_xlfn.IFS(F2000&gt;=100,"Over weight",F2000&lt;100,"Average weight")</f>
        <v>Average weight</v>
      </c>
      <c r="J2000" s="2" t="str" cm="1">
        <f t="array" ref="J2000">_xlfn.IFS(G2000&lt;164,"Below Average height",G2000&gt;=165,"Above Average height",G2000=164,"Average height")</f>
        <v>Above Average height</v>
      </c>
      <c r="K2000" s="2" t="str" cm="1">
        <f t="array" ref="K2000">_xlfn.IFS(E2000&lt;=16,"Children",E2000&lt;=30,"Young Adults",E2000&lt;=45,"Middle-aged Adults",E2000&gt;45,"Old Adults")</f>
        <v>Young Adults</v>
      </c>
    </row>
    <row r="2001" spans="1:11" x14ac:dyDescent="0.45">
      <c r="A2001" s="2">
        <v>2340</v>
      </c>
      <c r="B2001" s="2" t="s">
        <v>2444</v>
      </c>
      <c r="C2001" s="2" t="s">
        <v>90</v>
      </c>
      <c r="D2001" s="2" t="s">
        <v>80</v>
      </c>
      <c r="E2001" s="2">
        <v>29</v>
      </c>
      <c r="F2001" s="2">
        <v>102</v>
      </c>
      <c r="G2001" s="2">
        <v>185</v>
      </c>
      <c r="H2001" s="9">
        <f t="shared" si="31"/>
        <v>29.802775748721693</v>
      </c>
      <c r="I2001" s="2" t="str" cm="1">
        <f t="array" ref="I2001">_xlfn.IFS(F2001&gt;=100,"Over weight",F2001&lt;100,"Average weight")</f>
        <v>Over weight</v>
      </c>
      <c r="J2001" s="2" t="str" cm="1">
        <f t="array" ref="J2001">_xlfn.IFS(G2001&lt;164,"Below Average height",G2001&gt;=165,"Above Average height",G2001=164,"Average height")</f>
        <v>Above Average height</v>
      </c>
      <c r="K2001" s="2" t="str" cm="1">
        <f t="array" ref="K2001">_xlfn.IFS(E2001&lt;=16,"Children",E2001&lt;=30,"Young Adults",E2001&lt;=45,"Middle-aged Adults",E2001&gt;45,"Old Adults")</f>
        <v>Young Adults</v>
      </c>
    </row>
    <row r="2002" spans="1:11" x14ac:dyDescent="0.45">
      <c r="A2002" s="2">
        <v>2341</v>
      </c>
      <c r="B2002" s="2" t="s">
        <v>2445</v>
      </c>
      <c r="C2002" s="2" t="s">
        <v>91</v>
      </c>
      <c r="D2002" s="2" t="s">
        <v>70</v>
      </c>
      <c r="E2002" s="2">
        <v>21</v>
      </c>
      <c r="F2002" s="2">
        <v>73</v>
      </c>
      <c r="G2002" s="2">
        <v>176</v>
      </c>
      <c r="H2002" s="9">
        <f t="shared" si="31"/>
        <v>23.566632231404959</v>
      </c>
      <c r="I2002" s="2" t="str" cm="1">
        <f t="array" ref="I2002">_xlfn.IFS(F2002&gt;=100,"Over weight",F2002&lt;100,"Average weight")</f>
        <v>Average weight</v>
      </c>
      <c r="J2002" s="2" t="str" cm="1">
        <f t="array" ref="J2002">_xlfn.IFS(G2002&lt;164,"Below Average height",G2002&gt;=165,"Above Average height",G2002=164,"Average height")</f>
        <v>Above Average height</v>
      </c>
      <c r="K2002" s="2" t="str" cm="1">
        <f t="array" ref="K2002">_xlfn.IFS(E2002&lt;=16,"Children",E2002&lt;=30,"Young Adults",E2002&lt;=45,"Middle-aged Adults",E2002&gt;45,"Old Adults")</f>
        <v>Young Adults</v>
      </c>
    </row>
    <row r="2003" spans="1:11" x14ac:dyDescent="0.45">
      <c r="A2003" s="2">
        <v>2342</v>
      </c>
      <c r="B2003" s="2" t="s">
        <v>2446</v>
      </c>
      <c r="C2003" s="2" t="s">
        <v>86</v>
      </c>
      <c r="D2003" s="2" t="s">
        <v>17</v>
      </c>
      <c r="E2003" s="2">
        <v>30</v>
      </c>
      <c r="F2003" s="2">
        <v>43</v>
      </c>
      <c r="G2003" s="2">
        <v>180</v>
      </c>
      <c r="H2003" s="9">
        <f t="shared" si="31"/>
        <v>13.271604938271604</v>
      </c>
      <c r="I2003" s="2" t="str" cm="1">
        <f t="array" ref="I2003">_xlfn.IFS(F2003&gt;=100,"Over weight",F2003&lt;100,"Average weight")</f>
        <v>Average weight</v>
      </c>
      <c r="J2003" s="2" t="str" cm="1">
        <f t="array" ref="J2003">_xlfn.IFS(G2003&lt;164,"Below Average height",G2003&gt;=165,"Above Average height",G2003=164,"Average height")</f>
        <v>Above Average height</v>
      </c>
      <c r="K2003" s="2" t="str" cm="1">
        <f t="array" ref="K2003">_xlfn.IFS(E2003&lt;=16,"Children",E2003&lt;=30,"Young Adults",E2003&lt;=45,"Middle-aged Adults",E2003&gt;45,"Old Adults")</f>
        <v>Young Adults</v>
      </c>
    </row>
    <row r="2004" spans="1:11" x14ac:dyDescent="0.45">
      <c r="A2004" s="2">
        <v>2343</v>
      </c>
      <c r="B2004" s="2" t="s">
        <v>2447</v>
      </c>
      <c r="C2004" s="2" t="s">
        <v>85</v>
      </c>
      <c r="D2004" s="2" t="s">
        <v>3</v>
      </c>
      <c r="E2004" s="2">
        <v>31</v>
      </c>
      <c r="F2004" s="2">
        <v>72</v>
      </c>
      <c r="G2004" s="2">
        <v>171</v>
      </c>
      <c r="H2004" s="9">
        <f t="shared" si="31"/>
        <v>24.622960911049557</v>
      </c>
      <c r="I2004" s="2" t="str" cm="1">
        <f t="array" ref="I2004">_xlfn.IFS(F2004&gt;=100,"Over weight",F2004&lt;100,"Average weight")</f>
        <v>Average weight</v>
      </c>
      <c r="J2004" s="2" t="str" cm="1">
        <f t="array" ref="J2004">_xlfn.IFS(G2004&lt;164,"Below Average height",G2004&gt;=165,"Above Average height",G2004=164,"Average height")</f>
        <v>Above Average height</v>
      </c>
      <c r="K2004" s="2" t="str" cm="1">
        <f t="array" ref="K2004">_xlfn.IFS(E2004&lt;=16,"Children",E2004&lt;=30,"Young Adults",E2004&lt;=45,"Middle-aged Adults",E2004&gt;45,"Old Adults")</f>
        <v>Middle-aged Adults</v>
      </c>
    </row>
    <row r="2005" spans="1:11" x14ac:dyDescent="0.45">
      <c r="A2005" s="2">
        <v>2344</v>
      </c>
      <c r="B2005" s="2" t="s">
        <v>2448</v>
      </c>
      <c r="C2005" s="2" t="s">
        <v>90</v>
      </c>
      <c r="D2005" s="2" t="s">
        <v>39</v>
      </c>
      <c r="E2005" s="2">
        <v>40</v>
      </c>
      <c r="F2005" s="2">
        <v>43</v>
      </c>
      <c r="G2005" s="2">
        <v>200</v>
      </c>
      <c r="H2005" s="9">
        <f t="shared" si="31"/>
        <v>10.75</v>
      </c>
      <c r="I2005" s="2" t="str" cm="1">
        <f t="array" ref="I2005">_xlfn.IFS(F2005&gt;=100,"Over weight",F2005&lt;100,"Average weight")</f>
        <v>Average weight</v>
      </c>
      <c r="J2005" s="2" t="str" cm="1">
        <f t="array" ref="J2005">_xlfn.IFS(G2005&lt;164,"Below Average height",G2005&gt;=165,"Above Average height",G2005=164,"Average height")</f>
        <v>Above Average height</v>
      </c>
      <c r="K2005" s="2" t="str" cm="1">
        <f t="array" ref="K2005">_xlfn.IFS(E2005&lt;=16,"Children",E2005&lt;=30,"Young Adults",E2005&lt;=45,"Middle-aged Adults",E2005&gt;45,"Old Adults")</f>
        <v>Middle-aged Adults</v>
      </c>
    </row>
    <row r="2006" spans="1:11" x14ac:dyDescent="0.45">
      <c r="A2006" s="2">
        <v>2345</v>
      </c>
      <c r="B2006" s="2" t="s">
        <v>2449</v>
      </c>
      <c r="C2006" s="2" t="s">
        <v>94</v>
      </c>
      <c r="D2006" s="2" t="s">
        <v>75</v>
      </c>
      <c r="E2006" s="2">
        <v>25</v>
      </c>
      <c r="F2006" s="2">
        <v>65</v>
      </c>
      <c r="G2006" s="2">
        <v>175</v>
      </c>
      <c r="H2006" s="9">
        <f t="shared" si="31"/>
        <v>21.224489795918366</v>
      </c>
      <c r="I2006" s="2" t="str" cm="1">
        <f t="array" ref="I2006">_xlfn.IFS(F2006&gt;=100,"Over weight",F2006&lt;100,"Average weight")</f>
        <v>Average weight</v>
      </c>
      <c r="J2006" s="2" t="str" cm="1">
        <f t="array" ref="J2006">_xlfn.IFS(G2006&lt;164,"Below Average height",G2006&gt;=165,"Above Average height",G2006=164,"Average height")</f>
        <v>Above Average height</v>
      </c>
      <c r="K2006" s="2" t="str" cm="1">
        <f t="array" ref="K2006">_xlfn.IFS(E2006&lt;=16,"Children",E2006&lt;=30,"Young Adults",E2006&lt;=45,"Middle-aged Adults",E2006&gt;45,"Old Adults")</f>
        <v>Young Adults</v>
      </c>
    </row>
    <row r="2007" spans="1:11" x14ac:dyDescent="0.45">
      <c r="A2007" s="2">
        <v>2346</v>
      </c>
      <c r="B2007" s="2" t="s">
        <v>2450</v>
      </c>
      <c r="C2007" s="2" t="s">
        <v>97</v>
      </c>
      <c r="D2007" s="2" t="s">
        <v>79</v>
      </c>
      <c r="E2007" s="2">
        <v>25</v>
      </c>
      <c r="F2007" s="2">
        <v>67</v>
      </c>
      <c r="G2007" s="2">
        <v>176</v>
      </c>
      <c r="H2007" s="9">
        <f t="shared" si="31"/>
        <v>21.629648760330578</v>
      </c>
      <c r="I2007" s="2" t="str" cm="1">
        <f t="array" ref="I2007">_xlfn.IFS(F2007&gt;=100,"Over weight",F2007&lt;100,"Average weight")</f>
        <v>Average weight</v>
      </c>
      <c r="J2007" s="2" t="str" cm="1">
        <f t="array" ref="J2007">_xlfn.IFS(G2007&lt;164,"Below Average height",G2007&gt;=165,"Above Average height",G2007=164,"Average height")</f>
        <v>Above Average height</v>
      </c>
      <c r="K2007" s="2" t="str" cm="1">
        <f t="array" ref="K2007">_xlfn.IFS(E2007&lt;=16,"Children",E2007&lt;=30,"Young Adults",E2007&lt;=45,"Middle-aged Adults",E2007&gt;45,"Old Adults")</f>
        <v>Young Adults</v>
      </c>
    </row>
    <row r="2008" spans="1:11" x14ac:dyDescent="0.45">
      <c r="A2008" s="2">
        <v>2347</v>
      </c>
      <c r="B2008" s="2" t="s">
        <v>2451</v>
      </c>
      <c r="C2008" s="2" t="s">
        <v>86</v>
      </c>
      <c r="D2008" s="2" t="s">
        <v>66</v>
      </c>
      <c r="E2008" s="2">
        <v>26</v>
      </c>
      <c r="F2008" s="2">
        <v>41</v>
      </c>
      <c r="G2008" s="2">
        <v>186</v>
      </c>
      <c r="H2008" s="9">
        <f t="shared" si="31"/>
        <v>11.851081049832349</v>
      </c>
      <c r="I2008" s="2" t="str" cm="1">
        <f t="array" ref="I2008">_xlfn.IFS(F2008&gt;=100,"Over weight",F2008&lt;100,"Average weight")</f>
        <v>Average weight</v>
      </c>
      <c r="J2008" s="2" t="str" cm="1">
        <f t="array" ref="J2008">_xlfn.IFS(G2008&lt;164,"Below Average height",G2008&gt;=165,"Above Average height",G2008=164,"Average height")</f>
        <v>Above Average height</v>
      </c>
      <c r="K2008" s="2" t="str" cm="1">
        <f t="array" ref="K2008">_xlfn.IFS(E2008&lt;=16,"Children",E2008&lt;=30,"Young Adults",E2008&lt;=45,"Middle-aged Adults",E2008&gt;45,"Old Adults")</f>
        <v>Young Adults</v>
      </c>
    </row>
    <row r="2009" spans="1:11" x14ac:dyDescent="0.45">
      <c r="A2009" s="2">
        <v>2348</v>
      </c>
      <c r="B2009" s="2" t="s">
        <v>2452</v>
      </c>
      <c r="C2009" s="2" t="s">
        <v>85</v>
      </c>
      <c r="D2009" s="2" t="s">
        <v>15</v>
      </c>
      <c r="E2009" s="2">
        <v>22</v>
      </c>
      <c r="F2009" s="2">
        <v>86</v>
      </c>
      <c r="G2009" s="2">
        <v>180</v>
      </c>
      <c r="H2009" s="9">
        <f t="shared" si="31"/>
        <v>26.543209876543209</v>
      </c>
      <c r="I2009" s="2" t="str" cm="1">
        <f t="array" ref="I2009">_xlfn.IFS(F2009&gt;=100,"Over weight",F2009&lt;100,"Average weight")</f>
        <v>Average weight</v>
      </c>
      <c r="J2009" s="2" t="str" cm="1">
        <f t="array" ref="J2009">_xlfn.IFS(G2009&lt;164,"Below Average height",G2009&gt;=165,"Above Average height",G2009=164,"Average height")</f>
        <v>Above Average height</v>
      </c>
      <c r="K2009" s="2" t="str" cm="1">
        <f t="array" ref="K2009">_xlfn.IFS(E2009&lt;=16,"Children",E2009&lt;=30,"Young Adults",E2009&lt;=45,"Middle-aged Adults",E2009&gt;45,"Old Adults")</f>
        <v>Young Adults</v>
      </c>
    </row>
    <row r="2010" spans="1:11" x14ac:dyDescent="0.45">
      <c r="A2010" s="2">
        <v>2349</v>
      </c>
      <c r="B2010" s="2" t="s">
        <v>2453</v>
      </c>
      <c r="C2010" s="2" t="s">
        <v>85</v>
      </c>
      <c r="D2010" s="2" t="s">
        <v>21</v>
      </c>
      <c r="E2010" s="2">
        <v>25</v>
      </c>
      <c r="F2010" s="2">
        <v>99</v>
      </c>
      <c r="G2010" s="2">
        <v>193</v>
      </c>
      <c r="H2010" s="9">
        <f t="shared" si="31"/>
        <v>26.577894708582782</v>
      </c>
      <c r="I2010" s="2" t="str" cm="1">
        <f t="array" ref="I2010">_xlfn.IFS(F2010&gt;=100,"Over weight",F2010&lt;100,"Average weight")</f>
        <v>Average weight</v>
      </c>
      <c r="J2010" s="2" t="str" cm="1">
        <f t="array" ref="J2010">_xlfn.IFS(G2010&lt;164,"Below Average height",G2010&gt;=165,"Above Average height",G2010=164,"Average height")</f>
        <v>Above Average height</v>
      </c>
      <c r="K2010" s="2" t="str" cm="1">
        <f t="array" ref="K2010">_xlfn.IFS(E2010&lt;=16,"Children",E2010&lt;=30,"Young Adults",E2010&lt;=45,"Middle-aged Adults",E2010&gt;45,"Old Adults")</f>
        <v>Young Adults</v>
      </c>
    </row>
    <row r="2011" spans="1:11" x14ac:dyDescent="0.45">
      <c r="A2011" s="2">
        <v>2350</v>
      </c>
      <c r="B2011" s="2" t="s">
        <v>2454</v>
      </c>
      <c r="C2011" s="2" t="s">
        <v>85</v>
      </c>
      <c r="D2011" s="2" t="s">
        <v>45</v>
      </c>
      <c r="E2011" s="2">
        <v>26</v>
      </c>
      <c r="F2011" s="2">
        <v>75</v>
      </c>
      <c r="G2011" s="2">
        <v>182</v>
      </c>
      <c r="H2011" s="9">
        <f t="shared" si="31"/>
        <v>22.642192971863299</v>
      </c>
      <c r="I2011" s="2" t="str" cm="1">
        <f t="array" ref="I2011">_xlfn.IFS(F2011&gt;=100,"Over weight",F2011&lt;100,"Average weight")</f>
        <v>Average weight</v>
      </c>
      <c r="J2011" s="2" t="str" cm="1">
        <f t="array" ref="J2011">_xlfn.IFS(G2011&lt;164,"Below Average height",G2011&gt;=165,"Above Average height",G2011=164,"Average height")</f>
        <v>Above Average height</v>
      </c>
      <c r="K2011" s="2" t="str" cm="1">
        <f t="array" ref="K2011">_xlfn.IFS(E2011&lt;=16,"Children",E2011&lt;=30,"Young Adults",E2011&lt;=45,"Middle-aged Adults",E2011&gt;45,"Old Adults")</f>
        <v>Young Adults</v>
      </c>
    </row>
    <row r="2012" spans="1:11" x14ac:dyDescent="0.45">
      <c r="A2012" s="2">
        <v>2351</v>
      </c>
      <c r="B2012" s="2" t="s">
        <v>2455</v>
      </c>
      <c r="C2012" s="2" t="s">
        <v>98</v>
      </c>
      <c r="D2012" s="2" t="s">
        <v>14</v>
      </c>
      <c r="E2012" s="2">
        <v>29</v>
      </c>
      <c r="F2012" s="2">
        <v>73</v>
      </c>
      <c r="G2012" s="2">
        <v>173</v>
      </c>
      <c r="H2012" s="9">
        <f t="shared" si="31"/>
        <v>24.391058839252899</v>
      </c>
      <c r="I2012" s="2" t="str" cm="1">
        <f t="array" ref="I2012">_xlfn.IFS(F2012&gt;=100,"Over weight",F2012&lt;100,"Average weight")</f>
        <v>Average weight</v>
      </c>
      <c r="J2012" s="2" t="str" cm="1">
        <f t="array" ref="J2012">_xlfn.IFS(G2012&lt;164,"Below Average height",G2012&gt;=165,"Above Average height",G2012=164,"Average height")</f>
        <v>Above Average height</v>
      </c>
      <c r="K2012" s="2" t="str" cm="1">
        <f t="array" ref="K2012">_xlfn.IFS(E2012&lt;=16,"Children",E2012&lt;=30,"Young Adults",E2012&lt;=45,"Middle-aged Adults",E2012&gt;45,"Old Adults")</f>
        <v>Young Adults</v>
      </c>
    </row>
    <row r="2013" spans="1:11" x14ac:dyDescent="0.45">
      <c r="A2013" s="2">
        <v>2352</v>
      </c>
      <c r="B2013" s="2" t="s">
        <v>2456</v>
      </c>
      <c r="C2013" s="2" t="s">
        <v>100</v>
      </c>
      <c r="D2013" s="2" t="s">
        <v>66</v>
      </c>
      <c r="E2013" s="2">
        <v>24</v>
      </c>
      <c r="F2013" s="2">
        <v>72</v>
      </c>
      <c r="G2013" s="2">
        <v>184</v>
      </c>
      <c r="H2013" s="9">
        <f t="shared" si="31"/>
        <v>21.266540642722116</v>
      </c>
      <c r="I2013" s="2" t="str" cm="1">
        <f t="array" ref="I2013">_xlfn.IFS(F2013&gt;=100,"Over weight",F2013&lt;100,"Average weight")</f>
        <v>Average weight</v>
      </c>
      <c r="J2013" s="2" t="str" cm="1">
        <f t="array" ref="J2013">_xlfn.IFS(G2013&lt;164,"Below Average height",G2013&gt;=165,"Above Average height",G2013=164,"Average height")</f>
        <v>Above Average height</v>
      </c>
      <c r="K2013" s="2" t="str" cm="1">
        <f t="array" ref="K2013">_xlfn.IFS(E2013&lt;=16,"Children",E2013&lt;=30,"Young Adults",E2013&lt;=45,"Middle-aged Adults",E2013&gt;45,"Old Adults")</f>
        <v>Young Adults</v>
      </c>
    </row>
    <row r="2014" spans="1:11" x14ac:dyDescent="0.45">
      <c r="A2014" s="2">
        <v>2353</v>
      </c>
      <c r="B2014" s="2" t="s">
        <v>2457</v>
      </c>
      <c r="C2014" s="2" t="s">
        <v>88</v>
      </c>
      <c r="D2014" s="2" t="s">
        <v>42</v>
      </c>
      <c r="E2014" s="2">
        <v>23</v>
      </c>
      <c r="F2014" s="2">
        <v>75</v>
      </c>
      <c r="G2014" s="2">
        <v>180</v>
      </c>
      <c r="H2014" s="9">
        <f t="shared" si="31"/>
        <v>23.148148148148145</v>
      </c>
      <c r="I2014" s="2" t="str" cm="1">
        <f t="array" ref="I2014">_xlfn.IFS(F2014&gt;=100,"Over weight",F2014&lt;100,"Average weight")</f>
        <v>Average weight</v>
      </c>
      <c r="J2014" s="2" t="str" cm="1">
        <f t="array" ref="J2014">_xlfn.IFS(G2014&lt;164,"Below Average height",G2014&gt;=165,"Above Average height",G2014=164,"Average height")</f>
        <v>Above Average height</v>
      </c>
      <c r="K2014" s="2" t="str" cm="1">
        <f t="array" ref="K2014">_xlfn.IFS(E2014&lt;=16,"Children",E2014&lt;=30,"Young Adults",E2014&lt;=45,"Middle-aged Adults",E2014&gt;45,"Old Adults")</f>
        <v>Young Adults</v>
      </c>
    </row>
    <row r="2015" spans="1:11" x14ac:dyDescent="0.45">
      <c r="A2015" s="2">
        <v>2354</v>
      </c>
      <c r="B2015" s="2" t="s">
        <v>2458</v>
      </c>
      <c r="C2015" s="2" t="s">
        <v>91</v>
      </c>
      <c r="D2015" s="2" t="s">
        <v>28</v>
      </c>
      <c r="E2015" s="2">
        <v>32</v>
      </c>
      <c r="F2015" s="2">
        <v>103</v>
      </c>
      <c r="G2015" s="2">
        <v>192</v>
      </c>
      <c r="H2015" s="9">
        <f t="shared" si="31"/>
        <v>27.940538194444446</v>
      </c>
      <c r="I2015" s="2" t="str" cm="1">
        <f t="array" ref="I2015">_xlfn.IFS(F2015&gt;=100,"Over weight",F2015&lt;100,"Average weight")</f>
        <v>Over weight</v>
      </c>
      <c r="J2015" s="2" t="str" cm="1">
        <f t="array" ref="J2015">_xlfn.IFS(G2015&lt;164,"Below Average height",G2015&gt;=165,"Above Average height",G2015=164,"Average height")</f>
        <v>Above Average height</v>
      </c>
      <c r="K2015" s="2" t="str" cm="1">
        <f t="array" ref="K2015">_xlfn.IFS(E2015&lt;=16,"Children",E2015&lt;=30,"Young Adults",E2015&lt;=45,"Middle-aged Adults",E2015&gt;45,"Old Adults")</f>
        <v>Middle-aged Adults</v>
      </c>
    </row>
    <row r="2016" spans="1:11" x14ac:dyDescent="0.45">
      <c r="A2016" s="2">
        <v>2355</v>
      </c>
      <c r="B2016" s="2" t="s">
        <v>2459</v>
      </c>
      <c r="C2016" s="2" t="s">
        <v>85</v>
      </c>
      <c r="D2016" s="2" t="s">
        <v>69</v>
      </c>
      <c r="E2016" s="2">
        <v>23</v>
      </c>
      <c r="F2016" s="2">
        <v>67</v>
      </c>
      <c r="G2016" s="2">
        <v>173</v>
      </c>
      <c r="H2016" s="9">
        <f t="shared" si="31"/>
        <v>22.386314277122523</v>
      </c>
      <c r="I2016" s="2" t="str" cm="1">
        <f t="array" ref="I2016">_xlfn.IFS(F2016&gt;=100,"Over weight",F2016&lt;100,"Average weight")</f>
        <v>Average weight</v>
      </c>
      <c r="J2016" s="2" t="str" cm="1">
        <f t="array" ref="J2016">_xlfn.IFS(G2016&lt;164,"Below Average height",G2016&gt;=165,"Above Average height",G2016=164,"Average height")</f>
        <v>Above Average height</v>
      </c>
      <c r="K2016" s="2" t="str" cm="1">
        <f t="array" ref="K2016">_xlfn.IFS(E2016&lt;=16,"Children",E2016&lt;=30,"Young Adults",E2016&lt;=45,"Middle-aged Adults",E2016&gt;45,"Old Adults")</f>
        <v>Young Adults</v>
      </c>
    </row>
    <row r="2017" spans="1:11" x14ac:dyDescent="0.45">
      <c r="A2017" s="2">
        <v>2356</v>
      </c>
      <c r="B2017" s="2" t="s">
        <v>2460</v>
      </c>
      <c r="C2017" s="2" t="s">
        <v>100</v>
      </c>
      <c r="D2017" s="2" t="s">
        <v>28</v>
      </c>
      <c r="E2017" s="2">
        <v>25</v>
      </c>
      <c r="F2017" s="2">
        <v>63</v>
      </c>
      <c r="G2017" s="2">
        <v>168</v>
      </c>
      <c r="H2017" s="9">
        <f t="shared" si="31"/>
        <v>22.321428571428577</v>
      </c>
      <c r="I2017" s="2" t="str" cm="1">
        <f t="array" ref="I2017">_xlfn.IFS(F2017&gt;=100,"Over weight",F2017&lt;100,"Average weight")</f>
        <v>Average weight</v>
      </c>
      <c r="J2017" s="2" t="str" cm="1">
        <f t="array" ref="J2017">_xlfn.IFS(G2017&lt;164,"Below Average height",G2017&gt;=165,"Above Average height",G2017=164,"Average height")</f>
        <v>Above Average height</v>
      </c>
      <c r="K2017" s="2" t="str" cm="1">
        <f t="array" ref="K2017">_xlfn.IFS(E2017&lt;=16,"Children",E2017&lt;=30,"Young Adults",E2017&lt;=45,"Middle-aged Adults",E2017&gt;45,"Old Adults")</f>
        <v>Young Adults</v>
      </c>
    </row>
    <row r="2018" spans="1:11" x14ac:dyDescent="0.45">
      <c r="A2018" s="2">
        <v>2357</v>
      </c>
      <c r="B2018" s="2" t="s">
        <v>2461</v>
      </c>
      <c r="C2018" s="2" t="s">
        <v>90</v>
      </c>
      <c r="D2018" s="2" t="s">
        <v>66</v>
      </c>
      <c r="E2018" s="2">
        <v>25</v>
      </c>
      <c r="F2018" s="2">
        <v>104</v>
      </c>
      <c r="G2018" s="2">
        <v>186</v>
      </c>
      <c r="H2018" s="9">
        <f t="shared" si="31"/>
        <v>30.061278760550348</v>
      </c>
      <c r="I2018" s="2" t="str" cm="1">
        <f t="array" ref="I2018">_xlfn.IFS(F2018&gt;=100,"Over weight",F2018&lt;100,"Average weight")</f>
        <v>Over weight</v>
      </c>
      <c r="J2018" s="2" t="str" cm="1">
        <f t="array" ref="J2018">_xlfn.IFS(G2018&lt;164,"Below Average height",G2018&gt;=165,"Above Average height",G2018=164,"Average height")</f>
        <v>Above Average height</v>
      </c>
      <c r="K2018" s="2" t="str" cm="1">
        <f t="array" ref="K2018">_xlfn.IFS(E2018&lt;=16,"Children",E2018&lt;=30,"Young Adults",E2018&lt;=45,"Middle-aged Adults",E2018&gt;45,"Old Adults")</f>
        <v>Young Adults</v>
      </c>
    </row>
    <row r="2019" spans="1:11" x14ac:dyDescent="0.45">
      <c r="A2019" s="2">
        <v>2358</v>
      </c>
      <c r="B2019" s="2" t="s">
        <v>2462</v>
      </c>
      <c r="C2019" s="2" t="s">
        <v>100</v>
      </c>
      <c r="D2019" s="2" t="s">
        <v>66</v>
      </c>
      <c r="E2019" s="2">
        <v>26</v>
      </c>
      <c r="F2019" s="2">
        <v>60</v>
      </c>
      <c r="G2019" s="2">
        <v>165</v>
      </c>
      <c r="H2019" s="9">
        <f t="shared" si="31"/>
        <v>22.03856749311295</v>
      </c>
      <c r="I2019" s="2" t="str" cm="1">
        <f t="array" ref="I2019">_xlfn.IFS(F2019&gt;=100,"Over weight",F2019&lt;100,"Average weight")</f>
        <v>Average weight</v>
      </c>
      <c r="J2019" s="2" t="str" cm="1">
        <f t="array" ref="J2019">_xlfn.IFS(G2019&lt;164,"Below Average height",G2019&gt;=165,"Above Average height",G2019=164,"Average height")</f>
        <v>Above Average height</v>
      </c>
      <c r="K2019" s="2" t="str" cm="1">
        <f t="array" ref="K2019">_xlfn.IFS(E2019&lt;=16,"Children",E2019&lt;=30,"Young Adults",E2019&lt;=45,"Middle-aged Adults",E2019&gt;45,"Old Adults")</f>
        <v>Young Adults</v>
      </c>
    </row>
    <row r="2020" spans="1:11" x14ac:dyDescent="0.45">
      <c r="A2020" s="2">
        <v>2359</v>
      </c>
      <c r="B2020" s="2" t="s">
        <v>2463</v>
      </c>
      <c r="C2020" s="2" t="s">
        <v>91</v>
      </c>
      <c r="D2020" s="2" t="s">
        <v>60</v>
      </c>
      <c r="E2020" s="2">
        <v>33</v>
      </c>
      <c r="F2020" s="2">
        <v>83</v>
      </c>
      <c r="G2020" s="2">
        <v>179</v>
      </c>
      <c r="H2020" s="9">
        <f t="shared" si="31"/>
        <v>25.904310102680942</v>
      </c>
      <c r="I2020" s="2" t="str" cm="1">
        <f t="array" ref="I2020">_xlfn.IFS(F2020&gt;=100,"Over weight",F2020&lt;100,"Average weight")</f>
        <v>Average weight</v>
      </c>
      <c r="J2020" s="2" t="str" cm="1">
        <f t="array" ref="J2020">_xlfn.IFS(G2020&lt;164,"Below Average height",G2020&gt;=165,"Above Average height",G2020=164,"Average height")</f>
        <v>Above Average height</v>
      </c>
      <c r="K2020" s="2" t="str" cm="1">
        <f t="array" ref="K2020">_xlfn.IFS(E2020&lt;=16,"Children",E2020&lt;=30,"Young Adults",E2020&lt;=45,"Middle-aged Adults",E2020&gt;45,"Old Adults")</f>
        <v>Middle-aged Adults</v>
      </c>
    </row>
    <row r="2021" spans="1:11" x14ac:dyDescent="0.45">
      <c r="A2021" s="2">
        <v>2360</v>
      </c>
      <c r="B2021" s="2" t="s">
        <v>2464</v>
      </c>
      <c r="C2021" s="2" t="s">
        <v>88</v>
      </c>
      <c r="D2021" s="2" t="s">
        <v>31</v>
      </c>
      <c r="E2021" s="2">
        <v>19</v>
      </c>
      <c r="F2021" s="2">
        <v>58</v>
      </c>
      <c r="G2021" s="2">
        <v>172</v>
      </c>
      <c r="H2021" s="9">
        <f t="shared" si="31"/>
        <v>19.605191995673341</v>
      </c>
      <c r="I2021" s="2" t="str" cm="1">
        <f t="array" ref="I2021">_xlfn.IFS(F2021&gt;=100,"Over weight",F2021&lt;100,"Average weight")</f>
        <v>Average weight</v>
      </c>
      <c r="J2021" s="2" t="str" cm="1">
        <f t="array" ref="J2021">_xlfn.IFS(G2021&lt;164,"Below Average height",G2021&gt;=165,"Above Average height",G2021=164,"Average height")</f>
        <v>Above Average height</v>
      </c>
      <c r="K2021" s="2" t="str" cm="1">
        <f t="array" ref="K2021">_xlfn.IFS(E2021&lt;=16,"Children",E2021&lt;=30,"Young Adults",E2021&lt;=45,"Middle-aged Adults",E2021&gt;45,"Old Adults")</f>
        <v>Young Adults</v>
      </c>
    </row>
    <row r="2022" spans="1:11" x14ac:dyDescent="0.45">
      <c r="A2022" s="2">
        <v>2361</v>
      </c>
      <c r="B2022" s="2" t="s">
        <v>2465</v>
      </c>
      <c r="C2022" s="2" t="s">
        <v>88</v>
      </c>
      <c r="D2022" s="2" t="s">
        <v>31</v>
      </c>
      <c r="E2022" s="2">
        <v>45</v>
      </c>
      <c r="F2022" s="2">
        <v>70</v>
      </c>
      <c r="G2022" s="2">
        <v>180</v>
      </c>
      <c r="H2022" s="9">
        <f t="shared" si="31"/>
        <v>21.604938271604937</v>
      </c>
      <c r="I2022" s="2" t="str" cm="1">
        <f t="array" ref="I2022">_xlfn.IFS(F2022&gt;=100,"Over weight",F2022&lt;100,"Average weight")</f>
        <v>Average weight</v>
      </c>
      <c r="J2022" s="2" t="str" cm="1">
        <f t="array" ref="J2022">_xlfn.IFS(G2022&lt;164,"Below Average height",G2022&gt;=165,"Above Average height",G2022=164,"Average height")</f>
        <v>Above Average height</v>
      </c>
      <c r="K2022" s="2" t="str" cm="1">
        <f t="array" ref="K2022">_xlfn.IFS(E2022&lt;=16,"Children",E2022&lt;=30,"Young Adults",E2022&lt;=45,"Middle-aged Adults",E2022&gt;45,"Old Adults")</f>
        <v>Middle-aged Adults</v>
      </c>
    </row>
    <row r="2023" spans="1:11" x14ac:dyDescent="0.45">
      <c r="A2023" s="2">
        <v>2362</v>
      </c>
      <c r="B2023" s="2" t="s">
        <v>2466</v>
      </c>
      <c r="C2023" s="2" t="s">
        <v>94</v>
      </c>
      <c r="D2023" s="2" t="s">
        <v>28</v>
      </c>
      <c r="E2023" s="2">
        <v>20</v>
      </c>
      <c r="F2023" s="2">
        <v>75</v>
      </c>
      <c r="G2023" s="2">
        <v>182</v>
      </c>
      <c r="H2023" s="9">
        <f t="shared" si="31"/>
        <v>22.642192971863299</v>
      </c>
      <c r="I2023" s="2" t="str" cm="1">
        <f t="array" ref="I2023">_xlfn.IFS(F2023&gt;=100,"Over weight",F2023&lt;100,"Average weight")</f>
        <v>Average weight</v>
      </c>
      <c r="J2023" s="2" t="str" cm="1">
        <f t="array" ref="J2023">_xlfn.IFS(G2023&lt;164,"Below Average height",G2023&gt;=165,"Above Average height",G2023=164,"Average height")</f>
        <v>Above Average height</v>
      </c>
      <c r="K2023" s="2" t="str" cm="1">
        <f t="array" ref="K2023">_xlfn.IFS(E2023&lt;=16,"Children",E2023&lt;=30,"Young Adults",E2023&lt;=45,"Middle-aged Adults",E2023&gt;45,"Old Adults")</f>
        <v>Young Adults</v>
      </c>
    </row>
    <row r="2024" spans="1:11" x14ac:dyDescent="0.45">
      <c r="A2024" s="2">
        <v>2363</v>
      </c>
      <c r="B2024" s="2" t="s">
        <v>2467</v>
      </c>
      <c r="C2024" s="2" t="s">
        <v>85</v>
      </c>
      <c r="D2024" s="2" t="s">
        <v>27</v>
      </c>
      <c r="E2024" s="2">
        <v>16</v>
      </c>
      <c r="F2024" s="2">
        <v>60</v>
      </c>
      <c r="G2024" s="2">
        <v>168</v>
      </c>
      <c r="H2024" s="9">
        <f t="shared" si="31"/>
        <v>21.258503401360546</v>
      </c>
      <c r="I2024" s="2" t="str" cm="1">
        <f t="array" ref="I2024">_xlfn.IFS(F2024&gt;=100,"Over weight",F2024&lt;100,"Average weight")</f>
        <v>Average weight</v>
      </c>
      <c r="J2024" s="2" t="str" cm="1">
        <f t="array" ref="J2024">_xlfn.IFS(G2024&lt;164,"Below Average height",G2024&gt;=165,"Above Average height",G2024=164,"Average height")</f>
        <v>Above Average height</v>
      </c>
      <c r="K2024" s="2" t="str" cm="1">
        <f t="array" ref="K2024">_xlfn.IFS(E2024&lt;=16,"Children",E2024&lt;=30,"Young Adults",E2024&lt;=45,"Middle-aged Adults",E2024&gt;45,"Old Adults")</f>
        <v>Children</v>
      </c>
    </row>
    <row r="2025" spans="1:11" x14ac:dyDescent="0.45">
      <c r="A2025" s="2">
        <v>2364</v>
      </c>
      <c r="B2025" s="2" t="s">
        <v>2468</v>
      </c>
      <c r="C2025" s="2" t="s">
        <v>85</v>
      </c>
      <c r="D2025" s="2" t="s">
        <v>31</v>
      </c>
      <c r="E2025" s="2">
        <v>24</v>
      </c>
      <c r="F2025" s="2">
        <v>82</v>
      </c>
      <c r="G2025" s="2">
        <v>178</v>
      </c>
      <c r="H2025" s="9">
        <f t="shared" si="31"/>
        <v>25.880570635020831</v>
      </c>
      <c r="I2025" s="2" t="str" cm="1">
        <f t="array" ref="I2025">_xlfn.IFS(F2025&gt;=100,"Over weight",F2025&lt;100,"Average weight")</f>
        <v>Average weight</v>
      </c>
      <c r="J2025" s="2" t="str" cm="1">
        <f t="array" ref="J2025">_xlfn.IFS(G2025&lt;164,"Below Average height",G2025&gt;=165,"Above Average height",G2025=164,"Average height")</f>
        <v>Above Average height</v>
      </c>
      <c r="K2025" s="2" t="str" cm="1">
        <f t="array" ref="K2025">_xlfn.IFS(E2025&lt;=16,"Children",E2025&lt;=30,"Young Adults",E2025&lt;=45,"Middle-aged Adults",E2025&gt;45,"Old Adults")</f>
        <v>Young Adults</v>
      </c>
    </row>
    <row r="2026" spans="1:11" x14ac:dyDescent="0.45">
      <c r="A2026" s="2">
        <v>2365</v>
      </c>
      <c r="B2026" s="2" t="s">
        <v>2469</v>
      </c>
      <c r="C2026" s="2" t="s">
        <v>87</v>
      </c>
      <c r="D2026" s="2" t="s">
        <v>41</v>
      </c>
      <c r="E2026" s="2">
        <v>33</v>
      </c>
      <c r="F2026" s="2">
        <v>69</v>
      </c>
      <c r="G2026" s="2">
        <v>172</v>
      </c>
      <c r="H2026" s="9">
        <f t="shared" si="31"/>
        <v>23.323418063818284</v>
      </c>
      <c r="I2026" s="2" t="str" cm="1">
        <f t="array" ref="I2026">_xlfn.IFS(F2026&gt;=100,"Over weight",F2026&lt;100,"Average weight")</f>
        <v>Average weight</v>
      </c>
      <c r="J2026" s="2" t="str" cm="1">
        <f t="array" ref="J2026">_xlfn.IFS(G2026&lt;164,"Below Average height",G2026&gt;=165,"Above Average height",G2026=164,"Average height")</f>
        <v>Above Average height</v>
      </c>
      <c r="K2026" s="2" t="str" cm="1">
        <f t="array" ref="K2026">_xlfn.IFS(E2026&lt;=16,"Children",E2026&lt;=30,"Young Adults",E2026&lt;=45,"Middle-aged Adults",E2026&gt;45,"Old Adults")</f>
        <v>Middle-aged Adults</v>
      </c>
    </row>
    <row r="2027" spans="1:11" x14ac:dyDescent="0.45">
      <c r="A2027" s="2">
        <v>2368</v>
      </c>
      <c r="B2027" s="2" t="s">
        <v>2472</v>
      </c>
      <c r="C2027" s="2" t="s">
        <v>89</v>
      </c>
      <c r="D2027" s="2" t="s">
        <v>58</v>
      </c>
      <c r="E2027" s="2">
        <v>29</v>
      </c>
      <c r="F2027" s="2">
        <v>84</v>
      </c>
      <c r="G2027" s="2">
        <v>182</v>
      </c>
      <c r="H2027" s="9">
        <f t="shared" si="31"/>
        <v>25.359256128486894</v>
      </c>
      <c r="I2027" s="2" t="str" cm="1">
        <f t="array" ref="I2027">_xlfn.IFS(F2027&gt;=100,"Over weight",F2027&lt;100,"Average weight")</f>
        <v>Average weight</v>
      </c>
      <c r="J2027" s="2" t="str" cm="1">
        <f t="array" ref="J2027">_xlfn.IFS(G2027&lt;164,"Below Average height",G2027&gt;=165,"Above Average height",G2027=164,"Average height")</f>
        <v>Above Average height</v>
      </c>
      <c r="K2027" s="2" t="str" cm="1">
        <f t="array" ref="K2027">_xlfn.IFS(E2027&lt;=16,"Children",E2027&lt;=30,"Young Adults",E2027&lt;=45,"Middle-aged Adults",E2027&gt;45,"Old Adults")</f>
        <v>Young Adults</v>
      </c>
    </row>
    <row r="2028" spans="1:11" x14ac:dyDescent="0.45">
      <c r="A2028" s="2">
        <v>2369</v>
      </c>
      <c r="B2028" s="2" t="s">
        <v>2473</v>
      </c>
      <c r="C2028" s="2" t="s">
        <v>90</v>
      </c>
      <c r="D2028" s="2" t="s">
        <v>46</v>
      </c>
      <c r="E2028" s="2">
        <v>24</v>
      </c>
      <c r="F2028" s="2">
        <v>100</v>
      </c>
      <c r="G2028" s="2">
        <v>188</v>
      </c>
      <c r="H2028" s="9">
        <f t="shared" si="31"/>
        <v>28.293345405160707</v>
      </c>
      <c r="I2028" s="2" t="str" cm="1">
        <f t="array" ref="I2028">_xlfn.IFS(F2028&gt;=100,"Over weight",F2028&lt;100,"Average weight")</f>
        <v>Over weight</v>
      </c>
      <c r="J2028" s="2" t="str" cm="1">
        <f t="array" ref="J2028">_xlfn.IFS(G2028&lt;164,"Below Average height",G2028&gt;=165,"Above Average height",G2028=164,"Average height")</f>
        <v>Above Average height</v>
      </c>
      <c r="K2028" s="2" t="str" cm="1">
        <f t="array" ref="K2028">_xlfn.IFS(E2028&lt;=16,"Children",E2028&lt;=30,"Young Adults",E2028&lt;=45,"Middle-aged Adults",E2028&gt;45,"Old Adults")</f>
        <v>Young Adults</v>
      </c>
    </row>
    <row r="2029" spans="1:11" x14ac:dyDescent="0.45">
      <c r="A2029" s="2">
        <v>2370</v>
      </c>
      <c r="B2029" s="2" t="s">
        <v>2474</v>
      </c>
      <c r="C2029" s="2" t="s">
        <v>91</v>
      </c>
      <c r="D2029" s="2" t="s">
        <v>25</v>
      </c>
      <c r="E2029" s="2">
        <v>19</v>
      </c>
      <c r="F2029" s="2">
        <v>67</v>
      </c>
      <c r="G2029" s="2">
        <v>165</v>
      </c>
      <c r="H2029" s="9">
        <f t="shared" si="31"/>
        <v>24.609733700642796</v>
      </c>
      <c r="I2029" s="2" t="str" cm="1">
        <f t="array" ref="I2029">_xlfn.IFS(F2029&gt;=100,"Over weight",F2029&lt;100,"Average weight")</f>
        <v>Average weight</v>
      </c>
      <c r="J2029" s="2" t="str" cm="1">
        <f t="array" ref="J2029">_xlfn.IFS(G2029&lt;164,"Below Average height",G2029&gt;=165,"Above Average height",G2029=164,"Average height")</f>
        <v>Above Average height</v>
      </c>
      <c r="K2029" s="2" t="str" cm="1">
        <f t="array" ref="K2029">_xlfn.IFS(E2029&lt;=16,"Children",E2029&lt;=30,"Young Adults",E2029&lt;=45,"Middle-aged Adults",E2029&gt;45,"Old Adults")</f>
        <v>Young Adults</v>
      </c>
    </row>
    <row r="2030" spans="1:11" x14ac:dyDescent="0.45">
      <c r="A2030" s="2">
        <v>2371</v>
      </c>
      <c r="B2030" s="2" t="s">
        <v>2475</v>
      </c>
      <c r="C2030" s="2" t="s">
        <v>91</v>
      </c>
      <c r="D2030" s="2" t="s">
        <v>25</v>
      </c>
      <c r="E2030" s="2">
        <v>24</v>
      </c>
      <c r="F2030" s="2">
        <v>65</v>
      </c>
      <c r="G2030" s="2">
        <v>169</v>
      </c>
      <c r="H2030" s="9">
        <f t="shared" si="31"/>
        <v>22.758306781975424</v>
      </c>
      <c r="I2030" s="2" t="str" cm="1">
        <f t="array" ref="I2030">_xlfn.IFS(F2030&gt;=100,"Over weight",F2030&lt;100,"Average weight")</f>
        <v>Average weight</v>
      </c>
      <c r="J2030" s="2" t="str" cm="1">
        <f t="array" ref="J2030">_xlfn.IFS(G2030&lt;164,"Below Average height",G2030&gt;=165,"Above Average height",G2030=164,"Average height")</f>
        <v>Above Average height</v>
      </c>
      <c r="K2030" s="2" t="str" cm="1">
        <f t="array" ref="K2030">_xlfn.IFS(E2030&lt;=16,"Children",E2030&lt;=30,"Young Adults",E2030&lt;=45,"Middle-aged Adults",E2030&gt;45,"Old Adults")</f>
        <v>Young Adults</v>
      </c>
    </row>
    <row r="2031" spans="1:11" x14ac:dyDescent="0.45">
      <c r="A2031" s="2">
        <v>2372</v>
      </c>
      <c r="B2031" s="2" t="s">
        <v>2476</v>
      </c>
      <c r="C2031" s="2" t="s">
        <v>85</v>
      </c>
      <c r="D2031" s="2" t="s">
        <v>78</v>
      </c>
      <c r="E2031" s="2">
        <v>24</v>
      </c>
      <c r="F2031" s="2">
        <v>82</v>
      </c>
      <c r="G2031" s="2">
        <v>183</v>
      </c>
      <c r="H2031" s="9">
        <f t="shared" si="31"/>
        <v>24.485652005136011</v>
      </c>
      <c r="I2031" s="2" t="str" cm="1">
        <f t="array" ref="I2031">_xlfn.IFS(F2031&gt;=100,"Over weight",F2031&lt;100,"Average weight")</f>
        <v>Average weight</v>
      </c>
      <c r="J2031" s="2" t="str" cm="1">
        <f t="array" ref="J2031">_xlfn.IFS(G2031&lt;164,"Below Average height",G2031&gt;=165,"Above Average height",G2031=164,"Average height")</f>
        <v>Above Average height</v>
      </c>
      <c r="K2031" s="2" t="str" cm="1">
        <f t="array" ref="K2031">_xlfn.IFS(E2031&lt;=16,"Children",E2031&lt;=30,"Young Adults",E2031&lt;=45,"Middle-aged Adults",E2031&gt;45,"Old Adults")</f>
        <v>Young Adults</v>
      </c>
    </row>
    <row r="2032" spans="1:11" x14ac:dyDescent="0.45">
      <c r="A2032" s="2">
        <v>2373</v>
      </c>
      <c r="B2032" s="2" t="s">
        <v>2477</v>
      </c>
      <c r="C2032" s="2" t="s">
        <v>90</v>
      </c>
      <c r="D2032" s="2" t="s">
        <v>39</v>
      </c>
      <c r="E2032" s="2">
        <v>28</v>
      </c>
      <c r="F2032" s="2">
        <v>84</v>
      </c>
      <c r="G2032" s="2">
        <v>175</v>
      </c>
      <c r="H2032" s="9">
        <f t="shared" si="31"/>
        <v>27.428571428571427</v>
      </c>
      <c r="I2032" s="2" t="str" cm="1">
        <f t="array" ref="I2032">_xlfn.IFS(F2032&gt;=100,"Over weight",F2032&lt;100,"Average weight")</f>
        <v>Average weight</v>
      </c>
      <c r="J2032" s="2" t="str" cm="1">
        <f t="array" ref="J2032">_xlfn.IFS(G2032&lt;164,"Below Average height",G2032&gt;=165,"Above Average height",G2032=164,"Average height")</f>
        <v>Above Average height</v>
      </c>
      <c r="K2032" s="2" t="str" cm="1">
        <f t="array" ref="K2032">_xlfn.IFS(E2032&lt;=16,"Children",E2032&lt;=30,"Young Adults",E2032&lt;=45,"Middle-aged Adults",E2032&gt;45,"Old Adults")</f>
        <v>Young Adults</v>
      </c>
    </row>
    <row r="2033" spans="1:11" x14ac:dyDescent="0.45">
      <c r="A2033" s="2">
        <v>2374</v>
      </c>
      <c r="B2033" s="2" t="s">
        <v>2478</v>
      </c>
      <c r="C2033" s="2" t="s">
        <v>94</v>
      </c>
      <c r="D2033" s="2" t="s">
        <v>66</v>
      </c>
      <c r="E2033" s="2">
        <v>24</v>
      </c>
      <c r="F2033" s="2">
        <v>55</v>
      </c>
      <c r="G2033" s="2">
        <v>171</v>
      </c>
      <c r="H2033" s="9">
        <f t="shared" si="31"/>
        <v>18.809206251496189</v>
      </c>
      <c r="I2033" s="2" t="str" cm="1">
        <f t="array" ref="I2033">_xlfn.IFS(F2033&gt;=100,"Over weight",F2033&lt;100,"Average weight")</f>
        <v>Average weight</v>
      </c>
      <c r="J2033" s="2" t="str" cm="1">
        <f t="array" ref="J2033">_xlfn.IFS(G2033&lt;164,"Below Average height",G2033&gt;=165,"Above Average height",G2033=164,"Average height")</f>
        <v>Above Average height</v>
      </c>
      <c r="K2033" s="2" t="str" cm="1">
        <f t="array" ref="K2033">_xlfn.IFS(E2033&lt;=16,"Children",E2033&lt;=30,"Young Adults",E2033&lt;=45,"Middle-aged Adults",E2033&gt;45,"Old Adults")</f>
        <v>Young Adults</v>
      </c>
    </row>
    <row r="2034" spans="1:11" x14ac:dyDescent="0.45">
      <c r="A2034" s="2">
        <v>2375</v>
      </c>
      <c r="B2034" s="2" t="s">
        <v>2479</v>
      </c>
      <c r="C2034" s="2" t="s">
        <v>91</v>
      </c>
      <c r="D2034" s="2" t="s">
        <v>66</v>
      </c>
      <c r="E2034" s="2">
        <v>26</v>
      </c>
      <c r="F2034" s="2">
        <v>92</v>
      </c>
      <c r="G2034" s="2">
        <v>188</v>
      </c>
      <c r="H2034" s="9">
        <f t="shared" si="31"/>
        <v>26.029877772747852</v>
      </c>
      <c r="I2034" s="2" t="str" cm="1">
        <f t="array" ref="I2034">_xlfn.IFS(F2034&gt;=100,"Over weight",F2034&lt;100,"Average weight")</f>
        <v>Average weight</v>
      </c>
      <c r="J2034" s="2" t="str" cm="1">
        <f t="array" ref="J2034">_xlfn.IFS(G2034&lt;164,"Below Average height",G2034&gt;=165,"Above Average height",G2034=164,"Average height")</f>
        <v>Above Average height</v>
      </c>
      <c r="K2034" s="2" t="str" cm="1">
        <f t="array" ref="K2034">_xlfn.IFS(E2034&lt;=16,"Children",E2034&lt;=30,"Young Adults",E2034&lt;=45,"Middle-aged Adults",E2034&gt;45,"Old Adults")</f>
        <v>Young Adults</v>
      </c>
    </row>
    <row r="2035" spans="1:11" x14ac:dyDescent="0.45">
      <c r="A2035" s="2">
        <v>2376</v>
      </c>
      <c r="B2035" s="2" t="s">
        <v>2480</v>
      </c>
      <c r="C2035" s="2" t="s">
        <v>94</v>
      </c>
      <c r="D2035" s="2" t="s">
        <v>13</v>
      </c>
      <c r="E2035" s="2">
        <v>23</v>
      </c>
      <c r="F2035" s="2">
        <v>65</v>
      </c>
      <c r="G2035" s="2">
        <v>170</v>
      </c>
      <c r="H2035" s="9">
        <f t="shared" si="31"/>
        <v>22.491349480968861</v>
      </c>
      <c r="I2035" s="2" t="str" cm="1">
        <f t="array" ref="I2035">_xlfn.IFS(F2035&gt;=100,"Over weight",F2035&lt;100,"Average weight")</f>
        <v>Average weight</v>
      </c>
      <c r="J2035" s="2" t="str" cm="1">
        <f t="array" ref="J2035">_xlfn.IFS(G2035&lt;164,"Below Average height",G2035&gt;=165,"Above Average height",G2035=164,"Average height")</f>
        <v>Above Average height</v>
      </c>
      <c r="K2035" s="2" t="str" cm="1">
        <f t="array" ref="K2035">_xlfn.IFS(E2035&lt;=16,"Children",E2035&lt;=30,"Young Adults",E2035&lt;=45,"Middle-aged Adults",E2035&gt;45,"Old Adults")</f>
        <v>Young Adults</v>
      </c>
    </row>
    <row r="2036" spans="1:11" x14ac:dyDescent="0.45">
      <c r="A2036" s="2">
        <v>2377</v>
      </c>
      <c r="B2036" s="2" t="s">
        <v>2481</v>
      </c>
      <c r="C2036" s="2" t="s">
        <v>91</v>
      </c>
      <c r="D2036" s="2" t="s">
        <v>8</v>
      </c>
      <c r="E2036" s="2">
        <v>25</v>
      </c>
      <c r="F2036" s="2">
        <v>80</v>
      </c>
      <c r="G2036" s="2">
        <v>179</v>
      </c>
      <c r="H2036" s="9">
        <f t="shared" si="31"/>
        <v>24.968009737523797</v>
      </c>
      <c r="I2036" s="2" t="str" cm="1">
        <f t="array" ref="I2036">_xlfn.IFS(F2036&gt;=100,"Over weight",F2036&lt;100,"Average weight")</f>
        <v>Average weight</v>
      </c>
      <c r="J2036" s="2" t="str" cm="1">
        <f t="array" ref="J2036">_xlfn.IFS(G2036&lt;164,"Below Average height",G2036&gt;=165,"Above Average height",G2036=164,"Average height")</f>
        <v>Above Average height</v>
      </c>
      <c r="K2036" s="2" t="str" cm="1">
        <f t="array" ref="K2036">_xlfn.IFS(E2036&lt;=16,"Children",E2036&lt;=30,"Young Adults",E2036&lt;=45,"Middle-aged Adults",E2036&gt;45,"Old Adults")</f>
        <v>Young Adults</v>
      </c>
    </row>
    <row r="2037" spans="1:11" x14ac:dyDescent="0.45">
      <c r="A2037" s="2">
        <v>2379</v>
      </c>
      <c r="B2037" s="2" t="s">
        <v>2483</v>
      </c>
      <c r="C2037" s="2" t="s">
        <v>92</v>
      </c>
      <c r="D2037" s="2" t="s">
        <v>28</v>
      </c>
      <c r="E2037" s="2">
        <v>31</v>
      </c>
      <c r="F2037" s="2">
        <v>67</v>
      </c>
      <c r="G2037" s="2">
        <v>182</v>
      </c>
      <c r="H2037" s="9">
        <f t="shared" si="31"/>
        <v>20.227025721531216</v>
      </c>
      <c r="I2037" s="2" t="str" cm="1">
        <f t="array" ref="I2037">_xlfn.IFS(F2037&gt;=100,"Over weight",F2037&lt;100,"Average weight")</f>
        <v>Average weight</v>
      </c>
      <c r="J2037" s="2" t="str" cm="1">
        <f t="array" ref="J2037">_xlfn.IFS(G2037&lt;164,"Below Average height",G2037&gt;=165,"Above Average height",G2037=164,"Average height")</f>
        <v>Above Average height</v>
      </c>
      <c r="K2037" s="2" t="str" cm="1">
        <f t="array" ref="K2037">_xlfn.IFS(E2037&lt;=16,"Children",E2037&lt;=30,"Young Adults",E2037&lt;=45,"Middle-aged Adults",E2037&gt;45,"Old Adults")</f>
        <v>Middle-aged Adults</v>
      </c>
    </row>
    <row r="2038" spans="1:11" x14ac:dyDescent="0.45">
      <c r="A2038" s="2">
        <v>2380</v>
      </c>
      <c r="B2038" s="2" t="s">
        <v>2484</v>
      </c>
      <c r="C2038" s="2" t="s">
        <v>87</v>
      </c>
      <c r="D2038" s="2" t="s">
        <v>75</v>
      </c>
      <c r="E2038" s="2">
        <v>26</v>
      </c>
      <c r="F2038" s="2">
        <v>68</v>
      </c>
      <c r="G2038" s="2">
        <v>178</v>
      </c>
      <c r="H2038" s="9">
        <f t="shared" si="31"/>
        <v>21.461936624163616</v>
      </c>
      <c r="I2038" s="2" t="str" cm="1">
        <f t="array" ref="I2038">_xlfn.IFS(F2038&gt;=100,"Over weight",F2038&lt;100,"Average weight")</f>
        <v>Average weight</v>
      </c>
      <c r="J2038" s="2" t="str" cm="1">
        <f t="array" ref="J2038">_xlfn.IFS(G2038&lt;164,"Below Average height",G2038&gt;=165,"Above Average height",G2038=164,"Average height")</f>
        <v>Above Average height</v>
      </c>
      <c r="K2038" s="2" t="str" cm="1">
        <f t="array" ref="K2038">_xlfn.IFS(E2038&lt;=16,"Children",E2038&lt;=30,"Young Adults",E2038&lt;=45,"Middle-aged Adults",E2038&gt;45,"Old Adults")</f>
        <v>Young Adults</v>
      </c>
    </row>
    <row r="2039" spans="1:11" x14ac:dyDescent="0.45">
      <c r="A2039" s="2">
        <v>2381</v>
      </c>
      <c r="B2039" s="2" t="s">
        <v>2485</v>
      </c>
      <c r="C2039" s="2" t="s">
        <v>96</v>
      </c>
      <c r="D2039" s="2" t="s">
        <v>60</v>
      </c>
      <c r="E2039" s="2">
        <v>38</v>
      </c>
      <c r="F2039" s="2">
        <v>41</v>
      </c>
      <c r="G2039" s="2">
        <v>202</v>
      </c>
      <c r="H2039" s="9">
        <f t="shared" si="31"/>
        <v>10.048034506420938</v>
      </c>
      <c r="I2039" s="2" t="str" cm="1">
        <f t="array" ref="I2039">_xlfn.IFS(F2039&gt;=100,"Over weight",F2039&lt;100,"Average weight")</f>
        <v>Average weight</v>
      </c>
      <c r="J2039" s="2" t="str" cm="1">
        <f t="array" ref="J2039">_xlfn.IFS(G2039&lt;164,"Below Average height",G2039&gt;=165,"Above Average height",G2039=164,"Average height")</f>
        <v>Above Average height</v>
      </c>
      <c r="K2039" s="2" t="str" cm="1">
        <f t="array" ref="K2039">_xlfn.IFS(E2039&lt;=16,"Children",E2039&lt;=30,"Young Adults",E2039&lt;=45,"Middle-aged Adults",E2039&gt;45,"Old Adults")</f>
        <v>Middle-aged Adults</v>
      </c>
    </row>
    <row r="2040" spans="1:11" x14ac:dyDescent="0.45">
      <c r="A2040" s="2">
        <v>2382</v>
      </c>
      <c r="B2040" s="2" t="s">
        <v>2486</v>
      </c>
      <c r="C2040" s="2" t="s">
        <v>90</v>
      </c>
      <c r="D2040" s="2" t="s">
        <v>14</v>
      </c>
      <c r="E2040" s="2">
        <v>30</v>
      </c>
      <c r="F2040" s="2">
        <v>73</v>
      </c>
      <c r="G2040" s="2">
        <v>176</v>
      </c>
      <c r="H2040" s="9">
        <f t="shared" si="31"/>
        <v>23.566632231404959</v>
      </c>
      <c r="I2040" s="2" t="str" cm="1">
        <f t="array" ref="I2040">_xlfn.IFS(F2040&gt;=100,"Over weight",F2040&lt;100,"Average weight")</f>
        <v>Average weight</v>
      </c>
      <c r="J2040" s="2" t="str" cm="1">
        <f t="array" ref="J2040">_xlfn.IFS(G2040&lt;164,"Below Average height",G2040&gt;=165,"Above Average height",G2040=164,"Average height")</f>
        <v>Above Average height</v>
      </c>
      <c r="K2040" s="2" t="str" cm="1">
        <f t="array" ref="K2040">_xlfn.IFS(E2040&lt;=16,"Children",E2040&lt;=30,"Young Adults",E2040&lt;=45,"Middle-aged Adults",E2040&gt;45,"Old Adults")</f>
        <v>Young Adults</v>
      </c>
    </row>
    <row r="2041" spans="1:11" x14ac:dyDescent="0.45">
      <c r="A2041" s="2">
        <v>2383</v>
      </c>
      <c r="B2041" s="2" t="s">
        <v>2487</v>
      </c>
      <c r="C2041" s="2" t="s">
        <v>86</v>
      </c>
      <c r="D2041" s="2" t="s">
        <v>71</v>
      </c>
      <c r="E2041" s="2">
        <v>27</v>
      </c>
      <c r="F2041" s="2">
        <v>41</v>
      </c>
      <c r="G2041" s="2">
        <v>177</v>
      </c>
      <c r="H2041" s="9">
        <f t="shared" si="31"/>
        <v>13.086916275655144</v>
      </c>
      <c r="I2041" s="2" t="str" cm="1">
        <f t="array" ref="I2041">_xlfn.IFS(F2041&gt;=100,"Over weight",F2041&lt;100,"Average weight")</f>
        <v>Average weight</v>
      </c>
      <c r="J2041" s="2" t="str" cm="1">
        <f t="array" ref="J2041">_xlfn.IFS(G2041&lt;164,"Below Average height",G2041&gt;=165,"Above Average height",G2041=164,"Average height")</f>
        <v>Above Average height</v>
      </c>
      <c r="K2041" s="2" t="str" cm="1">
        <f t="array" ref="K2041">_xlfn.IFS(E2041&lt;=16,"Children",E2041&lt;=30,"Young Adults",E2041&lt;=45,"Middle-aged Adults",E2041&gt;45,"Old Adults")</f>
        <v>Young Adults</v>
      </c>
    </row>
    <row r="2042" spans="1:11" x14ac:dyDescent="0.45">
      <c r="A2042" s="2">
        <v>2384</v>
      </c>
      <c r="B2042" s="2" t="s">
        <v>2488</v>
      </c>
      <c r="C2042" s="2" t="s">
        <v>89</v>
      </c>
      <c r="D2042" s="2" t="s">
        <v>63</v>
      </c>
      <c r="E2042" s="2">
        <v>26</v>
      </c>
      <c r="F2042" s="2">
        <v>75</v>
      </c>
      <c r="G2042" s="2">
        <v>177</v>
      </c>
      <c r="H2042" s="9">
        <f t="shared" si="31"/>
        <v>23.93948099205209</v>
      </c>
      <c r="I2042" s="2" t="str" cm="1">
        <f t="array" ref="I2042">_xlfn.IFS(F2042&gt;=100,"Over weight",F2042&lt;100,"Average weight")</f>
        <v>Average weight</v>
      </c>
      <c r="J2042" s="2" t="str" cm="1">
        <f t="array" ref="J2042">_xlfn.IFS(G2042&lt;164,"Below Average height",G2042&gt;=165,"Above Average height",G2042=164,"Average height")</f>
        <v>Above Average height</v>
      </c>
      <c r="K2042" s="2" t="str" cm="1">
        <f t="array" ref="K2042">_xlfn.IFS(E2042&lt;=16,"Children",E2042&lt;=30,"Young Adults",E2042&lt;=45,"Middle-aged Adults",E2042&gt;45,"Old Adults")</f>
        <v>Young Adults</v>
      </c>
    </row>
    <row r="2043" spans="1:11" x14ac:dyDescent="0.45">
      <c r="A2043" s="2">
        <v>2385</v>
      </c>
      <c r="B2043" s="2" t="s">
        <v>2489</v>
      </c>
      <c r="C2043" s="2" t="s">
        <v>88</v>
      </c>
      <c r="D2043" s="2" t="s">
        <v>66</v>
      </c>
      <c r="E2043" s="2">
        <v>24</v>
      </c>
      <c r="F2043" s="2">
        <v>65</v>
      </c>
      <c r="G2043" s="2">
        <v>168</v>
      </c>
      <c r="H2043" s="9">
        <f t="shared" si="31"/>
        <v>23.030045351473927</v>
      </c>
      <c r="I2043" s="2" t="str" cm="1">
        <f t="array" ref="I2043">_xlfn.IFS(F2043&gt;=100,"Over weight",F2043&lt;100,"Average weight")</f>
        <v>Average weight</v>
      </c>
      <c r="J2043" s="2" t="str" cm="1">
        <f t="array" ref="J2043">_xlfn.IFS(G2043&lt;164,"Below Average height",G2043&gt;=165,"Above Average height",G2043=164,"Average height")</f>
        <v>Above Average height</v>
      </c>
      <c r="K2043" s="2" t="str" cm="1">
        <f t="array" ref="K2043">_xlfn.IFS(E2043&lt;=16,"Children",E2043&lt;=30,"Young Adults",E2043&lt;=45,"Middle-aged Adults",E2043&gt;45,"Old Adults")</f>
        <v>Young Adults</v>
      </c>
    </row>
    <row r="2044" spans="1:11" x14ac:dyDescent="0.45">
      <c r="A2044" s="2">
        <v>2386</v>
      </c>
      <c r="B2044" s="2" t="s">
        <v>2490</v>
      </c>
      <c r="C2044" s="2" t="s">
        <v>87</v>
      </c>
      <c r="D2044" s="2" t="s">
        <v>21</v>
      </c>
      <c r="E2044" s="2">
        <v>23</v>
      </c>
      <c r="F2044" s="2">
        <v>64</v>
      </c>
      <c r="G2044" s="2">
        <v>169</v>
      </c>
      <c r="H2044" s="9">
        <f t="shared" si="31"/>
        <v>22.408178985329648</v>
      </c>
      <c r="I2044" s="2" t="str" cm="1">
        <f t="array" ref="I2044">_xlfn.IFS(F2044&gt;=100,"Over weight",F2044&lt;100,"Average weight")</f>
        <v>Average weight</v>
      </c>
      <c r="J2044" s="2" t="str" cm="1">
        <f t="array" ref="J2044">_xlfn.IFS(G2044&lt;164,"Below Average height",G2044&gt;=165,"Above Average height",G2044=164,"Average height")</f>
        <v>Above Average height</v>
      </c>
      <c r="K2044" s="2" t="str" cm="1">
        <f t="array" ref="K2044">_xlfn.IFS(E2044&lt;=16,"Children",E2044&lt;=30,"Young Adults",E2044&lt;=45,"Middle-aged Adults",E2044&gt;45,"Old Adults")</f>
        <v>Young Adults</v>
      </c>
    </row>
    <row r="2045" spans="1:11" x14ac:dyDescent="0.45">
      <c r="A2045" s="2">
        <v>2388</v>
      </c>
      <c r="B2045" s="2" t="s">
        <v>2492</v>
      </c>
      <c r="C2045" s="2" t="s">
        <v>94</v>
      </c>
      <c r="D2045" s="2" t="s">
        <v>25</v>
      </c>
      <c r="E2045" s="2">
        <v>26</v>
      </c>
      <c r="F2045" s="2">
        <v>91</v>
      </c>
      <c r="G2045" s="2">
        <v>197</v>
      </c>
      <c r="H2045" s="9">
        <f t="shared" si="31"/>
        <v>23.448169239094025</v>
      </c>
      <c r="I2045" s="2" t="str" cm="1">
        <f t="array" ref="I2045">_xlfn.IFS(F2045&gt;=100,"Over weight",F2045&lt;100,"Average weight")</f>
        <v>Average weight</v>
      </c>
      <c r="J2045" s="2" t="str" cm="1">
        <f t="array" ref="J2045">_xlfn.IFS(G2045&lt;164,"Below Average height",G2045&gt;=165,"Above Average height",G2045=164,"Average height")</f>
        <v>Above Average height</v>
      </c>
      <c r="K2045" s="2" t="str" cm="1">
        <f t="array" ref="K2045">_xlfn.IFS(E2045&lt;=16,"Children",E2045&lt;=30,"Young Adults",E2045&lt;=45,"Middle-aged Adults",E2045&gt;45,"Old Adults")</f>
        <v>Young Adults</v>
      </c>
    </row>
    <row r="2046" spans="1:11" x14ac:dyDescent="0.45">
      <c r="A2046" s="2">
        <v>2389</v>
      </c>
      <c r="B2046" s="2" t="s">
        <v>2493</v>
      </c>
      <c r="C2046" s="2" t="s">
        <v>91</v>
      </c>
      <c r="D2046" s="2" t="s">
        <v>66</v>
      </c>
      <c r="E2046" s="2">
        <v>19</v>
      </c>
      <c r="F2046" s="2">
        <v>57</v>
      </c>
      <c r="G2046" s="2">
        <v>168</v>
      </c>
      <c r="H2046" s="9">
        <f t="shared" si="31"/>
        <v>20.195578231292519</v>
      </c>
      <c r="I2046" s="2" t="str" cm="1">
        <f t="array" ref="I2046">_xlfn.IFS(F2046&gt;=100,"Over weight",F2046&lt;100,"Average weight")</f>
        <v>Average weight</v>
      </c>
      <c r="J2046" s="2" t="str" cm="1">
        <f t="array" ref="J2046">_xlfn.IFS(G2046&lt;164,"Below Average height",G2046&gt;=165,"Above Average height",G2046=164,"Average height")</f>
        <v>Above Average height</v>
      </c>
      <c r="K2046" s="2" t="str" cm="1">
        <f t="array" ref="K2046">_xlfn.IFS(E2046&lt;=16,"Children",E2046&lt;=30,"Young Adults",E2046&lt;=45,"Middle-aged Adults",E2046&gt;45,"Old Adults")</f>
        <v>Young Adults</v>
      </c>
    </row>
    <row r="2047" spans="1:11" x14ac:dyDescent="0.45">
      <c r="A2047" s="2">
        <v>2390</v>
      </c>
      <c r="B2047" s="2" t="s">
        <v>2494</v>
      </c>
      <c r="C2047" s="2" t="s">
        <v>94</v>
      </c>
      <c r="D2047" s="2" t="s">
        <v>49</v>
      </c>
      <c r="E2047" s="2">
        <v>20</v>
      </c>
      <c r="F2047" s="2">
        <v>79</v>
      </c>
      <c r="G2047" s="2">
        <v>183</v>
      </c>
      <c r="H2047" s="9">
        <f t="shared" si="31"/>
        <v>23.589835468362743</v>
      </c>
      <c r="I2047" s="2" t="str" cm="1">
        <f t="array" ref="I2047">_xlfn.IFS(F2047&gt;=100,"Over weight",F2047&lt;100,"Average weight")</f>
        <v>Average weight</v>
      </c>
      <c r="J2047" s="2" t="str" cm="1">
        <f t="array" ref="J2047">_xlfn.IFS(G2047&lt;164,"Below Average height",G2047&gt;=165,"Above Average height",G2047=164,"Average height")</f>
        <v>Above Average height</v>
      </c>
      <c r="K2047" s="2" t="str" cm="1">
        <f t="array" ref="K2047">_xlfn.IFS(E2047&lt;=16,"Children",E2047&lt;=30,"Young Adults",E2047&lt;=45,"Middle-aged Adults",E2047&gt;45,"Old Adults")</f>
        <v>Young Adults</v>
      </c>
    </row>
    <row r="2048" spans="1:11" x14ac:dyDescent="0.45">
      <c r="A2048" s="2">
        <v>2391</v>
      </c>
      <c r="B2048" s="2" t="s">
        <v>2495</v>
      </c>
      <c r="C2048" s="2" t="s">
        <v>91</v>
      </c>
      <c r="D2048" s="2" t="s">
        <v>14</v>
      </c>
      <c r="E2048" s="2">
        <v>24</v>
      </c>
      <c r="F2048" s="2">
        <v>63</v>
      </c>
      <c r="G2048" s="2">
        <v>168</v>
      </c>
      <c r="H2048" s="9">
        <f t="shared" si="31"/>
        <v>22.321428571428577</v>
      </c>
      <c r="I2048" s="2" t="str" cm="1">
        <f t="array" ref="I2048">_xlfn.IFS(F2048&gt;=100,"Over weight",F2048&lt;100,"Average weight")</f>
        <v>Average weight</v>
      </c>
      <c r="J2048" s="2" t="str" cm="1">
        <f t="array" ref="J2048">_xlfn.IFS(G2048&lt;164,"Below Average height",G2048&gt;=165,"Above Average height",G2048=164,"Average height")</f>
        <v>Above Average height</v>
      </c>
      <c r="K2048" s="2" t="str" cm="1">
        <f t="array" ref="K2048">_xlfn.IFS(E2048&lt;=16,"Children",E2048&lt;=30,"Young Adults",E2048&lt;=45,"Middle-aged Adults",E2048&gt;45,"Old Adults")</f>
        <v>Young Adults</v>
      </c>
    </row>
    <row r="2049" spans="1:11" x14ac:dyDescent="0.45">
      <c r="A2049" s="2">
        <v>2392</v>
      </c>
      <c r="B2049" s="2" t="s">
        <v>2496</v>
      </c>
      <c r="C2049" s="2" t="s">
        <v>85</v>
      </c>
      <c r="D2049" s="2" t="s">
        <v>71</v>
      </c>
      <c r="E2049" s="2">
        <v>29</v>
      </c>
      <c r="F2049" s="2">
        <v>84</v>
      </c>
      <c r="G2049" s="2">
        <v>179</v>
      </c>
      <c r="H2049" s="9">
        <f t="shared" si="31"/>
        <v>26.216410224399986</v>
      </c>
      <c r="I2049" s="2" t="str" cm="1">
        <f t="array" ref="I2049">_xlfn.IFS(F2049&gt;=100,"Over weight",F2049&lt;100,"Average weight")</f>
        <v>Average weight</v>
      </c>
      <c r="J2049" s="2" t="str" cm="1">
        <f t="array" ref="J2049">_xlfn.IFS(G2049&lt;164,"Below Average height",G2049&gt;=165,"Above Average height",G2049=164,"Average height")</f>
        <v>Above Average height</v>
      </c>
      <c r="K2049" s="2" t="str" cm="1">
        <f t="array" ref="K2049">_xlfn.IFS(E2049&lt;=16,"Children",E2049&lt;=30,"Young Adults",E2049&lt;=45,"Middle-aged Adults",E2049&gt;45,"Old Adults")</f>
        <v>Young Adults</v>
      </c>
    </row>
    <row r="2050" spans="1:11" x14ac:dyDescent="0.45">
      <c r="A2050" s="2">
        <v>2393</v>
      </c>
      <c r="B2050" s="2" t="s">
        <v>2497</v>
      </c>
      <c r="C2050" s="2" t="s">
        <v>94</v>
      </c>
      <c r="D2050" s="2" t="s">
        <v>39</v>
      </c>
      <c r="E2050" s="2">
        <v>38</v>
      </c>
      <c r="F2050" s="2">
        <v>58</v>
      </c>
      <c r="G2050" s="2">
        <v>167</v>
      </c>
      <c r="H2050" s="9">
        <f t="shared" ref="H2050:H2113" si="32" xml:space="preserve"> F2050 / (( G2050/ 100) ^ 2)</f>
        <v>20.796729893506402</v>
      </c>
      <c r="I2050" s="2" t="str" cm="1">
        <f t="array" ref="I2050">_xlfn.IFS(F2050&gt;=100,"Over weight",F2050&lt;100,"Average weight")</f>
        <v>Average weight</v>
      </c>
      <c r="J2050" s="2" t="str" cm="1">
        <f t="array" ref="J2050">_xlfn.IFS(G2050&lt;164,"Below Average height",G2050&gt;=165,"Above Average height",G2050=164,"Average height")</f>
        <v>Above Average height</v>
      </c>
      <c r="K2050" s="2" t="str" cm="1">
        <f t="array" ref="K2050">_xlfn.IFS(E2050&lt;=16,"Children",E2050&lt;=30,"Young Adults",E2050&lt;=45,"Middle-aged Adults",E2050&gt;45,"Old Adults")</f>
        <v>Middle-aged Adults</v>
      </c>
    </row>
    <row r="2051" spans="1:11" x14ac:dyDescent="0.45">
      <c r="A2051" s="2">
        <v>2394</v>
      </c>
      <c r="B2051" s="2" t="s">
        <v>2498</v>
      </c>
      <c r="C2051" s="2" t="s">
        <v>98</v>
      </c>
      <c r="D2051" s="2" t="s">
        <v>39</v>
      </c>
      <c r="E2051" s="2">
        <v>17</v>
      </c>
      <c r="F2051" s="2">
        <v>58</v>
      </c>
      <c r="G2051" s="2">
        <v>168</v>
      </c>
      <c r="H2051" s="9">
        <f t="shared" si="32"/>
        <v>20.549886621315196</v>
      </c>
      <c r="I2051" s="2" t="str" cm="1">
        <f t="array" ref="I2051">_xlfn.IFS(F2051&gt;=100,"Over weight",F2051&lt;100,"Average weight")</f>
        <v>Average weight</v>
      </c>
      <c r="J2051" s="2" t="str" cm="1">
        <f t="array" ref="J2051">_xlfn.IFS(G2051&lt;164,"Below Average height",G2051&gt;=165,"Above Average height",G2051=164,"Average height")</f>
        <v>Above Average height</v>
      </c>
      <c r="K2051" s="2" t="str" cm="1">
        <f t="array" ref="K2051">_xlfn.IFS(E2051&lt;=16,"Children",E2051&lt;=30,"Young Adults",E2051&lt;=45,"Middle-aged Adults",E2051&gt;45,"Old Adults")</f>
        <v>Young Adults</v>
      </c>
    </row>
    <row r="2052" spans="1:11" x14ac:dyDescent="0.45">
      <c r="A2052" s="2">
        <v>2395</v>
      </c>
      <c r="B2052" s="2" t="s">
        <v>2499</v>
      </c>
      <c r="C2052" s="2" t="s">
        <v>85</v>
      </c>
      <c r="D2052" s="2" t="s">
        <v>71</v>
      </c>
      <c r="E2052" s="2">
        <v>32</v>
      </c>
      <c r="F2052" s="2">
        <v>80</v>
      </c>
      <c r="G2052" s="2">
        <v>178</v>
      </c>
      <c r="H2052" s="9">
        <f t="shared" si="32"/>
        <v>25.249337204898371</v>
      </c>
      <c r="I2052" s="2" t="str" cm="1">
        <f t="array" ref="I2052">_xlfn.IFS(F2052&gt;=100,"Over weight",F2052&lt;100,"Average weight")</f>
        <v>Average weight</v>
      </c>
      <c r="J2052" s="2" t="str" cm="1">
        <f t="array" ref="J2052">_xlfn.IFS(G2052&lt;164,"Below Average height",G2052&gt;=165,"Above Average height",G2052=164,"Average height")</f>
        <v>Above Average height</v>
      </c>
      <c r="K2052" s="2" t="str" cm="1">
        <f t="array" ref="K2052">_xlfn.IFS(E2052&lt;=16,"Children",E2052&lt;=30,"Young Adults",E2052&lt;=45,"Middle-aged Adults",E2052&gt;45,"Old Adults")</f>
        <v>Middle-aged Adults</v>
      </c>
    </row>
    <row r="2053" spans="1:11" x14ac:dyDescent="0.45">
      <c r="A2053" s="2">
        <v>2396</v>
      </c>
      <c r="B2053" s="2" t="s">
        <v>2500</v>
      </c>
      <c r="C2053" s="2" t="s">
        <v>91</v>
      </c>
      <c r="D2053" s="2" t="s">
        <v>25</v>
      </c>
      <c r="E2053" s="2">
        <v>19</v>
      </c>
      <c r="F2053" s="2">
        <v>62</v>
      </c>
      <c r="G2053" s="2">
        <v>165</v>
      </c>
      <c r="H2053" s="9">
        <f t="shared" si="32"/>
        <v>22.77318640955005</v>
      </c>
      <c r="I2053" s="2" t="str" cm="1">
        <f t="array" ref="I2053">_xlfn.IFS(F2053&gt;=100,"Over weight",F2053&lt;100,"Average weight")</f>
        <v>Average weight</v>
      </c>
      <c r="J2053" s="2" t="str" cm="1">
        <f t="array" ref="J2053">_xlfn.IFS(G2053&lt;164,"Below Average height",G2053&gt;=165,"Above Average height",G2053=164,"Average height")</f>
        <v>Above Average height</v>
      </c>
      <c r="K2053" s="2" t="str" cm="1">
        <f t="array" ref="K2053">_xlfn.IFS(E2053&lt;=16,"Children",E2053&lt;=30,"Young Adults",E2053&lt;=45,"Middle-aged Adults",E2053&gt;45,"Old Adults")</f>
        <v>Young Adults</v>
      </c>
    </row>
    <row r="2054" spans="1:11" x14ac:dyDescent="0.45">
      <c r="A2054" s="2">
        <v>2397</v>
      </c>
      <c r="B2054" s="2" t="s">
        <v>2501</v>
      </c>
      <c r="C2054" s="2" t="s">
        <v>88</v>
      </c>
      <c r="D2054" s="2" t="s">
        <v>8</v>
      </c>
      <c r="E2054" s="2">
        <v>33</v>
      </c>
      <c r="F2054" s="2">
        <v>74</v>
      </c>
      <c r="G2054" s="2">
        <v>180</v>
      </c>
      <c r="H2054" s="9">
        <f t="shared" si="32"/>
        <v>22.839506172839506</v>
      </c>
      <c r="I2054" s="2" t="str" cm="1">
        <f t="array" ref="I2054">_xlfn.IFS(F2054&gt;=100,"Over weight",F2054&lt;100,"Average weight")</f>
        <v>Average weight</v>
      </c>
      <c r="J2054" s="2" t="str" cm="1">
        <f t="array" ref="J2054">_xlfn.IFS(G2054&lt;164,"Below Average height",G2054&gt;=165,"Above Average height",G2054=164,"Average height")</f>
        <v>Above Average height</v>
      </c>
      <c r="K2054" s="2" t="str" cm="1">
        <f t="array" ref="K2054">_xlfn.IFS(E2054&lt;=16,"Children",E2054&lt;=30,"Young Adults",E2054&lt;=45,"Middle-aged Adults",E2054&gt;45,"Old Adults")</f>
        <v>Middle-aged Adults</v>
      </c>
    </row>
    <row r="2055" spans="1:11" x14ac:dyDescent="0.45">
      <c r="A2055" s="2">
        <v>2398</v>
      </c>
      <c r="B2055" s="2" t="s">
        <v>2502</v>
      </c>
      <c r="C2055" s="2" t="s">
        <v>89</v>
      </c>
      <c r="D2055" s="2" t="s">
        <v>58</v>
      </c>
      <c r="E2055" s="2">
        <v>25</v>
      </c>
      <c r="F2055" s="2">
        <v>66</v>
      </c>
      <c r="G2055" s="2">
        <v>172</v>
      </c>
      <c r="H2055" s="9">
        <f t="shared" si="32"/>
        <v>22.309356408869661</v>
      </c>
      <c r="I2055" s="2" t="str" cm="1">
        <f t="array" ref="I2055">_xlfn.IFS(F2055&gt;=100,"Over weight",F2055&lt;100,"Average weight")</f>
        <v>Average weight</v>
      </c>
      <c r="J2055" s="2" t="str" cm="1">
        <f t="array" ref="J2055">_xlfn.IFS(G2055&lt;164,"Below Average height",G2055&gt;=165,"Above Average height",G2055=164,"Average height")</f>
        <v>Above Average height</v>
      </c>
      <c r="K2055" s="2" t="str" cm="1">
        <f t="array" ref="K2055">_xlfn.IFS(E2055&lt;=16,"Children",E2055&lt;=30,"Young Adults",E2055&lt;=45,"Middle-aged Adults",E2055&gt;45,"Old Adults")</f>
        <v>Young Adults</v>
      </c>
    </row>
    <row r="2056" spans="1:11" x14ac:dyDescent="0.45">
      <c r="A2056" s="2">
        <v>2399</v>
      </c>
      <c r="B2056" s="2" t="s">
        <v>2503</v>
      </c>
      <c r="C2056" s="2" t="s">
        <v>90</v>
      </c>
      <c r="D2056" s="2" t="s">
        <v>58</v>
      </c>
      <c r="E2056" s="2">
        <v>33</v>
      </c>
      <c r="F2056" s="2">
        <v>107</v>
      </c>
      <c r="G2056" s="2">
        <v>191</v>
      </c>
      <c r="H2056" s="9">
        <f t="shared" si="32"/>
        <v>29.330336339464381</v>
      </c>
      <c r="I2056" s="2" t="str" cm="1">
        <f t="array" ref="I2056">_xlfn.IFS(F2056&gt;=100,"Over weight",F2056&lt;100,"Average weight")</f>
        <v>Over weight</v>
      </c>
      <c r="J2056" s="2" t="str" cm="1">
        <f t="array" ref="J2056">_xlfn.IFS(G2056&lt;164,"Below Average height",G2056&gt;=165,"Above Average height",G2056=164,"Average height")</f>
        <v>Above Average height</v>
      </c>
      <c r="K2056" s="2" t="str" cm="1">
        <f t="array" ref="K2056">_xlfn.IFS(E2056&lt;=16,"Children",E2056&lt;=30,"Young Adults",E2056&lt;=45,"Middle-aged Adults",E2056&gt;45,"Old Adults")</f>
        <v>Middle-aged Adults</v>
      </c>
    </row>
    <row r="2057" spans="1:11" x14ac:dyDescent="0.45">
      <c r="A2057" s="2">
        <v>2400</v>
      </c>
      <c r="B2057" s="2" t="s">
        <v>2504</v>
      </c>
      <c r="C2057" s="2" t="s">
        <v>90</v>
      </c>
      <c r="D2057" s="2" t="s">
        <v>58</v>
      </c>
      <c r="E2057" s="2">
        <v>30</v>
      </c>
      <c r="F2057" s="2">
        <v>99</v>
      </c>
      <c r="G2057" s="2">
        <v>187</v>
      </c>
      <c r="H2057" s="9">
        <f t="shared" si="32"/>
        <v>28.310789556464293</v>
      </c>
      <c r="I2057" s="2" t="str" cm="1">
        <f t="array" ref="I2057">_xlfn.IFS(F2057&gt;=100,"Over weight",F2057&lt;100,"Average weight")</f>
        <v>Average weight</v>
      </c>
      <c r="J2057" s="2" t="str" cm="1">
        <f t="array" ref="J2057">_xlfn.IFS(G2057&lt;164,"Below Average height",G2057&gt;=165,"Above Average height",G2057=164,"Average height")</f>
        <v>Above Average height</v>
      </c>
      <c r="K2057" s="2" t="str" cm="1">
        <f t="array" ref="K2057">_xlfn.IFS(E2057&lt;=16,"Children",E2057&lt;=30,"Young Adults",E2057&lt;=45,"Middle-aged Adults",E2057&gt;45,"Old Adults")</f>
        <v>Young Adults</v>
      </c>
    </row>
    <row r="2058" spans="1:11" x14ac:dyDescent="0.45">
      <c r="A2058" s="2">
        <v>2401</v>
      </c>
      <c r="B2058" s="2" t="s">
        <v>2505</v>
      </c>
      <c r="C2058" s="2" t="s">
        <v>89</v>
      </c>
      <c r="D2058" s="2" t="s">
        <v>58</v>
      </c>
      <c r="E2058" s="2">
        <v>24</v>
      </c>
      <c r="F2058" s="2">
        <v>41</v>
      </c>
      <c r="G2058" s="2">
        <v>201</v>
      </c>
      <c r="H2058" s="9">
        <f t="shared" si="32"/>
        <v>10.148263656840181</v>
      </c>
      <c r="I2058" s="2" t="str" cm="1">
        <f t="array" ref="I2058">_xlfn.IFS(F2058&gt;=100,"Over weight",F2058&lt;100,"Average weight")</f>
        <v>Average weight</v>
      </c>
      <c r="J2058" s="2" t="str" cm="1">
        <f t="array" ref="J2058">_xlfn.IFS(G2058&lt;164,"Below Average height",G2058&gt;=165,"Above Average height",G2058=164,"Average height")</f>
        <v>Above Average height</v>
      </c>
      <c r="K2058" s="2" t="str" cm="1">
        <f t="array" ref="K2058">_xlfn.IFS(E2058&lt;=16,"Children",E2058&lt;=30,"Young Adults",E2058&lt;=45,"Middle-aged Adults",E2058&gt;45,"Old Adults")</f>
        <v>Young Adults</v>
      </c>
    </row>
    <row r="2059" spans="1:11" x14ac:dyDescent="0.45">
      <c r="A2059" s="2">
        <v>2402</v>
      </c>
      <c r="B2059" s="2" t="s">
        <v>2506</v>
      </c>
      <c r="C2059" s="2" t="s">
        <v>85</v>
      </c>
      <c r="D2059" s="2" t="s">
        <v>9</v>
      </c>
      <c r="E2059" s="2">
        <v>30</v>
      </c>
      <c r="F2059" s="2">
        <v>78</v>
      </c>
      <c r="G2059" s="2">
        <v>181</v>
      </c>
      <c r="H2059" s="9">
        <f t="shared" si="32"/>
        <v>23.808797045267237</v>
      </c>
      <c r="I2059" s="2" t="str" cm="1">
        <f t="array" ref="I2059">_xlfn.IFS(F2059&gt;=100,"Over weight",F2059&lt;100,"Average weight")</f>
        <v>Average weight</v>
      </c>
      <c r="J2059" s="2" t="str" cm="1">
        <f t="array" ref="J2059">_xlfn.IFS(G2059&lt;164,"Below Average height",G2059&gt;=165,"Above Average height",G2059=164,"Average height")</f>
        <v>Above Average height</v>
      </c>
      <c r="K2059" s="2" t="str" cm="1">
        <f t="array" ref="K2059">_xlfn.IFS(E2059&lt;=16,"Children",E2059&lt;=30,"Young Adults",E2059&lt;=45,"Middle-aged Adults",E2059&gt;45,"Old Adults")</f>
        <v>Young Adults</v>
      </c>
    </row>
    <row r="2060" spans="1:11" x14ac:dyDescent="0.45">
      <c r="A2060" s="2">
        <v>2403</v>
      </c>
      <c r="B2060" s="2" t="s">
        <v>2507</v>
      </c>
      <c r="C2060" s="2" t="s">
        <v>89</v>
      </c>
      <c r="D2060" s="2" t="s">
        <v>60</v>
      </c>
      <c r="E2060" s="2">
        <v>20</v>
      </c>
      <c r="F2060" s="2">
        <v>41</v>
      </c>
      <c r="G2060" s="2">
        <v>167</v>
      </c>
      <c r="H2060" s="9">
        <f t="shared" si="32"/>
        <v>14.701136648857974</v>
      </c>
      <c r="I2060" s="2" t="str" cm="1">
        <f t="array" ref="I2060">_xlfn.IFS(F2060&gt;=100,"Over weight",F2060&lt;100,"Average weight")</f>
        <v>Average weight</v>
      </c>
      <c r="J2060" s="2" t="str" cm="1">
        <f t="array" ref="J2060">_xlfn.IFS(G2060&lt;164,"Below Average height",G2060&gt;=165,"Above Average height",G2060=164,"Average height")</f>
        <v>Above Average height</v>
      </c>
      <c r="K2060" s="2" t="str" cm="1">
        <f t="array" ref="K2060">_xlfn.IFS(E2060&lt;=16,"Children",E2060&lt;=30,"Young Adults",E2060&lt;=45,"Middle-aged Adults",E2060&gt;45,"Old Adults")</f>
        <v>Young Adults</v>
      </c>
    </row>
    <row r="2061" spans="1:11" x14ac:dyDescent="0.45">
      <c r="A2061" s="2">
        <v>2404</v>
      </c>
      <c r="B2061" s="2" t="s">
        <v>2508</v>
      </c>
      <c r="C2061" s="2" t="s">
        <v>86</v>
      </c>
      <c r="D2061" s="2" t="s">
        <v>9</v>
      </c>
      <c r="E2061" s="2">
        <v>27</v>
      </c>
      <c r="F2061" s="2">
        <v>41</v>
      </c>
      <c r="G2061" s="2">
        <v>177</v>
      </c>
      <c r="H2061" s="9">
        <f t="shared" si="32"/>
        <v>13.086916275655144</v>
      </c>
      <c r="I2061" s="2" t="str" cm="1">
        <f t="array" ref="I2061">_xlfn.IFS(F2061&gt;=100,"Over weight",F2061&lt;100,"Average weight")</f>
        <v>Average weight</v>
      </c>
      <c r="J2061" s="2" t="str" cm="1">
        <f t="array" ref="J2061">_xlfn.IFS(G2061&lt;164,"Below Average height",G2061&gt;=165,"Above Average height",G2061=164,"Average height")</f>
        <v>Above Average height</v>
      </c>
      <c r="K2061" s="2" t="str" cm="1">
        <f t="array" ref="K2061">_xlfn.IFS(E2061&lt;=16,"Children",E2061&lt;=30,"Young Adults",E2061&lt;=45,"Middle-aged Adults",E2061&gt;45,"Old Adults")</f>
        <v>Young Adults</v>
      </c>
    </row>
    <row r="2062" spans="1:11" x14ac:dyDescent="0.45">
      <c r="A2062" s="2">
        <v>2405</v>
      </c>
      <c r="B2062" s="2" t="s">
        <v>2509</v>
      </c>
      <c r="C2062" s="2" t="s">
        <v>93</v>
      </c>
      <c r="D2062" s="2" t="s">
        <v>58</v>
      </c>
      <c r="E2062" s="2">
        <v>22</v>
      </c>
      <c r="F2062" s="2">
        <v>83</v>
      </c>
      <c r="G2062" s="2">
        <v>187</v>
      </c>
      <c r="H2062" s="9">
        <f t="shared" si="32"/>
        <v>23.735308416025617</v>
      </c>
      <c r="I2062" s="2" t="str" cm="1">
        <f t="array" ref="I2062">_xlfn.IFS(F2062&gt;=100,"Over weight",F2062&lt;100,"Average weight")</f>
        <v>Average weight</v>
      </c>
      <c r="J2062" s="2" t="str" cm="1">
        <f t="array" ref="J2062">_xlfn.IFS(G2062&lt;164,"Below Average height",G2062&gt;=165,"Above Average height",G2062=164,"Average height")</f>
        <v>Above Average height</v>
      </c>
      <c r="K2062" s="2" t="str" cm="1">
        <f t="array" ref="K2062">_xlfn.IFS(E2062&lt;=16,"Children",E2062&lt;=30,"Young Adults",E2062&lt;=45,"Middle-aged Adults",E2062&gt;45,"Old Adults")</f>
        <v>Young Adults</v>
      </c>
    </row>
    <row r="2063" spans="1:11" x14ac:dyDescent="0.45">
      <c r="A2063" s="2">
        <v>2406</v>
      </c>
      <c r="B2063" s="2" t="s">
        <v>2510</v>
      </c>
      <c r="C2063" s="2" t="s">
        <v>98</v>
      </c>
      <c r="D2063" s="2" t="s">
        <v>58</v>
      </c>
      <c r="E2063" s="2">
        <v>26</v>
      </c>
      <c r="F2063" s="2">
        <v>60</v>
      </c>
      <c r="G2063" s="2">
        <v>168</v>
      </c>
      <c r="H2063" s="9">
        <f t="shared" si="32"/>
        <v>21.258503401360546</v>
      </c>
      <c r="I2063" s="2" t="str" cm="1">
        <f t="array" ref="I2063">_xlfn.IFS(F2063&gt;=100,"Over weight",F2063&lt;100,"Average weight")</f>
        <v>Average weight</v>
      </c>
      <c r="J2063" s="2" t="str" cm="1">
        <f t="array" ref="J2063">_xlfn.IFS(G2063&lt;164,"Below Average height",G2063&gt;=165,"Above Average height",G2063=164,"Average height")</f>
        <v>Above Average height</v>
      </c>
      <c r="K2063" s="2" t="str" cm="1">
        <f t="array" ref="K2063">_xlfn.IFS(E2063&lt;=16,"Children",E2063&lt;=30,"Young Adults",E2063&lt;=45,"Middle-aged Adults",E2063&gt;45,"Old Adults")</f>
        <v>Young Adults</v>
      </c>
    </row>
    <row r="2064" spans="1:11" x14ac:dyDescent="0.45">
      <c r="A2064" s="2">
        <v>2408</v>
      </c>
      <c r="B2064" s="2" t="s">
        <v>2512</v>
      </c>
      <c r="C2064" s="2" t="s">
        <v>89</v>
      </c>
      <c r="D2064" s="2" t="s">
        <v>58</v>
      </c>
      <c r="E2064" s="2">
        <v>22</v>
      </c>
      <c r="F2064" s="2">
        <v>62</v>
      </c>
      <c r="G2064" s="2">
        <v>167</v>
      </c>
      <c r="H2064" s="9">
        <f t="shared" si="32"/>
        <v>22.230987127541326</v>
      </c>
      <c r="I2064" s="2" t="str" cm="1">
        <f t="array" ref="I2064">_xlfn.IFS(F2064&gt;=100,"Over weight",F2064&lt;100,"Average weight")</f>
        <v>Average weight</v>
      </c>
      <c r="J2064" s="2" t="str" cm="1">
        <f t="array" ref="J2064">_xlfn.IFS(G2064&lt;164,"Below Average height",G2064&gt;=165,"Above Average height",G2064=164,"Average height")</f>
        <v>Above Average height</v>
      </c>
      <c r="K2064" s="2" t="str" cm="1">
        <f t="array" ref="K2064">_xlfn.IFS(E2064&lt;=16,"Children",E2064&lt;=30,"Young Adults",E2064&lt;=45,"Middle-aged Adults",E2064&gt;45,"Old Adults")</f>
        <v>Young Adults</v>
      </c>
    </row>
    <row r="2065" spans="1:11" x14ac:dyDescent="0.45">
      <c r="A2065" s="2">
        <v>2409</v>
      </c>
      <c r="B2065" s="2" t="s">
        <v>2513</v>
      </c>
      <c r="C2065" s="2" t="s">
        <v>91</v>
      </c>
      <c r="D2065" s="2" t="s">
        <v>25</v>
      </c>
      <c r="E2065" s="2">
        <v>25</v>
      </c>
      <c r="F2065" s="2">
        <v>65</v>
      </c>
      <c r="G2065" s="2">
        <v>178</v>
      </c>
      <c r="H2065" s="9">
        <f t="shared" si="32"/>
        <v>20.515086478979924</v>
      </c>
      <c r="I2065" s="2" t="str" cm="1">
        <f t="array" ref="I2065">_xlfn.IFS(F2065&gt;=100,"Over weight",F2065&lt;100,"Average weight")</f>
        <v>Average weight</v>
      </c>
      <c r="J2065" s="2" t="str" cm="1">
        <f t="array" ref="J2065">_xlfn.IFS(G2065&lt;164,"Below Average height",G2065&gt;=165,"Above Average height",G2065=164,"Average height")</f>
        <v>Above Average height</v>
      </c>
      <c r="K2065" s="2" t="str" cm="1">
        <f t="array" ref="K2065">_xlfn.IFS(E2065&lt;=16,"Children",E2065&lt;=30,"Young Adults",E2065&lt;=45,"Middle-aged Adults",E2065&gt;45,"Old Adults")</f>
        <v>Young Adults</v>
      </c>
    </row>
    <row r="2066" spans="1:11" x14ac:dyDescent="0.45">
      <c r="A2066" s="2">
        <v>2410</v>
      </c>
      <c r="B2066" s="2" t="s">
        <v>2514</v>
      </c>
      <c r="C2066" s="2" t="s">
        <v>91</v>
      </c>
      <c r="D2066" s="2" t="s">
        <v>66</v>
      </c>
      <c r="E2066" s="2">
        <v>21</v>
      </c>
      <c r="F2066" s="2">
        <v>88</v>
      </c>
      <c r="G2066" s="2">
        <v>182</v>
      </c>
      <c r="H2066" s="9">
        <f t="shared" si="32"/>
        <v>26.566839753652939</v>
      </c>
      <c r="I2066" s="2" t="str" cm="1">
        <f t="array" ref="I2066">_xlfn.IFS(F2066&gt;=100,"Over weight",F2066&lt;100,"Average weight")</f>
        <v>Average weight</v>
      </c>
      <c r="J2066" s="2" t="str" cm="1">
        <f t="array" ref="J2066">_xlfn.IFS(G2066&lt;164,"Below Average height",G2066&gt;=165,"Above Average height",G2066=164,"Average height")</f>
        <v>Above Average height</v>
      </c>
      <c r="K2066" s="2" t="str" cm="1">
        <f t="array" ref="K2066">_xlfn.IFS(E2066&lt;=16,"Children",E2066&lt;=30,"Young Adults",E2066&lt;=45,"Middle-aged Adults",E2066&gt;45,"Old Adults")</f>
        <v>Young Adults</v>
      </c>
    </row>
    <row r="2067" spans="1:11" x14ac:dyDescent="0.45">
      <c r="A2067" s="2">
        <v>2411</v>
      </c>
      <c r="B2067" s="2" t="s">
        <v>2515</v>
      </c>
      <c r="C2067" s="2" t="s">
        <v>91</v>
      </c>
      <c r="D2067" s="2" t="s">
        <v>21</v>
      </c>
      <c r="E2067" s="2">
        <v>29</v>
      </c>
      <c r="F2067" s="2">
        <v>91</v>
      </c>
      <c r="G2067" s="2">
        <v>194</v>
      </c>
      <c r="H2067" s="9">
        <f t="shared" si="32"/>
        <v>24.178977574662557</v>
      </c>
      <c r="I2067" s="2" t="str" cm="1">
        <f t="array" ref="I2067">_xlfn.IFS(F2067&gt;=100,"Over weight",F2067&lt;100,"Average weight")</f>
        <v>Average weight</v>
      </c>
      <c r="J2067" s="2" t="str" cm="1">
        <f t="array" ref="J2067">_xlfn.IFS(G2067&lt;164,"Below Average height",G2067&gt;=165,"Above Average height",G2067=164,"Average height")</f>
        <v>Above Average height</v>
      </c>
      <c r="K2067" s="2" t="str" cm="1">
        <f t="array" ref="K2067">_xlfn.IFS(E2067&lt;=16,"Children",E2067&lt;=30,"Young Adults",E2067&lt;=45,"Middle-aged Adults",E2067&gt;45,"Old Adults")</f>
        <v>Young Adults</v>
      </c>
    </row>
    <row r="2068" spans="1:11" x14ac:dyDescent="0.45">
      <c r="A2068" s="2">
        <v>2412</v>
      </c>
      <c r="B2068" s="2" t="s">
        <v>2516</v>
      </c>
      <c r="C2068" s="2" t="s">
        <v>91</v>
      </c>
      <c r="D2068" s="2" t="s">
        <v>46</v>
      </c>
      <c r="E2068" s="2">
        <v>33</v>
      </c>
      <c r="F2068" s="2">
        <v>82</v>
      </c>
      <c r="G2068" s="2">
        <v>181</v>
      </c>
      <c r="H2068" s="9">
        <f t="shared" si="32"/>
        <v>25.029760996306585</v>
      </c>
      <c r="I2068" s="2" t="str" cm="1">
        <f t="array" ref="I2068">_xlfn.IFS(F2068&gt;=100,"Over weight",F2068&lt;100,"Average weight")</f>
        <v>Average weight</v>
      </c>
      <c r="J2068" s="2" t="str" cm="1">
        <f t="array" ref="J2068">_xlfn.IFS(G2068&lt;164,"Below Average height",G2068&gt;=165,"Above Average height",G2068=164,"Average height")</f>
        <v>Above Average height</v>
      </c>
      <c r="K2068" s="2" t="str" cm="1">
        <f t="array" ref="K2068">_xlfn.IFS(E2068&lt;=16,"Children",E2068&lt;=30,"Young Adults",E2068&lt;=45,"Middle-aged Adults",E2068&gt;45,"Old Adults")</f>
        <v>Middle-aged Adults</v>
      </c>
    </row>
    <row r="2069" spans="1:11" x14ac:dyDescent="0.45">
      <c r="A2069" s="2">
        <v>2413</v>
      </c>
      <c r="B2069" s="2" t="s">
        <v>2517</v>
      </c>
      <c r="C2069" s="2" t="s">
        <v>94</v>
      </c>
      <c r="D2069" s="2" t="s">
        <v>8</v>
      </c>
      <c r="E2069" s="2">
        <v>29</v>
      </c>
      <c r="F2069" s="2">
        <v>70</v>
      </c>
      <c r="G2069" s="2">
        <v>177</v>
      </c>
      <c r="H2069" s="9">
        <f t="shared" si="32"/>
        <v>22.343515592581952</v>
      </c>
      <c r="I2069" s="2" t="str" cm="1">
        <f t="array" ref="I2069">_xlfn.IFS(F2069&gt;=100,"Over weight",F2069&lt;100,"Average weight")</f>
        <v>Average weight</v>
      </c>
      <c r="J2069" s="2" t="str" cm="1">
        <f t="array" ref="J2069">_xlfn.IFS(G2069&lt;164,"Below Average height",G2069&gt;=165,"Above Average height",G2069=164,"Average height")</f>
        <v>Above Average height</v>
      </c>
      <c r="K2069" s="2" t="str" cm="1">
        <f t="array" ref="K2069">_xlfn.IFS(E2069&lt;=16,"Children",E2069&lt;=30,"Young Adults",E2069&lt;=45,"Middle-aged Adults",E2069&gt;45,"Old Adults")</f>
        <v>Young Adults</v>
      </c>
    </row>
    <row r="2070" spans="1:11" x14ac:dyDescent="0.45">
      <c r="A2070" s="2">
        <v>2414</v>
      </c>
      <c r="B2070" s="2" t="s">
        <v>2518</v>
      </c>
      <c r="C2070" s="2" t="s">
        <v>88</v>
      </c>
      <c r="D2070" s="2" t="s">
        <v>66</v>
      </c>
      <c r="E2070" s="2">
        <v>22</v>
      </c>
      <c r="F2070" s="2">
        <v>75</v>
      </c>
      <c r="G2070" s="2">
        <v>181</v>
      </c>
      <c r="H2070" s="9">
        <f t="shared" si="32"/>
        <v>22.893074081987731</v>
      </c>
      <c r="I2070" s="2" t="str" cm="1">
        <f t="array" ref="I2070">_xlfn.IFS(F2070&gt;=100,"Over weight",F2070&lt;100,"Average weight")</f>
        <v>Average weight</v>
      </c>
      <c r="J2070" s="2" t="str" cm="1">
        <f t="array" ref="J2070">_xlfn.IFS(G2070&lt;164,"Below Average height",G2070&gt;=165,"Above Average height",G2070=164,"Average height")</f>
        <v>Above Average height</v>
      </c>
      <c r="K2070" s="2" t="str" cm="1">
        <f t="array" ref="K2070">_xlfn.IFS(E2070&lt;=16,"Children",E2070&lt;=30,"Young Adults",E2070&lt;=45,"Middle-aged Adults",E2070&gt;45,"Old Adults")</f>
        <v>Young Adults</v>
      </c>
    </row>
    <row r="2071" spans="1:11" x14ac:dyDescent="0.45">
      <c r="A2071" s="2">
        <v>2415</v>
      </c>
      <c r="B2071" s="2" t="s">
        <v>2519</v>
      </c>
      <c r="C2071" s="2" t="s">
        <v>93</v>
      </c>
      <c r="D2071" s="2" t="s">
        <v>26</v>
      </c>
      <c r="E2071" s="2">
        <v>22</v>
      </c>
      <c r="F2071" s="2">
        <v>76</v>
      </c>
      <c r="G2071" s="2">
        <v>186</v>
      </c>
      <c r="H2071" s="9">
        <f t="shared" si="32"/>
        <v>21.967857555786793</v>
      </c>
      <c r="I2071" s="2" t="str" cm="1">
        <f t="array" ref="I2071">_xlfn.IFS(F2071&gt;=100,"Over weight",F2071&lt;100,"Average weight")</f>
        <v>Average weight</v>
      </c>
      <c r="J2071" s="2" t="str" cm="1">
        <f t="array" ref="J2071">_xlfn.IFS(G2071&lt;164,"Below Average height",G2071&gt;=165,"Above Average height",G2071=164,"Average height")</f>
        <v>Above Average height</v>
      </c>
      <c r="K2071" s="2" t="str" cm="1">
        <f t="array" ref="K2071">_xlfn.IFS(E2071&lt;=16,"Children",E2071&lt;=30,"Young Adults",E2071&lt;=45,"Middle-aged Adults",E2071&gt;45,"Old Adults")</f>
        <v>Young Adults</v>
      </c>
    </row>
    <row r="2072" spans="1:11" x14ac:dyDescent="0.45">
      <c r="A2072" s="2">
        <v>2417</v>
      </c>
      <c r="B2072" s="2" t="s">
        <v>2521</v>
      </c>
      <c r="C2072" s="2" t="s">
        <v>90</v>
      </c>
      <c r="D2072" s="2" t="s">
        <v>58</v>
      </c>
      <c r="E2072" s="2">
        <v>26</v>
      </c>
      <c r="F2072" s="2">
        <v>78</v>
      </c>
      <c r="G2072" s="2">
        <v>183</v>
      </c>
      <c r="H2072" s="9">
        <f t="shared" si="32"/>
        <v>23.291229956104985</v>
      </c>
      <c r="I2072" s="2" t="str" cm="1">
        <f t="array" ref="I2072">_xlfn.IFS(F2072&gt;=100,"Over weight",F2072&lt;100,"Average weight")</f>
        <v>Average weight</v>
      </c>
      <c r="J2072" s="2" t="str" cm="1">
        <f t="array" ref="J2072">_xlfn.IFS(G2072&lt;164,"Below Average height",G2072&gt;=165,"Above Average height",G2072=164,"Average height")</f>
        <v>Above Average height</v>
      </c>
      <c r="K2072" s="2" t="str" cm="1">
        <f t="array" ref="K2072">_xlfn.IFS(E2072&lt;=16,"Children",E2072&lt;=30,"Young Adults",E2072&lt;=45,"Middle-aged Adults",E2072&gt;45,"Old Adults")</f>
        <v>Young Adults</v>
      </c>
    </row>
    <row r="2073" spans="1:11" x14ac:dyDescent="0.45">
      <c r="A2073" s="2">
        <v>2418</v>
      </c>
      <c r="B2073" s="2" t="s">
        <v>2522</v>
      </c>
      <c r="C2073" s="2" t="s">
        <v>94</v>
      </c>
      <c r="D2073" s="2" t="s">
        <v>23</v>
      </c>
      <c r="E2073" s="2">
        <v>39</v>
      </c>
      <c r="F2073" s="2">
        <v>75</v>
      </c>
      <c r="G2073" s="2">
        <v>182</v>
      </c>
      <c r="H2073" s="9">
        <f t="shared" si="32"/>
        <v>22.642192971863299</v>
      </c>
      <c r="I2073" s="2" t="str" cm="1">
        <f t="array" ref="I2073">_xlfn.IFS(F2073&gt;=100,"Over weight",F2073&lt;100,"Average weight")</f>
        <v>Average weight</v>
      </c>
      <c r="J2073" s="2" t="str" cm="1">
        <f t="array" ref="J2073">_xlfn.IFS(G2073&lt;164,"Below Average height",G2073&gt;=165,"Above Average height",G2073=164,"Average height")</f>
        <v>Above Average height</v>
      </c>
      <c r="K2073" s="2" t="str" cm="1">
        <f t="array" ref="K2073">_xlfn.IFS(E2073&lt;=16,"Children",E2073&lt;=30,"Young Adults",E2073&lt;=45,"Middle-aged Adults",E2073&gt;45,"Old Adults")</f>
        <v>Middle-aged Adults</v>
      </c>
    </row>
    <row r="2074" spans="1:11" x14ac:dyDescent="0.45">
      <c r="A2074" s="2">
        <v>2419</v>
      </c>
      <c r="B2074" s="2" t="s">
        <v>2523</v>
      </c>
      <c r="C2074" s="2" t="s">
        <v>88</v>
      </c>
      <c r="D2074" s="2" t="s">
        <v>21</v>
      </c>
      <c r="E2074" s="2">
        <v>28</v>
      </c>
      <c r="F2074" s="2">
        <v>52</v>
      </c>
      <c r="G2074" s="2">
        <v>169</v>
      </c>
      <c r="H2074" s="9">
        <f t="shared" si="32"/>
        <v>18.206645425580341</v>
      </c>
      <c r="I2074" s="2" t="str" cm="1">
        <f t="array" ref="I2074">_xlfn.IFS(F2074&gt;=100,"Over weight",F2074&lt;100,"Average weight")</f>
        <v>Average weight</v>
      </c>
      <c r="J2074" s="2" t="str" cm="1">
        <f t="array" ref="J2074">_xlfn.IFS(G2074&lt;164,"Below Average height",G2074&gt;=165,"Above Average height",G2074=164,"Average height")</f>
        <v>Above Average height</v>
      </c>
      <c r="K2074" s="2" t="str" cm="1">
        <f t="array" ref="K2074">_xlfn.IFS(E2074&lt;=16,"Children",E2074&lt;=30,"Young Adults",E2074&lt;=45,"Middle-aged Adults",E2074&gt;45,"Old Adults")</f>
        <v>Young Adults</v>
      </c>
    </row>
    <row r="2075" spans="1:11" x14ac:dyDescent="0.45">
      <c r="A2075" s="2">
        <v>2420</v>
      </c>
      <c r="B2075" s="2" t="s">
        <v>2524</v>
      </c>
      <c r="C2075" s="2" t="s">
        <v>94</v>
      </c>
      <c r="D2075" s="2" t="s">
        <v>42</v>
      </c>
      <c r="E2075" s="2">
        <v>22</v>
      </c>
      <c r="F2075" s="2">
        <v>70</v>
      </c>
      <c r="G2075" s="2">
        <v>178</v>
      </c>
      <c r="H2075" s="9">
        <f t="shared" si="32"/>
        <v>22.093170054286073</v>
      </c>
      <c r="I2075" s="2" t="str" cm="1">
        <f t="array" ref="I2075">_xlfn.IFS(F2075&gt;=100,"Over weight",F2075&lt;100,"Average weight")</f>
        <v>Average weight</v>
      </c>
      <c r="J2075" s="2" t="str" cm="1">
        <f t="array" ref="J2075">_xlfn.IFS(G2075&lt;164,"Below Average height",G2075&gt;=165,"Above Average height",G2075=164,"Average height")</f>
        <v>Above Average height</v>
      </c>
      <c r="K2075" s="2" t="str" cm="1">
        <f t="array" ref="K2075">_xlfn.IFS(E2075&lt;=16,"Children",E2075&lt;=30,"Young Adults",E2075&lt;=45,"Middle-aged Adults",E2075&gt;45,"Old Adults")</f>
        <v>Young Adults</v>
      </c>
    </row>
    <row r="2076" spans="1:11" x14ac:dyDescent="0.45">
      <c r="A2076" s="2">
        <v>2422</v>
      </c>
      <c r="B2076" s="2" t="s">
        <v>2526</v>
      </c>
      <c r="C2076" s="2" t="s">
        <v>86</v>
      </c>
      <c r="D2076" s="2" t="s">
        <v>79</v>
      </c>
      <c r="E2076" s="2">
        <v>25</v>
      </c>
      <c r="F2076" s="2">
        <v>41</v>
      </c>
      <c r="G2076" s="2">
        <v>182</v>
      </c>
      <c r="H2076" s="9">
        <f t="shared" si="32"/>
        <v>12.377732157951938</v>
      </c>
      <c r="I2076" s="2" t="str" cm="1">
        <f t="array" ref="I2076">_xlfn.IFS(F2076&gt;=100,"Over weight",F2076&lt;100,"Average weight")</f>
        <v>Average weight</v>
      </c>
      <c r="J2076" s="2" t="str" cm="1">
        <f t="array" ref="J2076">_xlfn.IFS(G2076&lt;164,"Below Average height",G2076&gt;=165,"Above Average height",G2076=164,"Average height")</f>
        <v>Above Average height</v>
      </c>
      <c r="K2076" s="2" t="str" cm="1">
        <f t="array" ref="K2076">_xlfn.IFS(E2076&lt;=16,"Children",E2076&lt;=30,"Young Adults",E2076&lt;=45,"Middle-aged Adults",E2076&gt;45,"Old Adults")</f>
        <v>Young Adults</v>
      </c>
    </row>
    <row r="2077" spans="1:11" x14ac:dyDescent="0.45">
      <c r="A2077" s="2">
        <v>2423</v>
      </c>
      <c r="B2077" s="2" t="s">
        <v>2527</v>
      </c>
      <c r="C2077" s="2" t="s">
        <v>93</v>
      </c>
      <c r="D2077" s="2" t="s">
        <v>73</v>
      </c>
      <c r="E2077" s="2">
        <v>22</v>
      </c>
      <c r="F2077" s="2">
        <v>80</v>
      </c>
      <c r="G2077" s="2">
        <v>182</v>
      </c>
      <c r="H2077" s="9">
        <f t="shared" si="32"/>
        <v>24.151672503320853</v>
      </c>
      <c r="I2077" s="2" t="str" cm="1">
        <f t="array" ref="I2077">_xlfn.IFS(F2077&gt;=100,"Over weight",F2077&lt;100,"Average weight")</f>
        <v>Average weight</v>
      </c>
      <c r="J2077" s="2" t="str" cm="1">
        <f t="array" ref="J2077">_xlfn.IFS(G2077&lt;164,"Below Average height",G2077&gt;=165,"Above Average height",G2077=164,"Average height")</f>
        <v>Above Average height</v>
      </c>
      <c r="K2077" s="2" t="str" cm="1">
        <f t="array" ref="K2077">_xlfn.IFS(E2077&lt;=16,"Children",E2077&lt;=30,"Young Adults",E2077&lt;=45,"Middle-aged Adults",E2077&gt;45,"Old Adults")</f>
        <v>Young Adults</v>
      </c>
    </row>
    <row r="2078" spans="1:11" x14ac:dyDescent="0.45">
      <c r="A2078" s="2">
        <v>2424</v>
      </c>
      <c r="B2078" s="2" t="s">
        <v>2528</v>
      </c>
      <c r="C2078" s="2" t="s">
        <v>86</v>
      </c>
      <c r="D2078" s="2" t="s">
        <v>21</v>
      </c>
      <c r="E2078" s="2">
        <v>23</v>
      </c>
      <c r="F2078" s="2">
        <v>41</v>
      </c>
      <c r="G2078" s="2">
        <v>180</v>
      </c>
      <c r="H2078" s="9">
        <f t="shared" si="32"/>
        <v>12.654320987654319</v>
      </c>
      <c r="I2078" s="2" t="str" cm="1">
        <f t="array" ref="I2078">_xlfn.IFS(F2078&gt;=100,"Over weight",F2078&lt;100,"Average weight")</f>
        <v>Average weight</v>
      </c>
      <c r="J2078" s="2" t="str" cm="1">
        <f t="array" ref="J2078">_xlfn.IFS(G2078&lt;164,"Below Average height",G2078&gt;=165,"Above Average height",G2078=164,"Average height")</f>
        <v>Above Average height</v>
      </c>
      <c r="K2078" s="2" t="str" cm="1">
        <f t="array" ref="K2078">_xlfn.IFS(E2078&lt;=16,"Children",E2078&lt;=30,"Young Adults",E2078&lt;=45,"Middle-aged Adults",E2078&gt;45,"Old Adults")</f>
        <v>Young Adults</v>
      </c>
    </row>
    <row r="2079" spans="1:11" x14ac:dyDescent="0.45">
      <c r="A2079" s="2">
        <v>2425</v>
      </c>
      <c r="B2079" s="2" t="s">
        <v>2529</v>
      </c>
      <c r="C2079" s="2" t="s">
        <v>90</v>
      </c>
      <c r="D2079" s="2" t="s">
        <v>21</v>
      </c>
      <c r="E2079" s="2">
        <v>37</v>
      </c>
      <c r="F2079" s="2">
        <v>97</v>
      </c>
      <c r="G2079" s="2">
        <v>180</v>
      </c>
      <c r="H2079" s="9">
        <f t="shared" si="32"/>
        <v>29.938271604938269</v>
      </c>
      <c r="I2079" s="2" t="str" cm="1">
        <f t="array" ref="I2079">_xlfn.IFS(F2079&gt;=100,"Over weight",F2079&lt;100,"Average weight")</f>
        <v>Average weight</v>
      </c>
      <c r="J2079" s="2" t="str" cm="1">
        <f t="array" ref="J2079">_xlfn.IFS(G2079&lt;164,"Below Average height",G2079&gt;=165,"Above Average height",G2079=164,"Average height")</f>
        <v>Above Average height</v>
      </c>
      <c r="K2079" s="2" t="str" cm="1">
        <f t="array" ref="K2079">_xlfn.IFS(E2079&lt;=16,"Children",E2079&lt;=30,"Young Adults",E2079&lt;=45,"Middle-aged Adults",E2079&gt;45,"Old Adults")</f>
        <v>Middle-aged Adults</v>
      </c>
    </row>
    <row r="2080" spans="1:11" x14ac:dyDescent="0.45">
      <c r="A2080" s="2">
        <v>2426</v>
      </c>
      <c r="B2080" s="2" t="s">
        <v>2530</v>
      </c>
      <c r="C2080" s="2" t="s">
        <v>91</v>
      </c>
      <c r="D2080" s="2" t="s">
        <v>80</v>
      </c>
      <c r="E2080" s="2">
        <v>24</v>
      </c>
      <c r="F2080" s="2">
        <v>70</v>
      </c>
      <c r="G2080" s="2">
        <v>174</v>
      </c>
      <c r="H2080" s="9">
        <f t="shared" si="32"/>
        <v>23.120623596247853</v>
      </c>
      <c r="I2080" s="2" t="str" cm="1">
        <f t="array" ref="I2080">_xlfn.IFS(F2080&gt;=100,"Over weight",F2080&lt;100,"Average weight")</f>
        <v>Average weight</v>
      </c>
      <c r="J2080" s="2" t="str" cm="1">
        <f t="array" ref="J2080">_xlfn.IFS(G2080&lt;164,"Below Average height",G2080&gt;=165,"Above Average height",G2080=164,"Average height")</f>
        <v>Above Average height</v>
      </c>
      <c r="K2080" s="2" t="str" cm="1">
        <f t="array" ref="K2080">_xlfn.IFS(E2080&lt;=16,"Children",E2080&lt;=30,"Young Adults",E2080&lt;=45,"Middle-aged Adults",E2080&gt;45,"Old Adults")</f>
        <v>Young Adults</v>
      </c>
    </row>
    <row r="2081" spans="1:11" x14ac:dyDescent="0.45">
      <c r="A2081" s="2">
        <v>2427</v>
      </c>
      <c r="B2081" s="2" t="s">
        <v>2531</v>
      </c>
      <c r="C2081" s="2" t="s">
        <v>96</v>
      </c>
      <c r="D2081" s="2" t="s">
        <v>30</v>
      </c>
      <c r="E2081" s="2">
        <v>29</v>
      </c>
      <c r="F2081" s="2">
        <v>41</v>
      </c>
      <c r="G2081" s="2">
        <v>170</v>
      </c>
      <c r="H2081" s="9">
        <f t="shared" si="32"/>
        <v>14.186851211072666</v>
      </c>
      <c r="I2081" s="2" t="str" cm="1">
        <f t="array" ref="I2081">_xlfn.IFS(F2081&gt;=100,"Over weight",F2081&lt;100,"Average weight")</f>
        <v>Average weight</v>
      </c>
      <c r="J2081" s="2" t="str" cm="1">
        <f t="array" ref="J2081">_xlfn.IFS(G2081&lt;164,"Below Average height",G2081&gt;=165,"Above Average height",G2081=164,"Average height")</f>
        <v>Above Average height</v>
      </c>
      <c r="K2081" s="2" t="str" cm="1">
        <f t="array" ref="K2081">_xlfn.IFS(E2081&lt;=16,"Children",E2081&lt;=30,"Young Adults",E2081&lt;=45,"Middle-aged Adults",E2081&gt;45,"Old Adults")</f>
        <v>Young Adults</v>
      </c>
    </row>
    <row r="2082" spans="1:11" x14ac:dyDescent="0.45">
      <c r="A2082" s="2">
        <v>2428</v>
      </c>
      <c r="B2082" s="2" t="s">
        <v>2532</v>
      </c>
      <c r="C2082" s="2" t="s">
        <v>88</v>
      </c>
      <c r="D2082" s="2" t="s">
        <v>23</v>
      </c>
      <c r="E2082" s="2">
        <v>19</v>
      </c>
      <c r="F2082" s="2">
        <v>57</v>
      </c>
      <c r="G2082" s="2">
        <v>166</v>
      </c>
      <c r="H2082" s="9">
        <f t="shared" si="32"/>
        <v>20.685150239512268</v>
      </c>
      <c r="I2082" s="2" t="str" cm="1">
        <f t="array" ref="I2082">_xlfn.IFS(F2082&gt;=100,"Over weight",F2082&lt;100,"Average weight")</f>
        <v>Average weight</v>
      </c>
      <c r="J2082" s="2" t="str" cm="1">
        <f t="array" ref="J2082">_xlfn.IFS(G2082&lt;164,"Below Average height",G2082&gt;=165,"Above Average height",G2082=164,"Average height")</f>
        <v>Above Average height</v>
      </c>
      <c r="K2082" s="2" t="str" cm="1">
        <f t="array" ref="K2082">_xlfn.IFS(E2082&lt;=16,"Children",E2082&lt;=30,"Young Adults",E2082&lt;=45,"Middle-aged Adults",E2082&gt;45,"Old Adults")</f>
        <v>Young Adults</v>
      </c>
    </row>
    <row r="2083" spans="1:11" x14ac:dyDescent="0.45">
      <c r="A2083" s="2">
        <v>2429</v>
      </c>
      <c r="B2083" s="2" t="s">
        <v>2533</v>
      </c>
      <c r="C2083" s="2" t="s">
        <v>91</v>
      </c>
      <c r="D2083" s="2" t="s">
        <v>60</v>
      </c>
      <c r="E2083" s="2">
        <v>34</v>
      </c>
      <c r="F2083" s="2">
        <v>93</v>
      </c>
      <c r="G2083" s="2">
        <v>191</v>
      </c>
      <c r="H2083" s="9">
        <f t="shared" si="32"/>
        <v>25.492722238973712</v>
      </c>
      <c r="I2083" s="2" t="str" cm="1">
        <f t="array" ref="I2083">_xlfn.IFS(F2083&gt;=100,"Over weight",F2083&lt;100,"Average weight")</f>
        <v>Average weight</v>
      </c>
      <c r="J2083" s="2" t="str" cm="1">
        <f t="array" ref="J2083">_xlfn.IFS(G2083&lt;164,"Below Average height",G2083&gt;=165,"Above Average height",G2083=164,"Average height")</f>
        <v>Above Average height</v>
      </c>
      <c r="K2083" s="2" t="str" cm="1">
        <f t="array" ref="K2083">_xlfn.IFS(E2083&lt;=16,"Children",E2083&lt;=30,"Young Adults",E2083&lt;=45,"Middle-aged Adults",E2083&gt;45,"Old Adults")</f>
        <v>Middle-aged Adults</v>
      </c>
    </row>
    <row r="2084" spans="1:11" x14ac:dyDescent="0.45">
      <c r="A2084" s="2">
        <v>2430</v>
      </c>
      <c r="B2084" s="2" t="s">
        <v>2534</v>
      </c>
      <c r="C2084" s="2" t="s">
        <v>88</v>
      </c>
      <c r="D2084" s="2" t="s">
        <v>23</v>
      </c>
      <c r="E2084" s="2">
        <v>28</v>
      </c>
      <c r="F2084" s="2">
        <v>74</v>
      </c>
      <c r="G2084" s="2">
        <v>180</v>
      </c>
      <c r="H2084" s="9">
        <f t="shared" si="32"/>
        <v>22.839506172839506</v>
      </c>
      <c r="I2084" s="2" t="str" cm="1">
        <f t="array" ref="I2084">_xlfn.IFS(F2084&gt;=100,"Over weight",F2084&lt;100,"Average weight")</f>
        <v>Average weight</v>
      </c>
      <c r="J2084" s="2" t="str" cm="1">
        <f t="array" ref="J2084">_xlfn.IFS(G2084&lt;164,"Below Average height",G2084&gt;=165,"Above Average height",G2084=164,"Average height")</f>
        <v>Above Average height</v>
      </c>
      <c r="K2084" s="2" t="str" cm="1">
        <f t="array" ref="K2084">_xlfn.IFS(E2084&lt;=16,"Children",E2084&lt;=30,"Young Adults",E2084&lt;=45,"Middle-aged Adults",E2084&gt;45,"Old Adults")</f>
        <v>Young Adults</v>
      </c>
    </row>
    <row r="2085" spans="1:11" x14ac:dyDescent="0.45">
      <c r="A2085" s="2">
        <v>2431</v>
      </c>
      <c r="B2085" s="2" t="s">
        <v>2535</v>
      </c>
      <c r="C2085" s="2" t="s">
        <v>96</v>
      </c>
      <c r="D2085" s="2" t="s">
        <v>22</v>
      </c>
      <c r="E2085" s="2">
        <v>35</v>
      </c>
      <c r="F2085" s="2">
        <v>41</v>
      </c>
      <c r="G2085" s="2">
        <v>184</v>
      </c>
      <c r="H2085" s="9">
        <f t="shared" si="32"/>
        <v>12.110113421550095</v>
      </c>
      <c r="I2085" s="2" t="str" cm="1">
        <f t="array" ref="I2085">_xlfn.IFS(F2085&gt;=100,"Over weight",F2085&lt;100,"Average weight")</f>
        <v>Average weight</v>
      </c>
      <c r="J2085" s="2" t="str" cm="1">
        <f t="array" ref="J2085">_xlfn.IFS(G2085&lt;164,"Below Average height",G2085&gt;=165,"Above Average height",G2085=164,"Average height")</f>
        <v>Above Average height</v>
      </c>
      <c r="K2085" s="2" t="str" cm="1">
        <f t="array" ref="K2085">_xlfn.IFS(E2085&lt;=16,"Children",E2085&lt;=30,"Young Adults",E2085&lt;=45,"Middle-aged Adults",E2085&gt;45,"Old Adults")</f>
        <v>Middle-aged Adults</v>
      </c>
    </row>
    <row r="2086" spans="1:11" x14ac:dyDescent="0.45">
      <c r="A2086" s="2">
        <v>2432</v>
      </c>
      <c r="B2086" s="2" t="s">
        <v>2536</v>
      </c>
      <c r="C2086" s="2" t="s">
        <v>94</v>
      </c>
      <c r="D2086" s="2" t="s">
        <v>73</v>
      </c>
      <c r="E2086" s="2">
        <v>29</v>
      </c>
      <c r="F2086" s="2">
        <v>70</v>
      </c>
      <c r="G2086" s="2">
        <v>177</v>
      </c>
      <c r="H2086" s="9">
        <f t="shared" si="32"/>
        <v>22.343515592581952</v>
      </c>
      <c r="I2086" s="2" t="str" cm="1">
        <f t="array" ref="I2086">_xlfn.IFS(F2086&gt;=100,"Over weight",F2086&lt;100,"Average weight")</f>
        <v>Average weight</v>
      </c>
      <c r="J2086" s="2" t="str" cm="1">
        <f t="array" ref="J2086">_xlfn.IFS(G2086&lt;164,"Below Average height",G2086&gt;=165,"Above Average height",G2086=164,"Average height")</f>
        <v>Above Average height</v>
      </c>
      <c r="K2086" s="2" t="str" cm="1">
        <f t="array" ref="K2086">_xlfn.IFS(E2086&lt;=16,"Children",E2086&lt;=30,"Young Adults",E2086&lt;=45,"Middle-aged Adults",E2086&gt;45,"Old Adults")</f>
        <v>Young Adults</v>
      </c>
    </row>
    <row r="2087" spans="1:11" x14ac:dyDescent="0.45">
      <c r="A2087" s="2">
        <v>2433</v>
      </c>
      <c r="B2087" s="2" t="s">
        <v>2537</v>
      </c>
      <c r="C2087" s="2" t="s">
        <v>85</v>
      </c>
      <c r="D2087" s="2" t="s">
        <v>75</v>
      </c>
      <c r="E2087" s="2">
        <v>24</v>
      </c>
      <c r="F2087" s="2">
        <v>77</v>
      </c>
      <c r="G2087" s="2">
        <v>177</v>
      </c>
      <c r="H2087" s="9">
        <f t="shared" si="32"/>
        <v>24.577867151840145</v>
      </c>
      <c r="I2087" s="2" t="str" cm="1">
        <f t="array" ref="I2087">_xlfn.IFS(F2087&gt;=100,"Over weight",F2087&lt;100,"Average weight")</f>
        <v>Average weight</v>
      </c>
      <c r="J2087" s="2" t="str" cm="1">
        <f t="array" ref="J2087">_xlfn.IFS(G2087&lt;164,"Below Average height",G2087&gt;=165,"Above Average height",G2087=164,"Average height")</f>
        <v>Above Average height</v>
      </c>
      <c r="K2087" s="2" t="str" cm="1">
        <f t="array" ref="K2087">_xlfn.IFS(E2087&lt;=16,"Children",E2087&lt;=30,"Young Adults",E2087&lt;=45,"Middle-aged Adults",E2087&gt;45,"Old Adults")</f>
        <v>Young Adults</v>
      </c>
    </row>
    <row r="2088" spans="1:11" x14ac:dyDescent="0.45">
      <c r="A2088" s="2">
        <v>2435</v>
      </c>
      <c r="B2088" s="2" t="s">
        <v>2539</v>
      </c>
      <c r="C2088" s="2" t="s">
        <v>86</v>
      </c>
      <c r="D2088" s="2" t="s">
        <v>21</v>
      </c>
      <c r="E2088" s="2">
        <v>25</v>
      </c>
      <c r="F2088" s="2">
        <v>103</v>
      </c>
      <c r="G2088" s="2">
        <v>190</v>
      </c>
      <c r="H2088" s="9">
        <f t="shared" si="32"/>
        <v>28.531855955678672</v>
      </c>
      <c r="I2088" s="2" t="str" cm="1">
        <f t="array" ref="I2088">_xlfn.IFS(F2088&gt;=100,"Over weight",F2088&lt;100,"Average weight")</f>
        <v>Over weight</v>
      </c>
      <c r="J2088" s="2" t="str" cm="1">
        <f t="array" ref="J2088">_xlfn.IFS(G2088&lt;164,"Below Average height",G2088&gt;=165,"Above Average height",G2088=164,"Average height")</f>
        <v>Above Average height</v>
      </c>
      <c r="K2088" s="2" t="str" cm="1">
        <f t="array" ref="K2088">_xlfn.IFS(E2088&lt;=16,"Children",E2088&lt;=30,"Young Adults",E2088&lt;=45,"Middle-aged Adults",E2088&gt;45,"Old Adults")</f>
        <v>Young Adults</v>
      </c>
    </row>
    <row r="2089" spans="1:11" x14ac:dyDescent="0.45">
      <c r="A2089" s="2">
        <v>2437</v>
      </c>
      <c r="B2089" s="2" t="s">
        <v>2541</v>
      </c>
      <c r="C2089" s="2" t="s">
        <v>94</v>
      </c>
      <c r="D2089" s="2" t="s">
        <v>71</v>
      </c>
      <c r="E2089" s="2">
        <v>25</v>
      </c>
      <c r="F2089" s="2">
        <v>63</v>
      </c>
      <c r="G2089" s="2">
        <v>174</v>
      </c>
      <c r="H2089" s="9">
        <f t="shared" si="32"/>
        <v>20.808561236623067</v>
      </c>
      <c r="I2089" s="2" t="str" cm="1">
        <f t="array" ref="I2089">_xlfn.IFS(F2089&gt;=100,"Over weight",F2089&lt;100,"Average weight")</f>
        <v>Average weight</v>
      </c>
      <c r="J2089" s="2" t="str" cm="1">
        <f t="array" ref="J2089">_xlfn.IFS(G2089&lt;164,"Below Average height",G2089&gt;=165,"Above Average height",G2089=164,"Average height")</f>
        <v>Above Average height</v>
      </c>
      <c r="K2089" s="2" t="str" cm="1">
        <f t="array" ref="K2089">_xlfn.IFS(E2089&lt;=16,"Children",E2089&lt;=30,"Young Adults",E2089&lt;=45,"Middle-aged Adults",E2089&gt;45,"Old Adults")</f>
        <v>Young Adults</v>
      </c>
    </row>
    <row r="2090" spans="1:11" x14ac:dyDescent="0.45">
      <c r="A2090" s="2">
        <v>2438</v>
      </c>
      <c r="B2090" s="2" t="s">
        <v>2542</v>
      </c>
      <c r="C2090" s="2" t="s">
        <v>91</v>
      </c>
      <c r="D2090" s="2" t="s">
        <v>70</v>
      </c>
      <c r="E2090" s="2">
        <v>33</v>
      </c>
      <c r="F2090" s="2">
        <v>85</v>
      </c>
      <c r="G2090" s="2">
        <v>177</v>
      </c>
      <c r="H2090" s="9">
        <f t="shared" si="32"/>
        <v>27.13141179099237</v>
      </c>
      <c r="I2090" s="2" t="str" cm="1">
        <f t="array" ref="I2090">_xlfn.IFS(F2090&gt;=100,"Over weight",F2090&lt;100,"Average weight")</f>
        <v>Average weight</v>
      </c>
      <c r="J2090" s="2" t="str" cm="1">
        <f t="array" ref="J2090">_xlfn.IFS(G2090&lt;164,"Below Average height",G2090&gt;=165,"Above Average height",G2090=164,"Average height")</f>
        <v>Above Average height</v>
      </c>
      <c r="K2090" s="2" t="str" cm="1">
        <f t="array" ref="K2090">_xlfn.IFS(E2090&lt;=16,"Children",E2090&lt;=30,"Young Adults",E2090&lt;=45,"Middle-aged Adults",E2090&gt;45,"Old Adults")</f>
        <v>Middle-aged Adults</v>
      </c>
    </row>
    <row r="2091" spans="1:11" x14ac:dyDescent="0.45">
      <c r="A2091" s="2">
        <v>2439</v>
      </c>
      <c r="B2091" s="2" t="s">
        <v>2543</v>
      </c>
      <c r="C2091" s="2" t="s">
        <v>88</v>
      </c>
      <c r="D2091" s="2" t="s">
        <v>21</v>
      </c>
      <c r="E2091" s="2">
        <v>32</v>
      </c>
      <c r="F2091" s="2">
        <v>74</v>
      </c>
      <c r="G2091" s="2">
        <v>180</v>
      </c>
      <c r="H2091" s="9">
        <f t="shared" si="32"/>
        <v>22.839506172839506</v>
      </c>
      <c r="I2091" s="2" t="str" cm="1">
        <f t="array" ref="I2091">_xlfn.IFS(F2091&gt;=100,"Over weight",F2091&lt;100,"Average weight")</f>
        <v>Average weight</v>
      </c>
      <c r="J2091" s="2" t="str" cm="1">
        <f t="array" ref="J2091">_xlfn.IFS(G2091&lt;164,"Below Average height",G2091&gt;=165,"Above Average height",G2091=164,"Average height")</f>
        <v>Above Average height</v>
      </c>
      <c r="K2091" s="2" t="str" cm="1">
        <f t="array" ref="K2091">_xlfn.IFS(E2091&lt;=16,"Children",E2091&lt;=30,"Young Adults",E2091&lt;=45,"Middle-aged Adults",E2091&gt;45,"Old Adults")</f>
        <v>Middle-aged Adults</v>
      </c>
    </row>
    <row r="2092" spans="1:11" x14ac:dyDescent="0.45">
      <c r="A2092" s="2">
        <v>2440</v>
      </c>
      <c r="B2092" s="2" t="s">
        <v>2544</v>
      </c>
      <c r="C2092" s="2" t="s">
        <v>88</v>
      </c>
      <c r="D2092" s="2" t="s">
        <v>21</v>
      </c>
      <c r="E2092" s="2">
        <v>21</v>
      </c>
      <c r="F2092" s="2">
        <v>57</v>
      </c>
      <c r="G2092" s="2">
        <v>166</v>
      </c>
      <c r="H2092" s="9">
        <f t="shared" si="32"/>
        <v>20.685150239512268</v>
      </c>
      <c r="I2092" s="2" t="str" cm="1">
        <f t="array" ref="I2092">_xlfn.IFS(F2092&gt;=100,"Over weight",F2092&lt;100,"Average weight")</f>
        <v>Average weight</v>
      </c>
      <c r="J2092" s="2" t="str" cm="1">
        <f t="array" ref="J2092">_xlfn.IFS(G2092&lt;164,"Below Average height",G2092&gt;=165,"Above Average height",G2092=164,"Average height")</f>
        <v>Above Average height</v>
      </c>
      <c r="K2092" s="2" t="str" cm="1">
        <f t="array" ref="K2092">_xlfn.IFS(E2092&lt;=16,"Children",E2092&lt;=30,"Young Adults",E2092&lt;=45,"Middle-aged Adults",E2092&gt;45,"Old Adults")</f>
        <v>Young Adults</v>
      </c>
    </row>
    <row r="2093" spans="1:11" x14ac:dyDescent="0.45">
      <c r="A2093" s="2">
        <v>2441</v>
      </c>
      <c r="B2093" s="2" t="s">
        <v>2545</v>
      </c>
      <c r="C2093" s="2" t="s">
        <v>93</v>
      </c>
      <c r="D2093" s="2" t="s">
        <v>80</v>
      </c>
      <c r="E2093" s="2">
        <v>21</v>
      </c>
      <c r="F2093" s="2">
        <v>68</v>
      </c>
      <c r="G2093" s="2">
        <v>165</v>
      </c>
      <c r="H2093" s="9">
        <f t="shared" si="32"/>
        <v>24.977043158861342</v>
      </c>
      <c r="I2093" s="2" t="str" cm="1">
        <f t="array" ref="I2093">_xlfn.IFS(F2093&gt;=100,"Over weight",F2093&lt;100,"Average weight")</f>
        <v>Average weight</v>
      </c>
      <c r="J2093" s="2" t="str" cm="1">
        <f t="array" ref="J2093">_xlfn.IFS(G2093&lt;164,"Below Average height",G2093&gt;=165,"Above Average height",G2093=164,"Average height")</f>
        <v>Above Average height</v>
      </c>
      <c r="K2093" s="2" t="str" cm="1">
        <f t="array" ref="K2093">_xlfn.IFS(E2093&lt;=16,"Children",E2093&lt;=30,"Young Adults",E2093&lt;=45,"Middle-aged Adults",E2093&gt;45,"Old Adults")</f>
        <v>Young Adults</v>
      </c>
    </row>
    <row r="2094" spans="1:11" x14ac:dyDescent="0.45">
      <c r="A2094" s="2">
        <v>2442</v>
      </c>
      <c r="B2094" s="2" t="s">
        <v>2546</v>
      </c>
      <c r="C2094" s="2" t="s">
        <v>94</v>
      </c>
      <c r="D2094" s="2" t="s">
        <v>26</v>
      </c>
      <c r="E2094" s="2">
        <v>34</v>
      </c>
      <c r="F2094" s="2">
        <v>71</v>
      </c>
      <c r="G2094" s="2">
        <v>181</v>
      </c>
      <c r="H2094" s="9">
        <f t="shared" si="32"/>
        <v>21.672110130948383</v>
      </c>
      <c r="I2094" s="2" t="str" cm="1">
        <f t="array" ref="I2094">_xlfn.IFS(F2094&gt;=100,"Over weight",F2094&lt;100,"Average weight")</f>
        <v>Average weight</v>
      </c>
      <c r="J2094" s="2" t="str" cm="1">
        <f t="array" ref="J2094">_xlfn.IFS(G2094&lt;164,"Below Average height",G2094&gt;=165,"Above Average height",G2094=164,"Average height")</f>
        <v>Above Average height</v>
      </c>
      <c r="K2094" s="2" t="str" cm="1">
        <f t="array" ref="K2094">_xlfn.IFS(E2094&lt;=16,"Children",E2094&lt;=30,"Young Adults",E2094&lt;=45,"Middle-aged Adults",E2094&gt;45,"Old Adults")</f>
        <v>Middle-aged Adults</v>
      </c>
    </row>
    <row r="2095" spans="1:11" x14ac:dyDescent="0.45">
      <c r="A2095" s="2">
        <v>2443</v>
      </c>
      <c r="B2095" s="2" t="s">
        <v>2547</v>
      </c>
      <c r="C2095" s="2" t="s">
        <v>97</v>
      </c>
      <c r="D2095" s="2" t="s">
        <v>21</v>
      </c>
      <c r="E2095" s="2">
        <v>24</v>
      </c>
      <c r="F2095" s="2">
        <v>68</v>
      </c>
      <c r="G2095" s="2">
        <v>182</v>
      </c>
      <c r="H2095" s="9">
        <f t="shared" si="32"/>
        <v>20.528921627822726</v>
      </c>
      <c r="I2095" s="2" t="str" cm="1">
        <f t="array" ref="I2095">_xlfn.IFS(F2095&gt;=100,"Over weight",F2095&lt;100,"Average weight")</f>
        <v>Average weight</v>
      </c>
      <c r="J2095" s="2" t="str" cm="1">
        <f t="array" ref="J2095">_xlfn.IFS(G2095&lt;164,"Below Average height",G2095&gt;=165,"Above Average height",G2095=164,"Average height")</f>
        <v>Above Average height</v>
      </c>
      <c r="K2095" s="2" t="str" cm="1">
        <f t="array" ref="K2095">_xlfn.IFS(E2095&lt;=16,"Children",E2095&lt;=30,"Young Adults",E2095&lt;=45,"Middle-aged Adults",E2095&gt;45,"Old Adults")</f>
        <v>Young Adults</v>
      </c>
    </row>
    <row r="2096" spans="1:11" x14ac:dyDescent="0.45">
      <c r="A2096" s="2">
        <v>2444</v>
      </c>
      <c r="B2096" s="2" t="s">
        <v>2548</v>
      </c>
      <c r="C2096" s="2" t="s">
        <v>90</v>
      </c>
      <c r="D2096" s="2" t="s">
        <v>66</v>
      </c>
      <c r="E2096" s="2">
        <v>29</v>
      </c>
      <c r="F2096" s="2">
        <v>115</v>
      </c>
      <c r="G2096" s="2">
        <v>194</v>
      </c>
      <c r="H2096" s="9">
        <f t="shared" si="32"/>
        <v>30.555850781166971</v>
      </c>
      <c r="I2096" s="2" t="str" cm="1">
        <f t="array" ref="I2096">_xlfn.IFS(F2096&gt;=100,"Over weight",F2096&lt;100,"Average weight")</f>
        <v>Over weight</v>
      </c>
      <c r="J2096" s="2" t="str" cm="1">
        <f t="array" ref="J2096">_xlfn.IFS(G2096&lt;164,"Below Average height",G2096&gt;=165,"Above Average height",G2096=164,"Average height")</f>
        <v>Above Average height</v>
      </c>
      <c r="K2096" s="2" t="str" cm="1">
        <f t="array" ref="K2096">_xlfn.IFS(E2096&lt;=16,"Children",E2096&lt;=30,"Young Adults",E2096&lt;=45,"Middle-aged Adults",E2096&gt;45,"Old Adults")</f>
        <v>Young Adults</v>
      </c>
    </row>
    <row r="2097" spans="1:11" x14ac:dyDescent="0.45">
      <c r="A2097" s="2">
        <v>2445</v>
      </c>
      <c r="B2097" s="2" t="s">
        <v>2549</v>
      </c>
      <c r="C2097" s="2" t="s">
        <v>91</v>
      </c>
      <c r="D2097" s="2" t="s">
        <v>21</v>
      </c>
      <c r="E2097" s="2">
        <v>33</v>
      </c>
      <c r="F2097" s="2">
        <v>85</v>
      </c>
      <c r="G2097" s="2">
        <v>187</v>
      </c>
      <c r="H2097" s="9">
        <f t="shared" si="32"/>
        <v>24.307243558580453</v>
      </c>
      <c r="I2097" s="2" t="str" cm="1">
        <f t="array" ref="I2097">_xlfn.IFS(F2097&gt;=100,"Over weight",F2097&lt;100,"Average weight")</f>
        <v>Average weight</v>
      </c>
      <c r="J2097" s="2" t="str" cm="1">
        <f t="array" ref="J2097">_xlfn.IFS(G2097&lt;164,"Below Average height",G2097&gt;=165,"Above Average height",G2097=164,"Average height")</f>
        <v>Above Average height</v>
      </c>
      <c r="K2097" s="2" t="str" cm="1">
        <f t="array" ref="K2097">_xlfn.IFS(E2097&lt;=16,"Children",E2097&lt;=30,"Young Adults",E2097&lt;=45,"Middle-aged Adults",E2097&gt;45,"Old Adults")</f>
        <v>Middle-aged Adults</v>
      </c>
    </row>
    <row r="2098" spans="1:11" x14ac:dyDescent="0.45">
      <c r="A2098" s="2">
        <v>2446</v>
      </c>
      <c r="B2098" s="2" t="s">
        <v>2550</v>
      </c>
      <c r="C2098" s="2" t="s">
        <v>91</v>
      </c>
      <c r="D2098" s="2" t="s">
        <v>66</v>
      </c>
      <c r="E2098" s="2">
        <v>27</v>
      </c>
      <c r="F2098" s="2">
        <v>105</v>
      </c>
      <c r="G2098" s="2">
        <v>187</v>
      </c>
      <c r="H2098" s="9">
        <f t="shared" si="32"/>
        <v>30.026594984128796</v>
      </c>
      <c r="I2098" s="2" t="str" cm="1">
        <f t="array" ref="I2098">_xlfn.IFS(F2098&gt;=100,"Over weight",F2098&lt;100,"Average weight")</f>
        <v>Over weight</v>
      </c>
      <c r="J2098" s="2" t="str" cm="1">
        <f t="array" ref="J2098">_xlfn.IFS(G2098&lt;164,"Below Average height",G2098&gt;=165,"Above Average height",G2098=164,"Average height")</f>
        <v>Above Average height</v>
      </c>
      <c r="K2098" s="2" t="str" cm="1">
        <f t="array" ref="K2098">_xlfn.IFS(E2098&lt;=16,"Children",E2098&lt;=30,"Young Adults",E2098&lt;=45,"Middle-aged Adults",E2098&gt;45,"Old Adults")</f>
        <v>Young Adults</v>
      </c>
    </row>
    <row r="2099" spans="1:11" x14ac:dyDescent="0.45">
      <c r="A2099" s="2">
        <v>2447</v>
      </c>
      <c r="B2099" s="2" t="s">
        <v>2551</v>
      </c>
      <c r="C2099" s="2" t="s">
        <v>87</v>
      </c>
      <c r="D2099" s="2" t="s">
        <v>66</v>
      </c>
      <c r="E2099" s="2">
        <v>23</v>
      </c>
      <c r="F2099" s="2">
        <v>70</v>
      </c>
      <c r="G2099" s="2">
        <v>172</v>
      </c>
      <c r="H2099" s="9">
        <f t="shared" si="32"/>
        <v>23.661438615467823</v>
      </c>
      <c r="I2099" s="2" t="str" cm="1">
        <f t="array" ref="I2099">_xlfn.IFS(F2099&gt;=100,"Over weight",F2099&lt;100,"Average weight")</f>
        <v>Average weight</v>
      </c>
      <c r="J2099" s="2" t="str" cm="1">
        <f t="array" ref="J2099">_xlfn.IFS(G2099&lt;164,"Below Average height",G2099&gt;=165,"Above Average height",G2099=164,"Average height")</f>
        <v>Above Average height</v>
      </c>
      <c r="K2099" s="2" t="str" cm="1">
        <f t="array" ref="K2099">_xlfn.IFS(E2099&lt;=16,"Children",E2099&lt;=30,"Young Adults",E2099&lt;=45,"Middle-aged Adults",E2099&gt;45,"Old Adults")</f>
        <v>Young Adults</v>
      </c>
    </row>
    <row r="2100" spans="1:11" x14ac:dyDescent="0.45">
      <c r="A2100" s="2">
        <v>2448</v>
      </c>
      <c r="B2100" s="2" t="s">
        <v>2552</v>
      </c>
      <c r="C2100" s="2" t="s">
        <v>87</v>
      </c>
      <c r="D2100" s="2" t="s">
        <v>66</v>
      </c>
      <c r="E2100" s="2">
        <v>22</v>
      </c>
      <c r="F2100" s="2">
        <v>77</v>
      </c>
      <c r="G2100" s="2">
        <v>178</v>
      </c>
      <c r="H2100" s="9">
        <f t="shared" si="32"/>
        <v>24.302487059714682</v>
      </c>
      <c r="I2100" s="2" t="str" cm="1">
        <f t="array" ref="I2100">_xlfn.IFS(F2100&gt;=100,"Over weight",F2100&lt;100,"Average weight")</f>
        <v>Average weight</v>
      </c>
      <c r="J2100" s="2" t="str" cm="1">
        <f t="array" ref="J2100">_xlfn.IFS(G2100&lt;164,"Below Average height",G2100&gt;=165,"Above Average height",G2100=164,"Average height")</f>
        <v>Above Average height</v>
      </c>
      <c r="K2100" s="2" t="str" cm="1">
        <f t="array" ref="K2100">_xlfn.IFS(E2100&lt;=16,"Children",E2100&lt;=30,"Young Adults",E2100&lt;=45,"Middle-aged Adults",E2100&gt;45,"Old Adults")</f>
        <v>Young Adults</v>
      </c>
    </row>
    <row r="2101" spans="1:11" x14ac:dyDescent="0.45">
      <c r="A2101" s="2">
        <v>2451</v>
      </c>
      <c r="B2101" s="2" t="s">
        <v>2555</v>
      </c>
      <c r="C2101" s="2" t="s">
        <v>94</v>
      </c>
      <c r="D2101" s="2" t="s">
        <v>75</v>
      </c>
      <c r="E2101" s="2">
        <v>32</v>
      </c>
      <c r="F2101" s="2">
        <v>83</v>
      </c>
      <c r="G2101" s="2">
        <v>188</v>
      </c>
      <c r="H2101" s="9">
        <f t="shared" si="32"/>
        <v>23.483476686283389</v>
      </c>
      <c r="I2101" s="2" t="str" cm="1">
        <f t="array" ref="I2101">_xlfn.IFS(F2101&gt;=100,"Over weight",F2101&lt;100,"Average weight")</f>
        <v>Average weight</v>
      </c>
      <c r="J2101" s="2" t="str" cm="1">
        <f t="array" ref="J2101">_xlfn.IFS(G2101&lt;164,"Below Average height",G2101&gt;=165,"Above Average height",G2101=164,"Average height")</f>
        <v>Above Average height</v>
      </c>
      <c r="K2101" s="2" t="str" cm="1">
        <f t="array" ref="K2101">_xlfn.IFS(E2101&lt;=16,"Children",E2101&lt;=30,"Young Adults",E2101&lt;=45,"Middle-aged Adults",E2101&gt;45,"Old Adults")</f>
        <v>Middle-aged Adults</v>
      </c>
    </row>
    <row r="2102" spans="1:11" x14ac:dyDescent="0.45">
      <c r="A2102" s="2">
        <v>2452</v>
      </c>
      <c r="B2102" s="2" t="s">
        <v>2556</v>
      </c>
      <c r="C2102" s="2" t="s">
        <v>85</v>
      </c>
      <c r="D2102" s="2" t="s">
        <v>51</v>
      </c>
      <c r="E2102" s="2">
        <v>51</v>
      </c>
      <c r="F2102" s="2">
        <v>82</v>
      </c>
      <c r="G2102" s="2">
        <v>184</v>
      </c>
      <c r="H2102" s="9">
        <f t="shared" si="32"/>
        <v>24.220226843100189</v>
      </c>
      <c r="I2102" s="2" t="str" cm="1">
        <f t="array" ref="I2102">_xlfn.IFS(F2102&gt;=100,"Over weight",F2102&lt;100,"Average weight")</f>
        <v>Average weight</v>
      </c>
      <c r="J2102" s="2" t="str" cm="1">
        <f t="array" ref="J2102">_xlfn.IFS(G2102&lt;164,"Below Average height",G2102&gt;=165,"Above Average height",G2102=164,"Average height")</f>
        <v>Above Average height</v>
      </c>
      <c r="K2102" s="2" t="str" cm="1">
        <f t="array" ref="K2102">_xlfn.IFS(E2102&lt;=16,"Children",E2102&lt;=30,"Young Adults",E2102&lt;=45,"Middle-aged Adults",E2102&gt;45,"Old Adults")</f>
        <v>Old Adults</v>
      </c>
    </row>
    <row r="2103" spans="1:11" x14ac:dyDescent="0.45">
      <c r="A2103" s="2">
        <v>2453</v>
      </c>
      <c r="B2103" s="2" t="s">
        <v>2557</v>
      </c>
      <c r="C2103" s="2" t="s">
        <v>85</v>
      </c>
      <c r="D2103" s="2" t="s">
        <v>80</v>
      </c>
      <c r="E2103" s="2">
        <v>25</v>
      </c>
      <c r="F2103" s="2">
        <v>75</v>
      </c>
      <c r="G2103" s="2">
        <v>178</v>
      </c>
      <c r="H2103" s="9">
        <f t="shared" si="32"/>
        <v>23.671253629592222</v>
      </c>
      <c r="I2103" s="2" t="str" cm="1">
        <f t="array" ref="I2103">_xlfn.IFS(F2103&gt;=100,"Over weight",F2103&lt;100,"Average weight")</f>
        <v>Average weight</v>
      </c>
      <c r="J2103" s="2" t="str" cm="1">
        <f t="array" ref="J2103">_xlfn.IFS(G2103&lt;164,"Below Average height",G2103&gt;=165,"Above Average height",G2103=164,"Average height")</f>
        <v>Above Average height</v>
      </c>
      <c r="K2103" s="2" t="str" cm="1">
        <f t="array" ref="K2103">_xlfn.IFS(E2103&lt;=16,"Children",E2103&lt;=30,"Young Adults",E2103&lt;=45,"Middle-aged Adults",E2103&gt;45,"Old Adults")</f>
        <v>Young Adults</v>
      </c>
    </row>
    <row r="2104" spans="1:11" x14ac:dyDescent="0.45">
      <c r="A2104" s="2">
        <v>2454</v>
      </c>
      <c r="B2104" s="2" t="s">
        <v>2558</v>
      </c>
      <c r="C2104" s="2" t="s">
        <v>89</v>
      </c>
      <c r="D2104" s="2" t="s">
        <v>58</v>
      </c>
      <c r="E2104" s="2">
        <v>25</v>
      </c>
      <c r="F2104" s="2">
        <v>68</v>
      </c>
      <c r="G2104" s="2">
        <v>175</v>
      </c>
      <c r="H2104" s="9">
        <f t="shared" si="32"/>
        <v>22.204081632653061</v>
      </c>
      <c r="I2104" s="2" t="str" cm="1">
        <f t="array" ref="I2104">_xlfn.IFS(F2104&gt;=100,"Over weight",F2104&lt;100,"Average weight")</f>
        <v>Average weight</v>
      </c>
      <c r="J2104" s="2" t="str" cm="1">
        <f t="array" ref="J2104">_xlfn.IFS(G2104&lt;164,"Below Average height",G2104&gt;=165,"Above Average height",G2104=164,"Average height")</f>
        <v>Above Average height</v>
      </c>
      <c r="K2104" s="2" t="str" cm="1">
        <f t="array" ref="K2104">_xlfn.IFS(E2104&lt;=16,"Children",E2104&lt;=30,"Young Adults",E2104&lt;=45,"Middle-aged Adults",E2104&gt;45,"Old Adults")</f>
        <v>Young Adults</v>
      </c>
    </row>
    <row r="2105" spans="1:11" x14ac:dyDescent="0.45">
      <c r="A2105" s="2">
        <v>2456</v>
      </c>
      <c r="B2105" s="2" t="s">
        <v>2560</v>
      </c>
      <c r="C2105" s="2" t="s">
        <v>91</v>
      </c>
      <c r="D2105" s="2" t="s">
        <v>25</v>
      </c>
      <c r="E2105" s="2">
        <v>28</v>
      </c>
      <c r="F2105" s="2">
        <v>70</v>
      </c>
      <c r="G2105" s="2">
        <v>168</v>
      </c>
      <c r="H2105" s="9">
        <f t="shared" si="32"/>
        <v>24.801587301587304</v>
      </c>
      <c r="I2105" s="2" t="str" cm="1">
        <f t="array" ref="I2105">_xlfn.IFS(F2105&gt;=100,"Over weight",F2105&lt;100,"Average weight")</f>
        <v>Average weight</v>
      </c>
      <c r="J2105" s="2" t="str" cm="1">
        <f t="array" ref="J2105">_xlfn.IFS(G2105&lt;164,"Below Average height",G2105&gt;=165,"Above Average height",G2105=164,"Average height")</f>
        <v>Above Average height</v>
      </c>
      <c r="K2105" s="2" t="str" cm="1">
        <f t="array" ref="K2105">_xlfn.IFS(E2105&lt;=16,"Children",E2105&lt;=30,"Young Adults",E2105&lt;=45,"Middle-aged Adults",E2105&gt;45,"Old Adults")</f>
        <v>Young Adults</v>
      </c>
    </row>
    <row r="2106" spans="1:11" x14ac:dyDescent="0.45">
      <c r="A2106" s="2">
        <v>2457</v>
      </c>
      <c r="B2106" s="2" t="s">
        <v>2561</v>
      </c>
      <c r="C2106" s="2" t="s">
        <v>85</v>
      </c>
      <c r="D2106" s="2" t="s">
        <v>21</v>
      </c>
      <c r="E2106" s="2">
        <v>27</v>
      </c>
      <c r="F2106" s="2">
        <v>82</v>
      </c>
      <c r="G2106" s="2">
        <v>175</v>
      </c>
      <c r="H2106" s="9">
        <f t="shared" si="32"/>
        <v>26.775510204081634</v>
      </c>
      <c r="I2106" s="2" t="str" cm="1">
        <f t="array" ref="I2106">_xlfn.IFS(F2106&gt;=100,"Over weight",F2106&lt;100,"Average weight")</f>
        <v>Average weight</v>
      </c>
      <c r="J2106" s="2" t="str" cm="1">
        <f t="array" ref="J2106">_xlfn.IFS(G2106&lt;164,"Below Average height",G2106&gt;=165,"Above Average height",G2106=164,"Average height")</f>
        <v>Above Average height</v>
      </c>
      <c r="K2106" s="2" t="str" cm="1">
        <f t="array" ref="K2106">_xlfn.IFS(E2106&lt;=16,"Children",E2106&lt;=30,"Young Adults",E2106&lt;=45,"Middle-aged Adults",E2106&gt;45,"Old Adults")</f>
        <v>Young Adults</v>
      </c>
    </row>
    <row r="2107" spans="1:11" x14ac:dyDescent="0.45">
      <c r="A2107" s="2">
        <v>2458</v>
      </c>
      <c r="B2107" s="2" t="s">
        <v>2562</v>
      </c>
      <c r="C2107" s="2" t="s">
        <v>90</v>
      </c>
      <c r="D2107" s="2" t="s">
        <v>21</v>
      </c>
      <c r="E2107" s="2">
        <v>28</v>
      </c>
      <c r="F2107" s="2">
        <v>85</v>
      </c>
      <c r="G2107" s="2">
        <v>186</v>
      </c>
      <c r="H2107" s="9">
        <f t="shared" si="32"/>
        <v>24.56931437160365</v>
      </c>
      <c r="I2107" s="2" t="str" cm="1">
        <f t="array" ref="I2107">_xlfn.IFS(F2107&gt;=100,"Over weight",F2107&lt;100,"Average weight")</f>
        <v>Average weight</v>
      </c>
      <c r="J2107" s="2" t="str" cm="1">
        <f t="array" ref="J2107">_xlfn.IFS(G2107&lt;164,"Below Average height",G2107&gt;=165,"Above Average height",G2107=164,"Average height")</f>
        <v>Above Average height</v>
      </c>
      <c r="K2107" s="2" t="str" cm="1">
        <f t="array" ref="K2107">_xlfn.IFS(E2107&lt;=16,"Children",E2107&lt;=30,"Young Adults",E2107&lt;=45,"Middle-aged Adults",E2107&gt;45,"Old Adults")</f>
        <v>Young Adults</v>
      </c>
    </row>
    <row r="2108" spans="1:11" x14ac:dyDescent="0.45">
      <c r="A2108" s="2">
        <v>2459</v>
      </c>
      <c r="B2108" s="2" t="s">
        <v>2563</v>
      </c>
      <c r="C2108" s="2" t="s">
        <v>88</v>
      </c>
      <c r="D2108" s="2" t="s">
        <v>39</v>
      </c>
      <c r="E2108" s="2">
        <v>32</v>
      </c>
      <c r="F2108" s="2">
        <v>75</v>
      </c>
      <c r="G2108" s="2">
        <v>179</v>
      </c>
      <c r="H2108" s="9">
        <f t="shared" si="32"/>
        <v>23.40750912892856</v>
      </c>
      <c r="I2108" s="2" t="str" cm="1">
        <f t="array" ref="I2108">_xlfn.IFS(F2108&gt;=100,"Over weight",F2108&lt;100,"Average weight")</f>
        <v>Average weight</v>
      </c>
      <c r="J2108" s="2" t="str" cm="1">
        <f t="array" ref="J2108">_xlfn.IFS(G2108&lt;164,"Below Average height",G2108&gt;=165,"Above Average height",G2108=164,"Average height")</f>
        <v>Above Average height</v>
      </c>
      <c r="K2108" s="2" t="str" cm="1">
        <f t="array" ref="K2108">_xlfn.IFS(E2108&lt;=16,"Children",E2108&lt;=30,"Young Adults",E2108&lt;=45,"Middle-aged Adults",E2108&gt;45,"Old Adults")</f>
        <v>Middle-aged Adults</v>
      </c>
    </row>
    <row r="2109" spans="1:11" x14ac:dyDescent="0.45">
      <c r="A2109" s="2">
        <v>2460</v>
      </c>
      <c r="B2109" s="2" t="s">
        <v>2564</v>
      </c>
      <c r="C2109" s="2" t="s">
        <v>94</v>
      </c>
      <c r="D2109" s="2" t="s">
        <v>66</v>
      </c>
      <c r="E2109" s="2">
        <v>27</v>
      </c>
      <c r="F2109" s="2">
        <v>68</v>
      </c>
      <c r="G2109" s="2">
        <v>174</v>
      </c>
      <c r="H2109" s="9">
        <f t="shared" si="32"/>
        <v>22.460034350640772</v>
      </c>
      <c r="I2109" s="2" t="str" cm="1">
        <f t="array" ref="I2109">_xlfn.IFS(F2109&gt;=100,"Over weight",F2109&lt;100,"Average weight")</f>
        <v>Average weight</v>
      </c>
      <c r="J2109" s="2" t="str" cm="1">
        <f t="array" ref="J2109">_xlfn.IFS(G2109&lt;164,"Below Average height",G2109&gt;=165,"Above Average height",G2109=164,"Average height")</f>
        <v>Above Average height</v>
      </c>
      <c r="K2109" s="2" t="str" cm="1">
        <f t="array" ref="K2109">_xlfn.IFS(E2109&lt;=16,"Children",E2109&lt;=30,"Young Adults",E2109&lt;=45,"Middle-aged Adults",E2109&gt;45,"Old Adults")</f>
        <v>Young Adults</v>
      </c>
    </row>
    <row r="2110" spans="1:11" x14ac:dyDescent="0.45">
      <c r="A2110" s="2">
        <v>2461</v>
      </c>
      <c r="B2110" s="2" t="s">
        <v>2565</v>
      </c>
      <c r="C2110" s="2" t="s">
        <v>89</v>
      </c>
      <c r="D2110" s="2" t="s">
        <v>66</v>
      </c>
      <c r="E2110" s="2">
        <v>37</v>
      </c>
      <c r="F2110" s="2">
        <v>65</v>
      </c>
      <c r="G2110" s="2">
        <v>168</v>
      </c>
      <c r="H2110" s="9">
        <f t="shared" si="32"/>
        <v>23.030045351473927</v>
      </c>
      <c r="I2110" s="2" t="str" cm="1">
        <f t="array" ref="I2110">_xlfn.IFS(F2110&gt;=100,"Over weight",F2110&lt;100,"Average weight")</f>
        <v>Average weight</v>
      </c>
      <c r="J2110" s="2" t="str" cm="1">
        <f t="array" ref="J2110">_xlfn.IFS(G2110&lt;164,"Below Average height",G2110&gt;=165,"Above Average height",G2110=164,"Average height")</f>
        <v>Above Average height</v>
      </c>
      <c r="K2110" s="2" t="str" cm="1">
        <f t="array" ref="K2110">_xlfn.IFS(E2110&lt;=16,"Children",E2110&lt;=30,"Young Adults",E2110&lt;=45,"Middle-aged Adults",E2110&gt;45,"Old Adults")</f>
        <v>Middle-aged Adults</v>
      </c>
    </row>
    <row r="2111" spans="1:11" x14ac:dyDescent="0.45">
      <c r="A2111" s="2">
        <v>2462</v>
      </c>
      <c r="B2111" s="2" t="s">
        <v>2566</v>
      </c>
      <c r="C2111" s="2" t="s">
        <v>96</v>
      </c>
      <c r="D2111" s="2" t="s">
        <v>28</v>
      </c>
      <c r="E2111" s="2">
        <v>44</v>
      </c>
      <c r="F2111" s="2">
        <v>103</v>
      </c>
      <c r="G2111" s="2">
        <v>170</v>
      </c>
      <c r="H2111" s="9">
        <f t="shared" si="32"/>
        <v>35.640138408304502</v>
      </c>
      <c r="I2111" s="2" t="str" cm="1">
        <f t="array" ref="I2111">_xlfn.IFS(F2111&gt;=100,"Over weight",F2111&lt;100,"Average weight")</f>
        <v>Over weight</v>
      </c>
      <c r="J2111" s="2" t="str" cm="1">
        <f t="array" ref="J2111">_xlfn.IFS(G2111&lt;164,"Below Average height",G2111&gt;=165,"Above Average height",G2111=164,"Average height")</f>
        <v>Above Average height</v>
      </c>
      <c r="K2111" s="2" t="str" cm="1">
        <f t="array" ref="K2111">_xlfn.IFS(E2111&lt;=16,"Children",E2111&lt;=30,"Young Adults",E2111&lt;=45,"Middle-aged Adults",E2111&gt;45,"Old Adults")</f>
        <v>Middle-aged Adults</v>
      </c>
    </row>
    <row r="2112" spans="1:11" x14ac:dyDescent="0.45">
      <c r="A2112" s="2">
        <v>2463</v>
      </c>
      <c r="B2112" s="2" t="s">
        <v>2567</v>
      </c>
      <c r="C2112" s="2" t="s">
        <v>85</v>
      </c>
      <c r="D2112" s="2" t="s">
        <v>6</v>
      </c>
      <c r="E2112" s="2">
        <v>34</v>
      </c>
      <c r="F2112" s="2">
        <v>101</v>
      </c>
      <c r="G2112" s="2">
        <v>192</v>
      </c>
      <c r="H2112" s="9">
        <f t="shared" si="32"/>
        <v>27.398003472222221</v>
      </c>
      <c r="I2112" s="2" t="str" cm="1">
        <f t="array" ref="I2112">_xlfn.IFS(F2112&gt;=100,"Over weight",F2112&lt;100,"Average weight")</f>
        <v>Over weight</v>
      </c>
      <c r="J2112" s="2" t="str" cm="1">
        <f t="array" ref="J2112">_xlfn.IFS(G2112&lt;164,"Below Average height",G2112&gt;=165,"Above Average height",G2112=164,"Average height")</f>
        <v>Above Average height</v>
      </c>
      <c r="K2112" s="2" t="str" cm="1">
        <f t="array" ref="K2112">_xlfn.IFS(E2112&lt;=16,"Children",E2112&lt;=30,"Young Adults",E2112&lt;=45,"Middle-aged Adults",E2112&gt;45,"Old Adults")</f>
        <v>Middle-aged Adults</v>
      </c>
    </row>
    <row r="2113" spans="1:11" x14ac:dyDescent="0.45">
      <c r="A2113" s="2">
        <v>2464</v>
      </c>
      <c r="B2113" s="2" t="s">
        <v>2568</v>
      </c>
      <c r="C2113" s="2" t="s">
        <v>95</v>
      </c>
      <c r="D2113" s="2" t="s">
        <v>80</v>
      </c>
      <c r="E2113" s="2">
        <v>36</v>
      </c>
      <c r="F2113" s="2">
        <v>88</v>
      </c>
      <c r="G2113" s="2">
        <v>180</v>
      </c>
      <c r="H2113" s="9">
        <f t="shared" si="32"/>
        <v>27.160493827160494</v>
      </c>
      <c r="I2113" s="2" t="str" cm="1">
        <f t="array" ref="I2113">_xlfn.IFS(F2113&gt;=100,"Over weight",F2113&lt;100,"Average weight")</f>
        <v>Average weight</v>
      </c>
      <c r="J2113" s="2" t="str" cm="1">
        <f t="array" ref="J2113">_xlfn.IFS(G2113&lt;164,"Below Average height",G2113&gt;=165,"Above Average height",G2113=164,"Average height")</f>
        <v>Above Average height</v>
      </c>
      <c r="K2113" s="2" t="str" cm="1">
        <f t="array" ref="K2113">_xlfn.IFS(E2113&lt;=16,"Children",E2113&lt;=30,"Young Adults",E2113&lt;=45,"Middle-aged Adults",E2113&gt;45,"Old Adults")</f>
        <v>Middle-aged Adults</v>
      </c>
    </row>
    <row r="2114" spans="1:11" x14ac:dyDescent="0.45">
      <c r="A2114" s="2">
        <v>2465</v>
      </c>
      <c r="B2114" s="2" t="s">
        <v>2569</v>
      </c>
      <c r="C2114" s="2" t="s">
        <v>93</v>
      </c>
      <c r="D2114" s="2" t="s">
        <v>6</v>
      </c>
      <c r="E2114" s="2">
        <v>31</v>
      </c>
      <c r="F2114" s="2">
        <v>82</v>
      </c>
      <c r="G2114" s="2">
        <v>177</v>
      </c>
      <c r="H2114" s="9">
        <f t="shared" ref="H2114:H2177" si="33" xml:space="preserve"> F2114 / (( G2114/ 100) ^ 2)</f>
        <v>26.173832551310287</v>
      </c>
      <c r="I2114" s="2" t="str" cm="1">
        <f t="array" ref="I2114">_xlfn.IFS(F2114&gt;=100,"Over weight",F2114&lt;100,"Average weight")</f>
        <v>Average weight</v>
      </c>
      <c r="J2114" s="2" t="str" cm="1">
        <f t="array" ref="J2114">_xlfn.IFS(G2114&lt;164,"Below Average height",G2114&gt;=165,"Above Average height",G2114=164,"Average height")</f>
        <v>Above Average height</v>
      </c>
      <c r="K2114" s="2" t="str" cm="1">
        <f t="array" ref="K2114">_xlfn.IFS(E2114&lt;=16,"Children",E2114&lt;=30,"Young Adults",E2114&lt;=45,"Middle-aged Adults",E2114&gt;45,"Old Adults")</f>
        <v>Middle-aged Adults</v>
      </c>
    </row>
    <row r="2115" spans="1:11" x14ac:dyDescent="0.45">
      <c r="A2115" s="2">
        <v>2466</v>
      </c>
      <c r="B2115" s="2" t="s">
        <v>2570</v>
      </c>
      <c r="C2115" s="2" t="s">
        <v>90</v>
      </c>
      <c r="D2115" s="2" t="s">
        <v>30</v>
      </c>
      <c r="E2115" s="2">
        <v>23</v>
      </c>
      <c r="F2115" s="2">
        <v>92</v>
      </c>
      <c r="G2115" s="2">
        <v>181</v>
      </c>
      <c r="H2115" s="9">
        <f t="shared" si="33"/>
        <v>28.082170873904946</v>
      </c>
      <c r="I2115" s="2" t="str" cm="1">
        <f t="array" ref="I2115">_xlfn.IFS(F2115&gt;=100,"Over weight",F2115&lt;100,"Average weight")</f>
        <v>Average weight</v>
      </c>
      <c r="J2115" s="2" t="str" cm="1">
        <f t="array" ref="J2115">_xlfn.IFS(G2115&lt;164,"Below Average height",G2115&gt;=165,"Above Average height",G2115=164,"Average height")</f>
        <v>Above Average height</v>
      </c>
      <c r="K2115" s="2" t="str" cm="1">
        <f t="array" ref="K2115">_xlfn.IFS(E2115&lt;=16,"Children",E2115&lt;=30,"Young Adults",E2115&lt;=45,"Middle-aged Adults",E2115&gt;45,"Old Adults")</f>
        <v>Young Adults</v>
      </c>
    </row>
    <row r="2116" spans="1:11" x14ac:dyDescent="0.45">
      <c r="A2116" s="2">
        <v>2467</v>
      </c>
      <c r="B2116" s="2" t="s">
        <v>2571</v>
      </c>
      <c r="C2116" s="2" t="s">
        <v>95</v>
      </c>
      <c r="D2116" s="2" t="s">
        <v>14</v>
      </c>
      <c r="E2116" s="2">
        <v>18</v>
      </c>
      <c r="F2116" s="2">
        <v>80</v>
      </c>
      <c r="G2116" s="2">
        <v>185</v>
      </c>
      <c r="H2116" s="9">
        <f t="shared" si="33"/>
        <v>23.374726077428779</v>
      </c>
      <c r="I2116" s="2" t="str" cm="1">
        <f t="array" ref="I2116">_xlfn.IFS(F2116&gt;=100,"Over weight",F2116&lt;100,"Average weight")</f>
        <v>Average weight</v>
      </c>
      <c r="J2116" s="2" t="str" cm="1">
        <f t="array" ref="J2116">_xlfn.IFS(G2116&lt;164,"Below Average height",G2116&gt;=165,"Above Average height",G2116=164,"Average height")</f>
        <v>Above Average height</v>
      </c>
      <c r="K2116" s="2" t="str" cm="1">
        <f t="array" ref="K2116">_xlfn.IFS(E2116&lt;=16,"Children",E2116&lt;=30,"Young Adults",E2116&lt;=45,"Middle-aged Adults",E2116&gt;45,"Old Adults")</f>
        <v>Young Adults</v>
      </c>
    </row>
    <row r="2117" spans="1:11" x14ac:dyDescent="0.45">
      <c r="A2117" s="2">
        <v>2468</v>
      </c>
      <c r="B2117" s="2" t="s">
        <v>2572</v>
      </c>
      <c r="C2117" s="2" t="s">
        <v>89</v>
      </c>
      <c r="D2117" s="2" t="s">
        <v>17</v>
      </c>
      <c r="E2117" s="2">
        <v>24</v>
      </c>
      <c r="F2117" s="2">
        <v>64</v>
      </c>
      <c r="G2117" s="2">
        <v>172</v>
      </c>
      <c r="H2117" s="9">
        <f t="shared" si="33"/>
        <v>21.63331530557058</v>
      </c>
      <c r="I2117" s="2" t="str" cm="1">
        <f t="array" ref="I2117">_xlfn.IFS(F2117&gt;=100,"Over weight",F2117&lt;100,"Average weight")</f>
        <v>Average weight</v>
      </c>
      <c r="J2117" s="2" t="str" cm="1">
        <f t="array" ref="J2117">_xlfn.IFS(G2117&lt;164,"Below Average height",G2117&gt;=165,"Above Average height",G2117=164,"Average height")</f>
        <v>Above Average height</v>
      </c>
      <c r="K2117" s="2" t="str" cm="1">
        <f t="array" ref="K2117">_xlfn.IFS(E2117&lt;=16,"Children",E2117&lt;=30,"Young Adults",E2117&lt;=45,"Middle-aged Adults",E2117&gt;45,"Old Adults")</f>
        <v>Young Adults</v>
      </c>
    </row>
    <row r="2118" spans="1:11" x14ac:dyDescent="0.45">
      <c r="A2118" s="2">
        <v>2469</v>
      </c>
      <c r="B2118" s="2" t="s">
        <v>2573</v>
      </c>
      <c r="C2118" s="2" t="s">
        <v>96</v>
      </c>
      <c r="D2118" s="2" t="s">
        <v>17</v>
      </c>
      <c r="E2118" s="2">
        <v>25</v>
      </c>
      <c r="F2118" s="2">
        <v>103</v>
      </c>
      <c r="G2118" s="2">
        <v>165</v>
      </c>
      <c r="H2118" s="9">
        <f t="shared" si="33"/>
        <v>37.832874196510566</v>
      </c>
      <c r="I2118" s="2" t="str" cm="1">
        <f t="array" ref="I2118">_xlfn.IFS(F2118&gt;=100,"Over weight",F2118&lt;100,"Average weight")</f>
        <v>Over weight</v>
      </c>
      <c r="J2118" s="2" t="str" cm="1">
        <f t="array" ref="J2118">_xlfn.IFS(G2118&lt;164,"Below Average height",G2118&gt;=165,"Above Average height",G2118=164,"Average height")</f>
        <v>Above Average height</v>
      </c>
      <c r="K2118" s="2" t="str" cm="1">
        <f t="array" ref="K2118">_xlfn.IFS(E2118&lt;=16,"Children",E2118&lt;=30,"Young Adults",E2118&lt;=45,"Middle-aged Adults",E2118&gt;45,"Old Adults")</f>
        <v>Young Adults</v>
      </c>
    </row>
    <row r="2119" spans="1:11" x14ac:dyDescent="0.45">
      <c r="A2119" s="2">
        <v>2470</v>
      </c>
      <c r="B2119" s="2" t="s">
        <v>2574</v>
      </c>
      <c r="C2119" s="2" t="s">
        <v>88</v>
      </c>
      <c r="D2119" s="2" t="s">
        <v>17</v>
      </c>
      <c r="E2119" s="2">
        <v>26</v>
      </c>
      <c r="F2119" s="2">
        <v>55</v>
      </c>
      <c r="G2119" s="2">
        <v>165</v>
      </c>
      <c r="H2119" s="9">
        <f t="shared" si="33"/>
        <v>20.202020202020204</v>
      </c>
      <c r="I2119" s="2" t="str" cm="1">
        <f t="array" ref="I2119">_xlfn.IFS(F2119&gt;=100,"Over weight",F2119&lt;100,"Average weight")</f>
        <v>Average weight</v>
      </c>
      <c r="J2119" s="2" t="str" cm="1">
        <f t="array" ref="J2119">_xlfn.IFS(G2119&lt;164,"Below Average height",G2119&gt;=165,"Above Average height",G2119=164,"Average height")</f>
        <v>Above Average height</v>
      </c>
      <c r="K2119" s="2" t="str" cm="1">
        <f t="array" ref="K2119">_xlfn.IFS(E2119&lt;=16,"Children",E2119&lt;=30,"Young Adults",E2119&lt;=45,"Middle-aged Adults",E2119&gt;45,"Old Adults")</f>
        <v>Young Adults</v>
      </c>
    </row>
    <row r="2120" spans="1:11" x14ac:dyDescent="0.45">
      <c r="A2120" s="2">
        <v>2471</v>
      </c>
      <c r="B2120" s="2" t="s">
        <v>2575</v>
      </c>
      <c r="C2120" s="2" t="s">
        <v>89</v>
      </c>
      <c r="D2120" s="2" t="s">
        <v>17</v>
      </c>
      <c r="E2120" s="2">
        <v>27</v>
      </c>
      <c r="F2120" s="2">
        <v>66</v>
      </c>
      <c r="G2120" s="2">
        <v>168</v>
      </c>
      <c r="H2120" s="9">
        <f t="shared" si="33"/>
        <v>23.384353741496604</v>
      </c>
      <c r="I2120" s="2" t="str" cm="1">
        <f t="array" ref="I2120">_xlfn.IFS(F2120&gt;=100,"Over weight",F2120&lt;100,"Average weight")</f>
        <v>Average weight</v>
      </c>
      <c r="J2120" s="2" t="str" cm="1">
        <f t="array" ref="J2120">_xlfn.IFS(G2120&lt;164,"Below Average height",G2120&gt;=165,"Above Average height",G2120=164,"Average height")</f>
        <v>Above Average height</v>
      </c>
      <c r="K2120" s="2" t="str" cm="1">
        <f t="array" ref="K2120">_xlfn.IFS(E2120&lt;=16,"Children",E2120&lt;=30,"Young Adults",E2120&lt;=45,"Middle-aged Adults",E2120&gt;45,"Old Adults")</f>
        <v>Young Adults</v>
      </c>
    </row>
    <row r="2121" spans="1:11" x14ac:dyDescent="0.45">
      <c r="A2121" s="2">
        <v>2472</v>
      </c>
      <c r="B2121" s="2" t="s">
        <v>2576</v>
      </c>
      <c r="C2121" s="2" t="s">
        <v>96</v>
      </c>
      <c r="D2121" s="2" t="s">
        <v>17</v>
      </c>
      <c r="E2121" s="2">
        <v>28</v>
      </c>
      <c r="F2121" s="2">
        <v>103</v>
      </c>
      <c r="G2121" s="2">
        <v>180</v>
      </c>
      <c r="H2121" s="9">
        <f t="shared" si="33"/>
        <v>31.79012345679012</v>
      </c>
      <c r="I2121" s="2" t="str" cm="1">
        <f t="array" ref="I2121">_xlfn.IFS(F2121&gt;=100,"Over weight",F2121&lt;100,"Average weight")</f>
        <v>Over weight</v>
      </c>
      <c r="J2121" s="2" t="str" cm="1">
        <f t="array" ref="J2121">_xlfn.IFS(G2121&lt;164,"Below Average height",G2121&gt;=165,"Above Average height",G2121=164,"Average height")</f>
        <v>Above Average height</v>
      </c>
      <c r="K2121" s="2" t="str" cm="1">
        <f t="array" ref="K2121">_xlfn.IFS(E2121&lt;=16,"Children",E2121&lt;=30,"Young Adults",E2121&lt;=45,"Middle-aged Adults",E2121&gt;45,"Old Adults")</f>
        <v>Young Adults</v>
      </c>
    </row>
    <row r="2122" spans="1:11" x14ac:dyDescent="0.45">
      <c r="A2122" s="2">
        <v>2474</v>
      </c>
      <c r="B2122" s="2" t="s">
        <v>2578</v>
      </c>
      <c r="C2122" s="2" t="s">
        <v>98</v>
      </c>
      <c r="D2122" s="2" t="s">
        <v>17</v>
      </c>
      <c r="E2122" s="2">
        <v>24</v>
      </c>
      <c r="F2122" s="2">
        <v>58</v>
      </c>
      <c r="G2122" s="2">
        <v>167</v>
      </c>
      <c r="H2122" s="9">
        <f t="shared" si="33"/>
        <v>20.796729893506402</v>
      </c>
      <c r="I2122" s="2" t="str" cm="1">
        <f t="array" ref="I2122">_xlfn.IFS(F2122&gt;=100,"Over weight",F2122&lt;100,"Average weight")</f>
        <v>Average weight</v>
      </c>
      <c r="J2122" s="2" t="str" cm="1">
        <f t="array" ref="J2122">_xlfn.IFS(G2122&lt;164,"Below Average height",G2122&gt;=165,"Above Average height",G2122=164,"Average height")</f>
        <v>Above Average height</v>
      </c>
      <c r="K2122" s="2" t="str" cm="1">
        <f t="array" ref="K2122">_xlfn.IFS(E2122&lt;=16,"Children",E2122&lt;=30,"Young Adults",E2122&lt;=45,"Middle-aged Adults",E2122&gt;45,"Old Adults")</f>
        <v>Young Adults</v>
      </c>
    </row>
    <row r="2123" spans="1:11" x14ac:dyDescent="0.45">
      <c r="A2123" s="2">
        <v>2475</v>
      </c>
      <c r="B2123" s="2" t="s">
        <v>2579</v>
      </c>
      <c r="C2123" s="2" t="s">
        <v>89</v>
      </c>
      <c r="D2123" s="2" t="s">
        <v>17</v>
      </c>
      <c r="E2123" s="2">
        <v>22</v>
      </c>
      <c r="F2123" s="2">
        <v>75</v>
      </c>
      <c r="G2123" s="2">
        <v>180</v>
      </c>
      <c r="H2123" s="9">
        <f t="shared" si="33"/>
        <v>23.148148148148145</v>
      </c>
      <c r="I2123" s="2" t="str" cm="1">
        <f t="array" ref="I2123">_xlfn.IFS(F2123&gt;=100,"Over weight",F2123&lt;100,"Average weight")</f>
        <v>Average weight</v>
      </c>
      <c r="J2123" s="2" t="str" cm="1">
        <f t="array" ref="J2123">_xlfn.IFS(G2123&lt;164,"Below Average height",G2123&gt;=165,"Above Average height",G2123=164,"Average height")</f>
        <v>Above Average height</v>
      </c>
      <c r="K2123" s="2" t="str" cm="1">
        <f t="array" ref="K2123">_xlfn.IFS(E2123&lt;=16,"Children",E2123&lt;=30,"Young Adults",E2123&lt;=45,"Middle-aged Adults",E2123&gt;45,"Old Adults")</f>
        <v>Young Adults</v>
      </c>
    </row>
    <row r="2124" spans="1:11" x14ac:dyDescent="0.45">
      <c r="A2124" s="2">
        <v>2476</v>
      </c>
      <c r="B2124" s="2" t="s">
        <v>2580</v>
      </c>
      <c r="C2124" s="2" t="s">
        <v>92</v>
      </c>
      <c r="D2124" s="2" t="s">
        <v>28</v>
      </c>
      <c r="E2124" s="2">
        <v>21</v>
      </c>
      <c r="F2124" s="2">
        <v>72</v>
      </c>
      <c r="G2124" s="2">
        <v>189</v>
      </c>
      <c r="H2124" s="9">
        <f t="shared" si="33"/>
        <v>20.156210632401109</v>
      </c>
      <c r="I2124" s="2" t="str" cm="1">
        <f t="array" ref="I2124">_xlfn.IFS(F2124&gt;=100,"Over weight",F2124&lt;100,"Average weight")</f>
        <v>Average weight</v>
      </c>
      <c r="J2124" s="2" t="str" cm="1">
        <f t="array" ref="J2124">_xlfn.IFS(G2124&lt;164,"Below Average height",G2124&gt;=165,"Above Average height",G2124=164,"Average height")</f>
        <v>Above Average height</v>
      </c>
      <c r="K2124" s="2" t="str" cm="1">
        <f t="array" ref="K2124">_xlfn.IFS(E2124&lt;=16,"Children",E2124&lt;=30,"Young Adults",E2124&lt;=45,"Middle-aged Adults",E2124&gt;45,"Old Adults")</f>
        <v>Young Adults</v>
      </c>
    </row>
    <row r="2125" spans="1:11" x14ac:dyDescent="0.45">
      <c r="A2125" s="2">
        <v>2477</v>
      </c>
      <c r="B2125" s="2" t="s">
        <v>2581</v>
      </c>
      <c r="C2125" s="2" t="s">
        <v>91</v>
      </c>
      <c r="D2125" s="2" t="s">
        <v>14</v>
      </c>
      <c r="E2125" s="2">
        <v>22</v>
      </c>
      <c r="F2125" s="2">
        <v>61</v>
      </c>
      <c r="G2125" s="2">
        <v>168</v>
      </c>
      <c r="H2125" s="9">
        <f t="shared" si="33"/>
        <v>21.612811791383223</v>
      </c>
      <c r="I2125" s="2" t="str" cm="1">
        <f t="array" ref="I2125">_xlfn.IFS(F2125&gt;=100,"Over weight",F2125&lt;100,"Average weight")</f>
        <v>Average weight</v>
      </c>
      <c r="J2125" s="2" t="str" cm="1">
        <f t="array" ref="J2125">_xlfn.IFS(G2125&lt;164,"Below Average height",G2125&gt;=165,"Above Average height",G2125=164,"Average height")</f>
        <v>Above Average height</v>
      </c>
      <c r="K2125" s="2" t="str" cm="1">
        <f t="array" ref="K2125">_xlfn.IFS(E2125&lt;=16,"Children",E2125&lt;=30,"Young Adults",E2125&lt;=45,"Middle-aged Adults",E2125&gt;45,"Old Adults")</f>
        <v>Young Adults</v>
      </c>
    </row>
    <row r="2126" spans="1:11" x14ac:dyDescent="0.45">
      <c r="A2126" s="2">
        <v>2478</v>
      </c>
      <c r="B2126" s="2" t="s">
        <v>2582</v>
      </c>
      <c r="C2126" s="2" t="s">
        <v>97</v>
      </c>
      <c r="D2126" s="2" t="s">
        <v>41</v>
      </c>
      <c r="E2126" s="2">
        <v>21</v>
      </c>
      <c r="F2126" s="2">
        <v>60</v>
      </c>
      <c r="G2126" s="2">
        <v>173</v>
      </c>
      <c r="H2126" s="9">
        <f t="shared" si="33"/>
        <v>20.047445621303751</v>
      </c>
      <c r="I2126" s="2" t="str" cm="1">
        <f t="array" ref="I2126">_xlfn.IFS(F2126&gt;=100,"Over weight",F2126&lt;100,"Average weight")</f>
        <v>Average weight</v>
      </c>
      <c r="J2126" s="2" t="str" cm="1">
        <f t="array" ref="J2126">_xlfn.IFS(G2126&lt;164,"Below Average height",G2126&gt;=165,"Above Average height",G2126=164,"Average height")</f>
        <v>Above Average height</v>
      </c>
      <c r="K2126" s="2" t="str" cm="1">
        <f t="array" ref="K2126">_xlfn.IFS(E2126&lt;=16,"Children",E2126&lt;=30,"Young Adults",E2126&lt;=45,"Middle-aged Adults",E2126&gt;45,"Old Adults")</f>
        <v>Young Adults</v>
      </c>
    </row>
    <row r="2127" spans="1:11" x14ac:dyDescent="0.45">
      <c r="A2127" s="2">
        <v>2479</v>
      </c>
      <c r="B2127" s="2" t="s">
        <v>2583</v>
      </c>
      <c r="C2127" s="2" t="s">
        <v>93</v>
      </c>
      <c r="D2127" s="2" t="s">
        <v>80</v>
      </c>
      <c r="E2127" s="2">
        <v>27</v>
      </c>
      <c r="F2127" s="2">
        <v>70</v>
      </c>
      <c r="G2127" s="2">
        <v>168</v>
      </c>
      <c r="H2127" s="9">
        <f t="shared" si="33"/>
        <v>24.801587301587304</v>
      </c>
      <c r="I2127" s="2" t="str" cm="1">
        <f t="array" ref="I2127">_xlfn.IFS(F2127&gt;=100,"Over weight",F2127&lt;100,"Average weight")</f>
        <v>Average weight</v>
      </c>
      <c r="J2127" s="2" t="str" cm="1">
        <f t="array" ref="J2127">_xlfn.IFS(G2127&lt;164,"Below Average height",G2127&gt;=165,"Above Average height",G2127=164,"Average height")</f>
        <v>Above Average height</v>
      </c>
      <c r="K2127" s="2" t="str" cm="1">
        <f t="array" ref="K2127">_xlfn.IFS(E2127&lt;=16,"Children",E2127&lt;=30,"Young Adults",E2127&lt;=45,"Middle-aged Adults",E2127&gt;45,"Old Adults")</f>
        <v>Young Adults</v>
      </c>
    </row>
    <row r="2128" spans="1:11" x14ac:dyDescent="0.45">
      <c r="A2128" s="2">
        <v>2480</v>
      </c>
      <c r="B2128" s="2" t="s">
        <v>2584</v>
      </c>
      <c r="C2128" s="2" t="s">
        <v>89</v>
      </c>
      <c r="D2128" s="2" t="s">
        <v>28</v>
      </c>
      <c r="E2128" s="2">
        <v>27</v>
      </c>
      <c r="F2128" s="2">
        <v>76</v>
      </c>
      <c r="G2128" s="2">
        <v>178</v>
      </c>
      <c r="H2128" s="9">
        <f t="shared" si="33"/>
        <v>23.98687034465345</v>
      </c>
      <c r="I2128" s="2" t="str" cm="1">
        <f t="array" ref="I2128">_xlfn.IFS(F2128&gt;=100,"Over weight",F2128&lt;100,"Average weight")</f>
        <v>Average weight</v>
      </c>
      <c r="J2128" s="2" t="str" cm="1">
        <f t="array" ref="J2128">_xlfn.IFS(G2128&lt;164,"Below Average height",G2128&gt;=165,"Above Average height",G2128=164,"Average height")</f>
        <v>Above Average height</v>
      </c>
      <c r="K2128" s="2" t="str" cm="1">
        <f t="array" ref="K2128">_xlfn.IFS(E2128&lt;=16,"Children",E2128&lt;=30,"Young Adults",E2128&lt;=45,"Middle-aged Adults",E2128&gt;45,"Old Adults")</f>
        <v>Young Adults</v>
      </c>
    </row>
    <row r="2129" spans="1:11" x14ac:dyDescent="0.45">
      <c r="A2129" s="2">
        <v>2481</v>
      </c>
      <c r="B2129" s="2" t="s">
        <v>2585</v>
      </c>
      <c r="C2129" s="2" t="s">
        <v>91</v>
      </c>
      <c r="D2129" s="2" t="s">
        <v>14</v>
      </c>
      <c r="E2129" s="2">
        <v>24</v>
      </c>
      <c r="F2129" s="2">
        <v>105</v>
      </c>
      <c r="G2129" s="2">
        <v>193</v>
      </c>
      <c r="H2129" s="9">
        <f t="shared" si="33"/>
        <v>28.188676206072646</v>
      </c>
      <c r="I2129" s="2" t="str" cm="1">
        <f t="array" ref="I2129">_xlfn.IFS(F2129&gt;=100,"Over weight",F2129&lt;100,"Average weight")</f>
        <v>Over weight</v>
      </c>
      <c r="J2129" s="2" t="str" cm="1">
        <f t="array" ref="J2129">_xlfn.IFS(G2129&lt;164,"Below Average height",G2129&gt;=165,"Above Average height",G2129=164,"Average height")</f>
        <v>Above Average height</v>
      </c>
      <c r="K2129" s="2" t="str" cm="1">
        <f t="array" ref="K2129">_xlfn.IFS(E2129&lt;=16,"Children",E2129&lt;=30,"Young Adults",E2129&lt;=45,"Middle-aged Adults",E2129&gt;45,"Old Adults")</f>
        <v>Young Adults</v>
      </c>
    </row>
    <row r="2130" spans="1:11" x14ac:dyDescent="0.45">
      <c r="A2130" s="2">
        <v>2482</v>
      </c>
      <c r="B2130" s="2" t="s">
        <v>2586</v>
      </c>
      <c r="C2130" s="2" t="s">
        <v>91</v>
      </c>
      <c r="D2130" s="2" t="s">
        <v>75</v>
      </c>
      <c r="E2130" s="2">
        <v>21</v>
      </c>
      <c r="F2130" s="2">
        <v>89</v>
      </c>
      <c r="G2130" s="2">
        <v>179</v>
      </c>
      <c r="H2130" s="9">
        <f t="shared" si="33"/>
        <v>27.776910832995224</v>
      </c>
      <c r="I2130" s="2" t="str" cm="1">
        <f t="array" ref="I2130">_xlfn.IFS(F2130&gt;=100,"Over weight",F2130&lt;100,"Average weight")</f>
        <v>Average weight</v>
      </c>
      <c r="J2130" s="2" t="str" cm="1">
        <f t="array" ref="J2130">_xlfn.IFS(G2130&lt;164,"Below Average height",G2130&gt;=165,"Above Average height",G2130=164,"Average height")</f>
        <v>Above Average height</v>
      </c>
      <c r="K2130" s="2" t="str" cm="1">
        <f t="array" ref="K2130">_xlfn.IFS(E2130&lt;=16,"Children",E2130&lt;=30,"Young Adults",E2130&lt;=45,"Middle-aged Adults",E2130&gt;45,"Old Adults")</f>
        <v>Young Adults</v>
      </c>
    </row>
    <row r="2131" spans="1:11" x14ac:dyDescent="0.45">
      <c r="A2131" s="2">
        <v>2483</v>
      </c>
      <c r="B2131" s="2" t="s">
        <v>2587</v>
      </c>
      <c r="C2131" s="2" t="s">
        <v>94</v>
      </c>
      <c r="D2131" s="2" t="s">
        <v>14</v>
      </c>
      <c r="E2131" s="2">
        <v>22</v>
      </c>
      <c r="F2131" s="2">
        <v>57</v>
      </c>
      <c r="G2131" s="2">
        <v>168</v>
      </c>
      <c r="H2131" s="9">
        <f t="shared" si="33"/>
        <v>20.195578231292519</v>
      </c>
      <c r="I2131" s="2" t="str" cm="1">
        <f t="array" ref="I2131">_xlfn.IFS(F2131&gt;=100,"Over weight",F2131&lt;100,"Average weight")</f>
        <v>Average weight</v>
      </c>
      <c r="J2131" s="2" t="str" cm="1">
        <f t="array" ref="J2131">_xlfn.IFS(G2131&lt;164,"Below Average height",G2131&gt;=165,"Above Average height",G2131=164,"Average height")</f>
        <v>Above Average height</v>
      </c>
      <c r="K2131" s="2" t="str" cm="1">
        <f t="array" ref="K2131">_xlfn.IFS(E2131&lt;=16,"Children",E2131&lt;=30,"Young Adults",E2131&lt;=45,"Middle-aged Adults",E2131&gt;45,"Old Adults")</f>
        <v>Young Adults</v>
      </c>
    </row>
    <row r="2132" spans="1:11" x14ac:dyDescent="0.45">
      <c r="A2132" s="2">
        <v>2484</v>
      </c>
      <c r="B2132" s="2" t="s">
        <v>2588</v>
      </c>
      <c r="C2132" s="2" t="s">
        <v>88</v>
      </c>
      <c r="D2132" s="2" t="s">
        <v>75</v>
      </c>
      <c r="E2132" s="2">
        <v>20</v>
      </c>
      <c r="F2132" s="2">
        <v>72</v>
      </c>
      <c r="G2132" s="2">
        <v>180</v>
      </c>
      <c r="H2132" s="9">
        <f t="shared" si="33"/>
        <v>22.222222222222221</v>
      </c>
      <c r="I2132" s="2" t="str" cm="1">
        <f t="array" ref="I2132">_xlfn.IFS(F2132&gt;=100,"Over weight",F2132&lt;100,"Average weight")</f>
        <v>Average weight</v>
      </c>
      <c r="J2132" s="2" t="str" cm="1">
        <f t="array" ref="J2132">_xlfn.IFS(G2132&lt;164,"Below Average height",G2132&gt;=165,"Above Average height",G2132=164,"Average height")</f>
        <v>Above Average height</v>
      </c>
      <c r="K2132" s="2" t="str" cm="1">
        <f t="array" ref="K2132">_xlfn.IFS(E2132&lt;=16,"Children",E2132&lt;=30,"Young Adults",E2132&lt;=45,"Middle-aged Adults",E2132&gt;45,"Old Adults")</f>
        <v>Young Adults</v>
      </c>
    </row>
    <row r="2133" spans="1:11" x14ac:dyDescent="0.45">
      <c r="A2133" s="2">
        <v>2485</v>
      </c>
      <c r="B2133" s="2" t="s">
        <v>2589</v>
      </c>
      <c r="C2133" s="2" t="s">
        <v>85</v>
      </c>
      <c r="D2133" s="2" t="s">
        <v>80</v>
      </c>
      <c r="E2133" s="2">
        <v>24</v>
      </c>
      <c r="F2133" s="2">
        <v>84</v>
      </c>
      <c r="G2133" s="2">
        <v>170</v>
      </c>
      <c r="H2133" s="9">
        <f t="shared" si="33"/>
        <v>29.065743944636683</v>
      </c>
      <c r="I2133" s="2" t="str" cm="1">
        <f t="array" ref="I2133">_xlfn.IFS(F2133&gt;=100,"Over weight",F2133&lt;100,"Average weight")</f>
        <v>Average weight</v>
      </c>
      <c r="J2133" s="2" t="str" cm="1">
        <f t="array" ref="J2133">_xlfn.IFS(G2133&lt;164,"Below Average height",G2133&gt;=165,"Above Average height",G2133=164,"Average height")</f>
        <v>Above Average height</v>
      </c>
      <c r="K2133" s="2" t="str" cm="1">
        <f t="array" ref="K2133">_xlfn.IFS(E2133&lt;=16,"Children",E2133&lt;=30,"Young Adults",E2133&lt;=45,"Middle-aged Adults",E2133&gt;45,"Old Adults")</f>
        <v>Young Adults</v>
      </c>
    </row>
    <row r="2134" spans="1:11" x14ac:dyDescent="0.45">
      <c r="A2134" s="2">
        <v>2487</v>
      </c>
      <c r="B2134" s="2" t="s">
        <v>2591</v>
      </c>
      <c r="C2134" s="2" t="s">
        <v>91</v>
      </c>
      <c r="D2134" s="2" t="s">
        <v>74</v>
      </c>
      <c r="E2134" s="2">
        <v>29</v>
      </c>
      <c r="F2134" s="2">
        <v>88</v>
      </c>
      <c r="G2134" s="2">
        <v>182</v>
      </c>
      <c r="H2134" s="9">
        <f t="shared" si="33"/>
        <v>26.566839753652939</v>
      </c>
      <c r="I2134" s="2" t="str" cm="1">
        <f t="array" ref="I2134">_xlfn.IFS(F2134&gt;=100,"Over weight",F2134&lt;100,"Average weight")</f>
        <v>Average weight</v>
      </c>
      <c r="J2134" s="2" t="str" cm="1">
        <f t="array" ref="J2134">_xlfn.IFS(G2134&lt;164,"Below Average height",G2134&gt;=165,"Above Average height",G2134=164,"Average height")</f>
        <v>Above Average height</v>
      </c>
      <c r="K2134" s="2" t="str" cm="1">
        <f t="array" ref="K2134">_xlfn.IFS(E2134&lt;=16,"Children",E2134&lt;=30,"Young Adults",E2134&lt;=45,"Middle-aged Adults",E2134&gt;45,"Old Adults")</f>
        <v>Young Adults</v>
      </c>
    </row>
    <row r="2135" spans="1:11" x14ac:dyDescent="0.45">
      <c r="A2135" s="2">
        <v>2488</v>
      </c>
      <c r="B2135" s="2" t="s">
        <v>2592</v>
      </c>
      <c r="C2135" s="2" t="s">
        <v>86</v>
      </c>
      <c r="D2135" s="2" t="s">
        <v>80</v>
      </c>
      <c r="E2135" s="2">
        <v>25</v>
      </c>
      <c r="F2135" s="2">
        <v>103</v>
      </c>
      <c r="G2135" s="2">
        <v>175</v>
      </c>
      <c r="H2135" s="9">
        <f t="shared" si="33"/>
        <v>33.632653061224488</v>
      </c>
      <c r="I2135" s="2" t="str" cm="1">
        <f t="array" ref="I2135">_xlfn.IFS(F2135&gt;=100,"Over weight",F2135&lt;100,"Average weight")</f>
        <v>Over weight</v>
      </c>
      <c r="J2135" s="2" t="str" cm="1">
        <f t="array" ref="J2135">_xlfn.IFS(G2135&lt;164,"Below Average height",G2135&gt;=165,"Above Average height",G2135=164,"Average height")</f>
        <v>Above Average height</v>
      </c>
      <c r="K2135" s="2" t="str" cm="1">
        <f t="array" ref="K2135">_xlfn.IFS(E2135&lt;=16,"Children",E2135&lt;=30,"Young Adults",E2135&lt;=45,"Middle-aged Adults",E2135&gt;45,"Old Adults")</f>
        <v>Young Adults</v>
      </c>
    </row>
    <row r="2136" spans="1:11" x14ac:dyDescent="0.45">
      <c r="A2136" s="2">
        <v>2489</v>
      </c>
      <c r="B2136" s="2" t="s">
        <v>2593</v>
      </c>
      <c r="C2136" s="2" t="s">
        <v>86</v>
      </c>
      <c r="D2136" s="2" t="s">
        <v>28</v>
      </c>
      <c r="E2136" s="2">
        <v>25</v>
      </c>
      <c r="F2136" s="2">
        <v>103</v>
      </c>
      <c r="G2136" s="2">
        <v>181</v>
      </c>
      <c r="H2136" s="9">
        <f t="shared" si="33"/>
        <v>31.439821739263149</v>
      </c>
      <c r="I2136" s="2" t="str" cm="1">
        <f t="array" ref="I2136">_xlfn.IFS(F2136&gt;=100,"Over weight",F2136&lt;100,"Average weight")</f>
        <v>Over weight</v>
      </c>
      <c r="J2136" s="2" t="str" cm="1">
        <f t="array" ref="J2136">_xlfn.IFS(G2136&lt;164,"Below Average height",G2136&gt;=165,"Above Average height",G2136=164,"Average height")</f>
        <v>Above Average height</v>
      </c>
      <c r="K2136" s="2" t="str" cm="1">
        <f t="array" ref="K2136">_xlfn.IFS(E2136&lt;=16,"Children",E2136&lt;=30,"Young Adults",E2136&lt;=45,"Middle-aged Adults",E2136&gt;45,"Old Adults")</f>
        <v>Young Adults</v>
      </c>
    </row>
    <row r="2137" spans="1:11" x14ac:dyDescent="0.45">
      <c r="A2137" s="2">
        <v>2490</v>
      </c>
      <c r="B2137" s="2" t="s">
        <v>2594</v>
      </c>
      <c r="C2137" s="2" t="s">
        <v>93</v>
      </c>
      <c r="D2137" s="2" t="s">
        <v>22</v>
      </c>
      <c r="E2137" s="2">
        <v>26</v>
      </c>
      <c r="F2137" s="2">
        <v>80</v>
      </c>
      <c r="G2137" s="2">
        <v>179</v>
      </c>
      <c r="H2137" s="9">
        <f t="shared" si="33"/>
        <v>24.968009737523797</v>
      </c>
      <c r="I2137" s="2" t="str" cm="1">
        <f t="array" ref="I2137">_xlfn.IFS(F2137&gt;=100,"Over weight",F2137&lt;100,"Average weight")</f>
        <v>Average weight</v>
      </c>
      <c r="J2137" s="2" t="str" cm="1">
        <f t="array" ref="J2137">_xlfn.IFS(G2137&lt;164,"Below Average height",G2137&gt;=165,"Above Average height",G2137=164,"Average height")</f>
        <v>Above Average height</v>
      </c>
      <c r="K2137" s="2" t="str" cm="1">
        <f t="array" ref="K2137">_xlfn.IFS(E2137&lt;=16,"Children",E2137&lt;=30,"Young Adults",E2137&lt;=45,"Middle-aged Adults",E2137&gt;45,"Old Adults")</f>
        <v>Young Adults</v>
      </c>
    </row>
    <row r="2138" spans="1:11" x14ac:dyDescent="0.45">
      <c r="A2138" s="2">
        <v>2491</v>
      </c>
      <c r="B2138" s="2" t="s">
        <v>2595</v>
      </c>
      <c r="C2138" s="2" t="s">
        <v>97</v>
      </c>
      <c r="D2138" s="2" t="s">
        <v>60</v>
      </c>
      <c r="E2138" s="2">
        <v>18</v>
      </c>
      <c r="F2138" s="2">
        <v>103</v>
      </c>
      <c r="G2138" s="2">
        <v>180</v>
      </c>
      <c r="H2138" s="9">
        <f t="shared" si="33"/>
        <v>31.79012345679012</v>
      </c>
      <c r="I2138" s="2" t="str" cm="1">
        <f t="array" ref="I2138">_xlfn.IFS(F2138&gt;=100,"Over weight",F2138&lt;100,"Average weight")</f>
        <v>Over weight</v>
      </c>
      <c r="J2138" s="2" t="str" cm="1">
        <f t="array" ref="J2138">_xlfn.IFS(G2138&lt;164,"Below Average height",G2138&gt;=165,"Above Average height",G2138=164,"Average height")</f>
        <v>Above Average height</v>
      </c>
      <c r="K2138" s="2" t="str" cm="1">
        <f t="array" ref="K2138">_xlfn.IFS(E2138&lt;=16,"Children",E2138&lt;=30,"Young Adults",E2138&lt;=45,"Middle-aged Adults",E2138&gt;45,"Old Adults")</f>
        <v>Young Adults</v>
      </c>
    </row>
    <row r="2139" spans="1:11" x14ac:dyDescent="0.45">
      <c r="A2139" s="2">
        <v>2492</v>
      </c>
      <c r="B2139" s="2" t="s">
        <v>2596</v>
      </c>
      <c r="C2139" s="2" t="s">
        <v>94</v>
      </c>
      <c r="D2139" s="2" t="s">
        <v>28</v>
      </c>
      <c r="E2139" s="2">
        <v>25</v>
      </c>
      <c r="F2139" s="2">
        <v>86</v>
      </c>
      <c r="G2139" s="2">
        <v>188</v>
      </c>
      <c r="H2139" s="9">
        <f t="shared" si="33"/>
        <v>24.332277048438208</v>
      </c>
      <c r="I2139" s="2" t="str" cm="1">
        <f t="array" ref="I2139">_xlfn.IFS(F2139&gt;=100,"Over weight",F2139&lt;100,"Average weight")</f>
        <v>Average weight</v>
      </c>
      <c r="J2139" s="2" t="str" cm="1">
        <f t="array" ref="J2139">_xlfn.IFS(G2139&lt;164,"Below Average height",G2139&gt;=165,"Above Average height",G2139=164,"Average height")</f>
        <v>Above Average height</v>
      </c>
      <c r="K2139" s="2" t="str" cm="1">
        <f t="array" ref="K2139">_xlfn.IFS(E2139&lt;=16,"Children",E2139&lt;=30,"Young Adults",E2139&lt;=45,"Middle-aged Adults",E2139&gt;45,"Old Adults")</f>
        <v>Young Adults</v>
      </c>
    </row>
    <row r="2140" spans="1:11" x14ac:dyDescent="0.45">
      <c r="A2140" s="2">
        <v>2493</v>
      </c>
      <c r="B2140" s="2" t="s">
        <v>2597</v>
      </c>
      <c r="C2140" s="2" t="s">
        <v>93</v>
      </c>
      <c r="D2140" s="2" t="s">
        <v>80</v>
      </c>
      <c r="E2140" s="2">
        <v>33</v>
      </c>
      <c r="F2140" s="2">
        <v>91</v>
      </c>
      <c r="G2140" s="2">
        <v>185</v>
      </c>
      <c r="H2140" s="9">
        <f t="shared" si="33"/>
        <v>26.588750913075234</v>
      </c>
      <c r="I2140" s="2" t="str" cm="1">
        <f t="array" ref="I2140">_xlfn.IFS(F2140&gt;=100,"Over weight",F2140&lt;100,"Average weight")</f>
        <v>Average weight</v>
      </c>
      <c r="J2140" s="2" t="str" cm="1">
        <f t="array" ref="J2140">_xlfn.IFS(G2140&lt;164,"Below Average height",G2140&gt;=165,"Above Average height",G2140=164,"Average height")</f>
        <v>Above Average height</v>
      </c>
      <c r="K2140" s="2" t="str" cm="1">
        <f t="array" ref="K2140">_xlfn.IFS(E2140&lt;=16,"Children",E2140&lt;=30,"Young Adults",E2140&lt;=45,"Middle-aged Adults",E2140&gt;45,"Old Adults")</f>
        <v>Middle-aged Adults</v>
      </c>
    </row>
    <row r="2141" spans="1:11" x14ac:dyDescent="0.45">
      <c r="A2141" s="2">
        <v>2494</v>
      </c>
      <c r="B2141" s="2" t="s">
        <v>2598</v>
      </c>
      <c r="C2141" s="2" t="s">
        <v>98</v>
      </c>
      <c r="D2141" s="2" t="s">
        <v>30</v>
      </c>
      <c r="E2141" s="2">
        <v>18</v>
      </c>
      <c r="F2141" s="2">
        <v>61</v>
      </c>
      <c r="G2141" s="2">
        <v>176</v>
      </c>
      <c r="H2141" s="9">
        <f t="shared" si="33"/>
        <v>19.692665289256198</v>
      </c>
      <c r="I2141" s="2" t="str" cm="1">
        <f t="array" ref="I2141">_xlfn.IFS(F2141&gt;=100,"Over weight",F2141&lt;100,"Average weight")</f>
        <v>Average weight</v>
      </c>
      <c r="J2141" s="2" t="str" cm="1">
        <f t="array" ref="J2141">_xlfn.IFS(G2141&lt;164,"Below Average height",G2141&gt;=165,"Above Average height",G2141=164,"Average height")</f>
        <v>Above Average height</v>
      </c>
      <c r="K2141" s="2" t="str" cm="1">
        <f t="array" ref="K2141">_xlfn.IFS(E2141&lt;=16,"Children",E2141&lt;=30,"Young Adults",E2141&lt;=45,"Middle-aged Adults",E2141&gt;45,"Old Adults")</f>
        <v>Young Adults</v>
      </c>
    </row>
    <row r="2142" spans="1:11" x14ac:dyDescent="0.45">
      <c r="A2142" s="2">
        <v>2495</v>
      </c>
      <c r="B2142" s="2" t="s">
        <v>2599</v>
      </c>
      <c r="C2142" s="2" t="s">
        <v>86</v>
      </c>
      <c r="D2142" s="2" t="s">
        <v>80</v>
      </c>
      <c r="E2142" s="2">
        <v>22</v>
      </c>
      <c r="F2142" s="2">
        <v>103</v>
      </c>
      <c r="G2142" s="2">
        <v>175</v>
      </c>
      <c r="H2142" s="9">
        <f t="shared" si="33"/>
        <v>33.632653061224488</v>
      </c>
      <c r="I2142" s="2" t="str" cm="1">
        <f t="array" ref="I2142">_xlfn.IFS(F2142&gt;=100,"Over weight",F2142&lt;100,"Average weight")</f>
        <v>Over weight</v>
      </c>
      <c r="J2142" s="2" t="str" cm="1">
        <f t="array" ref="J2142">_xlfn.IFS(G2142&lt;164,"Below Average height",G2142&gt;=165,"Above Average height",G2142=164,"Average height")</f>
        <v>Above Average height</v>
      </c>
      <c r="K2142" s="2" t="str" cm="1">
        <f t="array" ref="K2142">_xlfn.IFS(E2142&lt;=16,"Children",E2142&lt;=30,"Young Adults",E2142&lt;=45,"Middle-aged Adults",E2142&gt;45,"Old Adults")</f>
        <v>Young Adults</v>
      </c>
    </row>
    <row r="2143" spans="1:11" x14ac:dyDescent="0.45">
      <c r="A2143" s="2">
        <v>2496</v>
      </c>
      <c r="B2143" s="2" t="s">
        <v>2600</v>
      </c>
      <c r="C2143" s="2" t="s">
        <v>93</v>
      </c>
      <c r="D2143" s="2" t="s">
        <v>80</v>
      </c>
      <c r="E2143" s="2">
        <v>23</v>
      </c>
      <c r="F2143" s="2">
        <v>70</v>
      </c>
      <c r="G2143" s="2">
        <v>175</v>
      </c>
      <c r="H2143" s="9">
        <f t="shared" si="33"/>
        <v>22.857142857142858</v>
      </c>
      <c r="I2143" s="2" t="str" cm="1">
        <f t="array" ref="I2143">_xlfn.IFS(F2143&gt;=100,"Over weight",F2143&lt;100,"Average weight")</f>
        <v>Average weight</v>
      </c>
      <c r="J2143" s="2" t="str" cm="1">
        <f t="array" ref="J2143">_xlfn.IFS(G2143&lt;164,"Below Average height",G2143&gt;=165,"Above Average height",G2143=164,"Average height")</f>
        <v>Above Average height</v>
      </c>
      <c r="K2143" s="2" t="str" cm="1">
        <f t="array" ref="K2143">_xlfn.IFS(E2143&lt;=16,"Children",E2143&lt;=30,"Young Adults",E2143&lt;=45,"Middle-aged Adults",E2143&gt;45,"Old Adults")</f>
        <v>Young Adults</v>
      </c>
    </row>
    <row r="2144" spans="1:11" x14ac:dyDescent="0.45">
      <c r="A2144" s="2">
        <v>2497</v>
      </c>
      <c r="B2144" s="2" t="s">
        <v>2601</v>
      </c>
      <c r="C2144" s="2" t="s">
        <v>85</v>
      </c>
      <c r="D2144" s="2" t="s">
        <v>14</v>
      </c>
      <c r="E2144" s="2">
        <v>25</v>
      </c>
      <c r="F2144" s="2">
        <v>77</v>
      </c>
      <c r="G2144" s="2">
        <v>175</v>
      </c>
      <c r="H2144" s="9">
        <f t="shared" si="33"/>
        <v>25.142857142857142</v>
      </c>
      <c r="I2144" s="2" t="str" cm="1">
        <f t="array" ref="I2144">_xlfn.IFS(F2144&gt;=100,"Over weight",F2144&lt;100,"Average weight")</f>
        <v>Average weight</v>
      </c>
      <c r="J2144" s="2" t="str" cm="1">
        <f t="array" ref="J2144">_xlfn.IFS(G2144&lt;164,"Below Average height",G2144&gt;=165,"Above Average height",G2144=164,"Average height")</f>
        <v>Above Average height</v>
      </c>
      <c r="K2144" s="2" t="str" cm="1">
        <f t="array" ref="K2144">_xlfn.IFS(E2144&lt;=16,"Children",E2144&lt;=30,"Young Adults",E2144&lt;=45,"Middle-aged Adults",E2144&gt;45,"Old Adults")</f>
        <v>Young Adults</v>
      </c>
    </row>
    <row r="2145" spans="1:11" x14ac:dyDescent="0.45">
      <c r="A2145" s="2">
        <v>2498</v>
      </c>
      <c r="B2145" s="2" t="s">
        <v>2602</v>
      </c>
      <c r="C2145" s="2" t="s">
        <v>89</v>
      </c>
      <c r="D2145" s="2" t="s">
        <v>80</v>
      </c>
      <c r="E2145" s="2">
        <v>20</v>
      </c>
      <c r="F2145" s="2">
        <v>77</v>
      </c>
      <c r="G2145" s="2">
        <v>178</v>
      </c>
      <c r="H2145" s="9">
        <f t="shared" si="33"/>
        <v>24.302487059714682</v>
      </c>
      <c r="I2145" s="2" t="str" cm="1">
        <f t="array" ref="I2145">_xlfn.IFS(F2145&gt;=100,"Over weight",F2145&lt;100,"Average weight")</f>
        <v>Average weight</v>
      </c>
      <c r="J2145" s="2" t="str" cm="1">
        <f t="array" ref="J2145">_xlfn.IFS(G2145&lt;164,"Below Average height",G2145&gt;=165,"Above Average height",G2145=164,"Average height")</f>
        <v>Above Average height</v>
      </c>
      <c r="K2145" s="2" t="str" cm="1">
        <f t="array" ref="K2145">_xlfn.IFS(E2145&lt;=16,"Children",E2145&lt;=30,"Young Adults",E2145&lt;=45,"Middle-aged Adults",E2145&gt;45,"Old Adults")</f>
        <v>Young Adults</v>
      </c>
    </row>
    <row r="2146" spans="1:11" x14ac:dyDescent="0.45">
      <c r="A2146" s="2">
        <v>2499</v>
      </c>
      <c r="B2146" s="2" t="s">
        <v>2603</v>
      </c>
      <c r="C2146" s="2" t="s">
        <v>91</v>
      </c>
      <c r="D2146" s="2" t="s">
        <v>80</v>
      </c>
      <c r="E2146" s="2">
        <v>26</v>
      </c>
      <c r="F2146" s="2">
        <v>99</v>
      </c>
      <c r="G2146" s="2">
        <v>193</v>
      </c>
      <c r="H2146" s="9">
        <f t="shared" si="33"/>
        <v>26.577894708582782</v>
      </c>
      <c r="I2146" s="2" t="str" cm="1">
        <f t="array" ref="I2146">_xlfn.IFS(F2146&gt;=100,"Over weight",F2146&lt;100,"Average weight")</f>
        <v>Average weight</v>
      </c>
      <c r="J2146" s="2" t="str" cm="1">
        <f t="array" ref="J2146">_xlfn.IFS(G2146&lt;164,"Below Average height",G2146&gt;=165,"Above Average height",G2146=164,"Average height")</f>
        <v>Above Average height</v>
      </c>
      <c r="K2146" s="2" t="str" cm="1">
        <f t="array" ref="K2146">_xlfn.IFS(E2146&lt;=16,"Children",E2146&lt;=30,"Young Adults",E2146&lt;=45,"Middle-aged Adults",E2146&gt;45,"Old Adults")</f>
        <v>Young Adults</v>
      </c>
    </row>
    <row r="2147" spans="1:11" x14ac:dyDescent="0.45">
      <c r="A2147" s="2">
        <v>2500</v>
      </c>
      <c r="B2147" s="2" t="s">
        <v>2604</v>
      </c>
      <c r="C2147" s="2" t="s">
        <v>91</v>
      </c>
      <c r="D2147" s="2" t="s">
        <v>75</v>
      </c>
      <c r="E2147" s="2">
        <v>24</v>
      </c>
      <c r="F2147" s="2">
        <v>90</v>
      </c>
      <c r="G2147" s="2">
        <v>187</v>
      </c>
      <c r="H2147" s="9">
        <f t="shared" si="33"/>
        <v>25.737081414967538</v>
      </c>
      <c r="I2147" s="2" t="str" cm="1">
        <f t="array" ref="I2147">_xlfn.IFS(F2147&gt;=100,"Over weight",F2147&lt;100,"Average weight")</f>
        <v>Average weight</v>
      </c>
      <c r="J2147" s="2" t="str" cm="1">
        <f t="array" ref="J2147">_xlfn.IFS(G2147&lt;164,"Below Average height",G2147&gt;=165,"Above Average height",G2147=164,"Average height")</f>
        <v>Above Average height</v>
      </c>
      <c r="K2147" s="2" t="str" cm="1">
        <f t="array" ref="K2147">_xlfn.IFS(E2147&lt;=16,"Children",E2147&lt;=30,"Young Adults",E2147&lt;=45,"Middle-aged Adults",E2147&gt;45,"Old Adults")</f>
        <v>Young Adults</v>
      </c>
    </row>
    <row r="2148" spans="1:11" x14ac:dyDescent="0.45">
      <c r="A2148" s="2">
        <v>2501</v>
      </c>
      <c r="B2148" s="2" t="s">
        <v>2605</v>
      </c>
      <c r="C2148" s="2" t="s">
        <v>91</v>
      </c>
      <c r="D2148" s="2" t="s">
        <v>14</v>
      </c>
      <c r="E2148" s="2">
        <v>31</v>
      </c>
      <c r="F2148" s="2">
        <v>77</v>
      </c>
      <c r="G2148" s="2">
        <v>178</v>
      </c>
      <c r="H2148" s="9">
        <f t="shared" si="33"/>
        <v>24.302487059714682</v>
      </c>
      <c r="I2148" s="2" t="str" cm="1">
        <f t="array" ref="I2148">_xlfn.IFS(F2148&gt;=100,"Over weight",F2148&lt;100,"Average weight")</f>
        <v>Average weight</v>
      </c>
      <c r="J2148" s="2" t="str" cm="1">
        <f t="array" ref="J2148">_xlfn.IFS(G2148&lt;164,"Below Average height",G2148&gt;=165,"Above Average height",G2148=164,"Average height")</f>
        <v>Above Average height</v>
      </c>
      <c r="K2148" s="2" t="str" cm="1">
        <f t="array" ref="K2148">_xlfn.IFS(E2148&lt;=16,"Children",E2148&lt;=30,"Young Adults",E2148&lt;=45,"Middle-aged Adults",E2148&gt;45,"Old Adults")</f>
        <v>Middle-aged Adults</v>
      </c>
    </row>
    <row r="2149" spans="1:11" x14ac:dyDescent="0.45">
      <c r="A2149" s="2">
        <v>2502</v>
      </c>
      <c r="B2149" s="2" t="s">
        <v>2606</v>
      </c>
      <c r="C2149" s="2" t="s">
        <v>93</v>
      </c>
      <c r="D2149" s="2" t="s">
        <v>60</v>
      </c>
      <c r="E2149" s="2">
        <v>30</v>
      </c>
      <c r="F2149" s="2">
        <v>112</v>
      </c>
      <c r="G2149" s="2">
        <v>189</v>
      </c>
      <c r="H2149" s="9">
        <f t="shared" si="33"/>
        <v>31.354105428179505</v>
      </c>
      <c r="I2149" s="2" t="str" cm="1">
        <f t="array" ref="I2149">_xlfn.IFS(F2149&gt;=100,"Over weight",F2149&lt;100,"Average weight")</f>
        <v>Over weight</v>
      </c>
      <c r="J2149" s="2" t="str" cm="1">
        <f t="array" ref="J2149">_xlfn.IFS(G2149&lt;164,"Below Average height",G2149&gt;=165,"Above Average height",G2149=164,"Average height")</f>
        <v>Above Average height</v>
      </c>
      <c r="K2149" s="2" t="str" cm="1">
        <f t="array" ref="K2149">_xlfn.IFS(E2149&lt;=16,"Children",E2149&lt;=30,"Young Adults",E2149&lt;=45,"Middle-aged Adults",E2149&gt;45,"Old Adults")</f>
        <v>Young Adults</v>
      </c>
    </row>
    <row r="2150" spans="1:11" x14ac:dyDescent="0.45">
      <c r="A2150" s="2">
        <v>2503</v>
      </c>
      <c r="B2150" s="2" t="s">
        <v>2607</v>
      </c>
      <c r="C2150" s="2" t="s">
        <v>88</v>
      </c>
      <c r="D2150" s="2" t="s">
        <v>28</v>
      </c>
      <c r="E2150" s="2">
        <v>33</v>
      </c>
      <c r="F2150" s="2">
        <v>63</v>
      </c>
      <c r="G2150" s="2">
        <v>172</v>
      </c>
      <c r="H2150" s="9">
        <f t="shared" si="33"/>
        <v>21.295294753921041</v>
      </c>
      <c r="I2150" s="2" t="str" cm="1">
        <f t="array" ref="I2150">_xlfn.IFS(F2150&gt;=100,"Over weight",F2150&lt;100,"Average weight")</f>
        <v>Average weight</v>
      </c>
      <c r="J2150" s="2" t="str" cm="1">
        <f t="array" ref="J2150">_xlfn.IFS(G2150&lt;164,"Below Average height",G2150&gt;=165,"Above Average height",G2150=164,"Average height")</f>
        <v>Above Average height</v>
      </c>
      <c r="K2150" s="2" t="str" cm="1">
        <f t="array" ref="K2150">_xlfn.IFS(E2150&lt;=16,"Children",E2150&lt;=30,"Young Adults",E2150&lt;=45,"Middle-aged Adults",E2150&gt;45,"Old Adults")</f>
        <v>Middle-aged Adults</v>
      </c>
    </row>
    <row r="2151" spans="1:11" x14ac:dyDescent="0.45">
      <c r="A2151" s="2">
        <v>2504</v>
      </c>
      <c r="B2151" s="2" t="s">
        <v>2608</v>
      </c>
      <c r="C2151" s="2" t="s">
        <v>90</v>
      </c>
      <c r="D2151" s="2" t="s">
        <v>9</v>
      </c>
      <c r="E2151" s="2">
        <v>25</v>
      </c>
      <c r="F2151" s="2">
        <v>70</v>
      </c>
      <c r="G2151" s="2">
        <v>172</v>
      </c>
      <c r="H2151" s="9">
        <f t="shared" si="33"/>
        <v>23.661438615467823</v>
      </c>
      <c r="I2151" s="2" t="str" cm="1">
        <f t="array" ref="I2151">_xlfn.IFS(F2151&gt;=100,"Over weight",F2151&lt;100,"Average weight")</f>
        <v>Average weight</v>
      </c>
      <c r="J2151" s="2" t="str" cm="1">
        <f t="array" ref="J2151">_xlfn.IFS(G2151&lt;164,"Below Average height",G2151&gt;=165,"Above Average height",G2151=164,"Average height")</f>
        <v>Above Average height</v>
      </c>
      <c r="K2151" s="2" t="str" cm="1">
        <f t="array" ref="K2151">_xlfn.IFS(E2151&lt;=16,"Children",E2151&lt;=30,"Young Adults",E2151&lt;=45,"Middle-aged Adults",E2151&gt;45,"Old Adults")</f>
        <v>Young Adults</v>
      </c>
    </row>
    <row r="2152" spans="1:11" x14ac:dyDescent="0.45">
      <c r="A2152" s="2">
        <v>2505</v>
      </c>
      <c r="B2152" s="2" t="s">
        <v>2609</v>
      </c>
      <c r="C2152" s="2" t="s">
        <v>90</v>
      </c>
      <c r="D2152" s="2" t="s">
        <v>9</v>
      </c>
      <c r="E2152" s="2">
        <v>25</v>
      </c>
      <c r="F2152" s="2">
        <v>76</v>
      </c>
      <c r="G2152" s="2">
        <v>174</v>
      </c>
      <c r="H2152" s="9">
        <f t="shared" si="33"/>
        <v>25.102391333069097</v>
      </c>
      <c r="I2152" s="2" t="str" cm="1">
        <f t="array" ref="I2152">_xlfn.IFS(F2152&gt;=100,"Over weight",F2152&lt;100,"Average weight")</f>
        <v>Average weight</v>
      </c>
      <c r="J2152" s="2" t="str" cm="1">
        <f t="array" ref="J2152">_xlfn.IFS(G2152&lt;164,"Below Average height",G2152&gt;=165,"Above Average height",G2152=164,"Average height")</f>
        <v>Above Average height</v>
      </c>
      <c r="K2152" s="2" t="str" cm="1">
        <f t="array" ref="K2152">_xlfn.IFS(E2152&lt;=16,"Children",E2152&lt;=30,"Young Adults",E2152&lt;=45,"Middle-aged Adults",E2152&gt;45,"Old Adults")</f>
        <v>Young Adults</v>
      </c>
    </row>
    <row r="2153" spans="1:11" x14ac:dyDescent="0.45">
      <c r="A2153" s="2">
        <v>2506</v>
      </c>
      <c r="B2153" s="2" t="s">
        <v>2610</v>
      </c>
      <c r="C2153" s="2" t="s">
        <v>100</v>
      </c>
      <c r="D2153" s="2" t="s">
        <v>30</v>
      </c>
      <c r="E2153" s="2">
        <v>27</v>
      </c>
      <c r="F2153" s="2">
        <v>60</v>
      </c>
      <c r="G2153" s="2">
        <v>173</v>
      </c>
      <c r="H2153" s="9">
        <f t="shared" si="33"/>
        <v>20.047445621303751</v>
      </c>
      <c r="I2153" s="2" t="str" cm="1">
        <f t="array" ref="I2153">_xlfn.IFS(F2153&gt;=100,"Over weight",F2153&lt;100,"Average weight")</f>
        <v>Average weight</v>
      </c>
      <c r="J2153" s="2" t="str" cm="1">
        <f t="array" ref="J2153">_xlfn.IFS(G2153&lt;164,"Below Average height",G2153&gt;=165,"Above Average height",G2153=164,"Average height")</f>
        <v>Above Average height</v>
      </c>
      <c r="K2153" s="2" t="str" cm="1">
        <f t="array" ref="K2153">_xlfn.IFS(E2153&lt;=16,"Children",E2153&lt;=30,"Young Adults",E2153&lt;=45,"Middle-aged Adults",E2153&gt;45,"Old Adults")</f>
        <v>Young Adults</v>
      </c>
    </row>
    <row r="2154" spans="1:11" x14ac:dyDescent="0.45">
      <c r="A2154" s="2">
        <v>2508</v>
      </c>
      <c r="B2154" s="2" t="s">
        <v>2612</v>
      </c>
      <c r="C2154" s="2" t="s">
        <v>87</v>
      </c>
      <c r="D2154" s="2" t="s">
        <v>80</v>
      </c>
      <c r="E2154" s="2">
        <v>21</v>
      </c>
      <c r="F2154" s="2">
        <v>73</v>
      </c>
      <c r="G2154" s="2">
        <v>178</v>
      </c>
      <c r="H2154" s="9">
        <f t="shared" si="33"/>
        <v>23.040020199469762</v>
      </c>
      <c r="I2154" s="2" t="str" cm="1">
        <f t="array" ref="I2154">_xlfn.IFS(F2154&gt;=100,"Over weight",F2154&lt;100,"Average weight")</f>
        <v>Average weight</v>
      </c>
      <c r="J2154" s="2" t="str" cm="1">
        <f t="array" ref="J2154">_xlfn.IFS(G2154&lt;164,"Below Average height",G2154&gt;=165,"Above Average height",G2154=164,"Average height")</f>
        <v>Above Average height</v>
      </c>
      <c r="K2154" s="2" t="str" cm="1">
        <f t="array" ref="K2154">_xlfn.IFS(E2154&lt;=16,"Children",E2154&lt;=30,"Young Adults",E2154&lt;=45,"Middle-aged Adults",E2154&gt;45,"Old Adults")</f>
        <v>Young Adults</v>
      </c>
    </row>
    <row r="2155" spans="1:11" x14ac:dyDescent="0.45">
      <c r="A2155" s="2">
        <v>2509</v>
      </c>
      <c r="B2155" s="2" t="s">
        <v>2613</v>
      </c>
      <c r="C2155" s="2" t="s">
        <v>91</v>
      </c>
      <c r="D2155" s="2" t="s">
        <v>74</v>
      </c>
      <c r="E2155" s="2">
        <v>20</v>
      </c>
      <c r="F2155" s="2">
        <v>63</v>
      </c>
      <c r="G2155" s="2">
        <v>165</v>
      </c>
      <c r="H2155" s="9">
        <f t="shared" si="33"/>
        <v>23.140495867768596</v>
      </c>
      <c r="I2155" s="2" t="str" cm="1">
        <f t="array" ref="I2155">_xlfn.IFS(F2155&gt;=100,"Over weight",F2155&lt;100,"Average weight")</f>
        <v>Average weight</v>
      </c>
      <c r="J2155" s="2" t="str" cm="1">
        <f t="array" ref="J2155">_xlfn.IFS(G2155&lt;164,"Below Average height",G2155&gt;=165,"Above Average height",G2155=164,"Average height")</f>
        <v>Above Average height</v>
      </c>
      <c r="K2155" s="2" t="str" cm="1">
        <f t="array" ref="K2155">_xlfn.IFS(E2155&lt;=16,"Children",E2155&lt;=30,"Young Adults",E2155&lt;=45,"Middle-aged Adults",E2155&gt;45,"Old Adults")</f>
        <v>Young Adults</v>
      </c>
    </row>
    <row r="2156" spans="1:11" x14ac:dyDescent="0.45">
      <c r="A2156" s="2">
        <v>2510</v>
      </c>
      <c r="B2156" s="2" t="s">
        <v>2614</v>
      </c>
      <c r="C2156" s="2" t="s">
        <v>88</v>
      </c>
      <c r="D2156" s="2" t="s">
        <v>39</v>
      </c>
      <c r="E2156" s="2">
        <v>25</v>
      </c>
      <c r="F2156" s="2">
        <v>79</v>
      </c>
      <c r="G2156" s="2">
        <v>185</v>
      </c>
      <c r="H2156" s="9">
        <f t="shared" si="33"/>
        <v>23.082542001460919</v>
      </c>
      <c r="I2156" s="2" t="str" cm="1">
        <f t="array" ref="I2156">_xlfn.IFS(F2156&gt;=100,"Over weight",F2156&lt;100,"Average weight")</f>
        <v>Average weight</v>
      </c>
      <c r="J2156" s="2" t="str" cm="1">
        <f t="array" ref="J2156">_xlfn.IFS(G2156&lt;164,"Below Average height",G2156&gt;=165,"Above Average height",G2156=164,"Average height")</f>
        <v>Above Average height</v>
      </c>
      <c r="K2156" s="2" t="str" cm="1">
        <f t="array" ref="K2156">_xlfn.IFS(E2156&lt;=16,"Children",E2156&lt;=30,"Young Adults",E2156&lt;=45,"Middle-aged Adults",E2156&gt;45,"Old Adults")</f>
        <v>Young Adults</v>
      </c>
    </row>
    <row r="2157" spans="1:11" x14ac:dyDescent="0.45">
      <c r="A2157" s="2">
        <v>2512</v>
      </c>
      <c r="B2157" s="2" t="s">
        <v>2616</v>
      </c>
      <c r="C2157" s="2" t="s">
        <v>95</v>
      </c>
      <c r="D2157" s="2" t="s">
        <v>28</v>
      </c>
      <c r="E2157" s="2">
        <v>32</v>
      </c>
      <c r="F2157" s="2">
        <v>83</v>
      </c>
      <c r="G2157" s="2">
        <v>178</v>
      </c>
      <c r="H2157" s="9">
        <f t="shared" si="33"/>
        <v>26.196187350082059</v>
      </c>
      <c r="I2157" s="2" t="str" cm="1">
        <f t="array" ref="I2157">_xlfn.IFS(F2157&gt;=100,"Over weight",F2157&lt;100,"Average weight")</f>
        <v>Average weight</v>
      </c>
      <c r="J2157" s="2" t="str" cm="1">
        <f t="array" ref="J2157">_xlfn.IFS(G2157&lt;164,"Below Average height",G2157&gt;=165,"Above Average height",G2157=164,"Average height")</f>
        <v>Above Average height</v>
      </c>
      <c r="K2157" s="2" t="str" cm="1">
        <f t="array" ref="K2157">_xlfn.IFS(E2157&lt;=16,"Children",E2157&lt;=30,"Young Adults",E2157&lt;=45,"Middle-aged Adults",E2157&gt;45,"Old Adults")</f>
        <v>Middle-aged Adults</v>
      </c>
    </row>
    <row r="2158" spans="1:11" x14ac:dyDescent="0.45">
      <c r="A2158" s="2">
        <v>2513</v>
      </c>
      <c r="B2158" s="2" t="s">
        <v>2617</v>
      </c>
      <c r="C2158" s="2" t="s">
        <v>88</v>
      </c>
      <c r="D2158" s="2" t="s">
        <v>63</v>
      </c>
      <c r="E2158" s="2">
        <v>24</v>
      </c>
      <c r="F2158" s="2">
        <v>78</v>
      </c>
      <c r="G2158" s="2">
        <v>180</v>
      </c>
      <c r="H2158" s="9">
        <f t="shared" si="33"/>
        <v>24.074074074074073</v>
      </c>
      <c r="I2158" s="2" t="str" cm="1">
        <f t="array" ref="I2158">_xlfn.IFS(F2158&gt;=100,"Over weight",F2158&lt;100,"Average weight")</f>
        <v>Average weight</v>
      </c>
      <c r="J2158" s="2" t="str" cm="1">
        <f t="array" ref="J2158">_xlfn.IFS(G2158&lt;164,"Below Average height",G2158&gt;=165,"Above Average height",G2158=164,"Average height")</f>
        <v>Above Average height</v>
      </c>
      <c r="K2158" s="2" t="str" cm="1">
        <f t="array" ref="K2158">_xlfn.IFS(E2158&lt;=16,"Children",E2158&lt;=30,"Young Adults",E2158&lt;=45,"Middle-aged Adults",E2158&gt;45,"Old Adults")</f>
        <v>Young Adults</v>
      </c>
    </row>
    <row r="2159" spans="1:11" x14ac:dyDescent="0.45">
      <c r="A2159" s="2">
        <v>2514</v>
      </c>
      <c r="B2159" s="2" t="s">
        <v>2618</v>
      </c>
      <c r="C2159" s="2" t="s">
        <v>87</v>
      </c>
      <c r="D2159" s="2" t="s">
        <v>6</v>
      </c>
      <c r="E2159" s="2">
        <v>36</v>
      </c>
      <c r="F2159" s="2">
        <v>84</v>
      </c>
      <c r="G2159" s="2">
        <v>174</v>
      </c>
      <c r="H2159" s="9">
        <f t="shared" si="33"/>
        <v>27.744748315497421</v>
      </c>
      <c r="I2159" s="2" t="str" cm="1">
        <f t="array" ref="I2159">_xlfn.IFS(F2159&gt;=100,"Over weight",F2159&lt;100,"Average weight")</f>
        <v>Average weight</v>
      </c>
      <c r="J2159" s="2" t="str" cm="1">
        <f t="array" ref="J2159">_xlfn.IFS(G2159&lt;164,"Below Average height",G2159&gt;=165,"Above Average height",G2159=164,"Average height")</f>
        <v>Above Average height</v>
      </c>
      <c r="K2159" s="2" t="str" cm="1">
        <f t="array" ref="K2159">_xlfn.IFS(E2159&lt;=16,"Children",E2159&lt;=30,"Young Adults",E2159&lt;=45,"Middle-aged Adults",E2159&gt;45,"Old Adults")</f>
        <v>Middle-aged Adults</v>
      </c>
    </row>
    <row r="2160" spans="1:11" x14ac:dyDescent="0.45">
      <c r="A2160" s="2">
        <v>2515</v>
      </c>
      <c r="B2160" s="2" t="s">
        <v>2619</v>
      </c>
      <c r="C2160" s="2" t="s">
        <v>87</v>
      </c>
      <c r="D2160" s="2" t="s">
        <v>28</v>
      </c>
      <c r="E2160" s="2">
        <v>20</v>
      </c>
      <c r="F2160" s="2">
        <v>79</v>
      </c>
      <c r="G2160" s="2">
        <v>175</v>
      </c>
      <c r="H2160" s="9">
        <f t="shared" si="33"/>
        <v>25.795918367346939</v>
      </c>
      <c r="I2160" s="2" t="str" cm="1">
        <f t="array" ref="I2160">_xlfn.IFS(F2160&gt;=100,"Over weight",F2160&lt;100,"Average weight")</f>
        <v>Average weight</v>
      </c>
      <c r="J2160" s="2" t="str" cm="1">
        <f t="array" ref="J2160">_xlfn.IFS(G2160&lt;164,"Below Average height",G2160&gt;=165,"Above Average height",G2160=164,"Average height")</f>
        <v>Above Average height</v>
      </c>
      <c r="K2160" s="2" t="str" cm="1">
        <f t="array" ref="K2160">_xlfn.IFS(E2160&lt;=16,"Children",E2160&lt;=30,"Young Adults",E2160&lt;=45,"Middle-aged Adults",E2160&gt;45,"Old Adults")</f>
        <v>Young Adults</v>
      </c>
    </row>
    <row r="2161" spans="1:11" x14ac:dyDescent="0.45">
      <c r="A2161" s="2">
        <v>2516</v>
      </c>
      <c r="B2161" s="2" t="s">
        <v>2620</v>
      </c>
      <c r="C2161" s="2" t="s">
        <v>88</v>
      </c>
      <c r="D2161" s="2" t="s">
        <v>28</v>
      </c>
      <c r="E2161" s="2">
        <v>31</v>
      </c>
      <c r="F2161" s="2">
        <v>90</v>
      </c>
      <c r="G2161" s="2">
        <v>191</v>
      </c>
      <c r="H2161" s="9">
        <f t="shared" si="33"/>
        <v>24.670376360297141</v>
      </c>
      <c r="I2161" s="2" t="str" cm="1">
        <f t="array" ref="I2161">_xlfn.IFS(F2161&gt;=100,"Over weight",F2161&lt;100,"Average weight")</f>
        <v>Average weight</v>
      </c>
      <c r="J2161" s="2" t="str" cm="1">
        <f t="array" ref="J2161">_xlfn.IFS(G2161&lt;164,"Below Average height",G2161&gt;=165,"Above Average height",G2161=164,"Average height")</f>
        <v>Above Average height</v>
      </c>
      <c r="K2161" s="2" t="str" cm="1">
        <f t="array" ref="K2161">_xlfn.IFS(E2161&lt;=16,"Children",E2161&lt;=30,"Young Adults",E2161&lt;=45,"Middle-aged Adults",E2161&gt;45,"Old Adults")</f>
        <v>Middle-aged Adults</v>
      </c>
    </row>
    <row r="2162" spans="1:11" x14ac:dyDescent="0.45">
      <c r="A2162" s="2">
        <v>2517</v>
      </c>
      <c r="B2162" s="2" t="s">
        <v>2621</v>
      </c>
      <c r="C2162" s="2" t="s">
        <v>91</v>
      </c>
      <c r="D2162" s="2" t="s">
        <v>28</v>
      </c>
      <c r="E2162" s="2">
        <v>29</v>
      </c>
      <c r="F2162" s="2">
        <v>80</v>
      </c>
      <c r="G2162" s="2">
        <v>177</v>
      </c>
      <c r="H2162" s="9">
        <f t="shared" si="33"/>
        <v>25.535446391522228</v>
      </c>
      <c r="I2162" s="2" t="str" cm="1">
        <f t="array" ref="I2162">_xlfn.IFS(F2162&gt;=100,"Over weight",F2162&lt;100,"Average weight")</f>
        <v>Average weight</v>
      </c>
      <c r="J2162" s="2" t="str" cm="1">
        <f t="array" ref="J2162">_xlfn.IFS(G2162&lt;164,"Below Average height",G2162&gt;=165,"Above Average height",G2162=164,"Average height")</f>
        <v>Above Average height</v>
      </c>
      <c r="K2162" s="2" t="str" cm="1">
        <f t="array" ref="K2162">_xlfn.IFS(E2162&lt;=16,"Children",E2162&lt;=30,"Young Adults",E2162&lt;=45,"Middle-aged Adults",E2162&gt;45,"Old Adults")</f>
        <v>Young Adults</v>
      </c>
    </row>
    <row r="2163" spans="1:11" x14ac:dyDescent="0.45">
      <c r="A2163" s="2">
        <v>2520</v>
      </c>
      <c r="B2163" s="2" t="s">
        <v>2624</v>
      </c>
      <c r="C2163" s="2" t="s">
        <v>98</v>
      </c>
      <c r="D2163" s="2" t="s">
        <v>30</v>
      </c>
      <c r="E2163" s="2">
        <v>24</v>
      </c>
      <c r="F2163" s="2">
        <v>85</v>
      </c>
      <c r="G2163" s="2">
        <v>181</v>
      </c>
      <c r="H2163" s="9">
        <f t="shared" si="33"/>
        <v>25.945483959586092</v>
      </c>
      <c r="I2163" s="2" t="str" cm="1">
        <f t="array" ref="I2163">_xlfn.IFS(F2163&gt;=100,"Over weight",F2163&lt;100,"Average weight")</f>
        <v>Average weight</v>
      </c>
      <c r="J2163" s="2" t="str" cm="1">
        <f t="array" ref="J2163">_xlfn.IFS(G2163&lt;164,"Below Average height",G2163&gt;=165,"Above Average height",G2163=164,"Average height")</f>
        <v>Above Average height</v>
      </c>
      <c r="K2163" s="2" t="str" cm="1">
        <f t="array" ref="K2163">_xlfn.IFS(E2163&lt;=16,"Children",E2163&lt;=30,"Young Adults",E2163&lt;=45,"Middle-aged Adults",E2163&gt;45,"Old Adults")</f>
        <v>Young Adults</v>
      </c>
    </row>
    <row r="2164" spans="1:11" x14ac:dyDescent="0.45">
      <c r="A2164" s="2">
        <v>2521</v>
      </c>
      <c r="B2164" s="2" t="s">
        <v>2625</v>
      </c>
      <c r="C2164" s="2" t="s">
        <v>89</v>
      </c>
      <c r="D2164" s="2" t="s">
        <v>14</v>
      </c>
      <c r="E2164" s="2">
        <v>33</v>
      </c>
      <c r="F2164" s="2">
        <v>85</v>
      </c>
      <c r="G2164" s="2">
        <v>190</v>
      </c>
      <c r="H2164" s="9">
        <f t="shared" si="33"/>
        <v>23.545706371191137</v>
      </c>
      <c r="I2164" s="2" t="str" cm="1">
        <f t="array" ref="I2164">_xlfn.IFS(F2164&gt;=100,"Over weight",F2164&lt;100,"Average weight")</f>
        <v>Average weight</v>
      </c>
      <c r="J2164" s="2" t="str" cm="1">
        <f t="array" ref="J2164">_xlfn.IFS(G2164&lt;164,"Below Average height",G2164&gt;=165,"Above Average height",G2164=164,"Average height")</f>
        <v>Above Average height</v>
      </c>
      <c r="K2164" s="2" t="str" cm="1">
        <f t="array" ref="K2164">_xlfn.IFS(E2164&lt;=16,"Children",E2164&lt;=30,"Young Adults",E2164&lt;=45,"Middle-aged Adults",E2164&gt;45,"Old Adults")</f>
        <v>Middle-aged Adults</v>
      </c>
    </row>
    <row r="2165" spans="1:11" x14ac:dyDescent="0.45">
      <c r="A2165" s="2">
        <v>2522</v>
      </c>
      <c r="B2165" s="2" t="s">
        <v>2626</v>
      </c>
      <c r="C2165" s="2" t="s">
        <v>89</v>
      </c>
      <c r="D2165" s="2" t="s">
        <v>63</v>
      </c>
      <c r="E2165" s="2">
        <v>20</v>
      </c>
      <c r="F2165" s="2">
        <v>60</v>
      </c>
      <c r="G2165" s="2">
        <v>174</v>
      </c>
      <c r="H2165" s="9">
        <f t="shared" si="33"/>
        <v>19.817677368212443</v>
      </c>
      <c r="I2165" s="2" t="str" cm="1">
        <f t="array" ref="I2165">_xlfn.IFS(F2165&gt;=100,"Over weight",F2165&lt;100,"Average weight")</f>
        <v>Average weight</v>
      </c>
      <c r="J2165" s="2" t="str" cm="1">
        <f t="array" ref="J2165">_xlfn.IFS(G2165&lt;164,"Below Average height",G2165&gt;=165,"Above Average height",G2165=164,"Average height")</f>
        <v>Above Average height</v>
      </c>
      <c r="K2165" s="2" t="str" cm="1">
        <f t="array" ref="K2165">_xlfn.IFS(E2165&lt;=16,"Children",E2165&lt;=30,"Young Adults",E2165&lt;=45,"Middle-aged Adults",E2165&gt;45,"Old Adults")</f>
        <v>Young Adults</v>
      </c>
    </row>
    <row r="2166" spans="1:11" x14ac:dyDescent="0.45">
      <c r="A2166" s="2">
        <v>2523</v>
      </c>
      <c r="B2166" s="2" t="s">
        <v>2627</v>
      </c>
      <c r="C2166" s="2" t="s">
        <v>90</v>
      </c>
      <c r="D2166" s="2" t="s">
        <v>14</v>
      </c>
      <c r="E2166" s="2">
        <v>29</v>
      </c>
      <c r="F2166" s="2">
        <v>97</v>
      </c>
      <c r="G2166" s="2">
        <v>183</v>
      </c>
      <c r="H2166" s="9">
        <f t="shared" si="33"/>
        <v>28.964734689002356</v>
      </c>
      <c r="I2166" s="2" t="str" cm="1">
        <f t="array" ref="I2166">_xlfn.IFS(F2166&gt;=100,"Over weight",F2166&lt;100,"Average weight")</f>
        <v>Average weight</v>
      </c>
      <c r="J2166" s="2" t="str" cm="1">
        <f t="array" ref="J2166">_xlfn.IFS(G2166&lt;164,"Below Average height",G2166&gt;=165,"Above Average height",G2166=164,"Average height")</f>
        <v>Above Average height</v>
      </c>
      <c r="K2166" s="2" t="str" cm="1">
        <f t="array" ref="K2166">_xlfn.IFS(E2166&lt;=16,"Children",E2166&lt;=30,"Young Adults",E2166&lt;=45,"Middle-aged Adults",E2166&gt;45,"Old Adults")</f>
        <v>Young Adults</v>
      </c>
    </row>
    <row r="2167" spans="1:11" x14ac:dyDescent="0.45">
      <c r="A2167" s="2">
        <v>2524</v>
      </c>
      <c r="B2167" s="2" t="s">
        <v>2628</v>
      </c>
      <c r="C2167" s="2" t="s">
        <v>90</v>
      </c>
      <c r="D2167" s="2" t="s">
        <v>48</v>
      </c>
      <c r="E2167" s="2">
        <v>25</v>
      </c>
      <c r="F2167" s="2">
        <v>85</v>
      </c>
      <c r="G2167" s="2">
        <v>183</v>
      </c>
      <c r="H2167" s="9">
        <f t="shared" si="33"/>
        <v>25.381468541909282</v>
      </c>
      <c r="I2167" s="2" t="str" cm="1">
        <f t="array" ref="I2167">_xlfn.IFS(F2167&gt;=100,"Over weight",F2167&lt;100,"Average weight")</f>
        <v>Average weight</v>
      </c>
      <c r="J2167" s="2" t="str" cm="1">
        <f t="array" ref="J2167">_xlfn.IFS(G2167&lt;164,"Below Average height",G2167&gt;=165,"Above Average height",G2167=164,"Average height")</f>
        <v>Above Average height</v>
      </c>
      <c r="K2167" s="2" t="str" cm="1">
        <f t="array" ref="K2167">_xlfn.IFS(E2167&lt;=16,"Children",E2167&lt;=30,"Young Adults",E2167&lt;=45,"Middle-aged Adults",E2167&gt;45,"Old Adults")</f>
        <v>Young Adults</v>
      </c>
    </row>
    <row r="2168" spans="1:11" x14ac:dyDescent="0.45">
      <c r="A2168" s="2">
        <v>2525</v>
      </c>
      <c r="B2168" s="2" t="s">
        <v>2629</v>
      </c>
      <c r="C2168" s="2" t="s">
        <v>89</v>
      </c>
      <c r="D2168" s="2" t="s">
        <v>58</v>
      </c>
      <c r="E2168" s="2">
        <v>23</v>
      </c>
      <c r="F2168" s="2">
        <v>65</v>
      </c>
      <c r="G2168" s="2">
        <v>168</v>
      </c>
      <c r="H2168" s="9">
        <f t="shared" si="33"/>
        <v>23.030045351473927</v>
      </c>
      <c r="I2168" s="2" t="str" cm="1">
        <f t="array" ref="I2168">_xlfn.IFS(F2168&gt;=100,"Over weight",F2168&lt;100,"Average weight")</f>
        <v>Average weight</v>
      </c>
      <c r="J2168" s="2" t="str" cm="1">
        <f t="array" ref="J2168">_xlfn.IFS(G2168&lt;164,"Below Average height",G2168&gt;=165,"Above Average height",G2168=164,"Average height")</f>
        <v>Above Average height</v>
      </c>
      <c r="K2168" s="2" t="str" cm="1">
        <f t="array" ref="K2168">_xlfn.IFS(E2168&lt;=16,"Children",E2168&lt;=30,"Young Adults",E2168&lt;=45,"Middle-aged Adults",E2168&gt;45,"Old Adults")</f>
        <v>Young Adults</v>
      </c>
    </row>
    <row r="2169" spans="1:11" x14ac:dyDescent="0.45">
      <c r="A2169" s="2">
        <v>2526</v>
      </c>
      <c r="B2169" s="2" t="s">
        <v>2630</v>
      </c>
      <c r="C2169" s="2" t="s">
        <v>95</v>
      </c>
      <c r="D2169" s="2" t="s">
        <v>28</v>
      </c>
      <c r="E2169" s="2">
        <v>33</v>
      </c>
      <c r="F2169" s="2">
        <v>72</v>
      </c>
      <c r="G2169" s="2">
        <v>170</v>
      </c>
      <c r="H2169" s="9">
        <f t="shared" si="33"/>
        <v>24.913494809688583</v>
      </c>
      <c r="I2169" s="2" t="str" cm="1">
        <f t="array" ref="I2169">_xlfn.IFS(F2169&gt;=100,"Over weight",F2169&lt;100,"Average weight")</f>
        <v>Average weight</v>
      </c>
      <c r="J2169" s="2" t="str" cm="1">
        <f t="array" ref="J2169">_xlfn.IFS(G2169&lt;164,"Below Average height",G2169&gt;=165,"Above Average height",G2169=164,"Average height")</f>
        <v>Above Average height</v>
      </c>
      <c r="K2169" s="2" t="str" cm="1">
        <f t="array" ref="K2169">_xlfn.IFS(E2169&lt;=16,"Children",E2169&lt;=30,"Young Adults",E2169&lt;=45,"Middle-aged Adults",E2169&gt;45,"Old Adults")</f>
        <v>Middle-aged Adults</v>
      </c>
    </row>
    <row r="2170" spans="1:11" x14ac:dyDescent="0.45">
      <c r="A2170" s="2">
        <v>2529</v>
      </c>
      <c r="B2170" s="2" t="s">
        <v>2633</v>
      </c>
      <c r="C2170" s="2" t="s">
        <v>89</v>
      </c>
      <c r="D2170" s="2" t="s">
        <v>17</v>
      </c>
      <c r="E2170" s="2">
        <v>32</v>
      </c>
      <c r="F2170" s="2">
        <v>63</v>
      </c>
      <c r="G2170" s="2">
        <v>168</v>
      </c>
      <c r="H2170" s="9">
        <f t="shared" si="33"/>
        <v>22.321428571428577</v>
      </c>
      <c r="I2170" s="2" t="str" cm="1">
        <f t="array" ref="I2170">_xlfn.IFS(F2170&gt;=100,"Over weight",F2170&lt;100,"Average weight")</f>
        <v>Average weight</v>
      </c>
      <c r="J2170" s="2" t="str" cm="1">
        <f t="array" ref="J2170">_xlfn.IFS(G2170&lt;164,"Below Average height",G2170&gt;=165,"Above Average height",G2170=164,"Average height")</f>
        <v>Above Average height</v>
      </c>
      <c r="K2170" s="2" t="str" cm="1">
        <f t="array" ref="K2170">_xlfn.IFS(E2170&lt;=16,"Children",E2170&lt;=30,"Young Adults",E2170&lt;=45,"Middle-aged Adults",E2170&gt;45,"Old Adults")</f>
        <v>Middle-aged Adults</v>
      </c>
    </row>
    <row r="2171" spans="1:11" x14ac:dyDescent="0.45">
      <c r="A2171" s="2">
        <v>2530</v>
      </c>
      <c r="B2171" s="2" t="s">
        <v>2634</v>
      </c>
      <c r="C2171" s="2" t="s">
        <v>87</v>
      </c>
      <c r="D2171" s="2" t="s">
        <v>17</v>
      </c>
      <c r="E2171" s="2">
        <v>19</v>
      </c>
      <c r="F2171" s="2">
        <v>55</v>
      </c>
      <c r="G2171" s="2">
        <v>165</v>
      </c>
      <c r="H2171" s="9">
        <f t="shared" si="33"/>
        <v>20.202020202020204</v>
      </c>
      <c r="I2171" s="2" t="str" cm="1">
        <f t="array" ref="I2171">_xlfn.IFS(F2171&gt;=100,"Over weight",F2171&lt;100,"Average weight")</f>
        <v>Average weight</v>
      </c>
      <c r="J2171" s="2" t="str" cm="1">
        <f t="array" ref="J2171">_xlfn.IFS(G2171&lt;164,"Below Average height",G2171&gt;=165,"Above Average height",G2171=164,"Average height")</f>
        <v>Above Average height</v>
      </c>
      <c r="K2171" s="2" t="str" cm="1">
        <f t="array" ref="K2171">_xlfn.IFS(E2171&lt;=16,"Children",E2171&lt;=30,"Young Adults",E2171&lt;=45,"Middle-aged Adults",E2171&gt;45,"Old Adults")</f>
        <v>Young Adults</v>
      </c>
    </row>
    <row r="2172" spans="1:11" x14ac:dyDescent="0.45">
      <c r="A2172" s="2">
        <v>2531</v>
      </c>
      <c r="B2172" s="2" t="s">
        <v>2635</v>
      </c>
      <c r="C2172" s="2" t="s">
        <v>94</v>
      </c>
      <c r="D2172" s="2" t="s">
        <v>17</v>
      </c>
      <c r="E2172" s="2">
        <v>22</v>
      </c>
      <c r="F2172" s="2">
        <v>70</v>
      </c>
      <c r="G2172" s="2">
        <v>172</v>
      </c>
      <c r="H2172" s="9">
        <f t="shared" si="33"/>
        <v>23.661438615467823</v>
      </c>
      <c r="I2172" s="2" t="str" cm="1">
        <f t="array" ref="I2172">_xlfn.IFS(F2172&gt;=100,"Over weight",F2172&lt;100,"Average weight")</f>
        <v>Average weight</v>
      </c>
      <c r="J2172" s="2" t="str" cm="1">
        <f t="array" ref="J2172">_xlfn.IFS(G2172&lt;164,"Below Average height",G2172&gt;=165,"Above Average height",G2172=164,"Average height")</f>
        <v>Above Average height</v>
      </c>
      <c r="K2172" s="2" t="str" cm="1">
        <f t="array" ref="K2172">_xlfn.IFS(E2172&lt;=16,"Children",E2172&lt;=30,"Young Adults",E2172&lt;=45,"Middle-aged Adults",E2172&gt;45,"Old Adults")</f>
        <v>Young Adults</v>
      </c>
    </row>
    <row r="2173" spans="1:11" x14ac:dyDescent="0.45">
      <c r="A2173" s="2">
        <v>2532</v>
      </c>
      <c r="B2173" s="2" t="s">
        <v>2636</v>
      </c>
      <c r="C2173" s="2" t="s">
        <v>95</v>
      </c>
      <c r="D2173" s="2" t="s">
        <v>79</v>
      </c>
      <c r="E2173" s="2">
        <v>37</v>
      </c>
      <c r="F2173" s="2">
        <v>80</v>
      </c>
      <c r="G2173" s="2">
        <v>174</v>
      </c>
      <c r="H2173" s="9">
        <f t="shared" si="33"/>
        <v>26.423569824283259</v>
      </c>
      <c r="I2173" s="2" t="str" cm="1">
        <f t="array" ref="I2173">_xlfn.IFS(F2173&gt;=100,"Over weight",F2173&lt;100,"Average weight")</f>
        <v>Average weight</v>
      </c>
      <c r="J2173" s="2" t="str" cm="1">
        <f t="array" ref="J2173">_xlfn.IFS(G2173&lt;164,"Below Average height",G2173&gt;=165,"Above Average height",G2173=164,"Average height")</f>
        <v>Above Average height</v>
      </c>
      <c r="K2173" s="2" t="str" cm="1">
        <f t="array" ref="K2173">_xlfn.IFS(E2173&lt;=16,"Children",E2173&lt;=30,"Young Adults",E2173&lt;=45,"Middle-aged Adults",E2173&gt;45,"Old Adults")</f>
        <v>Middle-aged Adults</v>
      </c>
    </row>
    <row r="2174" spans="1:11" x14ac:dyDescent="0.45">
      <c r="A2174" s="2">
        <v>2535</v>
      </c>
      <c r="B2174" s="2" t="s">
        <v>2639</v>
      </c>
      <c r="C2174" s="2" t="s">
        <v>93</v>
      </c>
      <c r="D2174" s="2" t="s">
        <v>41</v>
      </c>
      <c r="E2174" s="2">
        <v>25</v>
      </c>
      <c r="F2174" s="2">
        <v>65</v>
      </c>
      <c r="G2174" s="2">
        <v>171</v>
      </c>
      <c r="H2174" s="9">
        <f t="shared" si="33"/>
        <v>22.229061933586404</v>
      </c>
      <c r="I2174" s="2" t="str" cm="1">
        <f t="array" ref="I2174">_xlfn.IFS(F2174&gt;=100,"Over weight",F2174&lt;100,"Average weight")</f>
        <v>Average weight</v>
      </c>
      <c r="J2174" s="2" t="str" cm="1">
        <f t="array" ref="J2174">_xlfn.IFS(G2174&lt;164,"Below Average height",G2174&gt;=165,"Above Average height",G2174=164,"Average height")</f>
        <v>Above Average height</v>
      </c>
      <c r="K2174" s="2" t="str" cm="1">
        <f t="array" ref="K2174">_xlfn.IFS(E2174&lt;=16,"Children",E2174&lt;=30,"Young Adults",E2174&lt;=45,"Middle-aged Adults",E2174&gt;45,"Old Adults")</f>
        <v>Young Adults</v>
      </c>
    </row>
    <row r="2175" spans="1:11" x14ac:dyDescent="0.45">
      <c r="A2175" s="2">
        <v>2537</v>
      </c>
      <c r="B2175" s="2" t="s">
        <v>2641</v>
      </c>
      <c r="C2175" s="2" t="s">
        <v>89</v>
      </c>
      <c r="D2175" s="2" t="s">
        <v>66</v>
      </c>
      <c r="E2175" s="2">
        <v>22</v>
      </c>
      <c r="F2175" s="2">
        <v>85</v>
      </c>
      <c r="G2175" s="2">
        <v>178</v>
      </c>
      <c r="H2175" s="9">
        <f t="shared" si="33"/>
        <v>26.82742078020452</v>
      </c>
      <c r="I2175" s="2" t="str" cm="1">
        <f t="array" ref="I2175">_xlfn.IFS(F2175&gt;=100,"Over weight",F2175&lt;100,"Average weight")</f>
        <v>Average weight</v>
      </c>
      <c r="J2175" s="2" t="str" cm="1">
        <f t="array" ref="J2175">_xlfn.IFS(G2175&lt;164,"Below Average height",G2175&gt;=165,"Above Average height",G2175=164,"Average height")</f>
        <v>Above Average height</v>
      </c>
      <c r="K2175" s="2" t="str" cm="1">
        <f t="array" ref="K2175">_xlfn.IFS(E2175&lt;=16,"Children",E2175&lt;=30,"Young Adults",E2175&lt;=45,"Middle-aged Adults",E2175&gt;45,"Old Adults")</f>
        <v>Young Adults</v>
      </c>
    </row>
    <row r="2176" spans="1:11" x14ac:dyDescent="0.45">
      <c r="A2176" s="2">
        <v>2538</v>
      </c>
      <c r="B2176" s="2" t="s">
        <v>2642</v>
      </c>
      <c r="C2176" s="2" t="s">
        <v>89</v>
      </c>
      <c r="D2176" s="2" t="s">
        <v>41</v>
      </c>
      <c r="E2176" s="2">
        <v>25</v>
      </c>
      <c r="F2176" s="2">
        <v>60</v>
      </c>
      <c r="G2176" s="2">
        <v>167</v>
      </c>
      <c r="H2176" s="9">
        <f t="shared" si="33"/>
        <v>21.513858510523864</v>
      </c>
      <c r="I2176" s="2" t="str" cm="1">
        <f t="array" ref="I2176">_xlfn.IFS(F2176&gt;=100,"Over weight",F2176&lt;100,"Average weight")</f>
        <v>Average weight</v>
      </c>
      <c r="J2176" s="2" t="str" cm="1">
        <f t="array" ref="J2176">_xlfn.IFS(G2176&lt;164,"Below Average height",G2176&gt;=165,"Above Average height",G2176=164,"Average height")</f>
        <v>Above Average height</v>
      </c>
      <c r="K2176" s="2" t="str" cm="1">
        <f t="array" ref="K2176">_xlfn.IFS(E2176&lt;=16,"Children",E2176&lt;=30,"Young Adults",E2176&lt;=45,"Middle-aged Adults",E2176&gt;45,"Old Adults")</f>
        <v>Young Adults</v>
      </c>
    </row>
    <row r="2177" spans="1:11" x14ac:dyDescent="0.45">
      <c r="A2177" s="2">
        <v>2539</v>
      </c>
      <c r="B2177" s="2" t="s">
        <v>2643</v>
      </c>
      <c r="C2177" s="2" t="s">
        <v>98</v>
      </c>
      <c r="D2177" s="2" t="s">
        <v>41</v>
      </c>
      <c r="E2177" s="2">
        <v>24</v>
      </c>
      <c r="F2177" s="2">
        <v>64</v>
      </c>
      <c r="G2177" s="2">
        <v>170</v>
      </c>
      <c r="H2177" s="9">
        <f t="shared" si="33"/>
        <v>22.145328719723185</v>
      </c>
      <c r="I2177" s="2" t="str" cm="1">
        <f t="array" ref="I2177">_xlfn.IFS(F2177&gt;=100,"Over weight",F2177&lt;100,"Average weight")</f>
        <v>Average weight</v>
      </c>
      <c r="J2177" s="2" t="str" cm="1">
        <f t="array" ref="J2177">_xlfn.IFS(G2177&lt;164,"Below Average height",G2177&gt;=165,"Above Average height",G2177=164,"Average height")</f>
        <v>Above Average height</v>
      </c>
      <c r="K2177" s="2" t="str" cm="1">
        <f t="array" ref="K2177">_xlfn.IFS(E2177&lt;=16,"Children",E2177&lt;=30,"Young Adults",E2177&lt;=45,"Middle-aged Adults",E2177&gt;45,"Old Adults")</f>
        <v>Young Adults</v>
      </c>
    </row>
    <row r="2178" spans="1:11" x14ac:dyDescent="0.45">
      <c r="A2178" s="2">
        <v>2540</v>
      </c>
      <c r="B2178" s="2" t="s">
        <v>2644</v>
      </c>
      <c r="C2178" s="2" t="s">
        <v>94</v>
      </c>
      <c r="D2178" s="2" t="s">
        <v>30</v>
      </c>
      <c r="E2178" s="2">
        <v>17</v>
      </c>
      <c r="F2178" s="2">
        <v>83</v>
      </c>
      <c r="G2178" s="2">
        <v>193</v>
      </c>
      <c r="H2178" s="9">
        <f t="shared" ref="H2178:H2241" si="34" xml:space="preserve"> F2178 / (( G2178/ 100) ^ 2)</f>
        <v>22.282477381943139</v>
      </c>
      <c r="I2178" s="2" t="str" cm="1">
        <f t="array" ref="I2178">_xlfn.IFS(F2178&gt;=100,"Over weight",F2178&lt;100,"Average weight")</f>
        <v>Average weight</v>
      </c>
      <c r="J2178" s="2" t="str" cm="1">
        <f t="array" ref="J2178">_xlfn.IFS(G2178&lt;164,"Below Average height",G2178&gt;=165,"Above Average height",G2178=164,"Average height")</f>
        <v>Above Average height</v>
      </c>
      <c r="K2178" s="2" t="str" cm="1">
        <f t="array" ref="K2178">_xlfn.IFS(E2178&lt;=16,"Children",E2178&lt;=30,"Young Adults",E2178&lt;=45,"Middle-aged Adults",E2178&gt;45,"Old Adults")</f>
        <v>Young Adults</v>
      </c>
    </row>
    <row r="2179" spans="1:11" x14ac:dyDescent="0.45">
      <c r="A2179" s="2">
        <v>2541</v>
      </c>
      <c r="B2179" s="2" t="s">
        <v>2645</v>
      </c>
      <c r="C2179" s="2" t="s">
        <v>91</v>
      </c>
      <c r="D2179" s="2" t="s">
        <v>17</v>
      </c>
      <c r="E2179" s="2">
        <v>21</v>
      </c>
      <c r="F2179" s="2">
        <v>68</v>
      </c>
      <c r="G2179" s="2">
        <v>166</v>
      </c>
      <c r="H2179" s="9">
        <f t="shared" si="34"/>
        <v>24.677021338365513</v>
      </c>
      <c r="I2179" s="2" t="str" cm="1">
        <f t="array" ref="I2179">_xlfn.IFS(F2179&gt;=100,"Over weight",F2179&lt;100,"Average weight")</f>
        <v>Average weight</v>
      </c>
      <c r="J2179" s="2" t="str" cm="1">
        <f t="array" ref="J2179">_xlfn.IFS(G2179&lt;164,"Below Average height",G2179&gt;=165,"Above Average height",G2179=164,"Average height")</f>
        <v>Above Average height</v>
      </c>
      <c r="K2179" s="2" t="str" cm="1">
        <f t="array" ref="K2179">_xlfn.IFS(E2179&lt;=16,"Children",E2179&lt;=30,"Young Adults",E2179&lt;=45,"Middle-aged Adults",E2179&gt;45,"Old Adults")</f>
        <v>Young Adults</v>
      </c>
    </row>
    <row r="2180" spans="1:11" x14ac:dyDescent="0.45">
      <c r="A2180" s="2">
        <v>2542</v>
      </c>
      <c r="B2180" s="2" t="s">
        <v>2646</v>
      </c>
      <c r="C2180" s="2" t="s">
        <v>89</v>
      </c>
      <c r="D2180" s="2" t="s">
        <v>17</v>
      </c>
      <c r="E2180" s="2">
        <v>25</v>
      </c>
      <c r="F2180" s="2">
        <v>75</v>
      </c>
      <c r="G2180" s="2">
        <v>170</v>
      </c>
      <c r="H2180" s="9">
        <f t="shared" si="34"/>
        <v>25.95155709342561</v>
      </c>
      <c r="I2180" s="2" t="str" cm="1">
        <f t="array" ref="I2180">_xlfn.IFS(F2180&gt;=100,"Over weight",F2180&lt;100,"Average weight")</f>
        <v>Average weight</v>
      </c>
      <c r="J2180" s="2" t="str" cm="1">
        <f t="array" ref="J2180">_xlfn.IFS(G2180&lt;164,"Below Average height",G2180&gt;=165,"Above Average height",G2180=164,"Average height")</f>
        <v>Above Average height</v>
      </c>
      <c r="K2180" s="2" t="str" cm="1">
        <f t="array" ref="K2180">_xlfn.IFS(E2180&lt;=16,"Children",E2180&lt;=30,"Young Adults",E2180&lt;=45,"Middle-aged Adults",E2180&gt;45,"Old Adults")</f>
        <v>Young Adults</v>
      </c>
    </row>
    <row r="2181" spans="1:11" x14ac:dyDescent="0.45">
      <c r="A2181" s="2">
        <v>2544</v>
      </c>
      <c r="B2181" s="2" t="s">
        <v>2648</v>
      </c>
      <c r="C2181" s="2" t="s">
        <v>100</v>
      </c>
      <c r="D2181" s="2" t="s">
        <v>66</v>
      </c>
      <c r="E2181" s="2">
        <v>21</v>
      </c>
      <c r="F2181" s="2">
        <v>66</v>
      </c>
      <c r="G2181" s="2">
        <v>170</v>
      </c>
      <c r="H2181" s="9">
        <f t="shared" si="34"/>
        <v>22.837370242214536</v>
      </c>
      <c r="I2181" s="2" t="str" cm="1">
        <f t="array" ref="I2181">_xlfn.IFS(F2181&gt;=100,"Over weight",F2181&lt;100,"Average weight")</f>
        <v>Average weight</v>
      </c>
      <c r="J2181" s="2" t="str" cm="1">
        <f t="array" ref="J2181">_xlfn.IFS(G2181&lt;164,"Below Average height",G2181&gt;=165,"Above Average height",G2181=164,"Average height")</f>
        <v>Above Average height</v>
      </c>
      <c r="K2181" s="2" t="str" cm="1">
        <f t="array" ref="K2181">_xlfn.IFS(E2181&lt;=16,"Children",E2181&lt;=30,"Young Adults",E2181&lt;=45,"Middle-aged Adults",E2181&gt;45,"Old Adults")</f>
        <v>Young Adults</v>
      </c>
    </row>
    <row r="2182" spans="1:11" x14ac:dyDescent="0.45">
      <c r="A2182" s="2">
        <v>2545</v>
      </c>
      <c r="B2182" s="2" t="s">
        <v>2649</v>
      </c>
      <c r="C2182" s="2" t="s">
        <v>96</v>
      </c>
      <c r="D2182" s="2" t="s">
        <v>17</v>
      </c>
      <c r="E2182" s="2">
        <v>24</v>
      </c>
      <c r="F2182" s="2">
        <v>112</v>
      </c>
      <c r="G2182" s="2">
        <v>165</v>
      </c>
      <c r="H2182" s="9">
        <f t="shared" si="34"/>
        <v>41.138659320477508</v>
      </c>
      <c r="I2182" s="2" t="str" cm="1">
        <f t="array" ref="I2182">_xlfn.IFS(F2182&gt;=100,"Over weight",F2182&lt;100,"Average weight")</f>
        <v>Over weight</v>
      </c>
      <c r="J2182" s="2" t="str" cm="1">
        <f t="array" ref="J2182">_xlfn.IFS(G2182&lt;164,"Below Average height",G2182&gt;=165,"Above Average height",G2182=164,"Average height")</f>
        <v>Above Average height</v>
      </c>
      <c r="K2182" s="2" t="str" cm="1">
        <f t="array" ref="K2182">_xlfn.IFS(E2182&lt;=16,"Children",E2182&lt;=30,"Young Adults",E2182&lt;=45,"Middle-aged Adults",E2182&gt;45,"Old Adults")</f>
        <v>Young Adults</v>
      </c>
    </row>
    <row r="2183" spans="1:11" x14ac:dyDescent="0.45">
      <c r="A2183" s="2">
        <v>2546</v>
      </c>
      <c r="B2183" s="2" t="s">
        <v>2650</v>
      </c>
      <c r="C2183" s="2" t="s">
        <v>87</v>
      </c>
      <c r="D2183" s="2" t="s">
        <v>28</v>
      </c>
      <c r="E2183" s="2">
        <v>21</v>
      </c>
      <c r="F2183" s="2">
        <v>58</v>
      </c>
      <c r="G2183" s="2">
        <v>167</v>
      </c>
      <c r="H2183" s="9">
        <f t="shared" si="34"/>
        <v>20.796729893506402</v>
      </c>
      <c r="I2183" s="2" t="str" cm="1">
        <f t="array" ref="I2183">_xlfn.IFS(F2183&gt;=100,"Over weight",F2183&lt;100,"Average weight")</f>
        <v>Average weight</v>
      </c>
      <c r="J2183" s="2" t="str" cm="1">
        <f t="array" ref="J2183">_xlfn.IFS(G2183&lt;164,"Below Average height",G2183&gt;=165,"Above Average height",G2183=164,"Average height")</f>
        <v>Above Average height</v>
      </c>
      <c r="K2183" s="2" t="str" cm="1">
        <f t="array" ref="K2183">_xlfn.IFS(E2183&lt;=16,"Children",E2183&lt;=30,"Young Adults",E2183&lt;=45,"Middle-aged Adults",E2183&gt;45,"Old Adults")</f>
        <v>Young Adults</v>
      </c>
    </row>
    <row r="2184" spans="1:11" x14ac:dyDescent="0.45">
      <c r="A2184" s="2">
        <v>2547</v>
      </c>
      <c r="B2184" s="2" t="s">
        <v>2651</v>
      </c>
      <c r="C2184" s="2" t="s">
        <v>91</v>
      </c>
      <c r="D2184" s="2" t="s">
        <v>8</v>
      </c>
      <c r="E2184" s="2">
        <v>33</v>
      </c>
      <c r="F2184" s="2">
        <v>88</v>
      </c>
      <c r="G2184" s="2">
        <v>178</v>
      </c>
      <c r="H2184" s="9">
        <f t="shared" si="34"/>
        <v>27.774270925388208</v>
      </c>
      <c r="I2184" s="2" t="str" cm="1">
        <f t="array" ref="I2184">_xlfn.IFS(F2184&gt;=100,"Over weight",F2184&lt;100,"Average weight")</f>
        <v>Average weight</v>
      </c>
      <c r="J2184" s="2" t="str" cm="1">
        <f t="array" ref="J2184">_xlfn.IFS(G2184&lt;164,"Below Average height",G2184&gt;=165,"Above Average height",G2184=164,"Average height")</f>
        <v>Above Average height</v>
      </c>
      <c r="K2184" s="2" t="str" cm="1">
        <f t="array" ref="K2184">_xlfn.IFS(E2184&lt;=16,"Children",E2184&lt;=30,"Young Adults",E2184&lt;=45,"Middle-aged Adults",E2184&gt;45,"Old Adults")</f>
        <v>Middle-aged Adults</v>
      </c>
    </row>
    <row r="2185" spans="1:11" x14ac:dyDescent="0.45">
      <c r="A2185" s="2">
        <v>2549</v>
      </c>
      <c r="B2185" s="2" t="s">
        <v>2653</v>
      </c>
      <c r="C2185" s="2" t="s">
        <v>85</v>
      </c>
      <c r="D2185" s="2" t="s">
        <v>21</v>
      </c>
      <c r="E2185" s="2">
        <v>25</v>
      </c>
      <c r="F2185" s="2">
        <v>70</v>
      </c>
      <c r="G2185" s="2">
        <v>175</v>
      </c>
      <c r="H2185" s="9">
        <f t="shared" si="34"/>
        <v>22.857142857142858</v>
      </c>
      <c r="I2185" s="2" t="str" cm="1">
        <f t="array" ref="I2185">_xlfn.IFS(F2185&gt;=100,"Over weight",F2185&lt;100,"Average weight")</f>
        <v>Average weight</v>
      </c>
      <c r="J2185" s="2" t="str" cm="1">
        <f t="array" ref="J2185">_xlfn.IFS(G2185&lt;164,"Below Average height",G2185&gt;=165,"Above Average height",G2185=164,"Average height")</f>
        <v>Above Average height</v>
      </c>
      <c r="K2185" s="2" t="str" cm="1">
        <f t="array" ref="K2185">_xlfn.IFS(E2185&lt;=16,"Children",E2185&lt;=30,"Young Adults",E2185&lt;=45,"Middle-aged Adults",E2185&gt;45,"Old Adults")</f>
        <v>Young Adults</v>
      </c>
    </row>
    <row r="2186" spans="1:11" x14ac:dyDescent="0.45">
      <c r="A2186" s="2">
        <v>2550</v>
      </c>
      <c r="B2186" s="2" t="s">
        <v>2654</v>
      </c>
      <c r="C2186" s="2" t="s">
        <v>85</v>
      </c>
      <c r="D2186" s="2" t="s">
        <v>21</v>
      </c>
      <c r="E2186" s="2">
        <v>29</v>
      </c>
      <c r="F2186" s="2">
        <v>93</v>
      </c>
      <c r="G2186" s="2">
        <v>180</v>
      </c>
      <c r="H2186" s="9">
        <f t="shared" si="34"/>
        <v>28.703703703703702</v>
      </c>
      <c r="I2186" s="2" t="str" cm="1">
        <f t="array" ref="I2186">_xlfn.IFS(F2186&gt;=100,"Over weight",F2186&lt;100,"Average weight")</f>
        <v>Average weight</v>
      </c>
      <c r="J2186" s="2" t="str" cm="1">
        <f t="array" ref="J2186">_xlfn.IFS(G2186&lt;164,"Below Average height",G2186&gt;=165,"Above Average height",G2186=164,"Average height")</f>
        <v>Above Average height</v>
      </c>
      <c r="K2186" s="2" t="str" cm="1">
        <f t="array" ref="K2186">_xlfn.IFS(E2186&lt;=16,"Children",E2186&lt;=30,"Young Adults",E2186&lt;=45,"Middle-aged Adults",E2186&gt;45,"Old Adults")</f>
        <v>Young Adults</v>
      </c>
    </row>
    <row r="2187" spans="1:11" x14ac:dyDescent="0.45">
      <c r="A2187" s="2">
        <v>2551</v>
      </c>
      <c r="B2187" s="2" t="s">
        <v>2655</v>
      </c>
      <c r="C2187" s="2" t="s">
        <v>88</v>
      </c>
      <c r="D2187" s="2" t="s">
        <v>66</v>
      </c>
      <c r="E2187" s="2">
        <v>31</v>
      </c>
      <c r="F2187" s="2">
        <v>64</v>
      </c>
      <c r="G2187" s="2">
        <v>169</v>
      </c>
      <c r="H2187" s="9">
        <f t="shared" si="34"/>
        <v>22.408178985329648</v>
      </c>
      <c r="I2187" s="2" t="str" cm="1">
        <f t="array" ref="I2187">_xlfn.IFS(F2187&gt;=100,"Over weight",F2187&lt;100,"Average weight")</f>
        <v>Average weight</v>
      </c>
      <c r="J2187" s="2" t="str" cm="1">
        <f t="array" ref="J2187">_xlfn.IFS(G2187&lt;164,"Below Average height",G2187&gt;=165,"Above Average height",G2187=164,"Average height")</f>
        <v>Above Average height</v>
      </c>
      <c r="K2187" s="2" t="str" cm="1">
        <f t="array" ref="K2187">_xlfn.IFS(E2187&lt;=16,"Children",E2187&lt;=30,"Young Adults",E2187&lt;=45,"Middle-aged Adults",E2187&gt;45,"Old Adults")</f>
        <v>Middle-aged Adults</v>
      </c>
    </row>
    <row r="2188" spans="1:11" x14ac:dyDescent="0.45">
      <c r="A2188" s="2">
        <v>2552</v>
      </c>
      <c r="B2188" s="2" t="s">
        <v>2656</v>
      </c>
      <c r="C2188" s="2" t="s">
        <v>95</v>
      </c>
      <c r="D2188" s="2" t="s">
        <v>79</v>
      </c>
      <c r="E2188" s="2">
        <v>19</v>
      </c>
      <c r="F2188" s="2">
        <v>81</v>
      </c>
      <c r="G2188" s="2">
        <v>176</v>
      </c>
      <c r="H2188" s="9">
        <f t="shared" si="34"/>
        <v>26.149276859504134</v>
      </c>
      <c r="I2188" s="2" t="str" cm="1">
        <f t="array" ref="I2188">_xlfn.IFS(F2188&gt;=100,"Over weight",F2188&lt;100,"Average weight")</f>
        <v>Average weight</v>
      </c>
      <c r="J2188" s="2" t="str" cm="1">
        <f t="array" ref="J2188">_xlfn.IFS(G2188&lt;164,"Below Average height",G2188&gt;=165,"Above Average height",G2188=164,"Average height")</f>
        <v>Above Average height</v>
      </c>
      <c r="K2188" s="2" t="str" cm="1">
        <f t="array" ref="K2188">_xlfn.IFS(E2188&lt;=16,"Children",E2188&lt;=30,"Young Adults",E2188&lt;=45,"Middle-aged Adults",E2188&gt;45,"Old Adults")</f>
        <v>Young Adults</v>
      </c>
    </row>
    <row r="2189" spans="1:11" x14ac:dyDescent="0.45">
      <c r="A2189" s="2">
        <v>2553</v>
      </c>
      <c r="B2189" s="2" t="s">
        <v>2657</v>
      </c>
      <c r="C2189" s="2" t="s">
        <v>98</v>
      </c>
      <c r="D2189" s="2" t="s">
        <v>66</v>
      </c>
      <c r="E2189" s="2">
        <v>22</v>
      </c>
      <c r="F2189" s="2">
        <v>70</v>
      </c>
      <c r="G2189" s="2">
        <v>170</v>
      </c>
      <c r="H2189" s="9">
        <f t="shared" si="34"/>
        <v>24.221453287197235</v>
      </c>
      <c r="I2189" s="2" t="str" cm="1">
        <f t="array" ref="I2189">_xlfn.IFS(F2189&gt;=100,"Over weight",F2189&lt;100,"Average weight")</f>
        <v>Average weight</v>
      </c>
      <c r="J2189" s="2" t="str" cm="1">
        <f t="array" ref="J2189">_xlfn.IFS(G2189&lt;164,"Below Average height",G2189&gt;=165,"Above Average height",G2189=164,"Average height")</f>
        <v>Above Average height</v>
      </c>
      <c r="K2189" s="2" t="str" cm="1">
        <f t="array" ref="K2189">_xlfn.IFS(E2189&lt;=16,"Children",E2189&lt;=30,"Young Adults",E2189&lt;=45,"Middle-aged Adults",E2189&gt;45,"Old Adults")</f>
        <v>Young Adults</v>
      </c>
    </row>
    <row r="2190" spans="1:11" x14ac:dyDescent="0.45">
      <c r="A2190" s="2">
        <v>2554</v>
      </c>
      <c r="B2190" s="2" t="s">
        <v>2658</v>
      </c>
      <c r="C2190" s="2" t="s">
        <v>85</v>
      </c>
      <c r="D2190" s="2" t="s">
        <v>21</v>
      </c>
      <c r="E2190" s="2">
        <v>31</v>
      </c>
      <c r="F2190" s="2">
        <v>68</v>
      </c>
      <c r="G2190" s="2">
        <v>170</v>
      </c>
      <c r="H2190" s="9">
        <f t="shared" si="34"/>
        <v>23.529411764705884</v>
      </c>
      <c r="I2190" s="2" t="str" cm="1">
        <f t="array" ref="I2190">_xlfn.IFS(F2190&gt;=100,"Over weight",F2190&lt;100,"Average weight")</f>
        <v>Average weight</v>
      </c>
      <c r="J2190" s="2" t="str" cm="1">
        <f t="array" ref="J2190">_xlfn.IFS(G2190&lt;164,"Below Average height",G2190&gt;=165,"Above Average height",G2190=164,"Average height")</f>
        <v>Above Average height</v>
      </c>
      <c r="K2190" s="2" t="str" cm="1">
        <f t="array" ref="K2190">_xlfn.IFS(E2190&lt;=16,"Children",E2190&lt;=30,"Young Adults",E2190&lt;=45,"Middle-aged Adults",E2190&gt;45,"Old Adults")</f>
        <v>Middle-aged Adults</v>
      </c>
    </row>
    <row r="2191" spans="1:11" x14ac:dyDescent="0.45">
      <c r="A2191" s="2">
        <v>2555</v>
      </c>
      <c r="B2191" s="2" t="s">
        <v>2659</v>
      </c>
      <c r="C2191" s="2" t="s">
        <v>93</v>
      </c>
      <c r="D2191" s="2" t="s">
        <v>14</v>
      </c>
      <c r="E2191" s="2">
        <v>26</v>
      </c>
      <c r="F2191" s="2">
        <v>66</v>
      </c>
      <c r="G2191" s="2">
        <v>173</v>
      </c>
      <c r="H2191" s="9">
        <f t="shared" si="34"/>
        <v>22.052190183434128</v>
      </c>
      <c r="I2191" s="2" t="str" cm="1">
        <f t="array" ref="I2191">_xlfn.IFS(F2191&gt;=100,"Over weight",F2191&lt;100,"Average weight")</f>
        <v>Average weight</v>
      </c>
      <c r="J2191" s="2" t="str" cm="1">
        <f t="array" ref="J2191">_xlfn.IFS(G2191&lt;164,"Below Average height",G2191&gt;=165,"Above Average height",G2191=164,"Average height")</f>
        <v>Above Average height</v>
      </c>
      <c r="K2191" s="2" t="str" cm="1">
        <f t="array" ref="K2191">_xlfn.IFS(E2191&lt;=16,"Children",E2191&lt;=30,"Young Adults",E2191&lt;=45,"Middle-aged Adults",E2191&gt;45,"Old Adults")</f>
        <v>Young Adults</v>
      </c>
    </row>
    <row r="2192" spans="1:11" x14ac:dyDescent="0.45">
      <c r="A2192" s="2">
        <v>2556</v>
      </c>
      <c r="B2192" s="2" t="s">
        <v>2660</v>
      </c>
      <c r="C2192" s="2" t="s">
        <v>85</v>
      </c>
      <c r="D2192" s="2" t="s">
        <v>42</v>
      </c>
      <c r="E2192" s="2">
        <v>23</v>
      </c>
      <c r="F2192" s="2">
        <v>98</v>
      </c>
      <c r="G2192" s="2">
        <v>187</v>
      </c>
      <c r="H2192" s="9">
        <f t="shared" si="34"/>
        <v>28.024821985186875</v>
      </c>
      <c r="I2192" s="2" t="str" cm="1">
        <f t="array" ref="I2192">_xlfn.IFS(F2192&gt;=100,"Over weight",F2192&lt;100,"Average weight")</f>
        <v>Average weight</v>
      </c>
      <c r="J2192" s="2" t="str" cm="1">
        <f t="array" ref="J2192">_xlfn.IFS(G2192&lt;164,"Below Average height",G2192&gt;=165,"Above Average height",G2192=164,"Average height")</f>
        <v>Above Average height</v>
      </c>
      <c r="K2192" s="2" t="str" cm="1">
        <f t="array" ref="K2192">_xlfn.IFS(E2192&lt;=16,"Children",E2192&lt;=30,"Young Adults",E2192&lt;=45,"Middle-aged Adults",E2192&gt;45,"Old Adults")</f>
        <v>Young Adults</v>
      </c>
    </row>
    <row r="2193" spans="1:11" x14ac:dyDescent="0.45">
      <c r="A2193" s="2">
        <v>2557</v>
      </c>
      <c r="B2193" s="2" t="s">
        <v>2661</v>
      </c>
      <c r="C2193" s="2" t="s">
        <v>90</v>
      </c>
      <c r="D2193" s="2" t="s">
        <v>46</v>
      </c>
      <c r="E2193" s="2">
        <v>23</v>
      </c>
      <c r="F2193" s="2">
        <v>92</v>
      </c>
      <c r="G2193" s="2">
        <v>182</v>
      </c>
      <c r="H2193" s="9">
        <f t="shared" si="34"/>
        <v>27.77442337881898</v>
      </c>
      <c r="I2193" s="2" t="str" cm="1">
        <f t="array" ref="I2193">_xlfn.IFS(F2193&gt;=100,"Over weight",F2193&lt;100,"Average weight")</f>
        <v>Average weight</v>
      </c>
      <c r="J2193" s="2" t="str" cm="1">
        <f t="array" ref="J2193">_xlfn.IFS(G2193&lt;164,"Below Average height",G2193&gt;=165,"Above Average height",G2193=164,"Average height")</f>
        <v>Above Average height</v>
      </c>
      <c r="K2193" s="2" t="str" cm="1">
        <f t="array" ref="K2193">_xlfn.IFS(E2193&lt;=16,"Children",E2193&lt;=30,"Young Adults",E2193&lt;=45,"Middle-aged Adults",E2193&gt;45,"Old Adults")</f>
        <v>Young Adults</v>
      </c>
    </row>
    <row r="2194" spans="1:11" x14ac:dyDescent="0.45">
      <c r="A2194" s="2">
        <v>2558</v>
      </c>
      <c r="B2194" s="2" t="s">
        <v>2662</v>
      </c>
      <c r="C2194" s="2" t="s">
        <v>85</v>
      </c>
      <c r="D2194" s="2" t="s">
        <v>80</v>
      </c>
      <c r="E2194" s="2">
        <v>28</v>
      </c>
      <c r="F2194" s="2">
        <v>84</v>
      </c>
      <c r="G2194" s="2">
        <v>178</v>
      </c>
      <c r="H2194" s="9">
        <f t="shared" si="34"/>
        <v>26.511804065143288</v>
      </c>
      <c r="I2194" s="2" t="str" cm="1">
        <f t="array" ref="I2194">_xlfn.IFS(F2194&gt;=100,"Over weight",F2194&lt;100,"Average weight")</f>
        <v>Average weight</v>
      </c>
      <c r="J2194" s="2" t="str" cm="1">
        <f t="array" ref="J2194">_xlfn.IFS(G2194&lt;164,"Below Average height",G2194&gt;=165,"Above Average height",G2194=164,"Average height")</f>
        <v>Above Average height</v>
      </c>
      <c r="K2194" s="2" t="str" cm="1">
        <f t="array" ref="K2194">_xlfn.IFS(E2194&lt;=16,"Children",E2194&lt;=30,"Young Adults",E2194&lt;=45,"Middle-aged Adults",E2194&gt;45,"Old Adults")</f>
        <v>Young Adults</v>
      </c>
    </row>
    <row r="2195" spans="1:11" x14ac:dyDescent="0.45">
      <c r="A2195" s="2">
        <v>2559</v>
      </c>
      <c r="B2195" s="2" t="s">
        <v>2663</v>
      </c>
      <c r="C2195" s="2" t="s">
        <v>96</v>
      </c>
      <c r="D2195" s="2" t="s">
        <v>17</v>
      </c>
      <c r="E2195" s="2">
        <v>22</v>
      </c>
      <c r="F2195" s="2">
        <v>112</v>
      </c>
      <c r="G2195" s="2">
        <v>175</v>
      </c>
      <c r="H2195" s="9">
        <f t="shared" si="34"/>
        <v>36.571428571428569</v>
      </c>
      <c r="I2195" s="2" t="str" cm="1">
        <f t="array" ref="I2195">_xlfn.IFS(F2195&gt;=100,"Over weight",F2195&lt;100,"Average weight")</f>
        <v>Over weight</v>
      </c>
      <c r="J2195" s="2" t="str" cm="1">
        <f t="array" ref="J2195">_xlfn.IFS(G2195&lt;164,"Below Average height",G2195&gt;=165,"Above Average height",G2195=164,"Average height")</f>
        <v>Above Average height</v>
      </c>
      <c r="K2195" s="2" t="str" cm="1">
        <f t="array" ref="K2195">_xlfn.IFS(E2195&lt;=16,"Children",E2195&lt;=30,"Young Adults",E2195&lt;=45,"Middle-aged Adults",E2195&gt;45,"Old Adults")</f>
        <v>Young Adults</v>
      </c>
    </row>
    <row r="2196" spans="1:11" x14ac:dyDescent="0.45">
      <c r="A2196" s="2">
        <v>2560</v>
      </c>
      <c r="B2196" s="2" t="s">
        <v>2664</v>
      </c>
      <c r="C2196" s="2" t="s">
        <v>87</v>
      </c>
      <c r="D2196" s="2" t="s">
        <v>6</v>
      </c>
      <c r="E2196" s="2">
        <v>26</v>
      </c>
      <c r="F2196" s="2">
        <v>75</v>
      </c>
      <c r="G2196" s="2">
        <v>180</v>
      </c>
      <c r="H2196" s="9">
        <f t="shared" si="34"/>
        <v>23.148148148148145</v>
      </c>
      <c r="I2196" s="2" t="str" cm="1">
        <f t="array" ref="I2196">_xlfn.IFS(F2196&gt;=100,"Over weight",F2196&lt;100,"Average weight")</f>
        <v>Average weight</v>
      </c>
      <c r="J2196" s="2" t="str" cm="1">
        <f t="array" ref="J2196">_xlfn.IFS(G2196&lt;164,"Below Average height",G2196&gt;=165,"Above Average height",G2196=164,"Average height")</f>
        <v>Above Average height</v>
      </c>
      <c r="K2196" s="2" t="str" cm="1">
        <f t="array" ref="K2196">_xlfn.IFS(E2196&lt;=16,"Children",E2196&lt;=30,"Young Adults",E2196&lt;=45,"Middle-aged Adults",E2196&gt;45,"Old Adults")</f>
        <v>Young Adults</v>
      </c>
    </row>
    <row r="2197" spans="1:11" x14ac:dyDescent="0.45">
      <c r="A2197" s="2">
        <v>2561</v>
      </c>
      <c r="B2197" s="2" t="s">
        <v>2665</v>
      </c>
      <c r="C2197" s="2" t="s">
        <v>100</v>
      </c>
      <c r="D2197" s="2" t="s">
        <v>39</v>
      </c>
      <c r="E2197" s="2">
        <v>29</v>
      </c>
      <c r="F2197" s="2">
        <v>60</v>
      </c>
      <c r="G2197" s="2">
        <v>173</v>
      </c>
      <c r="H2197" s="9">
        <f t="shared" si="34"/>
        <v>20.047445621303751</v>
      </c>
      <c r="I2197" s="2" t="str" cm="1">
        <f t="array" ref="I2197">_xlfn.IFS(F2197&gt;=100,"Over weight",F2197&lt;100,"Average weight")</f>
        <v>Average weight</v>
      </c>
      <c r="J2197" s="2" t="str" cm="1">
        <f t="array" ref="J2197">_xlfn.IFS(G2197&lt;164,"Below Average height",G2197&gt;=165,"Above Average height",G2197=164,"Average height")</f>
        <v>Above Average height</v>
      </c>
      <c r="K2197" s="2" t="str" cm="1">
        <f t="array" ref="K2197">_xlfn.IFS(E2197&lt;=16,"Children",E2197&lt;=30,"Young Adults",E2197&lt;=45,"Middle-aged Adults",E2197&gt;45,"Old Adults")</f>
        <v>Young Adults</v>
      </c>
    </row>
    <row r="2198" spans="1:11" x14ac:dyDescent="0.45">
      <c r="A2198" s="2">
        <v>2563</v>
      </c>
      <c r="B2198" s="2" t="s">
        <v>2667</v>
      </c>
      <c r="C2198" s="2" t="s">
        <v>86</v>
      </c>
      <c r="D2198" s="2" t="s">
        <v>38</v>
      </c>
      <c r="E2198" s="2">
        <v>26</v>
      </c>
      <c r="F2198" s="2">
        <v>112</v>
      </c>
      <c r="G2198" s="2">
        <v>180</v>
      </c>
      <c r="H2198" s="9">
        <f t="shared" si="34"/>
        <v>34.567901234567898</v>
      </c>
      <c r="I2198" s="2" t="str" cm="1">
        <f t="array" ref="I2198">_xlfn.IFS(F2198&gt;=100,"Over weight",F2198&lt;100,"Average weight")</f>
        <v>Over weight</v>
      </c>
      <c r="J2198" s="2" t="str" cm="1">
        <f t="array" ref="J2198">_xlfn.IFS(G2198&lt;164,"Below Average height",G2198&gt;=165,"Above Average height",G2198=164,"Average height")</f>
        <v>Above Average height</v>
      </c>
      <c r="K2198" s="2" t="str" cm="1">
        <f t="array" ref="K2198">_xlfn.IFS(E2198&lt;=16,"Children",E2198&lt;=30,"Young Adults",E2198&lt;=45,"Middle-aged Adults",E2198&gt;45,"Old Adults")</f>
        <v>Young Adults</v>
      </c>
    </row>
    <row r="2199" spans="1:11" x14ac:dyDescent="0.45">
      <c r="A2199" s="2">
        <v>2564</v>
      </c>
      <c r="B2199" s="2" t="s">
        <v>2668</v>
      </c>
      <c r="C2199" s="2" t="s">
        <v>91</v>
      </c>
      <c r="D2199" s="2" t="s">
        <v>66</v>
      </c>
      <c r="E2199" s="2">
        <v>28</v>
      </c>
      <c r="F2199" s="2">
        <v>79</v>
      </c>
      <c r="G2199" s="2">
        <v>184</v>
      </c>
      <c r="H2199" s="9">
        <f t="shared" si="34"/>
        <v>23.334120982986768</v>
      </c>
      <c r="I2199" s="2" t="str" cm="1">
        <f t="array" ref="I2199">_xlfn.IFS(F2199&gt;=100,"Over weight",F2199&lt;100,"Average weight")</f>
        <v>Average weight</v>
      </c>
      <c r="J2199" s="2" t="str" cm="1">
        <f t="array" ref="J2199">_xlfn.IFS(G2199&lt;164,"Below Average height",G2199&gt;=165,"Above Average height",G2199=164,"Average height")</f>
        <v>Above Average height</v>
      </c>
      <c r="K2199" s="2" t="str" cm="1">
        <f t="array" ref="K2199">_xlfn.IFS(E2199&lt;=16,"Children",E2199&lt;=30,"Young Adults",E2199&lt;=45,"Middle-aged Adults",E2199&gt;45,"Old Adults")</f>
        <v>Young Adults</v>
      </c>
    </row>
    <row r="2200" spans="1:11" x14ac:dyDescent="0.45">
      <c r="A2200" s="2">
        <v>2565</v>
      </c>
      <c r="B2200" s="2" t="s">
        <v>2669</v>
      </c>
      <c r="C2200" s="2" t="s">
        <v>91</v>
      </c>
      <c r="D2200" s="2" t="s">
        <v>80</v>
      </c>
      <c r="E2200" s="2">
        <v>23</v>
      </c>
      <c r="F2200" s="2">
        <v>80</v>
      </c>
      <c r="G2200" s="2">
        <v>183</v>
      </c>
      <c r="H2200" s="9">
        <f t="shared" si="34"/>
        <v>23.888440980620498</v>
      </c>
      <c r="I2200" s="2" t="str" cm="1">
        <f t="array" ref="I2200">_xlfn.IFS(F2200&gt;=100,"Over weight",F2200&lt;100,"Average weight")</f>
        <v>Average weight</v>
      </c>
      <c r="J2200" s="2" t="str" cm="1">
        <f t="array" ref="J2200">_xlfn.IFS(G2200&lt;164,"Below Average height",G2200&gt;=165,"Above Average height",G2200=164,"Average height")</f>
        <v>Above Average height</v>
      </c>
      <c r="K2200" s="2" t="str" cm="1">
        <f t="array" ref="K2200">_xlfn.IFS(E2200&lt;=16,"Children",E2200&lt;=30,"Young Adults",E2200&lt;=45,"Middle-aged Adults",E2200&gt;45,"Old Adults")</f>
        <v>Young Adults</v>
      </c>
    </row>
    <row r="2201" spans="1:11" x14ac:dyDescent="0.45">
      <c r="A2201" s="2">
        <v>2567</v>
      </c>
      <c r="B2201" s="2" t="s">
        <v>2671</v>
      </c>
      <c r="C2201" s="2" t="s">
        <v>93</v>
      </c>
      <c r="D2201" s="2" t="s">
        <v>66</v>
      </c>
      <c r="E2201" s="2">
        <v>20</v>
      </c>
      <c r="F2201" s="2">
        <v>60</v>
      </c>
      <c r="G2201" s="2">
        <v>175</v>
      </c>
      <c r="H2201" s="9">
        <f t="shared" si="34"/>
        <v>19.591836734693878</v>
      </c>
      <c r="I2201" s="2" t="str" cm="1">
        <f t="array" ref="I2201">_xlfn.IFS(F2201&gt;=100,"Over weight",F2201&lt;100,"Average weight")</f>
        <v>Average weight</v>
      </c>
      <c r="J2201" s="2" t="str" cm="1">
        <f t="array" ref="J2201">_xlfn.IFS(G2201&lt;164,"Below Average height",G2201&gt;=165,"Above Average height",G2201=164,"Average height")</f>
        <v>Above Average height</v>
      </c>
      <c r="K2201" s="2" t="str" cm="1">
        <f t="array" ref="K2201">_xlfn.IFS(E2201&lt;=16,"Children",E2201&lt;=30,"Young Adults",E2201&lt;=45,"Middle-aged Adults",E2201&gt;45,"Old Adults")</f>
        <v>Young Adults</v>
      </c>
    </row>
    <row r="2202" spans="1:11" x14ac:dyDescent="0.45">
      <c r="A2202" s="2">
        <v>2568</v>
      </c>
      <c r="B2202" s="2" t="s">
        <v>2672</v>
      </c>
      <c r="C2202" s="2" t="s">
        <v>86</v>
      </c>
      <c r="D2202" s="2" t="s">
        <v>33</v>
      </c>
      <c r="E2202" s="2">
        <v>24</v>
      </c>
      <c r="F2202" s="2">
        <v>112</v>
      </c>
      <c r="G2202" s="2">
        <v>179</v>
      </c>
      <c r="H2202" s="9">
        <f t="shared" si="34"/>
        <v>34.955213632533315</v>
      </c>
      <c r="I2202" s="2" t="str" cm="1">
        <f t="array" ref="I2202">_xlfn.IFS(F2202&gt;=100,"Over weight",F2202&lt;100,"Average weight")</f>
        <v>Over weight</v>
      </c>
      <c r="J2202" s="2" t="str" cm="1">
        <f t="array" ref="J2202">_xlfn.IFS(G2202&lt;164,"Below Average height",G2202&gt;=165,"Above Average height",G2202=164,"Average height")</f>
        <v>Above Average height</v>
      </c>
      <c r="K2202" s="2" t="str" cm="1">
        <f t="array" ref="K2202">_xlfn.IFS(E2202&lt;=16,"Children",E2202&lt;=30,"Young Adults",E2202&lt;=45,"Middle-aged Adults",E2202&gt;45,"Old Adults")</f>
        <v>Young Adults</v>
      </c>
    </row>
    <row r="2203" spans="1:11" x14ac:dyDescent="0.45">
      <c r="A2203" s="2">
        <v>2569</v>
      </c>
      <c r="B2203" s="2" t="s">
        <v>2673</v>
      </c>
      <c r="C2203" s="2" t="s">
        <v>90</v>
      </c>
      <c r="D2203" s="2" t="s">
        <v>63</v>
      </c>
      <c r="E2203" s="2">
        <v>29</v>
      </c>
      <c r="F2203" s="2">
        <v>95</v>
      </c>
      <c r="G2203" s="2">
        <v>186</v>
      </c>
      <c r="H2203" s="9">
        <f t="shared" si="34"/>
        <v>27.459821944733491</v>
      </c>
      <c r="I2203" s="2" t="str" cm="1">
        <f t="array" ref="I2203">_xlfn.IFS(F2203&gt;=100,"Over weight",F2203&lt;100,"Average weight")</f>
        <v>Average weight</v>
      </c>
      <c r="J2203" s="2" t="str" cm="1">
        <f t="array" ref="J2203">_xlfn.IFS(G2203&lt;164,"Below Average height",G2203&gt;=165,"Above Average height",G2203=164,"Average height")</f>
        <v>Above Average height</v>
      </c>
      <c r="K2203" s="2" t="str" cm="1">
        <f t="array" ref="K2203">_xlfn.IFS(E2203&lt;=16,"Children",E2203&lt;=30,"Young Adults",E2203&lt;=45,"Middle-aged Adults",E2203&gt;45,"Old Adults")</f>
        <v>Young Adults</v>
      </c>
    </row>
    <row r="2204" spans="1:11" x14ac:dyDescent="0.45">
      <c r="A2204" s="2">
        <v>2570</v>
      </c>
      <c r="B2204" s="2" t="s">
        <v>2674</v>
      </c>
      <c r="C2204" s="2" t="s">
        <v>93</v>
      </c>
      <c r="D2204" s="2" t="s">
        <v>26</v>
      </c>
      <c r="E2204" s="2">
        <v>25</v>
      </c>
      <c r="F2204" s="2">
        <v>75</v>
      </c>
      <c r="G2204" s="2">
        <v>180</v>
      </c>
      <c r="H2204" s="9">
        <f t="shared" si="34"/>
        <v>23.148148148148145</v>
      </c>
      <c r="I2204" s="2" t="str" cm="1">
        <f t="array" ref="I2204">_xlfn.IFS(F2204&gt;=100,"Over weight",F2204&lt;100,"Average weight")</f>
        <v>Average weight</v>
      </c>
      <c r="J2204" s="2" t="str" cm="1">
        <f t="array" ref="J2204">_xlfn.IFS(G2204&lt;164,"Below Average height",G2204&gt;=165,"Above Average height",G2204=164,"Average height")</f>
        <v>Above Average height</v>
      </c>
      <c r="K2204" s="2" t="str" cm="1">
        <f t="array" ref="K2204">_xlfn.IFS(E2204&lt;=16,"Children",E2204&lt;=30,"Young Adults",E2204&lt;=45,"Middle-aged Adults",E2204&gt;45,"Old Adults")</f>
        <v>Young Adults</v>
      </c>
    </row>
    <row r="2205" spans="1:11" x14ac:dyDescent="0.45">
      <c r="A2205" s="2">
        <v>2571</v>
      </c>
      <c r="B2205" s="2" t="s">
        <v>2675</v>
      </c>
      <c r="C2205" s="2" t="s">
        <v>91</v>
      </c>
      <c r="D2205" s="2" t="s">
        <v>70</v>
      </c>
      <c r="E2205" s="2">
        <v>34</v>
      </c>
      <c r="F2205" s="2">
        <v>87</v>
      </c>
      <c r="G2205" s="2">
        <v>186</v>
      </c>
      <c r="H2205" s="9">
        <f t="shared" si="34"/>
        <v>25.14741588622962</v>
      </c>
      <c r="I2205" s="2" t="str" cm="1">
        <f t="array" ref="I2205">_xlfn.IFS(F2205&gt;=100,"Over weight",F2205&lt;100,"Average weight")</f>
        <v>Average weight</v>
      </c>
      <c r="J2205" s="2" t="str" cm="1">
        <f t="array" ref="J2205">_xlfn.IFS(G2205&lt;164,"Below Average height",G2205&gt;=165,"Above Average height",G2205=164,"Average height")</f>
        <v>Above Average height</v>
      </c>
      <c r="K2205" s="2" t="str" cm="1">
        <f t="array" ref="K2205">_xlfn.IFS(E2205&lt;=16,"Children",E2205&lt;=30,"Young Adults",E2205&lt;=45,"Middle-aged Adults",E2205&gt;45,"Old Adults")</f>
        <v>Middle-aged Adults</v>
      </c>
    </row>
    <row r="2206" spans="1:11" x14ac:dyDescent="0.45">
      <c r="A2206" s="2">
        <v>2572</v>
      </c>
      <c r="B2206" s="2" t="s">
        <v>2676</v>
      </c>
      <c r="C2206" s="2" t="s">
        <v>94</v>
      </c>
      <c r="D2206" s="2" t="s">
        <v>28</v>
      </c>
      <c r="E2206" s="2">
        <v>30</v>
      </c>
      <c r="F2206" s="2">
        <v>62</v>
      </c>
      <c r="G2206" s="2">
        <v>171</v>
      </c>
      <c r="H2206" s="9">
        <f t="shared" si="34"/>
        <v>21.203105228959341</v>
      </c>
      <c r="I2206" s="2" t="str" cm="1">
        <f t="array" ref="I2206">_xlfn.IFS(F2206&gt;=100,"Over weight",F2206&lt;100,"Average weight")</f>
        <v>Average weight</v>
      </c>
      <c r="J2206" s="2" t="str" cm="1">
        <f t="array" ref="J2206">_xlfn.IFS(G2206&lt;164,"Below Average height",G2206&gt;=165,"Above Average height",G2206=164,"Average height")</f>
        <v>Above Average height</v>
      </c>
      <c r="K2206" s="2" t="str" cm="1">
        <f t="array" ref="K2206">_xlfn.IFS(E2206&lt;=16,"Children",E2206&lt;=30,"Young Adults",E2206&lt;=45,"Middle-aged Adults",E2206&gt;45,"Old Adults")</f>
        <v>Young Adults</v>
      </c>
    </row>
    <row r="2207" spans="1:11" x14ac:dyDescent="0.45">
      <c r="A2207" s="2">
        <v>2573</v>
      </c>
      <c r="B2207" s="2" t="s">
        <v>2677</v>
      </c>
      <c r="C2207" s="2" t="s">
        <v>93</v>
      </c>
      <c r="D2207" s="2" t="s">
        <v>17</v>
      </c>
      <c r="E2207" s="2">
        <v>18</v>
      </c>
      <c r="F2207" s="2">
        <v>60</v>
      </c>
      <c r="G2207" s="2">
        <v>175</v>
      </c>
      <c r="H2207" s="9">
        <f t="shared" si="34"/>
        <v>19.591836734693878</v>
      </c>
      <c r="I2207" s="2" t="str" cm="1">
        <f t="array" ref="I2207">_xlfn.IFS(F2207&gt;=100,"Over weight",F2207&lt;100,"Average weight")</f>
        <v>Average weight</v>
      </c>
      <c r="J2207" s="2" t="str" cm="1">
        <f t="array" ref="J2207">_xlfn.IFS(G2207&lt;164,"Below Average height",G2207&gt;=165,"Above Average height",G2207=164,"Average height")</f>
        <v>Above Average height</v>
      </c>
      <c r="K2207" s="2" t="str" cm="1">
        <f t="array" ref="K2207">_xlfn.IFS(E2207&lt;=16,"Children",E2207&lt;=30,"Young Adults",E2207&lt;=45,"Middle-aged Adults",E2207&gt;45,"Old Adults")</f>
        <v>Young Adults</v>
      </c>
    </row>
    <row r="2208" spans="1:11" x14ac:dyDescent="0.45">
      <c r="A2208" s="2">
        <v>2574</v>
      </c>
      <c r="B2208" s="2" t="s">
        <v>2678</v>
      </c>
      <c r="C2208" s="2" t="s">
        <v>85</v>
      </c>
      <c r="D2208" s="2" t="s">
        <v>6</v>
      </c>
      <c r="E2208" s="2">
        <v>23</v>
      </c>
      <c r="F2208" s="2">
        <v>63</v>
      </c>
      <c r="G2208" s="2">
        <v>167</v>
      </c>
      <c r="H2208" s="9">
        <f t="shared" si="34"/>
        <v>22.589551436050055</v>
      </c>
      <c r="I2208" s="2" t="str" cm="1">
        <f t="array" ref="I2208">_xlfn.IFS(F2208&gt;=100,"Over weight",F2208&lt;100,"Average weight")</f>
        <v>Average weight</v>
      </c>
      <c r="J2208" s="2" t="str" cm="1">
        <f t="array" ref="J2208">_xlfn.IFS(G2208&lt;164,"Below Average height",G2208&gt;=165,"Above Average height",G2208=164,"Average height")</f>
        <v>Above Average height</v>
      </c>
      <c r="K2208" s="2" t="str" cm="1">
        <f t="array" ref="K2208">_xlfn.IFS(E2208&lt;=16,"Children",E2208&lt;=30,"Young Adults",E2208&lt;=45,"Middle-aged Adults",E2208&gt;45,"Old Adults")</f>
        <v>Young Adults</v>
      </c>
    </row>
    <row r="2209" spans="1:11" x14ac:dyDescent="0.45">
      <c r="A2209" s="2">
        <v>2575</v>
      </c>
      <c r="B2209" s="2" t="s">
        <v>2679</v>
      </c>
      <c r="C2209" s="2" t="s">
        <v>91</v>
      </c>
      <c r="D2209" s="2" t="s">
        <v>74</v>
      </c>
      <c r="E2209" s="2">
        <v>29</v>
      </c>
      <c r="F2209" s="2">
        <v>86</v>
      </c>
      <c r="G2209" s="2">
        <v>183</v>
      </c>
      <c r="H2209" s="9">
        <f t="shared" si="34"/>
        <v>25.680074054167036</v>
      </c>
      <c r="I2209" s="2" t="str" cm="1">
        <f t="array" ref="I2209">_xlfn.IFS(F2209&gt;=100,"Over weight",F2209&lt;100,"Average weight")</f>
        <v>Average weight</v>
      </c>
      <c r="J2209" s="2" t="str" cm="1">
        <f t="array" ref="J2209">_xlfn.IFS(G2209&lt;164,"Below Average height",G2209&gt;=165,"Above Average height",G2209=164,"Average height")</f>
        <v>Above Average height</v>
      </c>
      <c r="K2209" s="2" t="str" cm="1">
        <f t="array" ref="K2209">_xlfn.IFS(E2209&lt;=16,"Children",E2209&lt;=30,"Young Adults",E2209&lt;=45,"Middle-aged Adults",E2209&gt;45,"Old Adults")</f>
        <v>Young Adults</v>
      </c>
    </row>
    <row r="2210" spans="1:11" x14ac:dyDescent="0.45">
      <c r="A2210" s="2">
        <v>2576</v>
      </c>
      <c r="B2210" s="2" t="s">
        <v>2680</v>
      </c>
      <c r="C2210" s="2" t="s">
        <v>91</v>
      </c>
      <c r="D2210" s="2" t="s">
        <v>17</v>
      </c>
      <c r="E2210" s="2">
        <v>24</v>
      </c>
      <c r="F2210" s="2">
        <v>61</v>
      </c>
      <c r="G2210" s="2">
        <v>170</v>
      </c>
      <c r="H2210" s="9">
        <f t="shared" si="34"/>
        <v>21.107266435986162</v>
      </c>
      <c r="I2210" s="2" t="str" cm="1">
        <f t="array" ref="I2210">_xlfn.IFS(F2210&gt;=100,"Over weight",F2210&lt;100,"Average weight")</f>
        <v>Average weight</v>
      </c>
      <c r="J2210" s="2" t="str" cm="1">
        <f t="array" ref="J2210">_xlfn.IFS(G2210&lt;164,"Below Average height",G2210&gt;=165,"Above Average height",G2210=164,"Average height")</f>
        <v>Above Average height</v>
      </c>
      <c r="K2210" s="2" t="str" cm="1">
        <f t="array" ref="K2210">_xlfn.IFS(E2210&lt;=16,"Children",E2210&lt;=30,"Young Adults",E2210&lt;=45,"Middle-aged Adults",E2210&gt;45,"Old Adults")</f>
        <v>Young Adults</v>
      </c>
    </row>
    <row r="2211" spans="1:11" x14ac:dyDescent="0.45">
      <c r="A2211" s="2">
        <v>2577</v>
      </c>
      <c r="B2211" s="2" t="s">
        <v>2681</v>
      </c>
      <c r="C2211" s="2" t="s">
        <v>88</v>
      </c>
      <c r="D2211" s="2" t="s">
        <v>17</v>
      </c>
      <c r="E2211" s="2">
        <v>27</v>
      </c>
      <c r="F2211" s="2">
        <v>70</v>
      </c>
      <c r="G2211" s="2">
        <v>175</v>
      </c>
      <c r="H2211" s="9">
        <f t="shared" si="34"/>
        <v>22.857142857142858</v>
      </c>
      <c r="I2211" s="2" t="str" cm="1">
        <f t="array" ref="I2211">_xlfn.IFS(F2211&gt;=100,"Over weight",F2211&lt;100,"Average weight")</f>
        <v>Average weight</v>
      </c>
      <c r="J2211" s="2" t="str" cm="1">
        <f t="array" ref="J2211">_xlfn.IFS(G2211&lt;164,"Below Average height",G2211&gt;=165,"Above Average height",G2211=164,"Average height")</f>
        <v>Above Average height</v>
      </c>
      <c r="K2211" s="2" t="str" cm="1">
        <f t="array" ref="K2211">_xlfn.IFS(E2211&lt;=16,"Children",E2211&lt;=30,"Young Adults",E2211&lt;=45,"Middle-aged Adults",E2211&gt;45,"Old Adults")</f>
        <v>Young Adults</v>
      </c>
    </row>
    <row r="2212" spans="1:11" x14ac:dyDescent="0.45">
      <c r="A2212" s="2">
        <v>2578</v>
      </c>
      <c r="B2212" s="2" t="s">
        <v>2682</v>
      </c>
      <c r="C2212" s="2" t="s">
        <v>86</v>
      </c>
      <c r="D2212" s="2" t="s">
        <v>17</v>
      </c>
      <c r="E2212" s="2">
        <v>24</v>
      </c>
      <c r="F2212" s="2">
        <v>112</v>
      </c>
      <c r="G2212" s="2">
        <v>167</v>
      </c>
      <c r="H2212" s="9">
        <f t="shared" si="34"/>
        <v>40.159202552977881</v>
      </c>
      <c r="I2212" s="2" t="str" cm="1">
        <f t="array" ref="I2212">_xlfn.IFS(F2212&gt;=100,"Over weight",F2212&lt;100,"Average weight")</f>
        <v>Over weight</v>
      </c>
      <c r="J2212" s="2" t="str" cm="1">
        <f t="array" ref="J2212">_xlfn.IFS(G2212&lt;164,"Below Average height",G2212&gt;=165,"Above Average height",G2212=164,"Average height")</f>
        <v>Above Average height</v>
      </c>
      <c r="K2212" s="2" t="str" cm="1">
        <f t="array" ref="K2212">_xlfn.IFS(E2212&lt;=16,"Children",E2212&lt;=30,"Young Adults",E2212&lt;=45,"Middle-aged Adults",E2212&gt;45,"Old Adults")</f>
        <v>Young Adults</v>
      </c>
    </row>
    <row r="2213" spans="1:11" x14ac:dyDescent="0.45">
      <c r="A2213" s="2">
        <v>2579</v>
      </c>
      <c r="B2213" s="2" t="s">
        <v>2683</v>
      </c>
      <c r="C2213" s="2" t="s">
        <v>86</v>
      </c>
      <c r="D2213" s="2" t="s">
        <v>17</v>
      </c>
      <c r="E2213" s="2">
        <v>25</v>
      </c>
      <c r="F2213" s="2">
        <v>112</v>
      </c>
      <c r="G2213" s="2">
        <v>181</v>
      </c>
      <c r="H2213" s="9">
        <f t="shared" si="34"/>
        <v>34.186990629101679</v>
      </c>
      <c r="I2213" s="2" t="str" cm="1">
        <f t="array" ref="I2213">_xlfn.IFS(F2213&gt;=100,"Over weight",F2213&lt;100,"Average weight")</f>
        <v>Over weight</v>
      </c>
      <c r="J2213" s="2" t="str" cm="1">
        <f t="array" ref="J2213">_xlfn.IFS(G2213&lt;164,"Below Average height",G2213&gt;=165,"Above Average height",G2213=164,"Average height")</f>
        <v>Above Average height</v>
      </c>
      <c r="K2213" s="2" t="str" cm="1">
        <f t="array" ref="K2213">_xlfn.IFS(E2213&lt;=16,"Children",E2213&lt;=30,"Young Adults",E2213&lt;=45,"Middle-aged Adults",E2213&gt;45,"Old Adults")</f>
        <v>Young Adults</v>
      </c>
    </row>
    <row r="2214" spans="1:11" x14ac:dyDescent="0.45">
      <c r="A2214" s="2">
        <v>2581</v>
      </c>
      <c r="B2214" s="2" t="s">
        <v>2685</v>
      </c>
      <c r="C2214" s="2" t="s">
        <v>91</v>
      </c>
      <c r="D2214" s="2" t="s">
        <v>17</v>
      </c>
      <c r="E2214" s="2">
        <v>16</v>
      </c>
      <c r="F2214" s="2">
        <v>55</v>
      </c>
      <c r="G2214" s="2">
        <v>166</v>
      </c>
      <c r="H2214" s="9">
        <f t="shared" si="34"/>
        <v>19.959355494266223</v>
      </c>
      <c r="I2214" s="2" t="str" cm="1">
        <f t="array" ref="I2214">_xlfn.IFS(F2214&gt;=100,"Over weight",F2214&lt;100,"Average weight")</f>
        <v>Average weight</v>
      </c>
      <c r="J2214" s="2" t="str" cm="1">
        <f t="array" ref="J2214">_xlfn.IFS(G2214&lt;164,"Below Average height",G2214&gt;=165,"Above Average height",G2214=164,"Average height")</f>
        <v>Above Average height</v>
      </c>
      <c r="K2214" s="2" t="str" cm="1">
        <f t="array" ref="K2214">_xlfn.IFS(E2214&lt;=16,"Children",E2214&lt;=30,"Young Adults",E2214&lt;=45,"Middle-aged Adults",E2214&gt;45,"Old Adults")</f>
        <v>Children</v>
      </c>
    </row>
    <row r="2215" spans="1:11" x14ac:dyDescent="0.45">
      <c r="A2215" s="2">
        <v>2582</v>
      </c>
      <c r="B2215" s="2" t="s">
        <v>2686</v>
      </c>
      <c r="C2215" s="2" t="s">
        <v>89</v>
      </c>
      <c r="D2215" s="2" t="s">
        <v>17</v>
      </c>
      <c r="E2215" s="2">
        <v>23</v>
      </c>
      <c r="F2215" s="2">
        <v>60</v>
      </c>
      <c r="G2215" s="2">
        <v>165</v>
      </c>
      <c r="H2215" s="9">
        <f t="shared" si="34"/>
        <v>22.03856749311295</v>
      </c>
      <c r="I2215" s="2" t="str" cm="1">
        <f t="array" ref="I2215">_xlfn.IFS(F2215&gt;=100,"Over weight",F2215&lt;100,"Average weight")</f>
        <v>Average weight</v>
      </c>
      <c r="J2215" s="2" t="str" cm="1">
        <f t="array" ref="J2215">_xlfn.IFS(G2215&lt;164,"Below Average height",G2215&gt;=165,"Above Average height",G2215=164,"Average height")</f>
        <v>Above Average height</v>
      </c>
      <c r="K2215" s="2" t="str" cm="1">
        <f t="array" ref="K2215">_xlfn.IFS(E2215&lt;=16,"Children",E2215&lt;=30,"Young Adults",E2215&lt;=45,"Middle-aged Adults",E2215&gt;45,"Old Adults")</f>
        <v>Young Adults</v>
      </c>
    </row>
    <row r="2216" spans="1:11" x14ac:dyDescent="0.45">
      <c r="A2216" s="2">
        <v>2584</v>
      </c>
      <c r="B2216" s="2" t="s">
        <v>2687</v>
      </c>
      <c r="C2216" s="2" t="s">
        <v>89</v>
      </c>
      <c r="D2216" s="2" t="s">
        <v>17</v>
      </c>
      <c r="E2216" s="2">
        <v>27</v>
      </c>
      <c r="F2216" s="2">
        <v>78</v>
      </c>
      <c r="G2216" s="2">
        <v>181</v>
      </c>
      <c r="H2216" s="9">
        <f t="shared" si="34"/>
        <v>23.808797045267237</v>
      </c>
      <c r="I2216" s="2" t="str" cm="1">
        <f t="array" ref="I2216">_xlfn.IFS(F2216&gt;=100,"Over weight",F2216&lt;100,"Average weight")</f>
        <v>Average weight</v>
      </c>
      <c r="J2216" s="2" t="str" cm="1">
        <f t="array" ref="J2216">_xlfn.IFS(G2216&lt;164,"Below Average height",G2216&gt;=165,"Above Average height",G2216=164,"Average height")</f>
        <v>Above Average height</v>
      </c>
      <c r="K2216" s="2" t="str" cm="1">
        <f t="array" ref="K2216">_xlfn.IFS(E2216&lt;=16,"Children",E2216&lt;=30,"Young Adults",E2216&lt;=45,"Middle-aged Adults",E2216&gt;45,"Old Adults")</f>
        <v>Young Adults</v>
      </c>
    </row>
    <row r="2217" spans="1:11" x14ac:dyDescent="0.45">
      <c r="A2217" s="2">
        <v>2585</v>
      </c>
      <c r="B2217" s="2" t="s">
        <v>2688</v>
      </c>
      <c r="C2217" s="2" t="s">
        <v>86</v>
      </c>
      <c r="D2217" s="2" t="s">
        <v>17</v>
      </c>
      <c r="E2217" s="2">
        <v>36</v>
      </c>
      <c r="F2217" s="2">
        <v>112</v>
      </c>
      <c r="G2217" s="2">
        <v>177</v>
      </c>
      <c r="H2217" s="9">
        <f t="shared" si="34"/>
        <v>35.749624948131121</v>
      </c>
      <c r="I2217" s="2" t="str" cm="1">
        <f t="array" ref="I2217">_xlfn.IFS(F2217&gt;=100,"Over weight",F2217&lt;100,"Average weight")</f>
        <v>Over weight</v>
      </c>
      <c r="J2217" s="2" t="str" cm="1">
        <f t="array" ref="J2217">_xlfn.IFS(G2217&lt;164,"Below Average height",G2217&gt;=165,"Above Average height",G2217=164,"Average height")</f>
        <v>Above Average height</v>
      </c>
      <c r="K2217" s="2" t="str" cm="1">
        <f t="array" ref="K2217">_xlfn.IFS(E2217&lt;=16,"Children",E2217&lt;=30,"Young Adults",E2217&lt;=45,"Middle-aged Adults",E2217&gt;45,"Old Adults")</f>
        <v>Middle-aged Adults</v>
      </c>
    </row>
    <row r="2218" spans="1:11" x14ac:dyDescent="0.45">
      <c r="A2218" s="2">
        <v>2587</v>
      </c>
      <c r="B2218" s="2" t="s">
        <v>2690</v>
      </c>
      <c r="C2218" s="2" t="s">
        <v>86</v>
      </c>
      <c r="D2218" s="2" t="s">
        <v>17</v>
      </c>
      <c r="E2218" s="2">
        <v>22</v>
      </c>
      <c r="F2218" s="2">
        <v>42</v>
      </c>
      <c r="G2218" s="2">
        <v>188</v>
      </c>
      <c r="H2218" s="9">
        <f t="shared" si="34"/>
        <v>11.883205070167497</v>
      </c>
      <c r="I2218" s="2" t="str" cm="1">
        <f t="array" ref="I2218">_xlfn.IFS(F2218&gt;=100,"Over weight",F2218&lt;100,"Average weight")</f>
        <v>Average weight</v>
      </c>
      <c r="J2218" s="2" t="str" cm="1">
        <f t="array" ref="J2218">_xlfn.IFS(G2218&lt;164,"Below Average height",G2218&gt;=165,"Above Average height",G2218=164,"Average height")</f>
        <v>Above Average height</v>
      </c>
      <c r="K2218" s="2" t="str" cm="1">
        <f t="array" ref="K2218">_xlfn.IFS(E2218&lt;=16,"Children",E2218&lt;=30,"Young Adults",E2218&lt;=45,"Middle-aged Adults",E2218&gt;45,"Old Adults")</f>
        <v>Young Adults</v>
      </c>
    </row>
    <row r="2219" spans="1:11" x14ac:dyDescent="0.45">
      <c r="A2219" s="2">
        <v>2588</v>
      </c>
      <c r="B2219" s="2" t="s">
        <v>2691</v>
      </c>
      <c r="C2219" s="2" t="s">
        <v>96</v>
      </c>
      <c r="D2219" s="2" t="s">
        <v>17</v>
      </c>
      <c r="E2219" s="2">
        <v>27</v>
      </c>
      <c r="F2219" s="2">
        <v>58</v>
      </c>
      <c r="G2219" s="2">
        <v>165</v>
      </c>
      <c r="H2219" s="9">
        <f t="shared" si="34"/>
        <v>21.30394857667585</v>
      </c>
      <c r="I2219" s="2" t="str" cm="1">
        <f t="array" ref="I2219">_xlfn.IFS(F2219&gt;=100,"Over weight",F2219&lt;100,"Average weight")</f>
        <v>Average weight</v>
      </c>
      <c r="J2219" s="2" t="str" cm="1">
        <f t="array" ref="J2219">_xlfn.IFS(G2219&lt;164,"Below Average height",G2219&gt;=165,"Above Average height",G2219=164,"Average height")</f>
        <v>Above Average height</v>
      </c>
      <c r="K2219" s="2" t="str" cm="1">
        <f t="array" ref="K2219">_xlfn.IFS(E2219&lt;=16,"Children",E2219&lt;=30,"Young Adults",E2219&lt;=45,"Middle-aged Adults",E2219&gt;45,"Old Adults")</f>
        <v>Young Adults</v>
      </c>
    </row>
    <row r="2220" spans="1:11" x14ac:dyDescent="0.45">
      <c r="A2220" s="2">
        <v>2589</v>
      </c>
      <c r="B2220" s="2" t="s">
        <v>2692</v>
      </c>
      <c r="C2220" s="2" t="s">
        <v>98</v>
      </c>
      <c r="D2220" s="2" t="s">
        <v>17</v>
      </c>
      <c r="E2220" s="2">
        <v>18</v>
      </c>
      <c r="F2220" s="2">
        <v>57</v>
      </c>
      <c r="G2220" s="2">
        <v>165</v>
      </c>
      <c r="H2220" s="9">
        <f t="shared" si="34"/>
        <v>20.936639118457304</v>
      </c>
      <c r="I2220" s="2" t="str" cm="1">
        <f t="array" ref="I2220">_xlfn.IFS(F2220&gt;=100,"Over weight",F2220&lt;100,"Average weight")</f>
        <v>Average weight</v>
      </c>
      <c r="J2220" s="2" t="str" cm="1">
        <f t="array" ref="J2220">_xlfn.IFS(G2220&lt;164,"Below Average height",G2220&gt;=165,"Above Average height",G2220=164,"Average height")</f>
        <v>Above Average height</v>
      </c>
      <c r="K2220" s="2" t="str" cm="1">
        <f t="array" ref="K2220">_xlfn.IFS(E2220&lt;=16,"Children",E2220&lt;=30,"Young Adults",E2220&lt;=45,"Middle-aged Adults",E2220&gt;45,"Old Adults")</f>
        <v>Young Adults</v>
      </c>
    </row>
    <row r="2221" spans="1:11" x14ac:dyDescent="0.45">
      <c r="A2221" s="2">
        <v>2590</v>
      </c>
      <c r="B2221" s="2" t="s">
        <v>2693</v>
      </c>
      <c r="C2221" s="2" t="s">
        <v>91</v>
      </c>
      <c r="D2221" s="2" t="s">
        <v>21</v>
      </c>
      <c r="E2221" s="2">
        <v>33</v>
      </c>
      <c r="F2221" s="2">
        <v>81</v>
      </c>
      <c r="G2221" s="2">
        <v>178</v>
      </c>
      <c r="H2221" s="9">
        <f t="shared" si="34"/>
        <v>25.564953919959599</v>
      </c>
      <c r="I2221" s="2" t="str" cm="1">
        <f t="array" ref="I2221">_xlfn.IFS(F2221&gt;=100,"Over weight",F2221&lt;100,"Average weight")</f>
        <v>Average weight</v>
      </c>
      <c r="J2221" s="2" t="str" cm="1">
        <f t="array" ref="J2221">_xlfn.IFS(G2221&lt;164,"Below Average height",G2221&gt;=165,"Above Average height",G2221=164,"Average height")</f>
        <v>Above Average height</v>
      </c>
      <c r="K2221" s="2" t="str" cm="1">
        <f t="array" ref="K2221">_xlfn.IFS(E2221&lt;=16,"Children",E2221&lt;=30,"Young Adults",E2221&lt;=45,"Middle-aged Adults",E2221&gt;45,"Old Adults")</f>
        <v>Middle-aged Adults</v>
      </c>
    </row>
    <row r="2222" spans="1:11" x14ac:dyDescent="0.45">
      <c r="A2222" s="2">
        <v>2593</v>
      </c>
      <c r="B2222" s="2" t="s">
        <v>2696</v>
      </c>
      <c r="C2222" s="2" t="s">
        <v>91</v>
      </c>
      <c r="D2222" s="2" t="s">
        <v>66</v>
      </c>
      <c r="E2222" s="2">
        <v>29</v>
      </c>
      <c r="F2222" s="2">
        <v>78</v>
      </c>
      <c r="G2222" s="2">
        <v>180</v>
      </c>
      <c r="H2222" s="9">
        <f t="shared" si="34"/>
        <v>24.074074074074073</v>
      </c>
      <c r="I2222" s="2" t="str" cm="1">
        <f t="array" ref="I2222">_xlfn.IFS(F2222&gt;=100,"Over weight",F2222&lt;100,"Average weight")</f>
        <v>Average weight</v>
      </c>
      <c r="J2222" s="2" t="str" cm="1">
        <f t="array" ref="J2222">_xlfn.IFS(G2222&lt;164,"Below Average height",G2222&gt;=165,"Above Average height",G2222=164,"Average height")</f>
        <v>Above Average height</v>
      </c>
      <c r="K2222" s="2" t="str" cm="1">
        <f t="array" ref="K2222">_xlfn.IFS(E2222&lt;=16,"Children",E2222&lt;=30,"Young Adults",E2222&lt;=45,"Middle-aged Adults",E2222&gt;45,"Old Adults")</f>
        <v>Young Adults</v>
      </c>
    </row>
    <row r="2223" spans="1:11" x14ac:dyDescent="0.45">
      <c r="A2223" s="2">
        <v>2595</v>
      </c>
      <c r="B2223" s="2" t="s">
        <v>2698</v>
      </c>
      <c r="C2223" s="2" t="s">
        <v>92</v>
      </c>
      <c r="D2223" s="2" t="s">
        <v>70</v>
      </c>
      <c r="E2223" s="2">
        <v>20</v>
      </c>
      <c r="F2223" s="2">
        <v>67</v>
      </c>
      <c r="G2223" s="2">
        <v>187</v>
      </c>
      <c r="H2223" s="9">
        <f t="shared" si="34"/>
        <v>19.159827275586945</v>
      </c>
      <c r="I2223" s="2" t="str" cm="1">
        <f t="array" ref="I2223">_xlfn.IFS(F2223&gt;=100,"Over weight",F2223&lt;100,"Average weight")</f>
        <v>Average weight</v>
      </c>
      <c r="J2223" s="2" t="str" cm="1">
        <f t="array" ref="J2223">_xlfn.IFS(G2223&lt;164,"Below Average height",G2223&gt;=165,"Above Average height",G2223=164,"Average height")</f>
        <v>Above Average height</v>
      </c>
      <c r="K2223" s="2" t="str" cm="1">
        <f t="array" ref="K2223">_xlfn.IFS(E2223&lt;=16,"Children",E2223&lt;=30,"Young Adults",E2223&lt;=45,"Middle-aged Adults",E2223&gt;45,"Old Adults")</f>
        <v>Young Adults</v>
      </c>
    </row>
    <row r="2224" spans="1:11" x14ac:dyDescent="0.45">
      <c r="A2224" s="2">
        <v>2596</v>
      </c>
      <c r="B2224" s="2" t="s">
        <v>2699</v>
      </c>
      <c r="C2224" s="2" t="s">
        <v>95</v>
      </c>
      <c r="D2224" s="2" t="s">
        <v>39</v>
      </c>
      <c r="E2224" s="2">
        <v>36</v>
      </c>
      <c r="F2224" s="2">
        <v>86</v>
      </c>
      <c r="G2224" s="2">
        <v>180</v>
      </c>
      <c r="H2224" s="9">
        <f t="shared" si="34"/>
        <v>26.543209876543209</v>
      </c>
      <c r="I2224" s="2" t="str" cm="1">
        <f t="array" ref="I2224">_xlfn.IFS(F2224&gt;=100,"Over weight",F2224&lt;100,"Average weight")</f>
        <v>Average weight</v>
      </c>
      <c r="J2224" s="2" t="str" cm="1">
        <f t="array" ref="J2224">_xlfn.IFS(G2224&lt;164,"Below Average height",G2224&gt;=165,"Above Average height",G2224=164,"Average height")</f>
        <v>Above Average height</v>
      </c>
      <c r="K2224" s="2" t="str" cm="1">
        <f t="array" ref="K2224">_xlfn.IFS(E2224&lt;=16,"Children",E2224&lt;=30,"Young Adults",E2224&lt;=45,"Middle-aged Adults",E2224&gt;45,"Old Adults")</f>
        <v>Middle-aged Adults</v>
      </c>
    </row>
    <row r="2225" spans="1:11" x14ac:dyDescent="0.45">
      <c r="A2225" s="2">
        <v>2598</v>
      </c>
      <c r="B2225" s="2" t="s">
        <v>2701</v>
      </c>
      <c r="C2225" s="2" t="s">
        <v>94</v>
      </c>
      <c r="D2225" s="2" t="s">
        <v>39</v>
      </c>
      <c r="E2225" s="2">
        <v>37</v>
      </c>
      <c r="F2225" s="2">
        <v>78</v>
      </c>
      <c r="G2225" s="2">
        <v>184</v>
      </c>
      <c r="H2225" s="9">
        <f t="shared" si="34"/>
        <v>23.038752362948959</v>
      </c>
      <c r="I2225" s="2" t="str" cm="1">
        <f t="array" ref="I2225">_xlfn.IFS(F2225&gt;=100,"Over weight",F2225&lt;100,"Average weight")</f>
        <v>Average weight</v>
      </c>
      <c r="J2225" s="2" t="str" cm="1">
        <f t="array" ref="J2225">_xlfn.IFS(G2225&lt;164,"Below Average height",G2225&gt;=165,"Above Average height",G2225=164,"Average height")</f>
        <v>Above Average height</v>
      </c>
      <c r="K2225" s="2" t="str" cm="1">
        <f t="array" ref="K2225">_xlfn.IFS(E2225&lt;=16,"Children",E2225&lt;=30,"Young Adults",E2225&lt;=45,"Middle-aged Adults",E2225&gt;45,"Old Adults")</f>
        <v>Middle-aged Adults</v>
      </c>
    </row>
    <row r="2226" spans="1:11" x14ac:dyDescent="0.45">
      <c r="A2226" s="2">
        <v>2599</v>
      </c>
      <c r="B2226" s="2" t="s">
        <v>2702</v>
      </c>
      <c r="C2226" s="2" t="s">
        <v>85</v>
      </c>
      <c r="D2226" s="2" t="s">
        <v>19</v>
      </c>
      <c r="E2226" s="2">
        <v>23</v>
      </c>
      <c r="F2226" s="2">
        <v>86</v>
      </c>
      <c r="G2226" s="2">
        <v>177</v>
      </c>
      <c r="H2226" s="9">
        <f t="shared" si="34"/>
        <v>27.450604870886398</v>
      </c>
      <c r="I2226" s="2" t="str" cm="1">
        <f t="array" ref="I2226">_xlfn.IFS(F2226&gt;=100,"Over weight",F2226&lt;100,"Average weight")</f>
        <v>Average weight</v>
      </c>
      <c r="J2226" s="2" t="str" cm="1">
        <f t="array" ref="J2226">_xlfn.IFS(G2226&lt;164,"Below Average height",G2226&gt;=165,"Above Average height",G2226=164,"Average height")</f>
        <v>Above Average height</v>
      </c>
      <c r="K2226" s="2" t="str" cm="1">
        <f t="array" ref="K2226">_xlfn.IFS(E2226&lt;=16,"Children",E2226&lt;=30,"Young Adults",E2226&lt;=45,"Middle-aged Adults",E2226&gt;45,"Old Adults")</f>
        <v>Young Adults</v>
      </c>
    </row>
    <row r="2227" spans="1:11" x14ac:dyDescent="0.45">
      <c r="A2227" s="2">
        <v>2600</v>
      </c>
      <c r="B2227" s="2" t="s">
        <v>2703</v>
      </c>
      <c r="C2227" s="2" t="s">
        <v>90</v>
      </c>
      <c r="D2227" s="2" t="s">
        <v>66</v>
      </c>
      <c r="E2227" s="2">
        <v>35</v>
      </c>
      <c r="F2227" s="2">
        <v>105</v>
      </c>
      <c r="G2227" s="2">
        <v>187</v>
      </c>
      <c r="H2227" s="9">
        <f t="shared" si="34"/>
        <v>30.026594984128796</v>
      </c>
      <c r="I2227" s="2" t="str" cm="1">
        <f t="array" ref="I2227">_xlfn.IFS(F2227&gt;=100,"Over weight",F2227&lt;100,"Average weight")</f>
        <v>Over weight</v>
      </c>
      <c r="J2227" s="2" t="str" cm="1">
        <f t="array" ref="J2227">_xlfn.IFS(G2227&lt;164,"Below Average height",G2227&gt;=165,"Above Average height",G2227=164,"Average height")</f>
        <v>Above Average height</v>
      </c>
      <c r="K2227" s="2" t="str" cm="1">
        <f t="array" ref="K2227">_xlfn.IFS(E2227&lt;=16,"Children",E2227&lt;=30,"Young Adults",E2227&lt;=45,"Middle-aged Adults",E2227&gt;45,"Old Adults")</f>
        <v>Middle-aged Adults</v>
      </c>
    </row>
    <row r="2228" spans="1:11" x14ac:dyDescent="0.45">
      <c r="A2228" s="2">
        <v>2601</v>
      </c>
      <c r="B2228" s="2" t="s">
        <v>2704</v>
      </c>
      <c r="C2228" s="2" t="s">
        <v>91</v>
      </c>
      <c r="D2228" s="2" t="s">
        <v>60</v>
      </c>
      <c r="E2228" s="2">
        <v>22</v>
      </c>
      <c r="F2228" s="2">
        <v>73</v>
      </c>
      <c r="G2228" s="2">
        <v>171</v>
      </c>
      <c r="H2228" s="9">
        <f t="shared" si="34"/>
        <v>24.964946479258579</v>
      </c>
      <c r="I2228" s="2" t="str" cm="1">
        <f t="array" ref="I2228">_xlfn.IFS(F2228&gt;=100,"Over weight",F2228&lt;100,"Average weight")</f>
        <v>Average weight</v>
      </c>
      <c r="J2228" s="2" t="str" cm="1">
        <f t="array" ref="J2228">_xlfn.IFS(G2228&lt;164,"Below Average height",G2228&gt;=165,"Above Average height",G2228=164,"Average height")</f>
        <v>Above Average height</v>
      </c>
      <c r="K2228" s="2" t="str" cm="1">
        <f t="array" ref="K2228">_xlfn.IFS(E2228&lt;=16,"Children",E2228&lt;=30,"Young Adults",E2228&lt;=45,"Middle-aged Adults",E2228&gt;45,"Old Adults")</f>
        <v>Young Adults</v>
      </c>
    </row>
    <row r="2229" spans="1:11" x14ac:dyDescent="0.45">
      <c r="A2229" s="2">
        <v>2602</v>
      </c>
      <c r="B2229" s="2" t="s">
        <v>2705</v>
      </c>
      <c r="C2229" s="2" t="s">
        <v>85</v>
      </c>
      <c r="D2229" s="2" t="s">
        <v>66</v>
      </c>
      <c r="E2229" s="2">
        <v>21</v>
      </c>
      <c r="F2229" s="2">
        <v>90</v>
      </c>
      <c r="G2229" s="2">
        <v>189</v>
      </c>
      <c r="H2229" s="9">
        <f t="shared" si="34"/>
        <v>25.195263290501387</v>
      </c>
      <c r="I2229" s="2" t="str" cm="1">
        <f t="array" ref="I2229">_xlfn.IFS(F2229&gt;=100,"Over weight",F2229&lt;100,"Average weight")</f>
        <v>Average weight</v>
      </c>
      <c r="J2229" s="2" t="str" cm="1">
        <f t="array" ref="J2229">_xlfn.IFS(G2229&lt;164,"Below Average height",G2229&gt;=165,"Above Average height",G2229=164,"Average height")</f>
        <v>Above Average height</v>
      </c>
      <c r="K2229" s="2" t="str" cm="1">
        <f t="array" ref="K2229">_xlfn.IFS(E2229&lt;=16,"Children",E2229&lt;=30,"Young Adults",E2229&lt;=45,"Middle-aged Adults",E2229&gt;45,"Old Adults")</f>
        <v>Young Adults</v>
      </c>
    </row>
    <row r="2230" spans="1:11" x14ac:dyDescent="0.45">
      <c r="A2230" s="2">
        <v>2603</v>
      </c>
      <c r="B2230" s="2" t="s">
        <v>2706</v>
      </c>
      <c r="C2230" s="2" t="s">
        <v>85</v>
      </c>
      <c r="D2230" s="2" t="s">
        <v>75</v>
      </c>
      <c r="E2230" s="2">
        <v>28</v>
      </c>
      <c r="F2230" s="2">
        <v>94</v>
      </c>
      <c r="G2230" s="2">
        <v>185</v>
      </c>
      <c r="H2230" s="9">
        <f t="shared" si="34"/>
        <v>27.465303140978815</v>
      </c>
      <c r="I2230" s="2" t="str" cm="1">
        <f t="array" ref="I2230">_xlfn.IFS(F2230&gt;=100,"Over weight",F2230&lt;100,"Average weight")</f>
        <v>Average weight</v>
      </c>
      <c r="J2230" s="2" t="str" cm="1">
        <f t="array" ref="J2230">_xlfn.IFS(G2230&lt;164,"Below Average height",G2230&gt;=165,"Above Average height",G2230=164,"Average height")</f>
        <v>Above Average height</v>
      </c>
      <c r="K2230" s="2" t="str" cm="1">
        <f t="array" ref="K2230">_xlfn.IFS(E2230&lt;=16,"Children",E2230&lt;=30,"Young Adults",E2230&lt;=45,"Middle-aged Adults",E2230&gt;45,"Old Adults")</f>
        <v>Young Adults</v>
      </c>
    </row>
    <row r="2231" spans="1:11" x14ac:dyDescent="0.45">
      <c r="A2231" s="2">
        <v>2604</v>
      </c>
      <c r="B2231" s="2" t="s">
        <v>2707</v>
      </c>
      <c r="C2231" s="2" t="s">
        <v>85</v>
      </c>
      <c r="D2231" s="2" t="s">
        <v>70</v>
      </c>
      <c r="E2231" s="2">
        <v>25</v>
      </c>
      <c r="F2231" s="2">
        <v>72</v>
      </c>
      <c r="G2231" s="2">
        <v>172</v>
      </c>
      <c r="H2231" s="9">
        <f t="shared" si="34"/>
        <v>24.337479718766904</v>
      </c>
      <c r="I2231" s="2" t="str" cm="1">
        <f t="array" ref="I2231">_xlfn.IFS(F2231&gt;=100,"Over weight",F2231&lt;100,"Average weight")</f>
        <v>Average weight</v>
      </c>
      <c r="J2231" s="2" t="str" cm="1">
        <f t="array" ref="J2231">_xlfn.IFS(G2231&lt;164,"Below Average height",G2231&gt;=165,"Above Average height",G2231=164,"Average height")</f>
        <v>Above Average height</v>
      </c>
      <c r="K2231" s="2" t="str" cm="1">
        <f t="array" ref="K2231">_xlfn.IFS(E2231&lt;=16,"Children",E2231&lt;=30,"Young Adults",E2231&lt;=45,"Middle-aged Adults",E2231&gt;45,"Old Adults")</f>
        <v>Young Adults</v>
      </c>
    </row>
    <row r="2232" spans="1:11" x14ac:dyDescent="0.45">
      <c r="A2232" s="2">
        <v>2605</v>
      </c>
      <c r="B2232" s="2" t="s">
        <v>2708</v>
      </c>
      <c r="C2232" s="2" t="s">
        <v>88</v>
      </c>
      <c r="D2232" s="2" t="s">
        <v>21</v>
      </c>
      <c r="E2232" s="2">
        <v>21</v>
      </c>
      <c r="F2232" s="2">
        <v>62</v>
      </c>
      <c r="G2232" s="2">
        <v>176</v>
      </c>
      <c r="H2232" s="9">
        <f t="shared" si="34"/>
        <v>20.015495867768596</v>
      </c>
      <c r="I2232" s="2" t="str" cm="1">
        <f t="array" ref="I2232">_xlfn.IFS(F2232&gt;=100,"Over weight",F2232&lt;100,"Average weight")</f>
        <v>Average weight</v>
      </c>
      <c r="J2232" s="2" t="str" cm="1">
        <f t="array" ref="J2232">_xlfn.IFS(G2232&lt;164,"Below Average height",G2232&gt;=165,"Above Average height",G2232=164,"Average height")</f>
        <v>Above Average height</v>
      </c>
      <c r="K2232" s="2" t="str" cm="1">
        <f t="array" ref="K2232">_xlfn.IFS(E2232&lt;=16,"Children",E2232&lt;=30,"Young Adults",E2232&lt;=45,"Middle-aged Adults",E2232&gt;45,"Old Adults")</f>
        <v>Young Adults</v>
      </c>
    </row>
    <row r="2233" spans="1:11" x14ac:dyDescent="0.45">
      <c r="A2233" s="2">
        <v>2606</v>
      </c>
      <c r="B2233" s="2" t="s">
        <v>2709</v>
      </c>
      <c r="C2233" s="2" t="s">
        <v>85</v>
      </c>
      <c r="D2233" s="2" t="s">
        <v>46</v>
      </c>
      <c r="E2233" s="2">
        <v>17</v>
      </c>
      <c r="F2233" s="2">
        <v>87</v>
      </c>
      <c r="G2233" s="2">
        <v>185</v>
      </c>
      <c r="H2233" s="9">
        <f t="shared" si="34"/>
        <v>25.420014609203797</v>
      </c>
      <c r="I2233" s="2" t="str" cm="1">
        <f t="array" ref="I2233">_xlfn.IFS(F2233&gt;=100,"Over weight",F2233&lt;100,"Average weight")</f>
        <v>Average weight</v>
      </c>
      <c r="J2233" s="2" t="str" cm="1">
        <f t="array" ref="J2233">_xlfn.IFS(G2233&lt;164,"Below Average height",G2233&gt;=165,"Above Average height",G2233=164,"Average height")</f>
        <v>Above Average height</v>
      </c>
      <c r="K2233" s="2" t="str" cm="1">
        <f t="array" ref="K2233">_xlfn.IFS(E2233&lt;=16,"Children",E2233&lt;=30,"Young Adults",E2233&lt;=45,"Middle-aged Adults",E2233&gt;45,"Old Adults")</f>
        <v>Young Adults</v>
      </c>
    </row>
    <row r="2234" spans="1:11" x14ac:dyDescent="0.45">
      <c r="A2234" s="2">
        <v>62</v>
      </c>
      <c r="B2234" s="2" t="s">
        <v>167</v>
      </c>
      <c r="C2234" s="2" t="s">
        <v>89</v>
      </c>
      <c r="D2234" s="2" t="s">
        <v>42</v>
      </c>
      <c r="E2234" s="2">
        <v>18</v>
      </c>
      <c r="F2234" s="2">
        <v>70</v>
      </c>
      <c r="G2234" s="2">
        <v>164</v>
      </c>
      <c r="H2234" s="9">
        <f t="shared" si="34"/>
        <v>26.026174895895306</v>
      </c>
      <c r="I2234" s="2" t="str" cm="1">
        <f t="array" ref="I2234">_xlfn.IFS(F2234&gt;=100,"Over weight",F2234&lt;100,"Average weight")</f>
        <v>Average weight</v>
      </c>
      <c r="J2234" s="2" t="str" cm="1">
        <f t="array" ref="J2234">_xlfn.IFS(G2234&lt;164,"Below Average height",G2234&gt;=165,"Above Average height",G2234=164,"Average height")</f>
        <v>Average height</v>
      </c>
      <c r="K2234" s="2" t="str" cm="1">
        <f t="array" ref="K2234">_xlfn.IFS(E2234&lt;=16,"Children",E2234&lt;=30,"Young Adults",E2234&lt;=45,"Middle-aged Adults",E2234&gt;45,"Old Adults")</f>
        <v>Young Adults</v>
      </c>
    </row>
    <row r="2235" spans="1:11" x14ac:dyDescent="0.45">
      <c r="A2235" s="2">
        <v>68</v>
      </c>
      <c r="B2235" s="2" t="s">
        <v>173</v>
      </c>
      <c r="C2235" s="2" t="s">
        <v>91</v>
      </c>
      <c r="D2235" s="2" t="s">
        <v>70</v>
      </c>
      <c r="E2235" s="2">
        <v>26</v>
      </c>
      <c r="F2235" s="2">
        <v>55</v>
      </c>
      <c r="G2235" s="2">
        <v>164</v>
      </c>
      <c r="H2235" s="9">
        <f t="shared" si="34"/>
        <v>20.449137418203453</v>
      </c>
      <c r="I2235" s="2" t="str" cm="1">
        <f t="array" ref="I2235">_xlfn.IFS(F2235&gt;=100,"Over weight",F2235&lt;100,"Average weight")</f>
        <v>Average weight</v>
      </c>
      <c r="J2235" s="2" t="str" cm="1">
        <f t="array" ref="J2235">_xlfn.IFS(G2235&lt;164,"Below Average height",G2235&gt;=165,"Above Average height",G2235=164,"Average height")</f>
        <v>Average height</v>
      </c>
      <c r="K2235" s="2" t="str" cm="1">
        <f t="array" ref="K2235">_xlfn.IFS(E2235&lt;=16,"Children",E2235&lt;=30,"Young Adults",E2235&lt;=45,"Middle-aged Adults",E2235&gt;45,"Old Adults")</f>
        <v>Young Adults</v>
      </c>
    </row>
    <row r="2236" spans="1:11" x14ac:dyDescent="0.45">
      <c r="A2236" s="2">
        <v>88</v>
      </c>
      <c r="B2236" s="2" t="s">
        <v>193</v>
      </c>
      <c r="C2236" s="2" t="s">
        <v>85</v>
      </c>
      <c r="D2236" s="2" t="s">
        <v>26</v>
      </c>
      <c r="E2236" s="2">
        <v>21</v>
      </c>
      <c r="F2236" s="2">
        <v>57</v>
      </c>
      <c r="G2236" s="2">
        <v>164</v>
      </c>
      <c r="H2236" s="9">
        <f t="shared" si="34"/>
        <v>21.192742415229034</v>
      </c>
      <c r="I2236" s="2" t="str" cm="1">
        <f t="array" ref="I2236">_xlfn.IFS(F2236&gt;=100,"Over weight",F2236&lt;100,"Average weight")</f>
        <v>Average weight</v>
      </c>
      <c r="J2236" s="2" t="str" cm="1">
        <f t="array" ref="J2236">_xlfn.IFS(G2236&lt;164,"Below Average height",G2236&gt;=165,"Above Average height",G2236=164,"Average height")</f>
        <v>Average height</v>
      </c>
      <c r="K2236" s="2" t="str" cm="1">
        <f t="array" ref="K2236">_xlfn.IFS(E2236&lt;=16,"Children",E2236&lt;=30,"Young Adults",E2236&lt;=45,"Middle-aged Adults",E2236&gt;45,"Old Adults")</f>
        <v>Young Adults</v>
      </c>
    </row>
    <row r="2237" spans="1:11" x14ac:dyDescent="0.45">
      <c r="A2237" s="2">
        <v>206</v>
      </c>
      <c r="B2237" s="2" t="s">
        <v>311</v>
      </c>
      <c r="C2237" s="2" t="s">
        <v>98</v>
      </c>
      <c r="D2237" s="2" t="s">
        <v>26</v>
      </c>
      <c r="E2237" s="2">
        <v>28</v>
      </c>
      <c r="F2237" s="2">
        <v>60</v>
      </c>
      <c r="G2237" s="2">
        <v>164</v>
      </c>
      <c r="H2237" s="9">
        <f t="shared" si="34"/>
        <v>22.308149910767405</v>
      </c>
      <c r="I2237" s="2" t="str" cm="1">
        <f t="array" ref="I2237">_xlfn.IFS(F2237&gt;=100,"Over weight",F2237&lt;100,"Average weight")</f>
        <v>Average weight</v>
      </c>
      <c r="J2237" s="2" t="str" cm="1">
        <f t="array" ref="J2237">_xlfn.IFS(G2237&lt;164,"Below Average height",G2237&gt;=165,"Above Average height",G2237=164,"Average height")</f>
        <v>Average height</v>
      </c>
      <c r="K2237" s="2" t="str" cm="1">
        <f t="array" ref="K2237">_xlfn.IFS(E2237&lt;=16,"Children",E2237&lt;=30,"Young Adults",E2237&lt;=45,"Middle-aged Adults",E2237&gt;45,"Old Adults")</f>
        <v>Young Adults</v>
      </c>
    </row>
    <row r="2238" spans="1:11" x14ac:dyDescent="0.45">
      <c r="A2238" s="2">
        <v>224</v>
      </c>
      <c r="B2238" s="2" t="s">
        <v>329</v>
      </c>
      <c r="C2238" s="2" t="s">
        <v>94</v>
      </c>
      <c r="D2238" s="2" t="s">
        <v>46</v>
      </c>
      <c r="E2238" s="2">
        <v>18</v>
      </c>
      <c r="F2238" s="2">
        <v>50</v>
      </c>
      <c r="G2238" s="2">
        <v>164</v>
      </c>
      <c r="H2238" s="9">
        <f t="shared" si="34"/>
        <v>18.590124925639504</v>
      </c>
      <c r="I2238" s="2" t="str" cm="1">
        <f t="array" ref="I2238">_xlfn.IFS(F2238&gt;=100,"Over weight",F2238&lt;100,"Average weight")</f>
        <v>Average weight</v>
      </c>
      <c r="J2238" s="2" t="str" cm="1">
        <f t="array" ref="J2238">_xlfn.IFS(G2238&lt;164,"Below Average height",G2238&gt;=165,"Above Average height",G2238=164,"Average height")</f>
        <v>Average height</v>
      </c>
      <c r="K2238" s="2" t="str" cm="1">
        <f t="array" ref="K2238">_xlfn.IFS(E2238&lt;=16,"Children",E2238&lt;=30,"Young Adults",E2238&lt;=45,"Middle-aged Adults",E2238&gt;45,"Old Adults")</f>
        <v>Young Adults</v>
      </c>
    </row>
    <row r="2239" spans="1:11" x14ac:dyDescent="0.45">
      <c r="A2239" s="2">
        <v>246</v>
      </c>
      <c r="B2239" s="2" t="s">
        <v>351</v>
      </c>
      <c r="C2239" s="2" t="s">
        <v>94</v>
      </c>
      <c r="D2239" s="2" t="s">
        <v>75</v>
      </c>
      <c r="E2239" s="2">
        <v>26</v>
      </c>
      <c r="F2239" s="2">
        <v>55</v>
      </c>
      <c r="G2239" s="2">
        <v>164</v>
      </c>
      <c r="H2239" s="9">
        <f t="shared" si="34"/>
        <v>20.449137418203453</v>
      </c>
      <c r="I2239" s="2" t="str" cm="1">
        <f t="array" ref="I2239">_xlfn.IFS(F2239&gt;=100,"Over weight",F2239&lt;100,"Average weight")</f>
        <v>Average weight</v>
      </c>
      <c r="J2239" s="2" t="str" cm="1">
        <f t="array" ref="J2239">_xlfn.IFS(G2239&lt;164,"Below Average height",G2239&gt;=165,"Above Average height",G2239=164,"Average height")</f>
        <v>Average height</v>
      </c>
      <c r="K2239" s="2" t="str" cm="1">
        <f t="array" ref="K2239">_xlfn.IFS(E2239&lt;=16,"Children",E2239&lt;=30,"Young Adults",E2239&lt;=45,"Middle-aged Adults",E2239&gt;45,"Old Adults")</f>
        <v>Young Adults</v>
      </c>
    </row>
    <row r="2240" spans="1:11" x14ac:dyDescent="0.45">
      <c r="A2240" s="2">
        <v>293</v>
      </c>
      <c r="B2240" s="2" t="s">
        <v>398</v>
      </c>
      <c r="C2240" s="2" t="s">
        <v>87</v>
      </c>
      <c r="D2240" s="2" t="s">
        <v>66</v>
      </c>
      <c r="E2240" s="2">
        <v>37</v>
      </c>
      <c r="F2240" s="2">
        <v>62</v>
      </c>
      <c r="G2240" s="2">
        <v>164</v>
      </c>
      <c r="H2240" s="9">
        <f t="shared" si="34"/>
        <v>23.051754907792983</v>
      </c>
      <c r="I2240" s="2" t="str" cm="1">
        <f t="array" ref="I2240">_xlfn.IFS(F2240&gt;=100,"Over weight",F2240&lt;100,"Average weight")</f>
        <v>Average weight</v>
      </c>
      <c r="J2240" s="2" t="str" cm="1">
        <f t="array" ref="J2240">_xlfn.IFS(G2240&lt;164,"Below Average height",G2240&gt;=165,"Above Average height",G2240=164,"Average height")</f>
        <v>Average height</v>
      </c>
      <c r="K2240" s="2" t="str" cm="1">
        <f t="array" ref="K2240">_xlfn.IFS(E2240&lt;=16,"Children",E2240&lt;=30,"Young Adults",E2240&lt;=45,"Middle-aged Adults",E2240&gt;45,"Old Adults")</f>
        <v>Middle-aged Adults</v>
      </c>
    </row>
    <row r="2241" spans="1:11" x14ac:dyDescent="0.45">
      <c r="A2241" s="2">
        <v>331</v>
      </c>
      <c r="B2241" s="2" t="s">
        <v>436</v>
      </c>
      <c r="C2241" s="2" t="s">
        <v>85</v>
      </c>
      <c r="D2241" s="2" t="s">
        <v>53</v>
      </c>
      <c r="E2241" s="2">
        <v>26</v>
      </c>
      <c r="F2241" s="2">
        <v>60</v>
      </c>
      <c r="G2241" s="2">
        <v>164</v>
      </c>
      <c r="H2241" s="9">
        <f t="shared" si="34"/>
        <v>22.308149910767405</v>
      </c>
      <c r="I2241" s="2" t="str" cm="1">
        <f t="array" ref="I2241">_xlfn.IFS(F2241&gt;=100,"Over weight",F2241&lt;100,"Average weight")</f>
        <v>Average weight</v>
      </c>
      <c r="J2241" s="2" t="str" cm="1">
        <f t="array" ref="J2241">_xlfn.IFS(G2241&lt;164,"Below Average height",G2241&gt;=165,"Above Average height",G2241=164,"Average height")</f>
        <v>Average height</v>
      </c>
      <c r="K2241" s="2" t="str" cm="1">
        <f t="array" ref="K2241">_xlfn.IFS(E2241&lt;=16,"Children",E2241&lt;=30,"Young Adults",E2241&lt;=45,"Middle-aged Adults",E2241&gt;45,"Old Adults")</f>
        <v>Young Adults</v>
      </c>
    </row>
    <row r="2242" spans="1:11" x14ac:dyDescent="0.45">
      <c r="A2242" s="2">
        <v>384</v>
      </c>
      <c r="B2242" s="2" t="s">
        <v>489</v>
      </c>
      <c r="C2242" s="2" t="s">
        <v>85</v>
      </c>
      <c r="D2242" s="2" t="s">
        <v>26</v>
      </c>
      <c r="E2242" s="2">
        <v>27</v>
      </c>
      <c r="F2242" s="2">
        <v>70</v>
      </c>
      <c r="G2242" s="2">
        <v>164</v>
      </c>
      <c r="H2242" s="9">
        <f t="shared" ref="H2242:H2305" si="35" xml:space="preserve"> F2242 / (( G2242/ 100) ^ 2)</f>
        <v>26.026174895895306</v>
      </c>
      <c r="I2242" s="2" t="str" cm="1">
        <f t="array" ref="I2242">_xlfn.IFS(F2242&gt;=100,"Over weight",F2242&lt;100,"Average weight")</f>
        <v>Average weight</v>
      </c>
      <c r="J2242" s="2" t="str" cm="1">
        <f t="array" ref="J2242">_xlfn.IFS(G2242&lt;164,"Below Average height",G2242&gt;=165,"Above Average height",G2242=164,"Average height")</f>
        <v>Average height</v>
      </c>
      <c r="K2242" s="2" t="str" cm="1">
        <f t="array" ref="K2242">_xlfn.IFS(E2242&lt;=16,"Children",E2242&lt;=30,"Young Adults",E2242&lt;=45,"Middle-aged Adults",E2242&gt;45,"Old Adults")</f>
        <v>Young Adults</v>
      </c>
    </row>
    <row r="2243" spans="1:11" x14ac:dyDescent="0.45">
      <c r="A2243" s="2">
        <v>402</v>
      </c>
      <c r="B2243" s="2" t="s">
        <v>507</v>
      </c>
      <c r="C2243" s="2" t="s">
        <v>87</v>
      </c>
      <c r="D2243" s="2" t="s">
        <v>73</v>
      </c>
      <c r="E2243" s="2">
        <v>32</v>
      </c>
      <c r="F2243" s="2">
        <v>61</v>
      </c>
      <c r="G2243" s="2">
        <v>164</v>
      </c>
      <c r="H2243" s="9">
        <f t="shared" si="35"/>
        <v>22.679952409280194</v>
      </c>
      <c r="I2243" s="2" t="str" cm="1">
        <f t="array" ref="I2243">_xlfn.IFS(F2243&gt;=100,"Over weight",F2243&lt;100,"Average weight")</f>
        <v>Average weight</v>
      </c>
      <c r="J2243" s="2" t="str" cm="1">
        <f t="array" ref="J2243">_xlfn.IFS(G2243&lt;164,"Below Average height",G2243&gt;=165,"Above Average height",G2243=164,"Average height")</f>
        <v>Average height</v>
      </c>
      <c r="K2243" s="2" t="str" cm="1">
        <f t="array" ref="K2243">_xlfn.IFS(E2243&lt;=16,"Children",E2243&lt;=30,"Young Adults",E2243&lt;=45,"Middle-aged Adults",E2243&gt;45,"Old Adults")</f>
        <v>Middle-aged Adults</v>
      </c>
    </row>
    <row r="2244" spans="1:11" x14ac:dyDescent="0.45">
      <c r="A2244" s="2">
        <v>420</v>
      </c>
      <c r="B2244" s="2" t="s">
        <v>525</v>
      </c>
      <c r="C2244" s="2" t="s">
        <v>93</v>
      </c>
      <c r="D2244" s="2" t="s">
        <v>26</v>
      </c>
      <c r="E2244" s="2">
        <v>37</v>
      </c>
      <c r="F2244" s="2">
        <v>54</v>
      </c>
      <c r="G2244" s="2">
        <v>164</v>
      </c>
      <c r="H2244" s="9">
        <f t="shared" si="35"/>
        <v>20.077334919690664</v>
      </c>
      <c r="I2244" s="2" t="str" cm="1">
        <f t="array" ref="I2244">_xlfn.IFS(F2244&gt;=100,"Over weight",F2244&lt;100,"Average weight")</f>
        <v>Average weight</v>
      </c>
      <c r="J2244" s="2" t="str" cm="1">
        <f t="array" ref="J2244">_xlfn.IFS(G2244&lt;164,"Below Average height",G2244&gt;=165,"Above Average height",G2244=164,"Average height")</f>
        <v>Average height</v>
      </c>
      <c r="K2244" s="2" t="str" cm="1">
        <f t="array" ref="K2244">_xlfn.IFS(E2244&lt;=16,"Children",E2244&lt;=30,"Young Adults",E2244&lt;=45,"Middle-aged Adults",E2244&gt;45,"Old Adults")</f>
        <v>Middle-aged Adults</v>
      </c>
    </row>
    <row r="2245" spans="1:11" x14ac:dyDescent="0.45">
      <c r="A2245" s="2">
        <v>428</v>
      </c>
      <c r="B2245" s="2" t="s">
        <v>533</v>
      </c>
      <c r="C2245" s="2" t="s">
        <v>87</v>
      </c>
      <c r="D2245" s="2" t="s">
        <v>79</v>
      </c>
      <c r="E2245" s="2">
        <v>23</v>
      </c>
      <c r="F2245" s="2">
        <v>64</v>
      </c>
      <c r="G2245" s="2">
        <v>164</v>
      </c>
      <c r="H2245" s="9">
        <f t="shared" si="35"/>
        <v>23.795359904818564</v>
      </c>
      <c r="I2245" s="2" t="str" cm="1">
        <f t="array" ref="I2245">_xlfn.IFS(F2245&gt;=100,"Over weight",F2245&lt;100,"Average weight")</f>
        <v>Average weight</v>
      </c>
      <c r="J2245" s="2" t="str" cm="1">
        <f t="array" ref="J2245">_xlfn.IFS(G2245&lt;164,"Below Average height",G2245&gt;=165,"Above Average height",G2245=164,"Average height")</f>
        <v>Average height</v>
      </c>
      <c r="K2245" s="2" t="str" cm="1">
        <f t="array" ref="K2245">_xlfn.IFS(E2245&lt;=16,"Children",E2245&lt;=30,"Young Adults",E2245&lt;=45,"Middle-aged Adults",E2245&gt;45,"Old Adults")</f>
        <v>Young Adults</v>
      </c>
    </row>
    <row r="2246" spans="1:11" x14ac:dyDescent="0.45">
      <c r="A2246" s="2">
        <v>526</v>
      </c>
      <c r="B2246" s="2" t="s">
        <v>631</v>
      </c>
      <c r="C2246" s="2" t="s">
        <v>85</v>
      </c>
      <c r="D2246" s="2" t="s">
        <v>39</v>
      </c>
      <c r="E2246" s="2">
        <v>24</v>
      </c>
      <c r="F2246" s="2">
        <v>69</v>
      </c>
      <c r="G2246" s="2">
        <v>164</v>
      </c>
      <c r="H2246" s="9">
        <f t="shared" si="35"/>
        <v>25.654372397382513</v>
      </c>
      <c r="I2246" s="2" t="str" cm="1">
        <f t="array" ref="I2246">_xlfn.IFS(F2246&gt;=100,"Over weight",F2246&lt;100,"Average weight")</f>
        <v>Average weight</v>
      </c>
      <c r="J2246" s="2" t="str" cm="1">
        <f t="array" ref="J2246">_xlfn.IFS(G2246&lt;164,"Below Average height",G2246&gt;=165,"Above Average height",G2246=164,"Average height")</f>
        <v>Average height</v>
      </c>
      <c r="K2246" s="2" t="str" cm="1">
        <f t="array" ref="K2246">_xlfn.IFS(E2246&lt;=16,"Children",E2246&lt;=30,"Young Adults",E2246&lt;=45,"Middle-aged Adults",E2246&gt;45,"Old Adults")</f>
        <v>Young Adults</v>
      </c>
    </row>
    <row r="2247" spans="1:11" x14ac:dyDescent="0.45">
      <c r="A2247" s="2">
        <v>554</v>
      </c>
      <c r="B2247" s="2" t="s">
        <v>659</v>
      </c>
      <c r="C2247" s="2" t="s">
        <v>85</v>
      </c>
      <c r="D2247" s="2" t="s">
        <v>6</v>
      </c>
      <c r="E2247" s="2">
        <v>24</v>
      </c>
      <c r="F2247" s="2">
        <v>60</v>
      </c>
      <c r="G2247" s="2">
        <v>164</v>
      </c>
      <c r="H2247" s="9">
        <f t="shared" si="35"/>
        <v>22.308149910767405</v>
      </c>
      <c r="I2247" s="2" t="str" cm="1">
        <f t="array" ref="I2247">_xlfn.IFS(F2247&gt;=100,"Over weight",F2247&lt;100,"Average weight")</f>
        <v>Average weight</v>
      </c>
      <c r="J2247" s="2" t="str" cm="1">
        <f t="array" ref="J2247">_xlfn.IFS(G2247&lt;164,"Below Average height",G2247&gt;=165,"Above Average height",G2247=164,"Average height")</f>
        <v>Average height</v>
      </c>
      <c r="K2247" s="2" t="str" cm="1">
        <f t="array" ref="K2247">_xlfn.IFS(E2247&lt;=16,"Children",E2247&lt;=30,"Young Adults",E2247&lt;=45,"Middle-aged Adults",E2247&gt;45,"Old Adults")</f>
        <v>Young Adults</v>
      </c>
    </row>
    <row r="2248" spans="1:11" x14ac:dyDescent="0.45">
      <c r="A2248" s="2">
        <v>572</v>
      </c>
      <c r="B2248" s="2" t="s">
        <v>677</v>
      </c>
      <c r="C2248" s="2" t="s">
        <v>98</v>
      </c>
      <c r="D2248" s="2" t="s">
        <v>39</v>
      </c>
      <c r="E2248" s="2">
        <v>19</v>
      </c>
      <c r="F2248" s="2">
        <v>58</v>
      </c>
      <c r="G2248" s="2">
        <v>164</v>
      </c>
      <c r="H2248" s="9">
        <f t="shared" si="35"/>
        <v>21.564544913741823</v>
      </c>
      <c r="I2248" s="2" t="str" cm="1">
        <f t="array" ref="I2248">_xlfn.IFS(F2248&gt;=100,"Over weight",F2248&lt;100,"Average weight")</f>
        <v>Average weight</v>
      </c>
      <c r="J2248" s="2" t="str" cm="1">
        <f t="array" ref="J2248">_xlfn.IFS(G2248&lt;164,"Below Average height",G2248&gt;=165,"Above Average height",G2248=164,"Average height")</f>
        <v>Average height</v>
      </c>
      <c r="K2248" s="2" t="str" cm="1">
        <f t="array" ref="K2248">_xlfn.IFS(E2248&lt;=16,"Children",E2248&lt;=30,"Young Adults",E2248&lt;=45,"Middle-aged Adults",E2248&gt;45,"Old Adults")</f>
        <v>Young Adults</v>
      </c>
    </row>
    <row r="2249" spans="1:11" x14ac:dyDescent="0.45">
      <c r="A2249" s="2">
        <v>612</v>
      </c>
      <c r="B2249" s="2" t="s">
        <v>717</v>
      </c>
      <c r="C2249" s="2" t="s">
        <v>91</v>
      </c>
      <c r="D2249" s="2" t="s">
        <v>66</v>
      </c>
      <c r="E2249" s="2">
        <v>34</v>
      </c>
      <c r="F2249" s="2">
        <v>66</v>
      </c>
      <c r="G2249" s="2">
        <v>164</v>
      </c>
      <c r="H2249" s="9">
        <f t="shared" si="35"/>
        <v>24.538964901844146</v>
      </c>
      <c r="I2249" s="2" t="str" cm="1">
        <f t="array" ref="I2249">_xlfn.IFS(F2249&gt;=100,"Over weight",F2249&lt;100,"Average weight")</f>
        <v>Average weight</v>
      </c>
      <c r="J2249" s="2" t="str" cm="1">
        <f t="array" ref="J2249">_xlfn.IFS(G2249&lt;164,"Below Average height",G2249&gt;=165,"Above Average height",G2249=164,"Average height")</f>
        <v>Average height</v>
      </c>
      <c r="K2249" s="2" t="str" cm="1">
        <f t="array" ref="K2249">_xlfn.IFS(E2249&lt;=16,"Children",E2249&lt;=30,"Young Adults",E2249&lt;=45,"Middle-aged Adults",E2249&gt;45,"Old Adults")</f>
        <v>Middle-aged Adults</v>
      </c>
    </row>
    <row r="2250" spans="1:11" x14ac:dyDescent="0.45">
      <c r="A2250" s="2">
        <v>627</v>
      </c>
      <c r="B2250" s="2" t="s">
        <v>732</v>
      </c>
      <c r="C2250" s="2" t="s">
        <v>87</v>
      </c>
      <c r="D2250" s="2" t="s">
        <v>26</v>
      </c>
      <c r="E2250" s="2">
        <v>29</v>
      </c>
      <c r="F2250" s="2">
        <v>57</v>
      </c>
      <c r="G2250" s="2">
        <v>164</v>
      </c>
      <c r="H2250" s="9">
        <f t="shared" si="35"/>
        <v>21.192742415229034</v>
      </c>
      <c r="I2250" s="2" t="str" cm="1">
        <f t="array" ref="I2250">_xlfn.IFS(F2250&gt;=100,"Over weight",F2250&lt;100,"Average weight")</f>
        <v>Average weight</v>
      </c>
      <c r="J2250" s="2" t="str" cm="1">
        <f t="array" ref="J2250">_xlfn.IFS(G2250&lt;164,"Below Average height",G2250&gt;=165,"Above Average height",G2250=164,"Average height")</f>
        <v>Average height</v>
      </c>
      <c r="K2250" s="2" t="str" cm="1">
        <f t="array" ref="K2250">_xlfn.IFS(E2250&lt;=16,"Children",E2250&lt;=30,"Young Adults",E2250&lt;=45,"Middle-aged Adults",E2250&gt;45,"Old Adults")</f>
        <v>Young Adults</v>
      </c>
    </row>
    <row r="2251" spans="1:11" x14ac:dyDescent="0.45">
      <c r="A2251" s="2">
        <v>659</v>
      </c>
      <c r="B2251" s="2" t="s">
        <v>764</v>
      </c>
      <c r="C2251" s="2" t="s">
        <v>100</v>
      </c>
      <c r="D2251" s="2" t="s">
        <v>14</v>
      </c>
      <c r="E2251" s="2">
        <v>32</v>
      </c>
      <c r="F2251" s="2">
        <v>64</v>
      </c>
      <c r="G2251" s="2">
        <v>164</v>
      </c>
      <c r="H2251" s="9">
        <f t="shared" si="35"/>
        <v>23.795359904818564</v>
      </c>
      <c r="I2251" s="2" t="str" cm="1">
        <f t="array" ref="I2251">_xlfn.IFS(F2251&gt;=100,"Over weight",F2251&lt;100,"Average weight")</f>
        <v>Average weight</v>
      </c>
      <c r="J2251" s="2" t="str" cm="1">
        <f t="array" ref="J2251">_xlfn.IFS(G2251&lt;164,"Below Average height",G2251&gt;=165,"Above Average height",G2251=164,"Average height")</f>
        <v>Average height</v>
      </c>
      <c r="K2251" s="2" t="str" cm="1">
        <f t="array" ref="K2251">_xlfn.IFS(E2251&lt;=16,"Children",E2251&lt;=30,"Young Adults",E2251&lt;=45,"Middle-aged Adults",E2251&gt;45,"Old Adults")</f>
        <v>Middle-aged Adults</v>
      </c>
    </row>
    <row r="2252" spans="1:11" x14ac:dyDescent="0.45">
      <c r="A2252" s="2">
        <v>725</v>
      </c>
      <c r="B2252" s="2" t="s">
        <v>830</v>
      </c>
      <c r="C2252" s="2" t="s">
        <v>88</v>
      </c>
      <c r="D2252" s="2" t="s">
        <v>70</v>
      </c>
      <c r="E2252" s="2">
        <v>36</v>
      </c>
      <c r="F2252" s="2">
        <v>51</v>
      </c>
      <c r="G2252" s="2">
        <v>164</v>
      </c>
      <c r="H2252" s="9">
        <f t="shared" si="35"/>
        <v>18.961927424152293</v>
      </c>
      <c r="I2252" s="2" t="str" cm="1">
        <f t="array" ref="I2252">_xlfn.IFS(F2252&gt;=100,"Over weight",F2252&lt;100,"Average weight")</f>
        <v>Average weight</v>
      </c>
      <c r="J2252" s="2" t="str" cm="1">
        <f t="array" ref="J2252">_xlfn.IFS(G2252&lt;164,"Below Average height",G2252&gt;=165,"Above Average height",G2252=164,"Average height")</f>
        <v>Average height</v>
      </c>
      <c r="K2252" s="2" t="str" cm="1">
        <f t="array" ref="K2252">_xlfn.IFS(E2252&lt;=16,"Children",E2252&lt;=30,"Young Adults",E2252&lt;=45,"Middle-aged Adults",E2252&gt;45,"Old Adults")</f>
        <v>Middle-aged Adults</v>
      </c>
    </row>
    <row r="2253" spans="1:11" x14ac:dyDescent="0.45">
      <c r="A2253" s="2">
        <v>748</v>
      </c>
      <c r="B2253" s="2" t="s">
        <v>853</v>
      </c>
      <c r="C2253" s="2" t="s">
        <v>95</v>
      </c>
      <c r="D2253" s="2" t="s">
        <v>41</v>
      </c>
      <c r="E2253" s="2">
        <v>24</v>
      </c>
      <c r="F2253" s="2">
        <v>68</v>
      </c>
      <c r="G2253" s="2">
        <v>164</v>
      </c>
      <c r="H2253" s="9">
        <f t="shared" si="35"/>
        <v>25.282569898869724</v>
      </c>
      <c r="I2253" s="2" t="str" cm="1">
        <f t="array" ref="I2253">_xlfn.IFS(F2253&gt;=100,"Over weight",F2253&lt;100,"Average weight")</f>
        <v>Average weight</v>
      </c>
      <c r="J2253" s="2" t="str" cm="1">
        <f t="array" ref="J2253">_xlfn.IFS(G2253&lt;164,"Below Average height",G2253&gt;=165,"Above Average height",G2253=164,"Average height")</f>
        <v>Average height</v>
      </c>
      <c r="K2253" s="2" t="str" cm="1">
        <f t="array" ref="K2253">_xlfn.IFS(E2253&lt;=16,"Children",E2253&lt;=30,"Young Adults",E2253&lt;=45,"Middle-aged Adults",E2253&gt;45,"Old Adults")</f>
        <v>Young Adults</v>
      </c>
    </row>
    <row r="2254" spans="1:11" x14ac:dyDescent="0.45">
      <c r="A2254" s="2">
        <v>855</v>
      </c>
      <c r="B2254" s="2" t="s">
        <v>960</v>
      </c>
      <c r="C2254" s="2" t="s">
        <v>98</v>
      </c>
      <c r="D2254" s="2" t="s">
        <v>33</v>
      </c>
      <c r="E2254" s="2">
        <v>26</v>
      </c>
      <c r="F2254" s="2">
        <v>56</v>
      </c>
      <c r="G2254" s="2">
        <v>164</v>
      </c>
      <c r="H2254" s="9">
        <f t="shared" si="35"/>
        <v>20.820939916716245</v>
      </c>
      <c r="I2254" s="2" t="str" cm="1">
        <f t="array" ref="I2254">_xlfn.IFS(F2254&gt;=100,"Over weight",F2254&lt;100,"Average weight")</f>
        <v>Average weight</v>
      </c>
      <c r="J2254" s="2" t="str" cm="1">
        <f t="array" ref="J2254">_xlfn.IFS(G2254&lt;164,"Below Average height",G2254&gt;=165,"Above Average height",G2254=164,"Average height")</f>
        <v>Average height</v>
      </c>
      <c r="K2254" s="2" t="str" cm="1">
        <f t="array" ref="K2254">_xlfn.IFS(E2254&lt;=16,"Children",E2254&lt;=30,"Young Adults",E2254&lt;=45,"Middle-aged Adults",E2254&gt;45,"Old Adults")</f>
        <v>Young Adults</v>
      </c>
    </row>
    <row r="2255" spans="1:11" x14ac:dyDescent="0.45">
      <c r="A2255" s="2">
        <v>856</v>
      </c>
      <c r="B2255" s="2" t="s">
        <v>961</v>
      </c>
      <c r="C2255" s="2" t="s">
        <v>87</v>
      </c>
      <c r="D2255" s="2" t="s">
        <v>6</v>
      </c>
      <c r="E2255" s="2">
        <v>32</v>
      </c>
      <c r="F2255" s="2">
        <v>62</v>
      </c>
      <c r="G2255" s="2">
        <v>164</v>
      </c>
      <c r="H2255" s="9">
        <f t="shared" si="35"/>
        <v>23.051754907792983</v>
      </c>
      <c r="I2255" s="2" t="str" cm="1">
        <f t="array" ref="I2255">_xlfn.IFS(F2255&gt;=100,"Over weight",F2255&lt;100,"Average weight")</f>
        <v>Average weight</v>
      </c>
      <c r="J2255" s="2" t="str" cm="1">
        <f t="array" ref="J2255">_xlfn.IFS(G2255&lt;164,"Below Average height",G2255&gt;=165,"Above Average height",G2255=164,"Average height")</f>
        <v>Average height</v>
      </c>
      <c r="K2255" s="2" t="str" cm="1">
        <f t="array" ref="K2255">_xlfn.IFS(E2255&lt;=16,"Children",E2255&lt;=30,"Young Adults",E2255&lt;=45,"Middle-aged Adults",E2255&gt;45,"Old Adults")</f>
        <v>Middle-aged Adults</v>
      </c>
    </row>
    <row r="2256" spans="1:11" x14ac:dyDescent="0.45">
      <c r="A2256" s="2">
        <v>973</v>
      </c>
      <c r="B2256" s="2" t="s">
        <v>1078</v>
      </c>
      <c r="C2256" s="2" t="s">
        <v>88</v>
      </c>
      <c r="D2256" s="2" t="s">
        <v>8</v>
      </c>
      <c r="E2256" s="2">
        <v>27</v>
      </c>
      <c r="F2256" s="2">
        <v>59</v>
      </c>
      <c r="G2256" s="2">
        <v>164</v>
      </c>
      <c r="H2256" s="9">
        <f t="shared" si="35"/>
        <v>21.936347412254616</v>
      </c>
      <c r="I2256" s="2" t="str" cm="1">
        <f t="array" ref="I2256">_xlfn.IFS(F2256&gt;=100,"Over weight",F2256&lt;100,"Average weight")</f>
        <v>Average weight</v>
      </c>
      <c r="J2256" s="2" t="str" cm="1">
        <f t="array" ref="J2256">_xlfn.IFS(G2256&lt;164,"Below Average height",G2256&gt;=165,"Above Average height",G2256=164,"Average height")</f>
        <v>Average height</v>
      </c>
      <c r="K2256" s="2" t="str" cm="1">
        <f t="array" ref="K2256">_xlfn.IFS(E2256&lt;=16,"Children",E2256&lt;=30,"Young Adults",E2256&lt;=45,"Middle-aged Adults",E2256&gt;45,"Old Adults")</f>
        <v>Young Adults</v>
      </c>
    </row>
    <row r="2257" spans="1:11" x14ac:dyDescent="0.45">
      <c r="A2257" s="2">
        <v>1052</v>
      </c>
      <c r="B2257" s="2" t="s">
        <v>1157</v>
      </c>
      <c r="C2257" s="2" t="s">
        <v>86</v>
      </c>
      <c r="D2257" s="2" t="s">
        <v>44</v>
      </c>
      <c r="E2257" s="2">
        <v>19</v>
      </c>
      <c r="F2257" s="2">
        <v>109</v>
      </c>
      <c r="G2257" s="2">
        <v>164</v>
      </c>
      <c r="H2257" s="9">
        <f t="shared" si="35"/>
        <v>40.52647233789412</v>
      </c>
      <c r="I2257" s="2" t="str" cm="1">
        <f t="array" ref="I2257">_xlfn.IFS(F2257&gt;=100,"Over weight",F2257&lt;100,"Average weight")</f>
        <v>Over weight</v>
      </c>
      <c r="J2257" s="2" t="str" cm="1">
        <f t="array" ref="J2257">_xlfn.IFS(G2257&lt;164,"Below Average height",G2257&gt;=165,"Above Average height",G2257=164,"Average height")</f>
        <v>Average height</v>
      </c>
      <c r="K2257" s="2" t="str" cm="1">
        <f t="array" ref="K2257">_xlfn.IFS(E2257&lt;=16,"Children",E2257&lt;=30,"Young Adults",E2257&lt;=45,"Middle-aged Adults",E2257&gt;45,"Old Adults")</f>
        <v>Young Adults</v>
      </c>
    </row>
    <row r="2258" spans="1:11" x14ac:dyDescent="0.45">
      <c r="A2258" s="2">
        <v>1093</v>
      </c>
      <c r="B2258" s="2" t="s">
        <v>1198</v>
      </c>
      <c r="C2258" s="2" t="s">
        <v>89</v>
      </c>
      <c r="D2258" s="2" t="s">
        <v>41</v>
      </c>
      <c r="E2258" s="2">
        <v>23</v>
      </c>
      <c r="F2258" s="2">
        <v>60</v>
      </c>
      <c r="G2258" s="2">
        <v>164</v>
      </c>
      <c r="H2258" s="9">
        <f t="shared" si="35"/>
        <v>22.308149910767405</v>
      </c>
      <c r="I2258" s="2" t="str" cm="1">
        <f t="array" ref="I2258">_xlfn.IFS(F2258&gt;=100,"Over weight",F2258&lt;100,"Average weight")</f>
        <v>Average weight</v>
      </c>
      <c r="J2258" s="2" t="str" cm="1">
        <f t="array" ref="J2258">_xlfn.IFS(G2258&lt;164,"Below Average height",G2258&gt;=165,"Above Average height",G2258=164,"Average height")</f>
        <v>Average height</v>
      </c>
      <c r="K2258" s="2" t="str" cm="1">
        <f t="array" ref="K2258">_xlfn.IFS(E2258&lt;=16,"Children",E2258&lt;=30,"Young Adults",E2258&lt;=45,"Middle-aged Adults",E2258&gt;45,"Old Adults")</f>
        <v>Young Adults</v>
      </c>
    </row>
    <row r="2259" spans="1:11" x14ac:dyDescent="0.45">
      <c r="A2259" s="2">
        <v>1103</v>
      </c>
      <c r="B2259" s="2" t="s">
        <v>1208</v>
      </c>
      <c r="C2259" s="2" t="s">
        <v>93</v>
      </c>
      <c r="D2259" s="2" t="s">
        <v>41</v>
      </c>
      <c r="E2259" s="2">
        <v>21</v>
      </c>
      <c r="F2259" s="2">
        <v>54</v>
      </c>
      <c r="G2259" s="2">
        <v>164</v>
      </c>
      <c r="H2259" s="9">
        <f t="shared" si="35"/>
        <v>20.077334919690664</v>
      </c>
      <c r="I2259" s="2" t="str" cm="1">
        <f t="array" ref="I2259">_xlfn.IFS(F2259&gt;=100,"Over weight",F2259&lt;100,"Average weight")</f>
        <v>Average weight</v>
      </c>
      <c r="J2259" s="2" t="str" cm="1">
        <f t="array" ref="J2259">_xlfn.IFS(G2259&lt;164,"Below Average height",G2259&gt;=165,"Above Average height",G2259=164,"Average height")</f>
        <v>Average height</v>
      </c>
      <c r="K2259" s="2" t="str" cm="1">
        <f t="array" ref="K2259">_xlfn.IFS(E2259&lt;=16,"Children",E2259&lt;=30,"Young Adults",E2259&lt;=45,"Middle-aged Adults",E2259&gt;45,"Old Adults")</f>
        <v>Young Adults</v>
      </c>
    </row>
    <row r="2260" spans="1:11" x14ac:dyDescent="0.45">
      <c r="A2260" s="2">
        <v>1197</v>
      </c>
      <c r="B2260" s="2" t="s">
        <v>1302</v>
      </c>
      <c r="C2260" s="2" t="s">
        <v>91</v>
      </c>
      <c r="D2260" s="2" t="s">
        <v>70</v>
      </c>
      <c r="E2260" s="2">
        <v>21</v>
      </c>
      <c r="F2260" s="2">
        <v>61</v>
      </c>
      <c r="G2260" s="2">
        <v>164</v>
      </c>
      <c r="H2260" s="9">
        <f t="shared" si="35"/>
        <v>22.679952409280194</v>
      </c>
      <c r="I2260" s="2" t="str" cm="1">
        <f t="array" ref="I2260">_xlfn.IFS(F2260&gt;=100,"Over weight",F2260&lt;100,"Average weight")</f>
        <v>Average weight</v>
      </c>
      <c r="J2260" s="2" t="str" cm="1">
        <f t="array" ref="J2260">_xlfn.IFS(G2260&lt;164,"Below Average height",G2260&gt;=165,"Above Average height",G2260=164,"Average height")</f>
        <v>Average height</v>
      </c>
      <c r="K2260" s="2" t="str" cm="1">
        <f t="array" ref="K2260">_xlfn.IFS(E2260&lt;=16,"Children",E2260&lt;=30,"Young Adults",E2260&lt;=45,"Middle-aged Adults",E2260&gt;45,"Old Adults")</f>
        <v>Young Adults</v>
      </c>
    </row>
    <row r="2261" spans="1:11" x14ac:dyDescent="0.45">
      <c r="A2261" s="2">
        <v>1202</v>
      </c>
      <c r="B2261" s="2" t="s">
        <v>1307</v>
      </c>
      <c r="C2261" s="2" t="s">
        <v>98</v>
      </c>
      <c r="D2261" s="2" t="s">
        <v>44</v>
      </c>
      <c r="E2261" s="2">
        <v>20</v>
      </c>
      <c r="F2261" s="2">
        <v>57</v>
      </c>
      <c r="G2261" s="2">
        <v>164</v>
      </c>
      <c r="H2261" s="9">
        <f t="shared" si="35"/>
        <v>21.192742415229034</v>
      </c>
      <c r="I2261" s="2" t="str" cm="1">
        <f t="array" ref="I2261">_xlfn.IFS(F2261&gt;=100,"Over weight",F2261&lt;100,"Average weight")</f>
        <v>Average weight</v>
      </c>
      <c r="J2261" s="2" t="str" cm="1">
        <f t="array" ref="J2261">_xlfn.IFS(G2261&lt;164,"Below Average height",G2261&gt;=165,"Above Average height",G2261=164,"Average height")</f>
        <v>Average height</v>
      </c>
      <c r="K2261" s="2" t="str" cm="1">
        <f t="array" ref="K2261">_xlfn.IFS(E2261&lt;=16,"Children",E2261&lt;=30,"Young Adults",E2261&lt;=45,"Middle-aged Adults",E2261&gt;45,"Old Adults")</f>
        <v>Young Adults</v>
      </c>
    </row>
    <row r="2262" spans="1:11" x14ac:dyDescent="0.45">
      <c r="A2262" s="2">
        <v>1257</v>
      </c>
      <c r="B2262" s="2" t="s">
        <v>1362</v>
      </c>
      <c r="C2262" s="2" t="s">
        <v>89</v>
      </c>
      <c r="D2262" s="2" t="s">
        <v>44</v>
      </c>
      <c r="E2262" s="2">
        <v>23</v>
      </c>
      <c r="F2262" s="2">
        <v>55</v>
      </c>
      <c r="G2262" s="2">
        <v>164</v>
      </c>
      <c r="H2262" s="9">
        <f t="shared" si="35"/>
        <v>20.449137418203453</v>
      </c>
      <c r="I2262" s="2" t="str" cm="1">
        <f t="array" ref="I2262">_xlfn.IFS(F2262&gt;=100,"Over weight",F2262&lt;100,"Average weight")</f>
        <v>Average weight</v>
      </c>
      <c r="J2262" s="2" t="str" cm="1">
        <f t="array" ref="J2262">_xlfn.IFS(G2262&lt;164,"Below Average height",G2262&gt;=165,"Above Average height",G2262=164,"Average height")</f>
        <v>Average height</v>
      </c>
      <c r="K2262" s="2" t="str" cm="1">
        <f t="array" ref="K2262">_xlfn.IFS(E2262&lt;=16,"Children",E2262&lt;=30,"Young Adults",E2262&lt;=45,"Middle-aged Adults",E2262&gt;45,"Old Adults")</f>
        <v>Young Adults</v>
      </c>
    </row>
    <row r="2263" spans="1:11" x14ac:dyDescent="0.45">
      <c r="A2263" s="2">
        <v>1285</v>
      </c>
      <c r="B2263" s="2" t="s">
        <v>1390</v>
      </c>
      <c r="C2263" s="2" t="s">
        <v>86</v>
      </c>
      <c r="D2263" s="2" t="s">
        <v>25</v>
      </c>
      <c r="E2263" s="2">
        <v>21</v>
      </c>
      <c r="F2263" s="2">
        <v>98</v>
      </c>
      <c r="G2263" s="2">
        <v>164</v>
      </c>
      <c r="H2263" s="9">
        <f t="shared" si="35"/>
        <v>36.43664485425343</v>
      </c>
      <c r="I2263" s="2" t="str" cm="1">
        <f t="array" ref="I2263">_xlfn.IFS(F2263&gt;=100,"Over weight",F2263&lt;100,"Average weight")</f>
        <v>Average weight</v>
      </c>
      <c r="J2263" s="2" t="str" cm="1">
        <f t="array" ref="J2263">_xlfn.IFS(G2263&lt;164,"Below Average height",G2263&gt;=165,"Above Average height",G2263=164,"Average height")</f>
        <v>Average height</v>
      </c>
      <c r="K2263" s="2" t="str" cm="1">
        <f t="array" ref="K2263">_xlfn.IFS(E2263&lt;=16,"Children",E2263&lt;=30,"Young Adults",E2263&lt;=45,"Middle-aged Adults",E2263&gt;45,"Old Adults")</f>
        <v>Young Adults</v>
      </c>
    </row>
    <row r="2264" spans="1:11" x14ac:dyDescent="0.45">
      <c r="A2264" s="2">
        <v>1326</v>
      </c>
      <c r="B2264" s="2" t="s">
        <v>1431</v>
      </c>
      <c r="C2264" s="2" t="s">
        <v>86</v>
      </c>
      <c r="D2264" s="2" t="s">
        <v>17</v>
      </c>
      <c r="E2264" s="2">
        <v>25</v>
      </c>
      <c r="F2264" s="2">
        <v>98</v>
      </c>
      <c r="G2264" s="2">
        <v>164</v>
      </c>
      <c r="H2264" s="9">
        <f t="shared" si="35"/>
        <v>36.43664485425343</v>
      </c>
      <c r="I2264" s="2" t="str" cm="1">
        <f t="array" ref="I2264">_xlfn.IFS(F2264&gt;=100,"Over weight",F2264&lt;100,"Average weight")</f>
        <v>Average weight</v>
      </c>
      <c r="J2264" s="2" t="str" cm="1">
        <f t="array" ref="J2264">_xlfn.IFS(G2264&lt;164,"Below Average height",G2264&gt;=165,"Above Average height",G2264=164,"Average height")</f>
        <v>Average height</v>
      </c>
      <c r="K2264" s="2" t="str" cm="1">
        <f t="array" ref="K2264">_xlfn.IFS(E2264&lt;=16,"Children",E2264&lt;=30,"Young Adults",E2264&lt;=45,"Middle-aged Adults",E2264&gt;45,"Old Adults")</f>
        <v>Young Adults</v>
      </c>
    </row>
    <row r="2265" spans="1:11" x14ac:dyDescent="0.45">
      <c r="A2265" s="2">
        <v>1333</v>
      </c>
      <c r="B2265" s="2" t="s">
        <v>1438</v>
      </c>
      <c r="C2265" s="2" t="s">
        <v>87</v>
      </c>
      <c r="D2265" s="2" t="s">
        <v>66</v>
      </c>
      <c r="E2265" s="2">
        <v>19</v>
      </c>
      <c r="F2265" s="2">
        <v>57</v>
      </c>
      <c r="G2265" s="2">
        <v>164</v>
      </c>
      <c r="H2265" s="9">
        <f t="shared" si="35"/>
        <v>21.192742415229034</v>
      </c>
      <c r="I2265" s="2" t="str" cm="1">
        <f t="array" ref="I2265">_xlfn.IFS(F2265&gt;=100,"Over weight",F2265&lt;100,"Average weight")</f>
        <v>Average weight</v>
      </c>
      <c r="J2265" s="2" t="str" cm="1">
        <f t="array" ref="J2265">_xlfn.IFS(G2265&lt;164,"Below Average height",G2265&gt;=165,"Above Average height",G2265=164,"Average height")</f>
        <v>Average height</v>
      </c>
      <c r="K2265" s="2" t="str" cm="1">
        <f t="array" ref="K2265">_xlfn.IFS(E2265&lt;=16,"Children",E2265&lt;=30,"Young Adults",E2265&lt;=45,"Middle-aged Adults",E2265&gt;45,"Old Adults")</f>
        <v>Young Adults</v>
      </c>
    </row>
    <row r="2266" spans="1:11" x14ac:dyDescent="0.45">
      <c r="A2266" s="2">
        <v>1415</v>
      </c>
      <c r="B2266" s="2" t="s">
        <v>1520</v>
      </c>
      <c r="C2266" s="2" t="s">
        <v>85</v>
      </c>
      <c r="D2266" s="2" t="s">
        <v>26</v>
      </c>
      <c r="E2266" s="2">
        <v>24</v>
      </c>
      <c r="F2266" s="2">
        <v>64</v>
      </c>
      <c r="G2266" s="2">
        <v>164</v>
      </c>
      <c r="H2266" s="9">
        <f t="shared" si="35"/>
        <v>23.795359904818564</v>
      </c>
      <c r="I2266" s="2" t="str" cm="1">
        <f t="array" ref="I2266">_xlfn.IFS(F2266&gt;=100,"Over weight",F2266&lt;100,"Average weight")</f>
        <v>Average weight</v>
      </c>
      <c r="J2266" s="2" t="str" cm="1">
        <f t="array" ref="J2266">_xlfn.IFS(G2266&lt;164,"Below Average height",G2266&gt;=165,"Above Average height",G2266=164,"Average height")</f>
        <v>Average height</v>
      </c>
      <c r="K2266" s="2" t="str" cm="1">
        <f t="array" ref="K2266">_xlfn.IFS(E2266&lt;=16,"Children",E2266&lt;=30,"Young Adults",E2266&lt;=45,"Middle-aged Adults",E2266&gt;45,"Old Adults")</f>
        <v>Young Adults</v>
      </c>
    </row>
    <row r="2267" spans="1:11" x14ac:dyDescent="0.45">
      <c r="A2267" s="2">
        <v>1435</v>
      </c>
      <c r="B2267" s="2" t="s">
        <v>1540</v>
      </c>
      <c r="C2267" s="2" t="s">
        <v>87</v>
      </c>
      <c r="D2267" s="2" t="s">
        <v>66</v>
      </c>
      <c r="E2267" s="2">
        <v>29</v>
      </c>
      <c r="F2267" s="2">
        <v>62</v>
      </c>
      <c r="G2267" s="2">
        <v>164</v>
      </c>
      <c r="H2267" s="9">
        <f t="shared" si="35"/>
        <v>23.051754907792983</v>
      </c>
      <c r="I2267" s="2" t="str" cm="1">
        <f t="array" ref="I2267">_xlfn.IFS(F2267&gt;=100,"Over weight",F2267&lt;100,"Average weight")</f>
        <v>Average weight</v>
      </c>
      <c r="J2267" s="2" t="str" cm="1">
        <f t="array" ref="J2267">_xlfn.IFS(G2267&lt;164,"Below Average height",G2267&gt;=165,"Above Average height",G2267=164,"Average height")</f>
        <v>Average height</v>
      </c>
      <c r="K2267" s="2" t="str" cm="1">
        <f t="array" ref="K2267">_xlfn.IFS(E2267&lt;=16,"Children",E2267&lt;=30,"Young Adults",E2267&lt;=45,"Middle-aged Adults",E2267&gt;45,"Old Adults")</f>
        <v>Young Adults</v>
      </c>
    </row>
    <row r="2268" spans="1:11" x14ac:dyDescent="0.45">
      <c r="A2268" s="2">
        <v>1476</v>
      </c>
      <c r="B2268" s="2" t="s">
        <v>1581</v>
      </c>
      <c r="C2268" s="2" t="s">
        <v>86</v>
      </c>
      <c r="D2268" s="2" t="s">
        <v>75</v>
      </c>
      <c r="E2268" s="2">
        <v>25</v>
      </c>
      <c r="F2268" s="2">
        <v>59</v>
      </c>
      <c r="G2268" s="2">
        <v>164</v>
      </c>
      <c r="H2268" s="9">
        <f t="shared" si="35"/>
        <v>21.936347412254616</v>
      </c>
      <c r="I2268" s="2" t="str" cm="1">
        <f t="array" ref="I2268">_xlfn.IFS(F2268&gt;=100,"Over weight",F2268&lt;100,"Average weight")</f>
        <v>Average weight</v>
      </c>
      <c r="J2268" s="2" t="str" cm="1">
        <f t="array" ref="J2268">_xlfn.IFS(G2268&lt;164,"Below Average height",G2268&gt;=165,"Above Average height",G2268=164,"Average height")</f>
        <v>Average height</v>
      </c>
      <c r="K2268" s="2" t="str" cm="1">
        <f t="array" ref="K2268">_xlfn.IFS(E2268&lt;=16,"Children",E2268&lt;=30,"Young Adults",E2268&lt;=45,"Middle-aged Adults",E2268&gt;45,"Old Adults")</f>
        <v>Young Adults</v>
      </c>
    </row>
    <row r="2269" spans="1:11" x14ac:dyDescent="0.45">
      <c r="A2269" s="2">
        <v>1600</v>
      </c>
      <c r="B2269" s="2" t="s">
        <v>1705</v>
      </c>
      <c r="C2269" s="2" t="s">
        <v>88</v>
      </c>
      <c r="D2269" s="2" t="s">
        <v>8</v>
      </c>
      <c r="E2269" s="2">
        <v>32</v>
      </c>
      <c r="F2269" s="2">
        <v>54</v>
      </c>
      <c r="G2269" s="2">
        <v>164</v>
      </c>
      <c r="H2269" s="9">
        <f t="shared" si="35"/>
        <v>20.077334919690664</v>
      </c>
      <c r="I2269" s="2" t="str" cm="1">
        <f t="array" ref="I2269">_xlfn.IFS(F2269&gt;=100,"Over weight",F2269&lt;100,"Average weight")</f>
        <v>Average weight</v>
      </c>
      <c r="J2269" s="2" t="str" cm="1">
        <f t="array" ref="J2269">_xlfn.IFS(G2269&lt;164,"Below Average height",G2269&gt;=165,"Above Average height",G2269=164,"Average height")</f>
        <v>Average height</v>
      </c>
      <c r="K2269" s="2" t="str" cm="1">
        <f t="array" ref="K2269">_xlfn.IFS(E2269&lt;=16,"Children",E2269&lt;=30,"Young Adults",E2269&lt;=45,"Middle-aged Adults",E2269&gt;45,"Old Adults")</f>
        <v>Middle-aged Adults</v>
      </c>
    </row>
    <row r="2270" spans="1:11" x14ac:dyDescent="0.45">
      <c r="A2270" s="2">
        <v>1643</v>
      </c>
      <c r="B2270" s="2" t="s">
        <v>1748</v>
      </c>
      <c r="C2270" s="2" t="s">
        <v>85</v>
      </c>
      <c r="D2270" s="2" t="s">
        <v>11</v>
      </c>
      <c r="E2270" s="2">
        <v>24</v>
      </c>
      <c r="F2270" s="2">
        <v>58</v>
      </c>
      <c r="G2270" s="2">
        <v>164</v>
      </c>
      <c r="H2270" s="9">
        <f t="shared" si="35"/>
        <v>21.564544913741823</v>
      </c>
      <c r="I2270" s="2" t="str" cm="1">
        <f t="array" ref="I2270">_xlfn.IFS(F2270&gt;=100,"Over weight",F2270&lt;100,"Average weight")</f>
        <v>Average weight</v>
      </c>
      <c r="J2270" s="2" t="str" cm="1">
        <f t="array" ref="J2270">_xlfn.IFS(G2270&lt;164,"Below Average height",G2270&gt;=165,"Above Average height",G2270=164,"Average height")</f>
        <v>Average height</v>
      </c>
      <c r="K2270" s="2" t="str" cm="1">
        <f t="array" ref="K2270">_xlfn.IFS(E2270&lt;=16,"Children",E2270&lt;=30,"Young Adults",E2270&lt;=45,"Middle-aged Adults",E2270&gt;45,"Old Adults")</f>
        <v>Young Adults</v>
      </c>
    </row>
    <row r="2271" spans="1:11" x14ac:dyDescent="0.45">
      <c r="A2271" s="2">
        <v>1661</v>
      </c>
      <c r="B2271" s="2" t="s">
        <v>1765</v>
      </c>
      <c r="C2271" s="2" t="s">
        <v>88</v>
      </c>
      <c r="D2271" s="2" t="s">
        <v>39</v>
      </c>
      <c r="E2271" s="2">
        <v>24</v>
      </c>
      <c r="F2271" s="2">
        <v>55</v>
      </c>
      <c r="G2271" s="2">
        <v>164</v>
      </c>
      <c r="H2271" s="9">
        <f t="shared" si="35"/>
        <v>20.449137418203453</v>
      </c>
      <c r="I2271" s="2" t="str" cm="1">
        <f t="array" ref="I2271">_xlfn.IFS(F2271&gt;=100,"Over weight",F2271&lt;100,"Average weight")</f>
        <v>Average weight</v>
      </c>
      <c r="J2271" s="2" t="str" cm="1">
        <f t="array" ref="J2271">_xlfn.IFS(G2271&lt;164,"Below Average height",G2271&gt;=165,"Above Average height",G2271=164,"Average height")</f>
        <v>Average height</v>
      </c>
      <c r="K2271" s="2" t="str" cm="1">
        <f t="array" ref="K2271">_xlfn.IFS(E2271&lt;=16,"Children",E2271&lt;=30,"Young Adults",E2271&lt;=45,"Middle-aged Adults",E2271&gt;45,"Old Adults")</f>
        <v>Young Adults</v>
      </c>
    </row>
    <row r="2272" spans="1:11" x14ac:dyDescent="0.45">
      <c r="A2272" s="2">
        <v>1663</v>
      </c>
      <c r="B2272" s="2" t="s">
        <v>1767</v>
      </c>
      <c r="C2272" s="2" t="s">
        <v>94</v>
      </c>
      <c r="D2272" s="2" t="s">
        <v>54</v>
      </c>
      <c r="E2272" s="2">
        <v>24</v>
      </c>
      <c r="F2272" s="2">
        <v>61</v>
      </c>
      <c r="G2272" s="2">
        <v>164</v>
      </c>
      <c r="H2272" s="9">
        <f t="shared" si="35"/>
        <v>22.679952409280194</v>
      </c>
      <c r="I2272" s="2" t="str" cm="1">
        <f t="array" ref="I2272">_xlfn.IFS(F2272&gt;=100,"Over weight",F2272&lt;100,"Average weight")</f>
        <v>Average weight</v>
      </c>
      <c r="J2272" s="2" t="str" cm="1">
        <f t="array" ref="J2272">_xlfn.IFS(G2272&lt;164,"Below Average height",G2272&gt;=165,"Above Average height",G2272=164,"Average height")</f>
        <v>Average height</v>
      </c>
      <c r="K2272" s="2" t="str" cm="1">
        <f t="array" ref="K2272">_xlfn.IFS(E2272&lt;=16,"Children",E2272&lt;=30,"Young Adults",E2272&lt;=45,"Middle-aged Adults",E2272&gt;45,"Old Adults")</f>
        <v>Young Adults</v>
      </c>
    </row>
    <row r="2273" spans="1:11" x14ac:dyDescent="0.45">
      <c r="A2273" s="2">
        <v>1667</v>
      </c>
      <c r="B2273" s="2" t="s">
        <v>1771</v>
      </c>
      <c r="C2273" s="2" t="s">
        <v>86</v>
      </c>
      <c r="D2273" s="2" t="s">
        <v>41</v>
      </c>
      <c r="E2273" s="2">
        <v>22</v>
      </c>
      <c r="F2273" s="2">
        <v>61</v>
      </c>
      <c r="G2273" s="2">
        <v>164</v>
      </c>
      <c r="H2273" s="9">
        <f t="shared" si="35"/>
        <v>22.679952409280194</v>
      </c>
      <c r="I2273" s="2" t="str" cm="1">
        <f t="array" ref="I2273">_xlfn.IFS(F2273&gt;=100,"Over weight",F2273&lt;100,"Average weight")</f>
        <v>Average weight</v>
      </c>
      <c r="J2273" s="2" t="str" cm="1">
        <f t="array" ref="J2273">_xlfn.IFS(G2273&lt;164,"Below Average height",G2273&gt;=165,"Above Average height",G2273=164,"Average height")</f>
        <v>Average height</v>
      </c>
      <c r="K2273" s="2" t="str" cm="1">
        <f t="array" ref="K2273">_xlfn.IFS(E2273&lt;=16,"Children",E2273&lt;=30,"Young Adults",E2273&lt;=45,"Middle-aged Adults",E2273&gt;45,"Old Adults")</f>
        <v>Young Adults</v>
      </c>
    </row>
    <row r="2274" spans="1:11" x14ac:dyDescent="0.45">
      <c r="A2274" s="2">
        <v>1704</v>
      </c>
      <c r="B2274" s="2" t="s">
        <v>1808</v>
      </c>
      <c r="C2274" s="2" t="s">
        <v>89</v>
      </c>
      <c r="D2274" s="2" t="s">
        <v>28</v>
      </c>
      <c r="E2274" s="2">
        <v>21</v>
      </c>
      <c r="F2274" s="2">
        <v>68</v>
      </c>
      <c r="G2274" s="2">
        <v>164</v>
      </c>
      <c r="H2274" s="9">
        <f t="shared" si="35"/>
        <v>25.282569898869724</v>
      </c>
      <c r="I2274" s="2" t="str" cm="1">
        <f t="array" ref="I2274">_xlfn.IFS(F2274&gt;=100,"Over weight",F2274&lt;100,"Average weight")</f>
        <v>Average weight</v>
      </c>
      <c r="J2274" s="2" t="str" cm="1">
        <f t="array" ref="J2274">_xlfn.IFS(G2274&lt;164,"Below Average height",G2274&gt;=165,"Above Average height",G2274=164,"Average height")</f>
        <v>Average height</v>
      </c>
      <c r="K2274" s="2" t="str" cm="1">
        <f t="array" ref="K2274">_xlfn.IFS(E2274&lt;=16,"Children",E2274&lt;=30,"Young Adults",E2274&lt;=45,"Middle-aged Adults",E2274&gt;45,"Old Adults")</f>
        <v>Young Adults</v>
      </c>
    </row>
    <row r="2275" spans="1:11" x14ac:dyDescent="0.45">
      <c r="A2275" s="2">
        <v>1757</v>
      </c>
      <c r="B2275" s="2" t="s">
        <v>1861</v>
      </c>
      <c r="C2275" s="2" t="s">
        <v>98</v>
      </c>
      <c r="D2275" s="2" t="s">
        <v>39</v>
      </c>
      <c r="E2275" s="2">
        <v>19</v>
      </c>
      <c r="F2275" s="2">
        <v>54</v>
      </c>
      <c r="G2275" s="2">
        <v>164</v>
      </c>
      <c r="H2275" s="9">
        <f t="shared" si="35"/>
        <v>20.077334919690664</v>
      </c>
      <c r="I2275" s="2" t="str" cm="1">
        <f t="array" ref="I2275">_xlfn.IFS(F2275&gt;=100,"Over weight",F2275&lt;100,"Average weight")</f>
        <v>Average weight</v>
      </c>
      <c r="J2275" s="2" t="str" cm="1">
        <f t="array" ref="J2275">_xlfn.IFS(G2275&lt;164,"Below Average height",G2275&gt;=165,"Above Average height",G2275=164,"Average height")</f>
        <v>Average height</v>
      </c>
      <c r="K2275" s="2" t="str" cm="1">
        <f t="array" ref="K2275">_xlfn.IFS(E2275&lt;=16,"Children",E2275&lt;=30,"Young Adults",E2275&lt;=45,"Middle-aged Adults",E2275&gt;45,"Old Adults")</f>
        <v>Young Adults</v>
      </c>
    </row>
    <row r="2276" spans="1:11" x14ac:dyDescent="0.45">
      <c r="A2276" s="2">
        <v>1806</v>
      </c>
      <c r="B2276" s="2" t="s">
        <v>1910</v>
      </c>
      <c r="C2276" s="2" t="s">
        <v>91</v>
      </c>
      <c r="D2276" s="2" t="s">
        <v>25</v>
      </c>
      <c r="E2276" s="2">
        <v>21</v>
      </c>
      <c r="F2276" s="2">
        <v>59</v>
      </c>
      <c r="G2276" s="2">
        <v>164</v>
      </c>
      <c r="H2276" s="9">
        <f t="shared" si="35"/>
        <v>21.936347412254616</v>
      </c>
      <c r="I2276" s="2" t="str" cm="1">
        <f t="array" ref="I2276">_xlfn.IFS(F2276&gt;=100,"Over weight",F2276&lt;100,"Average weight")</f>
        <v>Average weight</v>
      </c>
      <c r="J2276" s="2" t="str" cm="1">
        <f t="array" ref="J2276">_xlfn.IFS(G2276&lt;164,"Below Average height",G2276&gt;=165,"Above Average height",G2276=164,"Average height")</f>
        <v>Average height</v>
      </c>
      <c r="K2276" s="2" t="str" cm="1">
        <f t="array" ref="K2276">_xlfn.IFS(E2276&lt;=16,"Children",E2276&lt;=30,"Young Adults",E2276&lt;=45,"Middle-aged Adults",E2276&gt;45,"Old Adults")</f>
        <v>Young Adults</v>
      </c>
    </row>
    <row r="2277" spans="1:11" x14ac:dyDescent="0.45">
      <c r="A2277" s="2">
        <v>1835</v>
      </c>
      <c r="B2277" s="2" t="s">
        <v>1939</v>
      </c>
      <c r="C2277" s="2" t="s">
        <v>88</v>
      </c>
      <c r="D2277" s="2" t="s">
        <v>65</v>
      </c>
      <c r="E2277" s="2">
        <v>27</v>
      </c>
      <c r="F2277" s="2">
        <v>54</v>
      </c>
      <c r="G2277" s="2">
        <v>164</v>
      </c>
      <c r="H2277" s="9">
        <f t="shared" si="35"/>
        <v>20.077334919690664</v>
      </c>
      <c r="I2277" s="2" t="str" cm="1">
        <f t="array" ref="I2277">_xlfn.IFS(F2277&gt;=100,"Over weight",F2277&lt;100,"Average weight")</f>
        <v>Average weight</v>
      </c>
      <c r="J2277" s="2" t="str" cm="1">
        <f t="array" ref="J2277">_xlfn.IFS(G2277&lt;164,"Below Average height",G2277&gt;=165,"Above Average height",G2277=164,"Average height")</f>
        <v>Average height</v>
      </c>
      <c r="K2277" s="2" t="str" cm="1">
        <f t="array" ref="K2277">_xlfn.IFS(E2277&lt;=16,"Children",E2277&lt;=30,"Young Adults",E2277&lt;=45,"Middle-aged Adults",E2277&gt;45,"Old Adults")</f>
        <v>Young Adults</v>
      </c>
    </row>
    <row r="2278" spans="1:11" x14ac:dyDescent="0.45">
      <c r="A2278" s="2">
        <v>1839</v>
      </c>
      <c r="B2278" s="2" t="s">
        <v>1943</v>
      </c>
      <c r="C2278" s="2" t="s">
        <v>88</v>
      </c>
      <c r="D2278" s="2" t="s">
        <v>79</v>
      </c>
      <c r="E2278" s="2">
        <v>26</v>
      </c>
      <c r="F2278" s="2">
        <v>57</v>
      </c>
      <c r="G2278" s="2">
        <v>164</v>
      </c>
      <c r="H2278" s="9">
        <f t="shared" si="35"/>
        <v>21.192742415229034</v>
      </c>
      <c r="I2278" s="2" t="str" cm="1">
        <f t="array" ref="I2278">_xlfn.IFS(F2278&gt;=100,"Over weight",F2278&lt;100,"Average weight")</f>
        <v>Average weight</v>
      </c>
      <c r="J2278" s="2" t="str" cm="1">
        <f t="array" ref="J2278">_xlfn.IFS(G2278&lt;164,"Below Average height",G2278&gt;=165,"Above Average height",G2278=164,"Average height")</f>
        <v>Average height</v>
      </c>
      <c r="K2278" s="2" t="str" cm="1">
        <f t="array" ref="K2278">_xlfn.IFS(E2278&lt;=16,"Children",E2278&lt;=30,"Young Adults",E2278&lt;=45,"Middle-aged Adults",E2278&gt;45,"Old Adults")</f>
        <v>Young Adults</v>
      </c>
    </row>
    <row r="2279" spans="1:11" x14ac:dyDescent="0.45">
      <c r="A2279" s="2">
        <v>1844</v>
      </c>
      <c r="B2279" s="2" t="s">
        <v>1948</v>
      </c>
      <c r="C2279" s="2" t="s">
        <v>90</v>
      </c>
      <c r="D2279" s="2" t="s">
        <v>65</v>
      </c>
      <c r="E2279" s="2">
        <v>28</v>
      </c>
      <c r="F2279" s="2">
        <v>68</v>
      </c>
      <c r="G2279" s="2">
        <v>164</v>
      </c>
      <c r="H2279" s="9">
        <f t="shared" si="35"/>
        <v>25.282569898869724</v>
      </c>
      <c r="I2279" s="2" t="str" cm="1">
        <f t="array" ref="I2279">_xlfn.IFS(F2279&gt;=100,"Over weight",F2279&lt;100,"Average weight")</f>
        <v>Average weight</v>
      </c>
      <c r="J2279" s="2" t="str" cm="1">
        <f t="array" ref="J2279">_xlfn.IFS(G2279&lt;164,"Below Average height",G2279&gt;=165,"Above Average height",G2279=164,"Average height")</f>
        <v>Average height</v>
      </c>
      <c r="K2279" s="2" t="str" cm="1">
        <f t="array" ref="K2279">_xlfn.IFS(E2279&lt;=16,"Children",E2279&lt;=30,"Young Adults",E2279&lt;=45,"Middle-aged Adults",E2279&gt;45,"Old Adults")</f>
        <v>Young Adults</v>
      </c>
    </row>
    <row r="2280" spans="1:11" x14ac:dyDescent="0.45">
      <c r="A2280" s="2">
        <v>1854</v>
      </c>
      <c r="B2280" s="2" t="s">
        <v>1958</v>
      </c>
      <c r="C2280" s="2" t="s">
        <v>91</v>
      </c>
      <c r="D2280" s="2" t="s">
        <v>25</v>
      </c>
      <c r="E2280" s="2">
        <v>20</v>
      </c>
      <c r="F2280" s="2">
        <v>62</v>
      </c>
      <c r="G2280" s="2">
        <v>164</v>
      </c>
      <c r="H2280" s="9">
        <f t="shared" si="35"/>
        <v>23.051754907792983</v>
      </c>
      <c r="I2280" s="2" t="str" cm="1">
        <f t="array" ref="I2280">_xlfn.IFS(F2280&gt;=100,"Over weight",F2280&lt;100,"Average weight")</f>
        <v>Average weight</v>
      </c>
      <c r="J2280" s="2" t="str" cm="1">
        <f t="array" ref="J2280">_xlfn.IFS(G2280&lt;164,"Below Average height",G2280&gt;=165,"Above Average height",G2280=164,"Average height")</f>
        <v>Average height</v>
      </c>
      <c r="K2280" s="2" t="str" cm="1">
        <f t="array" ref="K2280">_xlfn.IFS(E2280&lt;=16,"Children",E2280&lt;=30,"Young Adults",E2280&lt;=45,"Middle-aged Adults",E2280&gt;45,"Old Adults")</f>
        <v>Young Adults</v>
      </c>
    </row>
    <row r="2281" spans="1:11" x14ac:dyDescent="0.45">
      <c r="A2281" s="2">
        <v>1890</v>
      </c>
      <c r="B2281" s="2" t="s">
        <v>1994</v>
      </c>
      <c r="C2281" s="2" t="s">
        <v>86</v>
      </c>
      <c r="D2281" s="2" t="s">
        <v>70</v>
      </c>
      <c r="E2281" s="2">
        <v>17</v>
      </c>
      <c r="F2281" s="2">
        <v>73</v>
      </c>
      <c r="G2281" s="2">
        <v>164</v>
      </c>
      <c r="H2281" s="9">
        <f t="shared" si="35"/>
        <v>27.141582391433676</v>
      </c>
      <c r="I2281" s="2" t="str" cm="1">
        <f t="array" ref="I2281">_xlfn.IFS(F2281&gt;=100,"Over weight",F2281&lt;100,"Average weight")</f>
        <v>Average weight</v>
      </c>
      <c r="J2281" s="2" t="str" cm="1">
        <f t="array" ref="J2281">_xlfn.IFS(G2281&lt;164,"Below Average height",G2281&gt;=165,"Above Average height",G2281=164,"Average height")</f>
        <v>Average height</v>
      </c>
      <c r="K2281" s="2" t="str" cm="1">
        <f t="array" ref="K2281">_xlfn.IFS(E2281&lt;=16,"Children",E2281&lt;=30,"Young Adults",E2281&lt;=45,"Middle-aged Adults",E2281&gt;45,"Old Adults")</f>
        <v>Young Adults</v>
      </c>
    </row>
    <row r="2282" spans="1:11" x14ac:dyDescent="0.45">
      <c r="A2282" s="2">
        <v>2006</v>
      </c>
      <c r="B2282" s="2" t="s">
        <v>2110</v>
      </c>
      <c r="C2282" s="2" t="s">
        <v>93</v>
      </c>
      <c r="D2282" s="2" t="s">
        <v>71</v>
      </c>
      <c r="E2282" s="2">
        <v>18</v>
      </c>
      <c r="F2282" s="2">
        <v>58</v>
      </c>
      <c r="G2282" s="2">
        <v>164</v>
      </c>
      <c r="H2282" s="9">
        <f t="shared" si="35"/>
        <v>21.564544913741823</v>
      </c>
      <c r="I2282" s="2" t="str" cm="1">
        <f t="array" ref="I2282">_xlfn.IFS(F2282&gt;=100,"Over weight",F2282&lt;100,"Average weight")</f>
        <v>Average weight</v>
      </c>
      <c r="J2282" s="2" t="str" cm="1">
        <f t="array" ref="J2282">_xlfn.IFS(G2282&lt;164,"Below Average height",G2282&gt;=165,"Above Average height",G2282=164,"Average height")</f>
        <v>Average height</v>
      </c>
      <c r="K2282" s="2" t="str" cm="1">
        <f t="array" ref="K2282">_xlfn.IFS(E2282&lt;=16,"Children",E2282&lt;=30,"Young Adults",E2282&lt;=45,"Middle-aged Adults",E2282&gt;45,"Old Adults")</f>
        <v>Young Adults</v>
      </c>
    </row>
    <row r="2283" spans="1:11" x14ac:dyDescent="0.45">
      <c r="A2283" s="2">
        <v>2020</v>
      </c>
      <c r="B2283" s="2" t="s">
        <v>2124</v>
      </c>
      <c r="C2283" s="2" t="s">
        <v>94</v>
      </c>
      <c r="D2283" s="2" t="s">
        <v>25</v>
      </c>
      <c r="E2283" s="2">
        <v>27</v>
      </c>
      <c r="F2283" s="2">
        <v>55</v>
      </c>
      <c r="G2283" s="2">
        <v>164</v>
      </c>
      <c r="H2283" s="9">
        <f t="shared" si="35"/>
        <v>20.449137418203453</v>
      </c>
      <c r="I2283" s="2" t="str" cm="1">
        <f t="array" ref="I2283">_xlfn.IFS(F2283&gt;=100,"Over weight",F2283&lt;100,"Average weight")</f>
        <v>Average weight</v>
      </c>
      <c r="J2283" s="2" t="str" cm="1">
        <f t="array" ref="J2283">_xlfn.IFS(G2283&lt;164,"Below Average height",G2283&gt;=165,"Above Average height",G2283=164,"Average height")</f>
        <v>Average height</v>
      </c>
      <c r="K2283" s="2" t="str" cm="1">
        <f t="array" ref="K2283">_xlfn.IFS(E2283&lt;=16,"Children",E2283&lt;=30,"Young Adults",E2283&lt;=45,"Middle-aged Adults",E2283&gt;45,"Old Adults")</f>
        <v>Young Adults</v>
      </c>
    </row>
    <row r="2284" spans="1:11" x14ac:dyDescent="0.45">
      <c r="A2284" s="2">
        <v>2081</v>
      </c>
      <c r="B2284" s="2" t="s">
        <v>2185</v>
      </c>
      <c r="C2284" s="2" t="s">
        <v>86</v>
      </c>
      <c r="D2284" s="2" t="s">
        <v>33</v>
      </c>
      <c r="E2284" s="2">
        <v>28</v>
      </c>
      <c r="F2284" s="2">
        <v>57</v>
      </c>
      <c r="G2284" s="2">
        <v>164</v>
      </c>
      <c r="H2284" s="9">
        <f t="shared" si="35"/>
        <v>21.192742415229034</v>
      </c>
      <c r="I2284" s="2" t="str" cm="1">
        <f t="array" ref="I2284">_xlfn.IFS(F2284&gt;=100,"Over weight",F2284&lt;100,"Average weight")</f>
        <v>Average weight</v>
      </c>
      <c r="J2284" s="2" t="str" cm="1">
        <f t="array" ref="J2284">_xlfn.IFS(G2284&lt;164,"Below Average height",G2284&gt;=165,"Above Average height",G2284=164,"Average height")</f>
        <v>Average height</v>
      </c>
      <c r="K2284" s="2" t="str" cm="1">
        <f t="array" ref="K2284">_xlfn.IFS(E2284&lt;=16,"Children",E2284&lt;=30,"Young Adults",E2284&lt;=45,"Middle-aged Adults",E2284&gt;45,"Old Adults")</f>
        <v>Young Adults</v>
      </c>
    </row>
    <row r="2285" spans="1:11" x14ac:dyDescent="0.45">
      <c r="A2285" s="2">
        <v>2283</v>
      </c>
      <c r="B2285" s="2" t="s">
        <v>2387</v>
      </c>
      <c r="C2285" s="2" t="s">
        <v>100</v>
      </c>
      <c r="D2285" s="2" t="s">
        <v>28</v>
      </c>
      <c r="E2285" s="2">
        <v>32</v>
      </c>
      <c r="F2285" s="2">
        <v>69</v>
      </c>
      <c r="G2285" s="2">
        <v>164</v>
      </c>
      <c r="H2285" s="9">
        <f t="shared" si="35"/>
        <v>25.654372397382513</v>
      </c>
      <c r="I2285" s="2" t="str" cm="1">
        <f t="array" ref="I2285">_xlfn.IFS(F2285&gt;=100,"Over weight",F2285&lt;100,"Average weight")</f>
        <v>Average weight</v>
      </c>
      <c r="J2285" s="2" t="str" cm="1">
        <f t="array" ref="J2285">_xlfn.IFS(G2285&lt;164,"Below Average height",G2285&gt;=165,"Above Average height",G2285=164,"Average height")</f>
        <v>Average height</v>
      </c>
      <c r="K2285" s="2" t="str" cm="1">
        <f t="array" ref="K2285">_xlfn.IFS(E2285&lt;=16,"Children",E2285&lt;=30,"Young Adults",E2285&lt;=45,"Middle-aged Adults",E2285&gt;45,"Old Adults")</f>
        <v>Middle-aged Adults</v>
      </c>
    </row>
    <row r="2286" spans="1:11" x14ac:dyDescent="0.45">
      <c r="A2286" s="2">
        <v>2311</v>
      </c>
      <c r="B2286" s="2" t="s">
        <v>2415</v>
      </c>
      <c r="C2286" s="2" t="s">
        <v>86</v>
      </c>
      <c r="D2286" s="2" t="s">
        <v>42</v>
      </c>
      <c r="E2286" s="2">
        <v>16</v>
      </c>
      <c r="F2286" s="2">
        <v>43</v>
      </c>
      <c r="G2286" s="2">
        <v>164</v>
      </c>
      <c r="H2286" s="9">
        <f t="shared" si="35"/>
        <v>15.987507436049974</v>
      </c>
      <c r="I2286" s="2" t="str" cm="1">
        <f t="array" ref="I2286">_xlfn.IFS(F2286&gt;=100,"Over weight",F2286&lt;100,"Average weight")</f>
        <v>Average weight</v>
      </c>
      <c r="J2286" s="2" t="str" cm="1">
        <f t="array" ref="J2286">_xlfn.IFS(G2286&lt;164,"Below Average height",G2286&gt;=165,"Above Average height",G2286=164,"Average height")</f>
        <v>Average height</v>
      </c>
      <c r="K2286" s="2" t="str" cm="1">
        <f t="array" ref="K2286">_xlfn.IFS(E2286&lt;=16,"Children",E2286&lt;=30,"Young Adults",E2286&lt;=45,"Middle-aged Adults",E2286&gt;45,"Old Adults")</f>
        <v>Children</v>
      </c>
    </row>
    <row r="2287" spans="1:11" x14ac:dyDescent="0.45">
      <c r="A2287" s="2">
        <v>2527</v>
      </c>
      <c r="B2287" s="2" t="s">
        <v>2631</v>
      </c>
      <c r="C2287" s="2" t="s">
        <v>91</v>
      </c>
      <c r="D2287" s="2" t="s">
        <v>75</v>
      </c>
      <c r="E2287" s="2">
        <v>24</v>
      </c>
      <c r="F2287" s="2">
        <v>62</v>
      </c>
      <c r="G2287" s="2">
        <v>164</v>
      </c>
      <c r="H2287" s="9">
        <f t="shared" si="35"/>
        <v>23.051754907792983</v>
      </c>
      <c r="I2287" s="2" t="str" cm="1">
        <f t="array" ref="I2287">_xlfn.IFS(F2287&gt;=100,"Over weight",F2287&lt;100,"Average weight")</f>
        <v>Average weight</v>
      </c>
      <c r="J2287" s="2" t="str" cm="1">
        <f t="array" ref="J2287">_xlfn.IFS(G2287&lt;164,"Below Average height",G2287&gt;=165,"Above Average height",G2287=164,"Average height")</f>
        <v>Average height</v>
      </c>
      <c r="K2287" s="2" t="str" cm="1">
        <f t="array" ref="K2287">_xlfn.IFS(E2287&lt;=16,"Children",E2287&lt;=30,"Young Adults",E2287&lt;=45,"Middle-aged Adults",E2287&gt;45,"Old Adults")</f>
        <v>Young Adults</v>
      </c>
    </row>
    <row r="2288" spans="1:11" x14ac:dyDescent="0.45">
      <c r="A2288" s="2">
        <v>2534</v>
      </c>
      <c r="B2288" s="2" t="s">
        <v>2638</v>
      </c>
      <c r="C2288" s="2" t="s">
        <v>96</v>
      </c>
      <c r="D2288" s="2" t="s">
        <v>41</v>
      </c>
      <c r="E2288" s="2">
        <v>25</v>
      </c>
      <c r="F2288" s="2">
        <v>112</v>
      </c>
      <c r="G2288" s="2">
        <v>164</v>
      </c>
      <c r="H2288" s="9">
        <f t="shared" si="35"/>
        <v>41.64187983343249</v>
      </c>
      <c r="I2288" s="2" t="str" cm="1">
        <f t="array" ref="I2288">_xlfn.IFS(F2288&gt;=100,"Over weight",F2288&lt;100,"Average weight")</f>
        <v>Over weight</v>
      </c>
      <c r="J2288" s="2" t="str" cm="1">
        <f t="array" ref="J2288">_xlfn.IFS(G2288&lt;164,"Below Average height",G2288&gt;=165,"Above Average height",G2288=164,"Average height")</f>
        <v>Average height</v>
      </c>
      <c r="K2288" s="2" t="str" cm="1">
        <f t="array" ref="K2288">_xlfn.IFS(E2288&lt;=16,"Children",E2288&lt;=30,"Young Adults",E2288&lt;=45,"Middle-aged Adults",E2288&gt;45,"Old Adults")</f>
        <v>Young Adults</v>
      </c>
    </row>
    <row r="2289" spans="1:11" x14ac:dyDescent="0.45">
      <c r="A2289" s="2">
        <v>2536</v>
      </c>
      <c r="B2289" s="2" t="s">
        <v>2640</v>
      </c>
      <c r="C2289" s="2" t="s">
        <v>95</v>
      </c>
      <c r="D2289" s="2" t="s">
        <v>41</v>
      </c>
      <c r="E2289" s="2">
        <v>27</v>
      </c>
      <c r="F2289" s="2">
        <v>60</v>
      </c>
      <c r="G2289" s="2">
        <v>164</v>
      </c>
      <c r="H2289" s="9">
        <f t="shared" si="35"/>
        <v>22.308149910767405</v>
      </c>
      <c r="I2289" s="2" t="str" cm="1">
        <f t="array" ref="I2289">_xlfn.IFS(F2289&gt;=100,"Over weight",F2289&lt;100,"Average weight")</f>
        <v>Average weight</v>
      </c>
      <c r="J2289" s="2" t="str" cm="1">
        <f t="array" ref="J2289">_xlfn.IFS(G2289&lt;164,"Below Average height",G2289&gt;=165,"Above Average height",G2289=164,"Average height")</f>
        <v>Average height</v>
      </c>
      <c r="K2289" s="2" t="str" cm="1">
        <f t="array" ref="K2289">_xlfn.IFS(E2289&lt;=16,"Children",E2289&lt;=30,"Young Adults",E2289&lt;=45,"Middle-aged Adults",E2289&gt;45,"Old Adults")</f>
        <v>Young Adults</v>
      </c>
    </row>
    <row r="2290" spans="1:11" x14ac:dyDescent="0.45">
      <c r="A2290" s="2">
        <v>2548</v>
      </c>
      <c r="B2290" s="2" t="s">
        <v>2652</v>
      </c>
      <c r="C2290" s="2" t="s">
        <v>86</v>
      </c>
      <c r="D2290" s="2" t="s">
        <v>79</v>
      </c>
      <c r="E2290" s="2">
        <v>25</v>
      </c>
      <c r="F2290" s="2">
        <v>112</v>
      </c>
      <c r="G2290" s="2">
        <v>164</v>
      </c>
      <c r="H2290" s="9">
        <f t="shared" si="35"/>
        <v>41.64187983343249</v>
      </c>
      <c r="I2290" s="2" t="str" cm="1">
        <f t="array" ref="I2290">_xlfn.IFS(F2290&gt;=100,"Over weight",F2290&lt;100,"Average weight")</f>
        <v>Over weight</v>
      </c>
      <c r="J2290" s="2" t="str" cm="1">
        <f t="array" ref="J2290">_xlfn.IFS(G2290&lt;164,"Below Average height",G2290&gt;=165,"Above Average height",G2290=164,"Average height")</f>
        <v>Average height</v>
      </c>
      <c r="K2290" s="2" t="str" cm="1">
        <f t="array" ref="K2290">_xlfn.IFS(E2290&lt;=16,"Children",E2290&lt;=30,"Young Adults",E2290&lt;=45,"Middle-aged Adults",E2290&gt;45,"Old Adults")</f>
        <v>Young Adults</v>
      </c>
    </row>
    <row r="2291" spans="1:11" x14ac:dyDescent="0.45">
      <c r="A2291" s="2">
        <v>2592</v>
      </c>
      <c r="B2291" s="2" t="s">
        <v>2695</v>
      </c>
      <c r="C2291" s="2" t="s">
        <v>98</v>
      </c>
      <c r="D2291" s="2" t="s">
        <v>39</v>
      </c>
      <c r="E2291" s="2">
        <v>28</v>
      </c>
      <c r="F2291" s="2">
        <v>58</v>
      </c>
      <c r="G2291" s="2">
        <v>164</v>
      </c>
      <c r="H2291" s="9">
        <f t="shared" si="35"/>
        <v>21.564544913741823</v>
      </c>
      <c r="I2291" s="2" t="str" cm="1">
        <f t="array" ref="I2291">_xlfn.IFS(F2291&gt;=100,"Over weight",F2291&lt;100,"Average weight")</f>
        <v>Average weight</v>
      </c>
      <c r="J2291" s="2" t="str" cm="1">
        <f t="array" ref="J2291">_xlfn.IFS(G2291&lt;164,"Below Average height",G2291&gt;=165,"Above Average height",G2291=164,"Average height")</f>
        <v>Average height</v>
      </c>
      <c r="K2291" s="2" t="str" cm="1">
        <f t="array" ref="K2291">_xlfn.IFS(E2291&lt;=16,"Children",E2291&lt;=30,"Young Adults",E2291&lt;=45,"Middle-aged Adults",E2291&gt;45,"Old Adults")</f>
        <v>Young Adults</v>
      </c>
    </row>
    <row r="2292" spans="1:11" x14ac:dyDescent="0.45">
      <c r="A2292" s="2">
        <v>16</v>
      </c>
      <c r="B2292" s="2" t="s">
        <v>121</v>
      </c>
      <c r="C2292" s="2" t="s">
        <v>89</v>
      </c>
      <c r="D2292" s="2" t="s">
        <v>44</v>
      </c>
      <c r="E2292" s="2">
        <v>17</v>
      </c>
      <c r="F2292" s="2">
        <v>52</v>
      </c>
      <c r="G2292" s="2">
        <v>163</v>
      </c>
      <c r="H2292" s="9">
        <f t="shared" si="35"/>
        <v>19.571681282697881</v>
      </c>
      <c r="I2292" s="2" t="str" cm="1">
        <f t="array" ref="I2292">_xlfn.IFS(F2292&gt;=100,"Over weight",F2292&lt;100,"Average weight")</f>
        <v>Average weight</v>
      </c>
      <c r="J2292" s="2" t="str" cm="1">
        <f t="array" ref="J2292">_xlfn.IFS(G2292&lt;164,"Below Average height",G2292&gt;=165,"Above Average height",G2292=164,"Average height")</f>
        <v>Below Average height</v>
      </c>
      <c r="K2292" s="2" t="str" cm="1">
        <f t="array" ref="K2292">_xlfn.IFS(E2292&lt;=16,"Children",E2292&lt;=30,"Young Adults",E2292&lt;=45,"Middle-aged Adults",E2292&gt;45,"Old Adults")</f>
        <v>Young Adults</v>
      </c>
    </row>
    <row r="2293" spans="1:11" x14ac:dyDescent="0.45">
      <c r="A2293" s="2">
        <v>34</v>
      </c>
      <c r="B2293" s="2" t="s">
        <v>139</v>
      </c>
      <c r="C2293" s="2" t="s">
        <v>86</v>
      </c>
      <c r="D2293" s="2" t="s">
        <v>41</v>
      </c>
      <c r="E2293" s="2">
        <v>22</v>
      </c>
      <c r="F2293" s="2">
        <v>85</v>
      </c>
      <c r="G2293" s="2">
        <v>162</v>
      </c>
      <c r="H2293" s="9">
        <f t="shared" si="35"/>
        <v>32.38835543362292</v>
      </c>
      <c r="I2293" s="2" t="str" cm="1">
        <f t="array" ref="I2293">_xlfn.IFS(F2293&gt;=100,"Over weight",F2293&lt;100,"Average weight")</f>
        <v>Average weight</v>
      </c>
      <c r="J2293" s="2" t="str" cm="1">
        <f t="array" ref="J2293">_xlfn.IFS(G2293&lt;164,"Below Average height",G2293&gt;=165,"Above Average height",G2293=164,"Average height")</f>
        <v>Below Average height</v>
      </c>
      <c r="K2293" s="2" t="str" cm="1">
        <f t="array" ref="K2293">_xlfn.IFS(E2293&lt;=16,"Children",E2293&lt;=30,"Young Adults",E2293&lt;=45,"Middle-aged Adults",E2293&gt;45,"Old Adults")</f>
        <v>Young Adults</v>
      </c>
    </row>
    <row r="2294" spans="1:11" x14ac:dyDescent="0.45">
      <c r="A2294" s="2">
        <v>50</v>
      </c>
      <c r="B2294" s="2" t="s">
        <v>155</v>
      </c>
      <c r="C2294" s="2" t="s">
        <v>94</v>
      </c>
      <c r="D2294" s="2" t="s">
        <v>79</v>
      </c>
      <c r="E2294" s="2">
        <v>22</v>
      </c>
      <c r="F2294" s="2">
        <v>54</v>
      </c>
      <c r="G2294" s="2">
        <v>161</v>
      </c>
      <c r="H2294" s="9">
        <f t="shared" si="35"/>
        <v>20.832529609197174</v>
      </c>
      <c r="I2294" s="2" t="str" cm="1">
        <f t="array" ref="I2294">_xlfn.IFS(F2294&gt;=100,"Over weight",F2294&lt;100,"Average weight")</f>
        <v>Average weight</v>
      </c>
      <c r="J2294" s="2" t="str" cm="1">
        <f t="array" ref="J2294">_xlfn.IFS(G2294&lt;164,"Below Average height",G2294&gt;=165,"Above Average height",G2294=164,"Average height")</f>
        <v>Below Average height</v>
      </c>
      <c r="K2294" s="2" t="str" cm="1">
        <f t="array" ref="K2294">_xlfn.IFS(E2294&lt;=16,"Children",E2294&lt;=30,"Young Adults",E2294&lt;=45,"Middle-aged Adults",E2294&gt;45,"Old Adults")</f>
        <v>Young Adults</v>
      </c>
    </row>
    <row r="2295" spans="1:11" x14ac:dyDescent="0.45">
      <c r="A2295" s="2">
        <v>55</v>
      </c>
      <c r="B2295" s="2" t="s">
        <v>160</v>
      </c>
      <c r="C2295" s="2" t="s">
        <v>94</v>
      </c>
      <c r="D2295" s="2" t="s">
        <v>80</v>
      </c>
      <c r="E2295" s="2">
        <v>23</v>
      </c>
      <c r="F2295" s="2">
        <v>53</v>
      </c>
      <c r="G2295" s="2">
        <v>163</v>
      </c>
      <c r="H2295" s="9">
        <f t="shared" si="35"/>
        <v>19.948059768903612</v>
      </c>
      <c r="I2295" s="2" t="str" cm="1">
        <f t="array" ref="I2295">_xlfn.IFS(F2295&gt;=100,"Over weight",F2295&lt;100,"Average weight")</f>
        <v>Average weight</v>
      </c>
      <c r="J2295" s="2" t="str" cm="1">
        <f t="array" ref="J2295">_xlfn.IFS(G2295&lt;164,"Below Average height",G2295&gt;=165,"Above Average height",G2295=164,"Average height")</f>
        <v>Below Average height</v>
      </c>
      <c r="K2295" s="2" t="str" cm="1">
        <f t="array" ref="K2295">_xlfn.IFS(E2295&lt;=16,"Children",E2295&lt;=30,"Young Adults",E2295&lt;=45,"Middle-aged Adults",E2295&gt;45,"Old Adults")</f>
        <v>Young Adults</v>
      </c>
    </row>
    <row r="2296" spans="1:11" x14ac:dyDescent="0.45">
      <c r="A2296" s="2">
        <v>56</v>
      </c>
      <c r="B2296" s="2" t="s">
        <v>161</v>
      </c>
      <c r="C2296" s="2" t="s">
        <v>86</v>
      </c>
      <c r="D2296" s="2" t="s">
        <v>41</v>
      </c>
      <c r="E2296" s="2">
        <v>19</v>
      </c>
      <c r="F2296" s="2">
        <v>85</v>
      </c>
      <c r="G2296" s="2">
        <v>163</v>
      </c>
      <c r="H2296" s="9">
        <f t="shared" si="35"/>
        <v>31.992171327486922</v>
      </c>
      <c r="I2296" s="2" t="str" cm="1">
        <f t="array" ref="I2296">_xlfn.IFS(F2296&gt;=100,"Over weight",F2296&lt;100,"Average weight")</f>
        <v>Average weight</v>
      </c>
      <c r="J2296" s="2" t="str" cm="1">
        <f t="array" ref="J2296">_xlfn.IFS(G2296&lt;164,"Below Average height",G2296&gt;=165,"Above Average height",G2296=164,"Average height")</f>
        <v>Below Average height</v>
      </c>
      <c r="K2296" s="2" t="str" cm="1">
        <f t="array" ref="K2296">_xlfn.IFS(E2296&lt;=16,"Children",E2296&lt;=30,"Young Adults",E2296&lt;=45,"Middle-aged Adults",E2296&gt;45,"Old Adults")</f>
        <v>Young Adults</v>
      </c>
    </row>
    <row r="2297" spans="1:11" x14ac:dyDescent="0.45">
      <c r="A2297" s="2">
        <v>77</v>
      </c>
      <c r="B2297" s="2" t="s">
        <v>182</v>
      </c>
      <c r="C2297" s="2" t="s">
        <v>87</v>
      </c>
      <c r="D2297" s="2" t="s">
        <v>80</v>
      </c>
      <c r="E2297" s="2">
        <v>29</v>
      </c>
      <c r="F2297" s="2">
        <v>58</v>
      </c>
      <c r="G2297" s="2">
        <v>163</v>
      </c>
      <c r="H2297" s="9">
        <f t="shared" si="35"/>
        <v>21.829952199932254</v>
      </c>
      <c r="I2297" s="2" t="str" cm="1">
        <f t="array" ref="I2297">_xlfn.IFS(F2297&gt;=100,"Over weight",F2297&lt;100,"Average weight")</f>
        <v>Average weight</v>
      </c>
      <c r="J2297" s="2" t="str" cm="1">
        <f t="array" ref="J2297">_xlfn.IFS(G2297&lt;164,"Below Average height",G2297&gt;=165,"Above Average height",G2297=164,"Average height")</f>
        <v>Below Average height</v>
      </c>
      <c r="K2297" s="2" t="str" cm="1">
        <f t="array" ref="K2297">_xlfn.IFS(E2297&lt;=16,"Children",E2297&lt;=30,"Young Adults",E2297&lt;=45,"Middle-aged Adults",E2297&gt;45,"Old Adults")</f>
        <v>Young Adults</v>
      </c>
    </row>
    <row r="2298" spans="1:11" x14ac:dyDescent="0.45">
      <c r="A2298" s="2">
        <v>90</v>
      </c>
      <c r="B2298" s="2" t="s">
        <v>195</v>
      </c>
      <c r="C2298" s="2" t="s">
        <v>88</v>
      </c>
      <c r="D2298" s="2" t="s">
        <v>80</v>
      </c>
      <c r="E2298" s="2">
        <v>27</v>
      </c>
      <c r="F2298" s="2">
        <v>54</v>
      </c>
      <c r="G2298" s="2">
        <v>160</v>
      </c>
      <c r="H2298" s="9">
        <f t="shared" si="35"/>
        <v>21.093749999999996</v>
      </c>
      <c r="I2298" s="2" t="str" cm="1">
        <f t="array" ref="I2298">_xlfn.IFS(F2298&gt;=100,"Over weight",F2298&lt;100,"Average weight")</f>
        <v>Average weight</v>
      </c>
      <c r="J2298" s="2" t="str" cm="1">
        <f t="array" ref="J2298">_xlfn.IFS(G2298&lt;164,"Below Average height",G2298&gt;=165,"Above Average height",G2298=164,"Average height")</f>
        <v>Below Average height</v>
      </c>
      <c r="K2298" s="2" t="str" cm="1">
        <f t="array" ref="K2298">_xlfn.IFS(E2298&lt;=16,"Children",E2298&lt;=30,"Young Adults",E2298&lt;=45,"Middle-aged Adults",E2298&gt;45,"Old Adults")</f>
        <v>Young Adults</v>
      </c>
    </row>
    <row r="2299" spans="1:11" x14ac:dyDescent="0.45">
      <c r="A2299" s="2">
        <v>112</v>
      </c>
      <c r="B2299" s="2" t="s">
        <v>217</v>
      </c>
      <c r="C2299" s="2" t="s">
        <v>98</v>
      </c>
      <c r="D2299" s="2" t="s">
        <v>80</v>
      </c>
      <c r="E2299" s="2">
        <v>29</v>
      </c>
      <c r="F2299" s="2">
        <v>57</v>
      </c>
      <c r="G2299" s="2">
        <v>160</v>
      </c>
      <c r="H2299" s="9">
        <f t="shared" si="35"/>
        <v>22.265624999999996</v>
      </c>
      <c r="I2299" s="2" t="str" cm="1">
        <f t="array" ref="I2299">_xlfn.IFS(F2299&gt;=100,"Over weight",F2299&lt;100,"Average weight")</f>
        <v>Average weight</v>
      </c>
      <c r="J2299" s="2" t="str" cm="1">
        <f t="array" ref="J2299">_xlfn.IFS(G2299&lt;164,"Below Average height",G2299&gt;=165,"Above Average height",G2299=164,"Average height")</f>
        <v>Below Average height</v>
      </c>
      <c r="K2299" s="2" t="str" cm="1">
        <f t="array" ref="K2299">_xlfn.IFS(E2299&lt;=16,"Children",E2299&lt;=30,"Young Adults",E2299&lt;=45,"Middle-aged Adults",E2299&gt;45,"Old Adults")</f>
        <v>Young Adults</v>
      </c>
    </row>
    <row r="2300" spans="1:11" x14ac:dyDescent="0.45">
      <c r="A2300" s="2">
        <v>113</v>
      </c>
      <c r="B2300" s="2" t="s">
        <v>218</v>
      </c>
      <c r="C2300" s="2" t="s">
        <v>86</v>
      </c>
      <c r="D2300" s="2" t="s">
        <v>66</v>
      </c>
      <c r="E2300" s="2">
        <v>17</v>
      </c>
      <c r="F2300" s="2">
        <v>65</v>
      </c>
      <c r="G2300" s="2">
        <v>160</v>
      </c>
      <c r="H2300" s="9">
        <f t="shared" si="35"/>
        <v>25.390624999999996</v>
      </c>
      <c r="I2300" s="2" t="str" cm="1">
        <f t="array" ref="I2300">_xlfn.IFS(F2300&gt;=100,"Over weight",F2300&lt;100,"Average weight")</f>
        <v>Average weight</v>
      </c>
      <c r="J2300" s="2" t="str" cm="1">
        <f t="array" ref="J2300">_xlfn.IFS(G2300&lt;164,"Below Average height",G2300&gt;=165,"Above Average height",G2300=164,"Average height")</f>
        <v>Below Average height</v>
      </c>
      <c r="K2300" s="2" t="str" cm="1">
        <f t="array" ref="K2300">_xlfn.IFS(E2300&lt;=16,"Children",E2300&lt;=30,"Young Adults",E2300&lt;=45,"Middle-aged Adults",E2300&gt;45,"Old Adults")</f>
        <v>Young Adults</v>
      </c>
    </row>
    <row r="2301" spans="1:11" x14ac:dyDescent="0.45">
      <c r="A2301" s="2">
        <v>117</v>
      </c>
      <c r="B2301" s="2" t="s">
        <v>222</v>
      </c>
      <c r="C2301" s="2" t="s">
        <v>88</v>
      </c>
      <c r="D2301" s="2" t="s">
        <v>28</v>
      </c>
      <c r="E2301" s="2">
        <v>30</v>
      </c>
      <c r="F2301" s="2">
        <v>50</v>
      </c>
      <c r="G2301" s="2">
        <v>156</v>
      </c>
      <c r="H2301" s="9">
        <f t="shared" si="35"/>
        <v>20.5456936226167</v>
      </c>
      <c r="I2301" s="2" t="str" cm="1">
        <f t="array" ref="I2301">_xlfn.IFS(F2301&gt;=100,"Over weight",F2301&lt;100,"Average weight")</f>
        <v>Average weight</v>
      </c>
      <c r="J2301" s="2" t="str" cm="1">
        <f t="array" ref="J2301">_xlfn.IFS(G2301&lt;164,"Below Average height",G2301&gt;=165,"Above Average height",G2301=164,"Average height")</f>
        <v>Below Average height</v>
      </c>
      <c r="K2301" s="2" t="str" cm="1">
        <f t="array" ref="K2301">_xlfn.IFS(E2301&lt;=16,"Children",E2301&lt;=30,"Young Adults",E2301&lt;=45,"Middle-aged Adults",E2301&gt;45,"Old Adults")</f>
        <v>Young Adults</v>
      </c>
    </row>
    <row r="2302" spans="1:11" x14ac:dyDescent="0.45">
      <c r="A2302" s="2">
        <v>123</v>
      </c>
      <c r="B2302" s="2" t="s">
        <v>228</v>
      </c>
      <c r="C2302" s="2" t="s">
        <v>87</v>
      </c>
      <c r="D2302" s="2" t="s">
        <v>71</v>
      </c>
      <c r="E2302" s="2">
        <v>27</v>
      </c>
      <c r="F2302" s="2">
        <v>65</v>
      </c>
      <c r="G2302" s="2">
        <v>160</v>
      </c>
      <c r="H2302" s="9">
        <f t="shared" si="35"/>
        <v>25.390624999999996</v>
      </c>
      <c r="I2302" s="2" t="str" cm="1">
        <f t="array" ref="I2302">_xlfn.IFS(F2302&gt;=100,"Over weight",F2302&lt;100,"Average weight")</f>
        <v>Average weight</v>
      </c>
      <c r="J2302" s="2" t="str" cm="1">
        <f t="array" ref="J2302">_xlfn.IFS(G2302&lt;164,"Below Average height",G2302&gt;=165,"Above Average height",G2302=164,"Average height")</f>
        <v>Below Average height</v>
      </c>
      <c r="K2302" s="2" t="str" cm="1">
        <f t="array" ref="K2302">_xlfn.IFS(E2302&lt;=16,"Children",E2302&lt;=30,"Young Adults",E2302&lt;=45,"Middle-aged Adults",E2302&gt;45,"Old Adults")</f>
        <v>Young Adults</v>
      </c>
    </row>
    <row r="2303" spans="1:11" x14ac:dyDescent="0.45">
      <c r="A2303" s="2">
        <v>136</v>
      </c>
      <c r="B2303" s="2" t="s">
        <v>241</v>
      </c>
      <c r="C2303" s="2" t="s">
        <v>91</v>
      </c>
      <c r="D2303" s="2" t="s">
        <v>75</v>
      </c>
      <c r="E2303" s="2">
        <v>17</v>
      </c>
      <c r="F2303" s="2">
        <v>55</v>
      </c>
      <c r="G2303" s="2">
        <v>163</v>
      </c>
      <c r="H2303" s="9">
        <f t="shared" si="35"/>
        <v>20.700816741315069</v>
      </c>
      <c r="I2303" s="2" t="str" cm="1">
        <f t="array" ref="I2303">_xlfn.IFS(F2303&gt;=100,"Over weight",F2303&lt;100,"Average weight")</f>
        <v>Average weight</v>
      </c>
      <c r="J2303" s="2" t="str" cm="1">
        <f t="array" ref="J2303">_xlfn.IFS(G2303&lt;164,"Below Average height",G2303&gt;=165,"Above Average height",G2303=164,"Average height")</f>
        <v>Below Average height</v>
      </c>
      <c r="K2303" s="2" t="str" cm="1">
        <f t="array" ref="K2303">_xlfn.IFS(E2303&lt;=16,"Children",E2303&lt;=30,"Young Adults",E2303&lt;=45,"Middle-aged Adults",E2303&gt;45,"Old Adults")</f>
        <v>Young Adults</v>
      </c>
    </row>
    <row r="2304" spans="1:11" x14ac:dyDescent="0.45">
      <c r="A2304" s="2">
        <v>149</v>
      </c>
      <c r="B2304" s="2" t="s">
        <v>254</v>
      </c>
      <c r="C2304" s="2" t="s">
        <v>96</v>
      </c>
      <c r="D2304" s="2" t="s">
        <v>14</v>
      </c>
      <c r="E2304" s="2">
        <v>43</v>
      </c>
      <c r="F2304" s="2">
        <v>58</v>
      </c>
      <c r="G2304" s="2">
        <v>163</v>
      </c>
      <c r="H2304" s="9">
        <f t="shared" si="35"/>
        <v>21.829952199932254</v>
      </c>
      <c r="I2304" s="2" t="str" cm="1">
        <f t="array" ref="I2304">_xlfn.IFS(F2304&gt;=100,"Over weight",F2304&lt;100,"Average weight")</f>
        <v>Average weight</v>
      </c>
      <c r="J2304" s="2" t="str" cm="1">
        <f t="array" ref="J2304">_xlfn.IFS(G2304&lt;164,"Below Average height",G2304&gt;=165,"Above Average height",G2304=164,"Average height")</f>
        <v>Below Average height</v>
      </c>
      <c r="K2304" s="2" t="str" cm="1">
        <f t="array" ref="K2304">_xlfn.IFS(E2304&lt;=16,"Children",E2304&lt;=30,"Young Adults",E2304&lt;=45,"Middle-aged Adults",E2304&gt;45,"Old Adults")</f>
        <v>Middle-aged Adults</v>
      </c>
    </row>
    <row r="2305" spans="1:11" x14ac:dyDescent="0.45">
      <c r="A2305" s="2">
        <v>154</v>
      </c>
      <c r="B2305" s="2" t="s">
        <v>259</v>
      </c>
      <c r="C2305" s="2" t="s">
        <v>85</v>
      </c>
      <c r="D2305" s="2" t="s">
        <v>26</v>
      </c>
      <c r="E2305" s="2">
        <v>21</v>
      </c>
      <c r="F2305" s="2">
        <v>54</v>
      </c>
      <c r="G2305" s="2">
        <v>158</v>
      </c>
      <c r="H2305" s="9">
        <f t="shared" si="35"/>
        <v>21.631148854350261</v>
      </c>
      <c r="I2305" s="2" t="str" cm="1">
        <f t="array" ref="I2305">_xlfn.IFS(F2305&gt;=100,"Over weight",F2305&lt;100,"Average weight")</f>
        <v>Average weight</v>
      </c>
      <c r="J2305" s="2" t="str" cm="1">
        <f t="array" ref="J2305">_xlfn.IFS(G2305&lt;164,"Below Average height",G2305&gt;=165,"Above Average height",G2305=164,"Average height")</f>
        <v>Below Average height</v>
      </c>
      <c r="K2305" s="2" t="str" cm="1">
        <f t="array" ref="K2305">_xlfn.IFS(E2305&lt;=16,"Children",E2305&lt;=30,"Young Adults",E2305&lt;=45,"Middle-aged Adults",E2305&gt;45,"Old Adults")</f>
        <v>Young Adults</v>
      </c>
    </row>
    <row r="2306" spans="1:11" x14ac:dyDescent="0.45">
      <c r="A2306" s="2">
        <v>197</v>
      </c>
      <c r="B2306" s="2" t="s">
        <v>302</v>
      </c>
      <c r="C2306" s="2" t="s">
        <v>98</v>
      </c>
      <c r="D2306" s="2" t="s">
        <v>5</v>
      </c>
      <c r="E2306" s="2">
        <v>25</v>
      </c>
      <c r="F2306" s="2">
        <v>52</v>
      </c>
      <c r="G2306" s="2">
        <v>156</v>
      </c>
      <c r="H2306" s="9">
        <f t="shared" ref="H2306:H2369" si="36" xml:space="preserve"> F2306 / (( G2306/ 100) ^ 2)</f>
        <v>21.367521367521366</v>
      </c>
      <c r="I2306" s="2" t="str" cm="1">
        <f t="array" ref="I2306">_xlfn.IFS(F2306&gt;=100,"Over weight",F2306&lt;100,"Average weight")</f>
        <v>Average weight</v>
      </c>
      <c r="J2306" s="2" t="str" cm="1">
        <f t="array" ref="J2306">_xlfn.IFS(G2306&lt;164,"Below Average height",G2306&gt;=165,"Above Average height",G2306=164,"Average height")</f>
        <v>Below Average height</v>
      </c>
      <c r="K2306" s="2" t="str" cm="1">
        <f t="array" ref="K2306">_xlfn.IFS(E2306&lt;=16,"Children",E2306&lt;=30,"Young Adults",E2306&lt;=45,"Middle-aged Adults",E2306&gt;45,"Old Adults")</f>
        <v>Young Adults</v>
      </c>
    </row>
    <row r="2307" spans="1:11" x14ac:dyDescent="0.45">
      <c r="A2307" s="2">
        <v>214</v>
      </c>
      <c r="B2307" s="2" t="s">
        <v>319</v>
      </c>
      <c r="C2307" s="2" t="s">
        <v>88</v>
      </c>
      <c r="D2307" s="2" t="s">
        <v>71</v>
      </c>
      <c r="E2307" s="2">
        <v>30</v>
      </c>
      <c r="F2307" s="2">
        <v>65</v>
      </c>
      <c r="G2307" s="2">
        <v>163</v>
      </c>
      <c r="H2307" s="9">
        <f t="shared" si="36"/>
        <v>24.464601603372351</v>
      </c>
      <c r="I2307" s="2" t="str" cm="1">
        <f t="array" ref="I2307">_xlfn.IFS(F2307&gt;=100,"Over weight",F2307&lt;100,"Average weight")</f>
        <v>Average weight</v>
      </c>
      <c r="J2307" s="2" t="str" cm="1">
        <f t="array" ref="J2307">_xlfn.IFS(G2307&lt;164,"Below Average height",G2307&gt;=165,"Above Average height",G2307=164,"Average height")</f>
        <v>Below Average height</v>
      </c>
      <c r="K2307" s="2" t="str" cm="1">
        <f t="array" ref="K2307">_xlfn.IFS(E2307&lt;=16,"Children",E2307&lt;=30,"Young Adults",E2307&lt;=45,"Middle-aged Adults",E2307&gt;45,"Old Adults")</f>
        <v>Young Adults</v>
      </c>
    </row>
    <row r="2308" spans="1:11" x14ac:dyDescent="0.45">
      <c r="A2308" s="2">
        <v>218</v>
      </c>
      <c r="B2308" s="2" t="s">
        <v>323</v>
      </c>
      <c r="C2308" s="2" t="s">
        <v>85</v>
      </c>
      <c r="D2308" s="2" t="s">
        <v>6</v>
      </c>
      <c r="E2308" s="2">
        <v>21</v>
      </c>
      <c r="F2308" s="2">
        <v>57</v>
      </c>
      <c r="G2308" s="2">
        <v>160</v>
      </c>
      <c r="H2308" s="9">
        <f t="shared" si="36"/>
        <v>22.265624999999996</v>
      </c>
      <c r="I2308" s="2" t="str" cm="1">
        <f t="array" ref="I2308">_xlfn.IFS(F2308&gt;=100,"Over weight",F2308&lt;100,"Average weight")</f>
        <v>Average weight</v>
      </c>
      <c r="J2308" s="2" t="str" cm="1">
        <f t="array" ref="J2308">_xlfn.IFS(G2308&lt;164,"Below Average height",G2308&gt;=165,"Above Average height",G2308=164,"Average height")</f>
        <v>Below Average height</v>
      </c>
      <c r="K2308" s="2" t="str" cm="1">
        <f t="array" ref="K2308">_xlfn.IFS(E2308&lt;=16,"Children",E2308&lt;=30,"Young Adults",E2308&lt;=45,"Middle-aged Adults",E2308&gt;45,"Old Adults")</f>
        <v>Young Adults</v>
      </c>
    </row>
    <row r="2309" spans="1:11" x14ac:dyDescent="0.45">
      <c r="A2309" s="2">
        <v>220</v>
      </c>
      <c r="B2309" s="2" t="s">
        <v>325</v>
      </c>
      <c r="C2309" s="2" t="s">
        <v>87</v>
      </c>
      <c r="D2309" s="2" t="s">
        <v>60</v>
      </c>
      <c r="E2309" s="2">
        <v>19</v>
      </c>
      <c r="F2309" s="2">
        <v>100</v>
      </c>
      <c r="G2309" s="2">
        <v>158</v>
      </c>
      <c r="H2309" s="9">
        <f t="shared" si="36"/>
        <v>40.057683063611591</v>
      </c>
      <c r="I2309" s="2" t="str" cm="1">
        <f t="array" ref="I2309">_xlfn.IFS(F2309&gt;=100,"Over weight",F2309&lt;100,"Average weight")</f>
        <v>Over weight</v>
      </c>
      <c r="J2309" s="2" t="str" cm="1">
        <f t="array" ref="J2309">_xlfn.IFS(G2309&lt;164,"Below Average height",G2309&gt;=165,"Above Average height",G2309=164,"Average height")</f>
        <v>Below Average height</v>
      </c>
      <c r="K2309" s="2" t="str" cm="1">
        <f t="array" ref="K2309">_xlfn.IFS(E2309&lt;=16,"Children",E2309&lt;=30,"Young Adults",E2309&lt;=45,"Middle-aged Adults",E2309&gt;45,"Old Adults")</f>
        <v>Young Adults</v>
      </c>
    </row>
    <row r="2310" spans="1:11" x14ac:dyDescent="0.45">
      <c r="A2310" s="2">
        <v>226</v>
      </c>
      <c r="B2310" s="2" t="s">
        <v>331</v>
      </c>
      <c r="C2310" s="2" t="s">
        <v>93</v>
      </c>
      <c r="D2310" s="2" t="s">
        <v>5</v>
      </c>
      <c r="E2310" s="2">
        <v>23</v>
      </c>
      <c r="F2310" s="2">
        <v>50</v>
      </c>
      <c r="G2310" s="2">
        <v>160</v>
      </c>
      <c r="H2310" s="9">
        <f t="shared" si="36"/>
        <v>19.531249999999996</v>
      </c>
      <c r="I2310" s="2" t="str" cm="1">
        <f t="array" ref="I2310">_xlfn.IFS(F2310&gt;=100,"Over weight",F2310&lt;100,"Average weight")</f>
        <v>Average weight</v>
      </c>
      <c r="J2310" s="2" t="str" cm="1">
        <f t="array" ref="J2310">_xlfn.IFS(G2310&lt;164,"Below Average height",G2310&gt;=165,"Above Average height",G2310=164,"Average height")</f>
        <v>Below Average height</v>
      </c>
      <c r="K2310" s="2" t="str" cm="1">
        <f t="array" ref="K2310">_xlfn.IFS(E2310&lt;=16,"Children",E2310&lt;=30,"Young Adults",E2310&lt;=45,"Middle-aged Adults",E2310&gt;45,"Old Adults")</f>
        <v>Young Adults</v>
      </c>
    </row>
    <row r="2311" spans="1:11" x14ac:dyDescent="0.45">
      <c r="A2311" s="2">
        <v>228</v>
      </c>
      <c r="B2311" s="2" t="s">
        <v>333</v>
      </c>
      <c r="C2311" s="2" t="s">
        <v>94</v>
      </c>
      <c r="D2311" s="2" t="s">
        <v>39</v>
      </c>
      <c r="E2311" s="2">
        <v>25</v>
      </c>
      <c r="F2311" s="2">
        <v>51</v>
      </c>
      <c r="G2311" s="2">
        <v>162</v>
      </c>
      <c r="H2311" s="9">
        <f t="shared" si="36"/>
        <v>19.433013260173752</v>
      </c>
      <c r="I2311" s="2" t="str" cm="1">
        <f t="array" ref="I2311">_xlfn.IFS(F2311&gt;=100,"Over weight",F2311&lt;100,"Average weight")</f>
        <v>Average weight</v>
      </c>
      <c r="J2311" s="2" t="str" cm="1">
        <f t="array" ref="J2311">_xlfn.IFS(G2311&lt;164,"Below Average height",G2311&gt;=165,"Above Average height",G2311=164,"Average height")</f>
        <v>Below Average height</v>
      </c>
      <c r="K2311" s="2" t="str" cm="1">
        <f t="array" ref="K2311">_xlfn.IFS(E2311&lt;=16,"Children",E2311&lt;=30,"Young Adults",E2311&lt;=45,"Middle-aged Adults",E2311&gt;45,"Old Adults")</f>
        <v>Young Adults</v>
      </c>
    </row>
    <row r="2312" spans="1:11" x14ac:dyDescent="0.45">
      <c r="A2312" s="2">
        <v>235</v>
      </c>
      <c r="B2312" s="2" t="s">
        <v>340</v>
      </c>
      <c r="C2312" s="2" t="s">
        <v>93</v>
      </c>
      <c r="D2312" s="2" t="s">
        <v>59</v>
      </c>
      <c r="E2312" s="2">
        <v>20</v>
      </c>
      <c r="F2312" s="2">
        <v>46</v>
      </c>
      <c r="G2312" s="2">
        <v>153</v>
      </c>
      <c r="H2312" s="9">
        <f t="shared" si="36"/>
        <v>19.650561749754367</v>
      </c>
      <c r="I2312" s="2" t="str" cm="1">
        <f t="array" ref="I2312">_xlfn.IFS(F2312&gt;=100,"Over weight",F2312&lt;100,"Average weight")</f>
        <v>Average weight</v>
      </c>
      <c r="J2312" s="2" t="str" cm="1">
        <f t="array" ref="J2312">_xlfn.IFS(G2312&lt;164,"Below Average height",G2312&gt;=165,"Above Average height",G2312=164,"Average height")</f>
        <v>Below Average height</v>
      </c>
      <c r="K2312" s="2" t="str" cm="1">
        <f t="array" ref="K2312">_xlfn.IFS(E2312&lt;=16,"Children",E2312&lt;=30,"Young Adults",E2312&lt;=45,"Middle-aged Adults",E2312&gt;45,"Old Adults")</f>
        <v>Young Adults</v>
      </c>
    </row>
    <row r="2313" spans="1:11" x14ac:dyDescent="0.45">
      <c r="A2313" s="2">
        <v>241</v>
      </c>
      <c r="B2313" s="2" t="s">
        <v>346</v>
      </c>
      <c r="C2313" s="2" t="s">
        <v>94</v>
      </c>
      <c r="D2313" s="2" t="s">
        <v>60</v>
      </c>
      <c r="E2313" s="2">
        <v>21</v>
      </c>
      <c r="F2313" s="2">
        <v>100</v>
      </c>
      <c r="G2313" s="2">
        <v>158</v>
      </c>
      <c r="H2313" s="9">
        <f t="shared" si="36"/>
        <v>40.057683063611591</v>
      </c>
      <c r="I2313" s="2" t="str" cm="1">
        <f t="array" ref="I2313">_xlfn.IFS(F2313&gt;=100,"Over weight",F2313&lt;100,"Average weight")</f>
        <v>Over weight</v>
      </c>
      <c r="J2313" s="2" t="str" cm="1">
        <f t="array" ref="J2313">_xlfn.IFS(G2313&lt;164,"Below Average height",G2313&gt;=165,"Above Average height",G2313=164,"Average height")</f>
        <v>Below Average height</v>
      </c>
      <c r="K2313" s="2" t="str" cm="1">
        <f t="array" ref="K2313">_xlfn.IFS(E2313&lt;=16,"Children",E2313&lt;=30,"Young Adults",E2313&lt;=45,"Middle-aged Adults",E2313&gt;45,"Old Adults")</f>
        <v>Young Adults</v>
      </c>
    </row>
    <row r="2314" spans="1:11" x14ac:dyDescent="0.45">
      <c r="A2314" s="2">
        <v>242</v>
      </c>
      <c r="B2314" s="2" t="s">
        <v>347</v>
      </c>
      <c r="C2314" s="2" t="s">
        <v>93</v>
      </c>
      <c r="D2314" s="2" t="s">
        <v>39</v>
      </c>
      <c r="E2314" s="2">
        <v>22</v>
      </c>
      <c r="F2314" s="2">
        <v>58</v>
      </c>
      <c r="G2314" s="2">
        <v>162</v>
      </c>
      <c r="H2314" s="9">
        <f t="shared" si="36"/>
        <v>22.10028959000152</v>
      </c>
      <c r="I2314" s="2" t="str" cm="1">
        <f t="array" ref="I2314">_xlfn.IFS(F2314&gt;=100,"Over weight",F2314&lt;100,"Average weight")</f>
        <v>Average weight</v>
      </c>
      <c r="J2314" s="2" t="str" cm="1">
        <f t="array" ref="J2314">_xlfn.IFS(G2314&lt;164,"Below Average height",G2314&gt;=165,"Above Average height",G2314=164,"Average height")</f>
        <v>Below Average height</v>
      </c>
      <c r="K2314" s="2" t="str" cm="1">
        <f t="array" ref="K2314">_xlfn.IFS(E2314&lt;=16,"Children",E2314&lt;=30,"Young Adults",E2314&lt;=45,"Middle-aged Adults",E2314&gt;45,"Old Adults")</f>
        <v>Young Adults</v>
      </c>
    </row>
    <row r="2315" spans="1:11" x14ac:dyDescent="0.45">
      <c r="A2315" s="2">
        <v>245</v>
      </c>
      <c r="B2315" s="2" t="s">
        <v>350</v>
      </c>
      <c r="C2315" s="2" t="s">
        <v>93</v>
      </c>
      <c r="D2315" s="2" t="s">
        <v>60</v>
      </c>
      <c r="E2315" s="2">
        <v>28</v>
      </c>
      <c r="F2315" s="2">
        <v>100</v>
      </c>
      <c r="G2315" s="2">
        <v>158</v>
      </c>
      <c r="H2315" s="9">
        <f t="shared" si="36"/>
        <v>40.057683063611591</v>
      </c>
      <c r="I2315" s="2" t="str" cm="1">
        <f t="array" ref="I2315">_xlfn.IFS(F2315&gt;=100,"Over weight",F2315&lt;100,"Average weight")</f>
        <v>Over weight</v>
      </c>
      <c r="J2315" s="2" t="str" cm="1">
        <f t="array" ref="J2315">_xlfn.IFS(G2315&lt;164,"Below Average height",G2315&gt;=165,"Above Average height",G2315=164,"Average height")</f>
        <v>Below Average height</v>
      </c>
      <c r="K2315" s="2" t="str" cm="1">
        <f t="array" ref="K2315">_xlfn.IFS(E2315&lt;=16,"Children",E2315&lt;=30,"Young Adults",E2315&lt;=45,"Middle-aged Adults",E2315&gt;45,"Old Adults")</f>
        <v>Young Adults</v>
      </c>
    </row>
    <row r="2316" spans="1:11" x14ac:dyDescent="0.45">
      <c r="A2316" s="2">
        <v>252</v>
      </c>
      <c r="B2316" s="2" t="s">
        <v>357</v>
      </c>
      <c r="C2316" s="2" t="s">
        <v>91</v>
      </c>
      <c r="D2316" s="2" t="s">
        <v>75</v>
      </c>
      <c r="E2316" s="2">
        <v>22</v>
      </c>
      <c r="F2316" s="2">
        <v>54</v>
      </c>
      <c r="G2316" s="2">
        <v>160</v>
      </c>
      <c r="H2316" s="9">
        <f t="shared" si="36"/>
        <v>21.093749999999996</v>
      </c>
      <c r="I2316" s="2" t="str" cm="1">
        <f t="array" ref="I2316">_xlfn.IFS(F2316&gt;=100,"Over weight",F2316&lt;100,"Average weight")</f>
        <v>Average weight</v>
      </c>
      <c r="J2316" s="2" t="str" cm="1">
        <f t="array" ref="J2316">_xlfn.IFS(G2316&lt;164,"Below Average height",G2316&gt;=165,"Above Average height",G2316=164,"Average height")</f>
        <v>Below Average height</v>
      </c>
      <c r="K2316" s="2" t="str" cm="1">
        <f t="array" ref="K2316">_xlfn.IFS(E2316&lt;=16,"Children",E2316&lt;=30,"Young Adults",E2316&lt;=45,"Middle-aged Adults",E2316&gt;45,"Old Adults")</f>
        <v>Young Adults</v>
      </c>
    </row>
    <row r="2317" spans="1:11" x14ac:dyDescent="0.45">
      <c r="A2317" s="2">
        <v>264</v>
      </c>
      <c r="B2317" s="2" t="s">
        <v>369</v>
      </c>
      <c r="C2317" s="2" t="s">
        <v>91</v>
      </c>
      <c r="D2317" s="2" t="s">
        <v>80</v>
      </c>
      <c r="E2317" s="2">
        <v>24</v>
      </c>
      <c r="F2317" s="2">
        <v>68</v>
      </c>
      <c r="G2317" s="2">
        <v>163</v>
      </c>
      <c r="H2317" s="9">
        <f t="shared" si="36"/>
        <v>25.59373706198954</v>
      </c>
      <c r="I2317" s="2" t="str" cm="1">
        <f t="array" ref="I2317">_xlfn.IFS(F2317&gt;=100,"Over weight",F2317&lt;100,"Average weight")</f>
        <v>Average weight</v>
      </c>
      <c r="J2317" s="2" t="str" cm="1">
        <f t="array" ref="J2317">_xlfn.IFS(G2317&lt;164,"Below Average height",G2317&gt;=165,"Above Average height",G2317=164,"Average height")</f>
        <v>Below Average height</v>
      </c>
      <c r="K2317" s="2" t="str" cm="1">
        <f t="array" ref="K2317">_xlfn.IFS(E2317&lt;=16,"Children",E2317&lt;=30,"Young Adults",E2317&lt;=45,"Middle-aged Adults",E2317&gt;45,"Old Adults")</f>
        <v>Young Adults</v>
      </c>
    </row>
    <row r="2318" spans="1:11" x14ac:dyDescent="0.45">
      <c r="A2318" s="2">
        <v>265</v>
      </c>
      <c r="B2318" s="2" t="s">
        <v>370</v>
      </c>
      <c r="C2318" s="2" t="s">
        <v>93</v>
      </c>
      <c r="D2318" s="2" t="s">
        <v>17</v>
      </c>
      <c r="E2318" s="2">
        <v>16</v>
      </c>
      <c r="F2318" s="2">
        <v>55</v>
      </c>
      <c r="G2318" s="2">
        <v>161</v>
      </c>
      <c r="H2318" s="9">
        <f t="shared" si="36"/>
        <v>21.218317194552675</v>
      </c>
      <c r="I2318" s="2" t="str" cm="1">
        <f t="array" ref="I2318">_xlfn.IFS(F2318&gt;=100,"Over weight",F2318&lt;100,"Average weight")</f>
        <v>Average weight</v>
      </c>
      <c r="J2318" s="2" t="str" cm="1">
        <f t="array" ref="J2318">_xlfn.IFS(G2318&lt;164,"Below Average height",G2318&gt;=165,"Above Average height",G2318=164,"Average height")</f>
        <v>Below Average height</v>
      </c>
      <c r="K2318" s="2" t="str" cm="1">
        <f t="array" ref="K2318">_xlfn.IFS(E2318&lt;=16,"Children",E2318&lt;=30,"Young Adults",E2318&lt;=45,"Middle-aged Adults",E2318&gt;45,"Old Adults")</f>
        <v>Children</v>
      </c>
    </row>
    <row r="2319" spans="1:11" x14ac:dyDescent="0.45">
      <c r="A2319" s="2">
        <v>267</v>
      </c>
      <c r="B2319" s="2" t="s">
        <v>372</v>
      </c>
      <c r="C2319" s="2" t="s">
        <v>94</v>
      </c>
      <c r="D2319" s="2" t="s">
        <v>59</v>
      </c>
      <c r="E2319" s="2">
        <v>29</v>
      </c>
      <c r="F2319" s="2">
        <v>53</v>
      </c>
      <c r="G2319" s="2">
        <v>163</v>
      </c>
      <c r="H2319" s="9">
        <f t="shared" si="36"/>
        <v>19.948059768903612</v>
      </c>
      <c r="I2319" s="2" t="str" cm="1">
        <f t="array" ref="I2319">_xlfn.IFS(F2319&gt;=100,"Over weight",F2319&lt;100,"Average weight")</f>
        <v>Average weight</v>
      </c>
      <c r="J2319" s="2" t="str" cm="1">
        <f t="array" ref="J2319">_xlfn.IFS(G2319&lt;164,"Below Average height",G2319&gt;=165,"Above Average height",G2319=164,"Average height")</f>
        <v>Below Average height</v>
      </c>
      <c r="K2319" s="2" t="str" cm="1">
        <f t="array" ref="K2319">_xlfn.IFS(E2319&lt;=16,"Children",E2319&lt;=30,"Young Adults",E2319&lt;=45,"Middle-aged Adults",E2319&gt;45,"Old Adults")</f>
        <v>Young Adults</v>
      </c>
    </row>
    <row r="2320" spans="1:11" x14ac:dyDescent="0.45">
      <c r="A2320" s="2">
        <v>271</v>
      </c>
      <c r="B2320" s="2" t="s">
        <v>376</v>
      </c>
      <c r="C2320" s="2" t="s">
        <v>94</v>
      </c>
      <c r="D2320" s="2" t="s">
        <v>52</v>
      </c>
      <c r="E2320" s="2">
        <v>21</v>
      </c>
      <c r="F2320" s="2">
        <v>48</v>
      </c>
      <c r="G2320" s="2">
        <v>158</v>
      </c>
      <c r="H2320" s="9">
        <f t="shared" si="36"/>
        <v>19.227687870533565</v>
      </c>
      <c r="I2320" s="2" t="str" cm="1">
        <f t="array" ref="I2320">_xlfn.IFS(F2320&gt;=100,"Over weight",F2320&lt;100,"Average weight")</f>
        <v>Average weight</v>
      </c>
      <c r="J2320" s="2" t="str" cm="1">
        <f t="array" ref="J2320">_xlfn.IFS(G2320&lt;164,"Below Average height",G2320&gt;=165,"Above Average height",G2320=164,"Average height")</f>
        <v>Below Average height</v>
      </c>
      <c r="K2320" s="2" t="str" cm="1">
        <f t="array" ref="K2320">_xlfn.IFS(E2320&lt;=16,"Children",E2320&lt;=30,"Young Adults",E2320&lt;=45,"Middle-aged Adults",E2320&gt;45,"Old Adults")</f>
        <v>Young Adults</v>
      </c>
    </row>
    <row r="2321" spans="1:11" x14ac:dyDescent="0.45">
      <c r="A2321" s="2">
        <v>274</v>
      </c>
      <c r="B2321" s="2" t="s">
        <v>379</v>
      </c>
      <c r="C2321" s="2" t="s">
        <v>86</v>
      </c>
      <c r="D2321" s="2" t="s">
        <v>39</v>
      </c>
      <c r="E2321" s="2">
        <v>22</v>
      </c>
      <c r="F2321" s="2">
        <v>49</v>
      </c>
      <c r="G2321" s="2">
        <v>163</v>
      </c>
      <c r="H2321" s="9">
        <f t="shared" si="36"/>
        <v>18.442545824080696</v>
      </c>
      <c r="I2321" s="2" t="str" cm="1">
        <f t="array" ref="I2321">_xlfn.IFS(F2321&gt;=100,"Over weight",F2321&lt;100,"Average weight")</f>
        <v>Average weight</v>
      </c>
      <c r="J2321" s="2" t="str" cm="1">
        <f t="array" ref="J2321">_xlfn.IFS(G2321&lt;164,"Below Average height",G2321&gt;=165,"Above Average height",G2321=164,"Average height")</f>
        <v>Below Average height</v>
      </c>
      <c r="K2321" s="2" t="str" cm="1">
        <f t="array" ref="K2321">_xlfn.IFS(E2321&lt;=16,"Children",E2321&lt;=30,"Young Adults",E2321&lt;=45,"Middle-aged Adults",E2321&gt;45,"Old Adults")</f>
        <v>Young Adults</v>
      </c>
    </row>
    <row r="2322" spans="1:11" x14ac:dyDescent="0.45">
      <c r="A2322" s="2">
        <v>278</v>
      </c>
      <c r="B2322" s="2" t="s">
        <v>383</v>
      </c>
      <c r="C2322" s="2" t="s">
        <v>93</v>
      </c>
      <c r="D2322" s="2" t="s">
        <v>73</v>
      </c>
      <c r="E2322" s="2">
        <v>20</v>
      </c>
      <c r="F2322" s="2">
        <v>52</v>
      </c>
      <c r="G2322" s="2">
        <v>156</v>
      </c>
      <c r="H2322" s="9">
        <f t="shared" si="36"/>
        <v>21.367521367521366</v>
      </c>
      <c r="I2322" s="2" t="str" cm="1">
        <f t="array" ref="I2322">_xlfn.IFS(F2322&gt;=100,"Over weight",F2322&lt;100,"Average weight")</f>
        <v>Average weight</v>
      </c>
      <c r="J2322" s="2" t="str" cm="1">
        <f t="array" ref="J2322">_xlfn.IFS(G2322&lt;164,"Below Average height",G2322&gt;=165,"Above Average height",G2322=164,"Average height")</f>
        <v>Below Average height</v>
      </c>
      <c r="K2322" s="2" t="str" cm="1">
        <f t="array" ref="K2322">_xlfn.IFS(E2322&lt;=16,"Children",E2322&lt;=30,"Young Adults",E2322&lt;=45,"Middle-aged Adults",E2322&gt;45,"Old Adults")</f>
        <v>Young Adults</v>
      </c>
    </row>
    <row r="2323" spans="1:11" x14ac:dyDescent="0.45">
      <c r="A2323" s="2">
        <v>282</v>
      </c>
      <c r="B2323" s="2" t="s">
        <v>387</v>
      </c>
      <c r="C2323" s="2" t="s">
        <v>94</v>
      </c>
      <c r="D2323" s="2" t="s">
        <v>78</v>
      </c>
      <c r="E2323" s="2">
        <v>27</v>
      </c>
      <c r="F2323" s="2">
        <v>54</v>
      </c>
      <c r="G2323" s="2">
        <v>160</v>
      </c>
      <c r="H2323" s="9">
        <f t="shared" si="36"/>
        <v>21.093749999999996</v>
      </c>
      <c r="I2323" s="2" t="str" cm="1">
        <f t="array" ref="I2323">_xlfn.IFS(F2323&gt;=100,"Over weight",F2323&lt;100,"Average weight")</f>
        <v>Average weight</v>
      </c>
      <c r="J2323" s="2" t="str" cm="1">
        <f t="array" ref="J2323">_xlfn.IFS(G2323&lt;164,"Below Average height",G2323&gt;=165,"Above Average height",G2323=164,"Average height")</f>
        <v>Below Average height</v>
      </c>
      <c r="K2323" s="2" t="str" cm="1">
        <f t="array" ref="K2323">_xlfn.IFS(E2323&lt;=16,"Children",E2323&lt;=30,"Young Adults",E2323&lt;=45,"Middle-aged Adults",E2323&gt;45,"Old Adults")</f>
        <v>Young Adults</v>
      </c>
    </row>
    <row r="2324" spans="1:11" x14ac:dyDescent="0.45">
      <c r="A2324" s="2">
        <v>291</v>
      </c>
      <c r="B2324" s="2" t="s">
        <v>396</v>
      </c>
      <c r="C2324" s="2" t="s">
        <v>87</v>
      </c>
      <c r="D2324" s="2" t="s">
        <v>17</v>
      </c>
      <c r="E2324" s="2">
        <v>23</v>
      </c>
      <c r="F2324" s="2">
        <v>50</v>
      </c>
      <c r="G2324" s="2">
        <v>160</v>
      </c>
      <c r="H2324" s="9">
        <f t="shared" si="36"/>
        <v>19.531249999999996</v>
      </c>
      <c r="I2324" s="2" t="str" cm="1">
        <f t="array" ref="I2324">_xlfn.IFS(F2324&gt;=100,"Over weight",F2324&lt;100,"Average weight")</f>
        <v>Average weight</v>
      </c>
      <c r="J2324" s="2" t="str" cm="1">
        <f t="array" ref="J2324">_xlfn.IFS(G2324&lt;164,"Below Average height",G2324&gt;=165,"Above Average height",G2324=164,"Average height")</f>
        <v>Below Average height</v>
      </c>
      <c r="K2324" s="2" t="str" cm="1">
        <f t="array" ref="K2324">_xlfn.IFS(E2324&lt;=16,"Children",E2324&lt;=30,"Young Adults",E2324&lt;=45,"Middle-aged Adults",E2324&gt;45,"Old Adults")</f>
        <v>Young Adults</v>
      </c>
    </row>
    <row r="2325" spans="1:11" x14ac:dyDescent="0.45">
      <c r="A2325" s="2">
        <v>306</v>
      </c>
      <c r="B2325" s="2" t="s">
        <v>411</v>
      </c>
      <c r="C2325" s="2" t="s">
        <v>92</v>
      </c>
      <c r="D2325" s="2" t="s">
        <v>44</v>
      </c>
      <c r="E2325" s="2">
        <v>27</v>
      </c>
      <c r="F2325" s="2">
        <v>53</v>
      </c>
      <c r="G2325" s="2">
        <v>162</v>
      </c>
      <c r="H2325" s="9">
        <f t="shared" si="36"/>
        <v>20.195092211553114</v>
      </c>
      <c r="I2325" s="2" t="str" cm="1">
        <f t="array" ref="I2325">_xlfn.IFS(F2325&gt;=100,"Over weight",F2325&lt;100,"Average weight")</f>
        <v>Average weight</v>
      </c>
      <c r="J2325" s="2" t="str" cm="1">
        <f t="array" ref="J2325">_xlfn.IFS(G2325&lt;164,"Below Average height",G2325&gt;=165,"Above Average height",G2325=164,"Average height")</f>
        <v>Below Average height</v>
      </c>
      <c r="K2325" s="2" t="str" cm="1">
        <f t="array" ref="K2325">_xlfn.IFS(E2325&lt;=16,"Children",E2325&lt;=30,"Young Adults",E2325&lt;=45,"Middle-aged Adults",E2325&gt;45,"Old Adults")</f>
        <v>Young Adults</v>
      </c>
    </row>
    <row r="2326" spans="1:11" x14ac:dyDescent="0.45">
      <c r="A2326" s="2">
        <v>308</v>
      </c>
      <c r="B2326" s="2" t="s">
        <v>413</v>
      </c>
      <c r="C2326" s="2" t="s">
        <v>89</v>
      </c>
      <c r="D2326" s="2" t="s">
        <v>60</v>
      </c>
      <c r="E2326" s="2">
        <v>27</v>
      </c>
      <c r="F2326" s="2">
        <v>49</v>
      </c>
      <c r="G2326" s="2">
        <v>158</v>
      </c>
      <c r="H2326" s="9">
        <f t="shared" si="36"/>
        <v>19.62826470116968</v>
      </c>
      <c r="I2326" s="2" t="str" cm="1">
        <f t="array" ref="I2326">_xlfn.IFS(F2326&gt;=100,"Over weight",F2326&lt;100,"Average weight")</f>
        <v>Average weight</v>
      </c>
      <c r="J2326" s="2" t="str" cm="1">
        <f t="array" ref="J2326">_xlfn.IFS(G2326&lt;164,"Below Average height",G2326&gt;=165,"Above Average height",G2326=164,"Average height")</f>
        <v>Below Average height</v>
      </c>
      <c r="K2326" s="2" t="str" cm="1">
        <f t="array" ref="K2326">_xlfn.IFS(E2326&lt;=16,"Children",E2326&lt;=30,"Young Adults",E2326&lt;=45,"Middle-aged Adults",E2326&gt;45,"Old Adults")</f>
        <v>Young Adults</v>
      </c>
    </row>
    <row r="2327" spans="1:11" x14ac:dyDescent="0.45">
      <c r="A2327" s="2">
        <v>309</v>
      </c>
      <c r="B2327" s="2" t="s">
        <v>414</v>
      </c>
      <c r="C2327" s="2" t="s">
        <v>98</v>
      </c>
      <c r="D2327" s="2" t="s">
        <v>30</v>
      </c>
      <c r="E2327" s="2">
        <v>19</v>
      </c>
      <c r="F2327" s="2">
        <v>54</v>
      </c>
      <c r="G2327" s="2">
        <v>160</v>
      </c>
      <c r="H2327" s="9">
        <f t="shared" si="36"/>
        <v>21.093749999999996</v>
      </c>
      <c r="I2327" s="2" t="str" cm="1">
        <f t="array" ref="I2327">_xlfn.IFS(F2327&gt;=100,"Over weight",F2327&lt;100,"Average weight")</f>
        <v>Average weight</v>
      </c>
      <c r="J2327" s="2" t="str" cm="1">
        <f t="array" ref="J2327">_xlfn.IFS(G2327&lt;164,"Below Average height",G2327&gt;=165,"Above Average height",G2327=164,"Average height")</f>
        <v>Below Average height</v>
      </c>
      <c r="K2327" s="2" t="str" cm="1">
        <f t="array" ref="K2327">_xlfn.IFS(E2327&lt;=16,"Children",E2327&lt;=30,"Young Adults",E2327&lt;=45,"Middle-aged Adults",E2327&gt;45,"Old Adults")</f>
        <v>Young Adults</v>
      </c>
    </row>
    <row r="2328" spans="1:11" x14ac:dyDescent="0.45">
      <c r="A2328" s="2">
        <v>317</v>
      </c>
      <c r="B2328" s="2" t="s">
        <v>422</v>
      </c>
      <c r="C2328" s="2" t="s">
        <v>93</v>
      </c>
      <c r="D2328" s="2" t="s">
        <v>80</v>
      </c>
      <c r="E2328" s="2">
        <v>21</v>
      </c>
      <c r="F2328" s="2">
        <v>65</v>
      </c>
      <c r="G2328" s="2">
        <v>163</v>
      </c>
      <c r="H2328" s="9">
        <f t="shared" si="36"/>
        <v>24.464601603372351</v>
      </c>
      <c r="I2328" s="2" t="str" cm="1">
        <f t="array" ref="I2328">_xlfn.IFS(F2328&gt;=100,"Over weight",F2328&lt;100,"Average weight")</f>
        <v>Average weight</v>
      </c>
      <c r="J2328" s="2" t="str" cm="1">
        <f t="array" ref="J2328">_xlfn.IFS(G2328&lt;164,"Below Average height",G2328&gt;=165,"Above Average height",G2328=164,"Average height")</f>
        <v>Below Average height</v>
      </c>
      <c r="K2328" s="2" t="str" cm="1">
        <f t="array" ref="K2328">_xlfn.IFS(E2328&lt;=16,"Children",E2328&lt;=30,"Young Adults",E2328&lt;=45,"Middle-aged Adults",E2328&gt;45,"Old Adults")</f>
        <v>Young Adults</v>
      </c>
    </row>
    <row r="2329" spans="1:11" x14ac:dyDescent="0.45">
      <c r="A2329" s="2">
        <v>323</v>
      </c>
      <c r="B2329" s="2" t="s">
        <v>428</v>
      </c>
      <c r="C2329" s="2" t="s">
        <v>93</v>
      </c>
      <c r="D2329" s="2" t="s">
        <v>80</v>
      </c>
      <c r="E2329" s="2">
        <v>26</v>
      </c>
      <c r="F2329" s="2">
        <v>61</v>
      </c>
      <c r="G2329" s="2">
        <v>163</v>
      </c>
      <c r="H2329" s="9">
        <f t="shared" si="36"/>
        <v>22.959087658549439</v>
      </c>
      <c r="I2329" s="2" t="str" cm="1">
        <f t="array" ref="I2329">_xlfn.IFS(F2329&gt;=100,"Over weight",F2329&lt;100,"Average weight")</f>
        <v>Average weight</v>
      </c>
      <c r="J2329" s="2" t="str" cm="1">
        <f t="array" ref="J2329">_xlfn.IFS(G2329&lt;164,"Below Average height",G2329&gt;=165,"Above Average height",G2329=164,"Average height")</f>
        <v>Below Average height</v>
      </c>
      <c r="K2329" s="2" t="str" cm="1">
        <f t="array" ref="K2329">_xlfn.IFS(E2329&lt;=16,"Children",E2329&lt;=30,"Young Adults",E2329&lt;=45,"Middle-aged Adults",E2329&gt;45,"Old Adults")</f>
        <v>Young Adults</v>
      </c>
    </row>
    <row r="2330" spans="1:11" x14ac:dyDescent="0.45">
      <c r="A2330" s="2">
        <v>339</v>
      </c>
      <c r="B2330" s="2" t="s">
        <v>444</v>
      </c>
      <c r="C2330" s="2" t="s">
        <v>93</v>
      </c>
      <c r="D2330" s="2" t="s">
        <v>14</v>
      </c>
      <c r="E2330" s="2">
        <v>24</v>
      </c>
      <c r="F2330" s="2">
        <v>58</v>
      </c>
      <c r="G2330" s="2">
        <v>162</v>
      </c>
      <c r="H2330" s="9">
        <f t="shared" si="36"/>
        <v>22.10028959000152</v>
      </c>
      <c r="I2330" s="2" t="str" cm="1">
        <f t="array" ref="I2330">_xlfn.IFS(F2330&gt;=100,"Over weight",F2330&lt;100,"Average weight")</f>
        <v>Average weight</v>
      </c>
      <c r="J2330" s="2" t="str" cm="1">
        <f t="array" ref="J2330">_xlfn.IFS(G2330&lt;164,"Below Average height",G2330&gt;=165,"Above Average height",G2330=164,"Average height")</f>
        <v>Below Average height</v>
      </c>
      <c r="K2330" s="2" t="str" cm="1">
        <f t="array" ref="K2330">_xlfn.IFS(E2330&lt;=16,"Children",E2330&lt;=30,"Young Adults",E2330&lt;=45,"Middle-aged Adults",E2330&gt;45,"Old Adults")</f>
        <v>Young Adults</v>
      </c>
    </row>
    <row r="2331" spans="1:11" x14ac:dyDescent="0.45">
      <c r="A2331" s="2">
        <v>342</v>
      </c>
      <c r="B2331" s="2" t="s">
        <v>447</v>
      </c>
      <c r="C2331" s="2" t="s">
        <v>87</v>
      </c>
      <c r="D2331" s="2" t="s">
        <v>80</v>
      </c>
      <c r="E2331" s="2">
        <v>30</v>
      </c>
      <c r="F2331" s="2">
        <v>54</v>
      </c>
      <c r="G2331" s="2">
        <v>160</v>
      </c>
      <c r="H2331" s="9">
        <f t="shared" si="36"/>
        <v>21.093749999999996</v>
      </c>
      <c r="I2331" s="2" t="str" cm="1">
        <f t="array" ref="I2331">_xlfn.IFS(F2331&gt;=100,"Over weight",F2331&lt;100,"Average weight")</f>
        <v>Average weight</v>
      </c>
      <c r="J2331" s="2" t="str" cm="1">
        <f t="array" ref="J2331">_xlfn.IFS(G2331&lt;164,"Below Average height",G2331&gt;=165,"Above Average height",G2331=164,"Average height")</f>
        <v>Below Average height</v>
      </c>
      <c r="K2331" s="2" t="str" cm="1">
        <f t="array" ref="K2331">_xlfn.IFS(E2331&lt;=16,"Children",E2331&lt;=30,"Young Adults",E2331&lt;=45,"Middle-aged Adults",E2331&gt;45,"Old Adults")</f>
        <v>Young Adults</v>
      </c>
    </row>
    <row r="2332" spans="1:11" x14ac:dyDescent="0.45">
      <c r="A2332" s="2">
        <v>343</v>
      </c>
      <c r="B2332" s="2" t="s">
        <v>448</v>
      </c>
      <c r="C2332" s="2" t="s">
        <v>85</v>
      </c>
      <c r="D2332" s="2" t="s">
        <v>80</v>
      </c>
      <c r="E2332" s="2">
        <v>25</v>
      </c>
      <c r="F2332" s="2">
        <v>70</v>
      </c>
      <c r="G2332" s="2">
        <v>163</v>
      </c>
      <c r="H2332" s="9">
        <f t="shared" si="36"/>
        <v>26.346494034400994</v>
      </c>
      <c r="I2332" s="2" t="str" cm="1">
        <f t="array" ref="I2332">_xlfn.IFS(F2332&gt;=100,"Over weight",F2332&lt;100,"Average weight")</f>
        <v>Average weight</v>
      </c>
      <c r="J2332" s="2" t="str" cm="1">
        <f t="array" ref="J2332">_xlfn.IFS(G2332&lt;164,"Below Average height",G2332&gt;=165,"Above Average height",G2332=164,"Average height")</f>
        <v>Below Average height</v>
      </c>
      <c r="K2332" s="2" t="str" cm="1">
        <f t="array" ref="K2332">_xlfn.IFS(E2332&lt;=16,"Children",E2332&lt;=30,"Young Adults",E2332&lt;=45,"Middle-aged Adults",E2332&gt;45,"Old Adults")</f>
        <v>Young Adults</v>
      </c>
    </row>
    <row r="2333" spans="1:11" x14ac:dyDescent="0.45">
      <c r="A2333" s="2">
        <v>345</v>
      </c>
      <c r="B2333" s="2" t="s">
        <v>450</v>
      </c>
      <c r="C2333" s="2" t="s">
        <v>86</v>
      </c>
      <c r="D2333" s="2" t="s">
        <v>30</v>
      </c>
      <c r="E2333" s="2">
        <v>20</v>
      </c>
      <c r="F2333" s="2">
        <v>46</v>
      </c>
      <c r="G2333" s="2">
        <v>152</v>
      </c>
      <c r="H2333" s="9">
        <f t="shared" si="36"/>
        <v>19.909972299168974</v>
      </c>
      <c r="I2333" s="2" t="str" cm="1">
        <f t="array" ref="I2333">_xlfn.IFS(F2333&gt;=100,"Over weight",F2333&lt;100,"Average weight")</f>
        <v>Average weight</v>
      </c>
      <c r="J2333" s="2" t="str" cm="1">
        <f t="array" ref="J2333">_xlfn.IFS(G2333&lt;164,"Below Average height",G2333&gt;=165,"Above Average height",G2333=164,"Average height")</f>
        <v>Below Average height</v>
      </c>
      <c r="K2333" s="2" t="str" cm="1">
        <f t="array" ref="K2333">_xlfn.IFS(E2333&lt;=16,"Children",E2333&lt;=30,"Young Adults",E2333&lt;=45,"Middle-aged Adults",E2333&gt;45,"Old Adults")</f>
        <v>Young Adults</v>
      </c>
    </row>
    <row r="2334" spans="1:11" x14ac:dyDescent="0.45">
      <c r="A2334" s="2">
        <v>350</v>
      </c>
      <c r="B2334" s="2" t="s">
        <v>455</v>
      </c>
      <c r="C2334" s="2" t="s">
        <v>87</v>
      </c>
      <c r="D2334" s="2" t="s">
        <v>5</v>
      </c>
      <c r="E2334" s="2">
        <v>15</v>
      </c>
      <c r="F2334" s="2">
        <v>54</v>
      </c>
      <c r="G2334" s="2">
        <v>160</v>
      </c>
      <c r="H2334" s="9">
        <f t="shared" si="36"/>
        <v>21.093749999999996</v>
      </c>
      <c r="I2334" s="2" t="str" cm="1">
        <f t="array" ref="I2334">_xlfn.IFS(F2334&gt;=100,"Over weight",F2334&lt;100,"Average weight")</f>
        <v>Average weight</v>
      </c>
      <c r="J2334" s="2" t="str" cm="1">
        <f t="array" ref="J2334">_xlfn.IFS(G2334&lt;164,"Below Average height",G2334&gt;=165,"Above Average height",G2334=164,"Average height")</f>
        <v>Below Average height</v>
      </c>
      <c r="K2334" s="2" t="str" cm="1">
        <f t="array" ref="K2334">_xlfn.IFS(E2334&lt;=16,"Children",E2334&lt;=30,"Young Adults",E2334&lt;=45,"Middle-aged Adults",E2334&gt;45,"Old Adults")</f>
        <v>Children</v>
      </c>
    </row>
    <row r="2335" spans="1:11" x14ac:dyDescent="0.45">
      <c r="A2335" s="2">
        <v>358</v>
      </c>
      <c r="B2335" s="2" t="s">
        <v>463</v>
      </c>
      <c r="C2335" s="2" t="s">
        <v>86</v>
      </c>
      <c r="D2335" s="2" t="s">
        <v>14</v>
      </c>
      <c r="E2335" s="2">
        <v>19</v>
      </c>
      <c r="F2335" s="2">
        <v>46</v>
      </c>
      <c r="G2335" s="2">
        <v>160</v>
      </c>
      <c r="H2335" s="9">
        <f t="shared" si="36"/>
        <v>17.968749999999996</v>
      </c>
      <c r="I2335" s="2" t="str" cm="1">
        <f t="array" ref="I2335">_xlfn.IFS(F2335&gt;=100,"Over weight",F2335&lt;100,"Average weight")</f>
        <v>Average weight</v>
      </c>
      <c r="J2335" s="2" t="str" cm="1">
        <f t="array" ref="J2335">_xlfn.IFS(G2335&lt;164,"Below Average height",G2335&gt;=165,"Above Average height",G2335=164,"Average height")</f>
        <v>Below Average height</v>
      </c>
      <c r="K2335" s="2" t="str" cm="1">
        <f t="array" ref="K2335">_xlfn.IFS(E2335&lt;=16,"Children",E2335&lt;=30,"Young Adults",E2335&lt;=45,"Middle-aged Adults",E2335&gt;45,"Old Adults")</f>
        <v>Young Adults</v>
      </c>
    </row>
    <row r="2336" spans="1:11" x14ac:dyDescent="0.45">
      <c r="A2336" s="2">
        <v>367</v>
      </c>
      <c r="B2336" s="2" t="s">
        <v>472</v>
      </c>
      <c r="C2336" s="2" t="s">
        <v>88</v>
      </c>
      <c r="D2336" s="2" t="s">
        <v>63</v>
      </c>
      <c r="E2336" s="2">
        <v>25</v>
      </c>
      <c r="F2336" s="2">
        <v>51</v>
      </c>
      <c r="G2336" s="2">
        <v>158</v>
      </c>
      <c r="H2336" s="9">
        <f t="shared" si="36"/>
        <v>20.429418362441915</v>
      </c>
      <c r="I2336" s="2" t="str" cm="1">
        <f t="array" ref="I2336">_xlfn.IFS(F2336&gt;=100,"Over weight",F2336&lt;100,"Average weight")</f>
        <v>Average weight</v>
      </c>
      <c r="J2336" s="2" t="str" cm="1">
        <f t="array" ref="J2336">_xlfn.IFS(G2336&lt;164,"Below Average height",G2336&gt;=165,"Above Average height",G2336=164,"Average height")</f>
        <v>Below Average height</v>
      </c>
      <c r="K2336" s="2" t="str" cm="1">
        <f t="array" ref="K2336">_xlfn.IFS(E2336&lt;=16,"Children",E2336&lt;=30,"Young Adults",E2336&lt;=45,"Middle-aged Adults",E2336&gt;45,"Old Adults")</f>
        <v>Young Adults</v>
      </c>
    </row>
    <row r="2337" spans="1:11" x14ac:dyDescent="0.45">
      <c r="A2337" s="2">
        <v>378</v>
      </c>
      <c r="B2337" s="2" t="s">
        <v>483</v>
      </c>
      <c r="C2337" s="2" t="s">
        <v>91</v>
      </c>
      <c r="D2337" s="2" t="s">
        <v>80</v>
      </c>
      <c r="E2337" s="2">
        <v>26</v>
      </c>
      <c r="F2337" s="2">
        <v>65</v>
      </c>
      <c r="G2337" s="2">
        <v>160</v>
      </c>
      <c r="H2337" s="9">
        <f t="shared" si="36"/>
        <v>25.390624999999996</v>
      </c>
      <c r="I2337" s="2" t="str" cm="1">
        <f t="array" ref="I2337">_xlfn.IFS(F2337&gt;=100,"Over weight",F2337&lt;100,"Average weight")</f>
        <v>Average weight</v>
      </c>
      <c r="J2337" s="2" t="str" cm="1">
        <f t="array" ref="J2337">_xlfn.IFS(G2337&lt;164,"Below Average height",G2337&gt;=165,"Above Average height",G2337=164,"Average height")</f>
        <v>Below Average height</v>
      </c>
      <c r="K2337" s="2" t="str" cm="1">
        <f t="array" ref="K2337">_xlfn.IFS(E2337&lt;=16,"Children",E2337&lt;=30,"Young Adults",E2337&lt;=45,"Middle-aged Adults",E2337&gt;45,"Old Adults")</f>
        <v>Young Adults</v>
      </c>
    </row>
    <row r="2338" spans="1:11" x14ac:dyDescent="0.45">
      <c r="A2338" s="2">
        <v>386</v>
      </c>
      <c r="B2338" s="2" t="s">
        <v>491</v>
      </c>
      <c r="C2338" s="2" t="s">
        <v>86</v>
      </c>
      <c r="D2338" s="2" t="s">
        <v>80</v>
      </c>
      <c r="E2338" s="2">
        <v>23</v>
      </c>
      <c r="F2338" s="2">
        <v>46</v>
      </c>
      <c r="G2338" s="2">
        <v>160</v>
      </c>
      <c r="H2338" s="9">
        <f t="shared" si="36"/>
        <v>17.968749999999996</v>
      </c>
      <c r="I2338" s="2" t="str" cm="1">
        <f t="array" ref="I2338">_xlfn.IFS(F2338&gt;=100,"Over weight",F2338&lt;100,"Average weight")</f>
        <v>Average weight</v>
      </c>
      <c r="J2338" s="2" t="str" cm="1">
        <f t="array" ref="J2338">_xlfn.IFS(G2338&lt;164,"Below Average height",G2338&gt;=165,"Above Average height",G2338=164,"Average height")</f>
        <v>Below Average height</v>
      </c>
      <c r="K2338" s="2" t="str" cm="1">
        <f t="array" ref="K2338">_xlfn.IFS(E2338&lt;=16,"Children",E2338&lt;=30,"Young Adults",E2338&lt;=45,"Middle-aged Adults",E2338&gt;45,"Old Adults")</f>
        <v>Young Adults</v>
      </c>
    </row>
    <row r="2339" spans="1:11" x14ac:dyDescent="0.45">
      <c r="A2339" s="2">
        <v>389</v>
      </c>
      <c r="B2339" s="2" t="s">
        <v>494</v>
      </c>
      <c r="C2339" s="2" t="s">
        <v>93</v>
      </c>
      <c r="D2339" s="2" t="s">
        <v>26</v>
      </c>
      <c r="E2339" s="2">
        <v>24</v>
      </c>
      <c r="F2339" s="2">
        <v>54</v>
      </c>
      <c r="G2339" s="2">
        <v>160</v>
      </c>
      <c r="H2339" s="9">
        <f t="shared" si="36"/>
        <v>21.093749999999996</v>
      </c>
      <c r="I2339" s="2" t="str" cm="1">
        <f t="array" ref="I2339">_xlfn.IFS(F2339&gt;=100,"Over weight",F2339&lt;100,"Average weight")</f>
        <v>Average weight</v>
      </c>
      <c r="J2339" s="2" t="str" cm="1">
        <f t="array" ref="J2339">_xlfn.IFS(G2339&lt;164,"Below Average height",G2339&gt;=165,"Above Average height",G2339=164,"Average height")</f>
        <v>Below Average height</v>
      </c>
      <c r="K2339" s="2" t="str" cm="1">
        <f t="array" ref="K2339">_xlfn.IFS(E2339&lt;=16,"Children",E2339&lt;=30,"Young Adults",E2339&lt;=45,"Middle-aged Adults",E2339&gt;45,"Old Adults")</f>
        <v>Young Adults</v>
      </c>
    </row>
    <row r="2340" spans="1:11" x14ac:dyDescent="0.45">
      <c r="A2340" s="2">
        <v>403</v>
      </c>
      <c r="B2340" s="2" t="s">
        <v>508</v>
      </c>
      <c r="C2340" s="2" t="s">
        <v>86</v>
      </c>
      <c r="D2340" s="2" t="s">
        <v>39</v>
      </c>
      <c r="E2340" s="2">
        <v>20</v>
      </c>
      <c r="F2340" s="2">
        <v>46</v>
      </c>
      <c r="G2340" s="2">
        <v>155</v>
      </c>
      <c r="H2340" s="9">
        <f t="shared" si="36"/>
        <v>19.146722164412068</v>
      </c>
      <c r="I2340" s="2" t="str" cm="1">
        <f t="array" ref="I2340">_xlfn.IFS(F2340&gt;=100,"Over weight",F2340&lt;100,"Average weight")</f>
        <v>Average weight</v>
      </c>
      <c r="J2340" s="2" t="str" cm="1">
        <f t="array" ref="J2340">_xlfn.IFS(G2340&lt;164,"Below Average height",G2340&gt;=165,"Above Average height",G2340=164,"Average height")</f>
        <v>Below Average height</v>
      </c>
      <c r="K2340" s="2" t="str" cm="1">
        <f t="array" ref="K2340">_xlfn.IFS(E2340&lt;=16,"Children",E2340&lt;=30,"Young Adults",E2340&lt;=45,"Middle-aged Adults",E2340&gt;45,"Old Adults")</f>
        <v>Young Adults</v>
      </c>
    </row>
    <row r="2341" spans="1:11" x14ac:dyDescent="0.45">
      <c r="A2341" s="2">
        <v>405</v>
      </c>
      <c r="B2341" s="2" t="s">
        <v>510</v>
      </c>
      <c r="C2341" s="2" t="s">
        <v>86</v>
      </c>
      <c r="D2341" s="2" t="s">
        <v>26</v>
      </c>
      <c r="E2341" s="2">
        <v>31</v>
      </c>
      <c r="F2341" s="2">
        <v>46</v>
      </c>
      <c r="G2341" s="2">
        <v>163</v>
      </c>
      <c r="H2341" s="9">
        <f t="shared" si="36"/>
        <v>17.313410365463511</v>
      </c>
      <c r="I2341" s="2" t="str" cm="1">
        <f t="array" ref="I2341">_xlfn.IFS(F2341&gt;=100,"Over weight",F2341&lt;100,"Average weight")</f>
        <v>Average weight</v>
      </c>
      <c r="J2341" s="2" t="str" cm="1">
        <f t="array" ref="J2341">_xlfn.IFS(G2341&lt;164,"Below Average height",G2341&gt;=165,"Above Average height",G2341=164,"Average height")</f>
        <v>Below Average height</v>
      </c>
      <c r="K2341" s="2" t="str" cm="1">
        <f t="array" ref="K2341">_xlfn.IFS(E2341&lt;=16,"Children",E2341&lt;=30,"Young Adults",E2341&lt;=45,"Middle-aged Adults",E2341&gt;45,"Old Adults")</f>
        <v>Middle-aged Adults</v>
      </c>
    </row>
    <row r="2342" spans="1:11" x14ac:dyDescent="0.45">
      <c r="A2342" s="2">
        <v>412</v>
      </c>
      <c r="B2342" s="2" t="s">
        <v>517</v>
      </c>
      <c r="C2342" s="2" t="s">
        <v>86</v>
      </c>
      <c r="D2342" s="2" t="s">
        <v>80</v>
      </c>
      <c r="E2342" s="2">
        <v>16</v>
      </c>
      <c r="F2342" s="2">
        <v>46</v>
      </c>
      <c r="G2342" s="2">
        <v>152</v>
      </c>
      <c r="H2342" s="9">
        <f t="shared" si="36"/>
        <v>19.909972299168974</v>
      </c>
      <c r="I2342" s="2" t="str" cm="1">
        <f t="array" ref="I2342">_xlfn.IFS(F2342&gt;=100,"Over weight",F2342&lt;100,"Average weight")</f>
        <v>Average weight</v>
      </c>
      <c r="J2342" s="2" t="str" cm="1">
        <f t="array" ref="J2342">_xlfn.IFS(G2342&lt;164,"Below Average height",G2342&gt;=165,"Above Average height",G2342=164,"Average height")</f>
        <v>Below Average height</v>
      </c>
      <c r="K2342" s="2" t="str" cm="1">
        <f t="array" ref="K2342">_xlfn.IFS(E2342&lt;=16,"Children",E2342&lt;=30,"Young Adults",E2342&lt;=45,"Middle-aged Adults",E2342&gt;45,"Old Adults")</f>
        <v>Children</v>
      </c>
    </row>
    <row r="2343" spans="1:11" x14ac:dyDescent="0.45">
      <c r="A2343" s="2">
        <v>413</v>
      </c>
      <c r="B2343" s="2" t="s">
        <v>518</v>
      </c>
      <c r="C2343" s="2" t="s">
        <v>85</v>
      </c>
      <c r="D2343" s="2" t="s">
        <v>18</v>
      </c>
      <c r="E2343" s="2">
        <v>26</v>
      </c>
      <c r="F2343" s="2">
        <v>52</v>
      </c>
      <c r="G2343" s="2">
        <v>161</v>
      </c>
      <c r="H2343" s="9">
        <f t="shared" si="36"/>
        <v>20.060954438486167</v>
      </c>
      <c r="I2343" s="2" t="str" cm="1">
        <f t="array" ref="I2343">_xlfn.IFS(F2343&gt;=100,"Over weight",F2343&lt;100,"Average weight")</f>
        <v>Average weight</v>
      </c>
      <c r="J2343" s="2" t="str" cm="1">
        <f t="array" ref="J2343">_xlfn.IFS(G2343&lt;164,"Below Average height",G2343&gt;=165,"Above Average height",G2343=164,"Average height")</f>
        <v>Below Average height</v>
      </c>
      <c r="K2343" s="2" t="str" cm="1">
        <f t="array" ref="K2343">_xlfn.IFS(E2343&lt;=16,"Children",E2343&lt;=30,"Young Adults",E2343&lt;=45,"Middle-aged Adults",E2343&gt;45,"Old Adults")</f>
        <v>Young Adults</v>
      </c>
    </row>
    <row r="2344" spans="1:11" x14ac:dyDescent="0.45">
      <c r="A2344" s="2">
        <v>432</v>
      </c>
      <c r="B2344" s="2" t="s">
        <v>537</v>
      </c>
      <c r="C2344" s="2" t="s">
        <v>85</v>
      </c>
      <c r="D2344" s="2" t="s">
        <v>33</v>
      </c>
      <c r="E2344" s="2">
        <v>17</v>
      </c>
      <c r="F2344" s="2">
        <v>55</v>
      </c>
      <c r="G2344" s="2">
        <v>162</v>
      </c>
      <c r="H2344" s="9">
        <f t="shared" si="36"/>
        <v>20.957171162932475</v>
      </c>
      <c r="I2344" s="2" t="str" cm="1">
        <f t="array" ref="I2344">_xlfn.IFS(F2344&gt;=100,"Over weight",F2344&lt;100,"Average weight")</f>
        <v>Average weight</v>
      </c>
      <c r="J2344" s="2" t="str" cm="1">
        <f t="array" ref="J2344">_xlfn.IFS(G2344&lt;164,"Below Average height",G2344&gt;=165,"Above Average height",G2344=164,"Average height")</f>
        <v>Below Average height</v>
      </c>
      <c r="K2344" s="2" t="str" cm="1">
        <f t="array" ref="K2344">_xlfn.IFS(E2344&lt;=16,"Children",E2344&lt;=30,"Young Adults",E2344&lt;=45,"Middle-aged Adults",E2344&gt;45,"Old Adults")</f>
        <v>Young Adults</v>
      </c>
    </row>
    <row r="2345" spans="1:11" x14ac:dyDescent="0.45">
      <c r="A2345" s="2">
        <v>433</v>
      </c>
      <c r="B2345" s="2" t="s">
        <v>538</v>
      </c>
      <c r="C2345" s="2" t="s">
        <v>93</v>
      </c>
      <c r="D2345" s="2" t="s">
        <v>41</v>
      </c>
      <c r="E2345" s="2">
        <v>30</v>
      </c>
      <c r="F2345" s="2">
        <v>56</v>
      </c>
      <c r="G2345" s="2">
        <v>157</v>
      </c>
      <c r="H2345" s="9">
        <f t="shared" si="36"/>
        <v>22.718974400584202</v>
      </c>
      <c r="I2345" s="2" t="str" cm="1">
        <f t="array" ref="I2345">_xlfn.IFS(F2345&gt;=100,"Over weight",F2345&lt;100,"Average weight")</f>
        <v>Average weight</v>
      </c>
      <c r="J2345" s="2" t="str" cm="1">
        <f t="array" ref="J2345">_xlfn.IFS(G2345&lt;164,"Below Average height",G2345&gt;=165,"Above Average height",G2345=164,"Average height")</f>
        <v>Below Average height</v>
      </c>
      <c r="K2345" s="2" t="str" cm="1">
        <f t="array" ref="K2345">_xlfn.IFS(E2345&lt;=16,"Children",E2345&lt;=30,"Young Adults",E2345&lt;=45,"Middle-aged Adults",E2345&gt;45,"Old Adults")</f>
        <v>Young Adults</v>
      </c>
    </row>
    <row r="2346" spans="1:11" x14ac:dyDescent="0.45">
      <c r="A2346" s="2">
        <v>437</v>
      </c>
      <c r="B2346" s="2" t="s">
        <v>542</v>
      </c>
      <c r="C2346" s="2" t="s">
        <v>93</v>
      </c>
      <c r="D2346" s="2" t="s">
        <v>21</v>
      </c>
      <c r="E2346" s="2">
        <v>29</v>
      </c>
      <c r="F2346" s="2">
        <v>57</v>
      </c>
      <c r="G2346" s="2">
        <v>163</v>
      </c>
      <c r="H2346" s="9">
        <f t="shared" si="36"/>
        <v>21.453573713726524</v>
      </c>
      <c r="I2346" s="2" t="str" cm="1">
        <f t="array" ref="I2346">_xlfn.IFS(F2346&gt;=100,"Over weight",F2346&lt;100,"Average weight")</f>
        <v>Average weight</v>
      </c>
      <c r="J2346" s="2" t="str" cm="1">
        <f t="array" ref="J2346">_xlfn.IFS(G2346&lt;164,"Below Average height",G2346&gt;=165,"Above Average height",G2346=164,"Average height")</f>
        <v>Below Average height</v>
      </c>
      <c r="K2346" s="2" t="str" cm="1">
        <f t="array" ref="K2346">_xlfn.IFS(E2346&lt;=16,"Children",E2346&lt;=30,"Young Adults",E2346&lt;=45,"Middle-aged Adults",E2346&gt;45,"Old Adults")</f>
        <v>Young Adults</v>
      </c>
    </row>
    <row r="2347" spans="1:11" x14ac:dyDescent="0.45">
      <c r="A2347" s="2">
        <v>460</v>
      </c>
      <c r="B2347" s="2" t="s">
        <v>565</v>
      </c>
      <c r="C2347" s="2" t="s">
        <v>85</v>
      </c>
      <c r="D2347" s="2" t="s">
        <v>77</v>
      </c>
      <c r="E2347" s="2">
        <v>32</v>
      </c>
      <c r="F2347" s="2">
        <v>48</v>
      </c>
      <c r="G2347" s="2">
        <v>158</v>
      </c>
      <c r="H2347" s="9">
        <f t="shared" si="36"/>
        <v>19.227687870533565</v>
      </c>
      <c r="I2347" s="2" t="str" cm="1">
        <f t="array" ref="I2347">_xlfn.IFS(F2347&gt;=100,"Over weight",F2347&lt;100,"Average weight")</f>
        <v>Average weight</v>
      </c>
      <c r="J2347" s="2" t="str" cm="1">
        <f t="array" ref="J2347">_xlfn.IFS(G2347&lt;164,"Below Average height",G2347&gt;=165,"Above Average height",G2347=164,"Average height")</f>
        <v>Below Average height</v>
      </c>
      <c r="K2347" s="2" t="str" cm="1">
        <f t="array" ref="K2347">_xlfn.IFS(E2347&lt;=16,"Children",E2347&lt;=30,"Young Adults",E2347&lt;=45,"Middle-aged Adults",E2347&gt;45,"Old Adults")</f>
        <v>Middle-aged Adults</v>
      </c>
    </row>
    <row r="2348" spans="1:11" x14ac:dyDescent="0.45">
      <c r="A2348" s="2">
        <v>462</v>
      </c>
      <c r="B2348" s="2" t="s">
        <v>567</v>
      </c>
      <c r="C2348" s="2" t="s">
        <v>86</v>
      </c>
      <c r="D2348" s="2" t="s">
        <v>14</v>
      </c>
      <c r="E2348" s="2">
        <v>22</v>
      </c>
      <c r="F2348" s="2">
        <v>48</v>
      </c>
      <c r="G2348" s="2">
        <v>150</v>
      </c>
      <c r="H2348" s="9">
        <f t="shared" si="36"/>
        <v>21.333333333333332</v>
      </c>
      <c r="I2348" s="2" t="str" cm="1">
        <f t="array" ref="I2348">_xlfn.IFS(F2348&gt;=100,"Over weight",F2348&lt;100,"Average weight")</f>
        <v>Average weight</v>
      </c>
      <c r="J2348" s="2" t="str" cm="1">
        <f t="array" ref="J2348">_xlfn.IFS(G2348&lt;164,"Below Average height",G2348&gt;=165,"Above Average height",G2348=164,"Average height")</f>
        <v>Below Average height</v>
      </c>
      <c r="K2348" s="2" t="str" cm="1">
        <f t="array" ref="K2348">_xlfn.IFS(E2348&lt;=16,"Children",E2348&lt;=30,"Young Adults",E2348&lt;=45,"Middle-aged Adults",E2348&gt;45,"Old Adults")</f>
        <v>Young Adults</v>
      </c>
    </row>
    <row r="2349" spans="1:11" x14ac:dyDescent="0.45">
      <c r="A2349" s="2">
        <v>482</v>
      </c>
      <c r="B2349" s="2" t="s">
        <v>587</v>
      </c>
      <c r="C2349" s="2" t="s">
        <v>91</v>
      </c>
      <c r="D2349" s="2" t="s">
        <v>70</v>
      </c>
      <c r="E2349" s="2">
        <v>27</v>
      </c>
      <c r="F2349" s="2">
        <v>61</v>
      </c>
      <c r="G2349" s="2">
        <v>161</v>
      </c>
      <c r="H2349" s="9">
        <f t="shared" si="36"/>
        <v>23.533042706685695</v>
      </c>
      <c r="I2349" s="2" t="str" cm="1">
        <f t="array" ref="I2349">_xlfn.IFS(F2349&gt;=100,"Over weight",F2349&lt;100,"Average weight")</f>
        <v>Average weight</v>
      </c>
      <c r="J2349" s="2" t="str" cm="1">
        <f t="array" ref="J2349">_xlfn.IFS(G2349&lt;164,"Below Average height",G2349&gt;=165,"Above Average height",G2349=164,"Average height")</f>
        <v>Below Average height</v>
      </c>
      <c r="K2349" s="2" t="str" cm="1">
        <f t="array" ref="K2349">_xlfn.IFS(E2349&lt;=16,"Children",E2349&lt;=30,"Young Adults",E2349&lt;=45,"Middle-aged Adults",E2349&gt;45,"Old Adults")</f>
        <v>Young Adults</v>
      </c>
    </row>
    <row r="2350" spans="1:11" x14ac:dyDescent="0.45">
      <c r="A2350" s="2">
        <v>493</v>
      </c>
      <c r="B2350" s="2" t="s">
        <v>598</v>
      </c>
      <c r="C2350" s="2" t="s">
        <v>88</v>
      </c>
      <c r="D2350" s="2" t="s">
        <v>60</v>
      </c>
      <c r="E2350" s="2">
        <v>30</v>
      </c>
      <c r="F2350" s="2">
        <v>59</v>
      </c>
      <c r="G2350" s="2">
        <v>158</v>
      </c>
      <c r="H2350" s="9">
        <f t="shared" si="36"/>
        <v>23.634033007530842</v>
      </c>
      <c r="I2350" s="2" t="str" cm="1">
        <f t="array" ref="I2350">_xlfn.IFS(F2350&gt;=100,"Over weight",F2350&lt;100,"Average weight")</f>
        <v>Average weight</v>
      </c>
      <c r="J2350" s="2" t="str" cm="1">
        <f t="array" ref="J2350">_xlfn.IFS(G2350&lt;164,"Below Average height",G2350&gt;=165,"Above Average height",G2350=164,"Average height")</f>
        <v>Below Average height</v>
      </c>
      <c r="K2350" s="2" t="str" cm="1">
        <f t="array" ref="K2350">_xlfn.IFS(E2350&lt;=16,"Children",E2350&lt;=30,"Young Adults",E2350&lt;=45,"Middle-aged Adults",E2350&gt;45,"Old Adults")</f>
        <v>Young Adults</v>
      </c>
    </row>
    <row r="2351" spans="1:11" x14ac:dyDescent="0.45">
      <c r="A2351" s="2">
        <v>515</v>
      </c>
      <c r="B2351" s="2" t="s">
        <v>620</v>
      </c>
      <c r="C2351" s="2" t="s">
        <v>86</v>
      </c>
      <c r="D2351" s="2" t="s">
        <v>80</v>
      </c>
      <c r="E2351" s="2">
        <v>25</v>
      </c>
      <c r="F2351" s="2">
        <v>112</v>
      </c>
      <c r="G2351" s="2">
        <v>152</v>
      </c>
      <c r="H2351" s="9">
        <f t="shared" si="36"/>
        <v>48.476454293628805</v>
      </c>
      <c r="I2351" s="2" t="str" cm="1">
        <f t="array" ref="I2351">_xlfn.IFS(F2351&gt;=100,"Over weight",F2351&lt;100,"Average weight")</f>
        <v>Over weight</v>
      </c>
      <c r="J2351" s="2" t="str" cm="1">
        <f t="array" ref="J2351">_xlfn.IFS(G2351&lt;164,"Below Average height",G2351&gt;=165,"Above Average height",G2351=164,"Average height")</f>
        <v>Below Average height</v>
      </c>
      <c r="K2351" s="2" t="str" cm="1">
        <f t="array" ref="K2351">_xlfn.IFS(E2351&lt;=16,"Children",E2351&lt;=30,"Young Adults",E2351&lt;=45,"Middle-aged Adults",E2351&gt;45,"Old Adults")</f>
        <v>Young Adults</v>
      </c>
    </row>
    <row r="2352" spans="1:11" x14ac:dyDescent="0.45">
      <c r="A2352" s="2">
        <v>525</v>
      </c>
      <c r="B2352" s="2" t="s">
        <v>630</v>
      </c>
      <c r="C2352" s="2" t="s">
        <v>94</v>
      </c>
      <c r="D2352" s="2" t="s">
        <v>60</v>
      </c>
      <c r="E2352" s="2">
        <v>19</v>
      </c>
      <c r="F2352" s="2">
        <v>112</v>
      </c>
      <c r="G2352" s="2">
        <v>158</v>
      </c>
      <c r="H2352" s="9">
        <f t="shared" si="36"/>
        <v>44.864605031244984</v>
      </c>
      <c r="I2352" s="2" t="str" cm="1">
        <f t="array" ref="I2352">_xlfn.IFS(F2352&gt;=100,"Over weight",F2352&lt;100,"Average weight")</f>
        <v>Over weight</v>
      </c>
      <c r="J2352" s="2" t="str" cm="1">
        <f t="array" ref="J2352">_xlfn.IFS(G2352&lt;164,"Below Average height",G2352&gt;=165,"Above Average height",G2352=164,"Average height")</f>
        <v>Below Average height</v>
      </c>
      <c r="K2352" s="2" t="str" cm="1">
        <f t="array" ref="K2352">_xlfn.IFS(E2352&lt;=16,"Children",E2352&lt;=30,"Young Adults",E2352&lt;=45,"Middle-aged Adults",E2352&gt;45,"Old Adults")</f>
        <v>Young Adults</v>
      </c>
    </row>
    <row r="2353" spans="1:11" x14ac:dyDescent="0.45">
      <c r="A2353" s="2">
        <v>527</v>
      </c>
      <c r="B2353" s="2" t="s">
        <v>632</v>
      </c>
      <c r="C2353" s="2" t="s">
        <v>87</v>
      </c>
      <c r="D2353" s="2" t="s">
        <v>71</v>
      </c>
      <c r="E2353" s="2">
        <v>25</v>
      </c>
      <c r="F2353" s="2">
        <v>60</v>
      </c>
      <c r="G2353" s="2">
        <v>159</v>
      </c>
      <c r="H2353" s="9">
        <f t="shared" si="36"/>
        <v>23.733238400379729</v>
      </c>
      <c r="I2353" s="2" t="str" cm="1">
        <f t="array" ref="I2353">_xlfn.IFS(F2353&gt;=100,"Over weight",F2353&lt;100,"Average weight")</f>
        <v>Average weight</v>
      </c>
      <c r="J2353" s="2" t="str" cm="1">
        <f t="array" ref="J2353">_xlfn.IFS(G2353&lt;164,"Below Average height",G2353&gt;=165,"Above Average height",G2353=164,"Average height")</f>
        <v>Below Average height</v>
      </c>
      <c r="K2353" s="2" t="str" cm="1">
        <f t="array" ref="K2353">_xlfn.IFS(E2353&lt;=16,"Children",E2353&lt;=30,"Young Adults",E2353&lt;=45,"Middle-aged Adults",E2353&gt;45,"Old Adults")</f>
        <v>Young Adults</v>
      </c>
    </row>
    <row r="2354" spans="1:11" x14ac:dyDescent="0.45">
      <c r="A2354" s="2">
        <v>553</v>
      </c>
      <c r="B2354" s="2" t="s">
        <v>658</v>
      </c>
      <c r="C2354" s="2" t="s">
        <v>85</v>
      </c>
      <c r="D2354" s="2" t="s">
        <v>46</v>
      </c>
      <c r="E2354" s="2">
        <v>21</v>
      </c>
      <c r="F2354" s="2">
        <v>55</v>
      </c>
      <c r="G2354" s="2">
        <v>156</v>
      </c>
      <c r="H2354" s="9">
        <f t="shared" si="36"/>
        <v>22.600262984878366</v>
      </c>
      <c r="I2354" s="2" t="str" cm="1">
        <f t="array" ref="I2354">_xlfn.IFS(F2354&gt;=100,"Over weight",F2354&lt;100,"Average weight")</f>
        <v>Average weight</v>
      </c>
      <c r="J2354" s="2" t="str" cm="1">
        <f t="array" ref="J2354">_xlfn.IFS(G2354&lt;164,"Below Average height",G2354&gt;=165,"Above Average height",G2354=164,"Average height")</f>
        <v>Below Average height</v>
      </c>
      <c r="K2354" s="2" t="str" cm="1">
        <f t="array" ref="K2354">_xlfn.IFS(E2354&lt;=16,"Children",E2354&lt;=30,"Young Adults",E2354&lt;=45,"Middle-aged Adults",E2354&gt;45,"Old Adults")</f>
        <v>Young Adults</v>
      </c>
    </row>
    <row r="2355" spans="1:11" x14ac:dyDescent="0.45">
      <c r="A2355" s="2">
        <v>559</v>
      </c>
      <c r="B2355" s="2" t="s">
        <v>664</v>
      </c>
      <c r="C2355" s="2" t="s">
        <v>88</v>
      </c>
      <c r="D2355" s="2" t="s">
        <v>60</v>
      </c>
      <c r="E2355" s="2">
        <v>27</v>
      </c>
      <c r="F2355" s="2">
        <v>102</v>
      </c>
      <c r="G2355" s="2">
        <v>158</v>
      </c>
      <c r="H2355" s="9">
        <f t="shared" si="36"/>
        <v>40.85883672488383</v>
      </c>
      <c r="I2355" s="2" t="str" cm="1">
        <f t="array" ref="I2355">_xlfn.IFS(F2355&gt;=100,"Over weight",F2355&lt;100,"Average weight")</f>
        <v>Over weight</v>
      </c>
      <c r="J2355" s="2" t="str" cm="1">
        <f t="array" ref="J2355">_xlfn.IFS(G2355&lt;164,"Below Average height",G2355&gt;=165,"Above Average height",G2355=164,"Average height")</f>
        <v>Below Average height</v>
      </c>
      <c r="K2355" s="2" t="str" cm="1">
        <f t="array" ref="K2355">_xlfn.IFS(E2355&lt;=16,"Children",E2355&lt;=30,"Young Adults",E2355&lt;=45,"Middle-aged Adults",E2355&gt;45,"Old Adults")</f>
        <v>Young Adults</v>
      </c>
    </row>
    <row r="2356" spans="1:11" x14ac:dyDescent="0.45">
      <c r="A2356" s="2">
        <v>560</v>
      </c>
      <c r="B2356" s="2" t="s">
        <v>665</v>
      </c>
      <c r="C2356" s="2" t="s">
        <v>86</v>
      </c>
      <c r="D2356" s="2" t="s">
        <v>80</v>
      </c>
      <c r="E2356" s="2">
        <v>17</v>
      </c>
      <c r="F2356" s="2">
        <v>102</v>
      </c>
      <c r="G2356" s="2">
        <v>157</v>
      </c>
      <c r="H2356" s="9">
        <f t="shared" si="36"/>
        <v>41.380989086778364</v>
      </c>
      <c r="I2356" s="2" t="str" cm="1">
        <f t="array" ref="I2356">_xlfn.IFS(F2356&gt;=100,"Over weight",F2356&lt;100,"Average weight")</f>
        <v>Over weight</v>
      </c>
      <c r="J2356" s="2" t="str" cm="1">
        <f t="array" ref="J2356">_xlfn.IFS(G2356&lt;164,"Below Average height",G2356&gt;=165,"Above Average height",G2356=164,"Average height")</f>
        <v>Below Average height</v>
      </c>
      <c r="K2356" s="2" t="str" cm="1">
        <f t="array" ref="K2356">_xlfn.IFS(E2356&lt;=16,"Children",E2356&lt;=30,"Young Adults",E2356&lt;=45,"Middle-aged Adults",E2356&gt;45,"Old Adults")</f>
        <v>Young Adults</v>
      </c>
    </row>
    <row r="2357" spans="1:11" x14ac:dyDescent="0.45">
      <c r="A2357" s="2">
        <v>569</v>
      </c>
      <c r="B2357" s="2" t="s">
        <v>674</v>
      </c>
      <c r="C2357" s="2" t="s">
        <v>94</v>
      </c>
      <c r="D2357" s="2" t="s">
        <v>39</v>
      </c>
      <c r="E2357" s="2">
        <v>32</v>
      </c>
      <c r="F2357" s="2">
        <v>52</v>
      </c>
      <c r="G2357" s="2">
        <v>162</v>
      </c>
      <c r="H2357" s="9">
        <f t="shared" si="36"/>
        <v>19.814052735863431</v>
      </c>
      <c r="I2357" s="2" t="str" cm="1">
        <f t="array" ref="I2357">_xlfn.IFS(F2357&gt;=100,"Over weight",F2357&lt;100,"Average weight")</f>
        <v>Average weight</v>
      </c>
      <c r="J2357" s="2" t="str" cm="1">
        <f t="array" ref="J2357">_xlfn.IFS(G2357&lt;164,"Below Average height",G2357&gt;=165,"Above Average height",G2357=164,"Average height")</f>
        <v>Below Average height</v>
      </c>
      <c r="K2357" s="2" t="str" cm="1">
        <f t="array" ref="K2357">_xlfn.IFS(E2357&lt;=16,"Children",E2357&lt;=30,"Young Adults",E2357&lt;=45,"Middle-aged Adults",E2357&gt;45,"Old Adults")</f>
        <v>Middle-aged Adults</v>
      </c>
    </row>
    <row r="2358" spans="1:11" x14ac:dyDescent="0.45">
      <c r="A2358" s="2">
        <v>592</v>
      </c>
      <c r="B2358" s="2" t="s">
        <v>697</v>
      </c>
      <c r="C2358" s="2" t="s">
        <v>89</v>
      </c>
      <c r="D2358" s="2" t="s">
        <v>17</v>
      </c>
      <c r="E2358" s="2">
        <v>20</v>
      </c>
      <c r="F2358" s="2">
        <v>55</v>
      </c>
      <c r="G2358" s="2">
        <v>160</v>
      </c>
      <c r="H2358" s="9">
        <f t="shared" si="36"/>
        <v>21.484374999999996</v>
      </c>
      <c r="I2358" s="2" t="str" cm="1">
        <f t="array" ref="I2358">_xlfn.IFS(F2358&gt;=100,"Over weight",F2358&lt;100,"Average weight")</f>
        <v>Average weight</v>
      </c>
      <c r="J2358" s="2" t="str" cm="1">
        <f t="array" ref="J2358">_xlfn.IFS(G2358&lt;164,"Below Average height",G2358&gt;=165,"Above Average height",G2358=164,"Average height")</f>
        <v>Below Average height</v>
      </c>
      <c r="K2358" s="2" t="str" cm="1">
        <f t="array" ref="K2358">_xlfn.IFS(E2358&lt;=16,"Children",E2358&lt;=30,"Young Adults",E2358&lt;=45,"Middle-aged Adults",E2358&gt;45,"Old Adults")</f>
        <v>Young Adults</v>
      </c>
    </row>
    <row r="2359" spans="1:11" x14ac:dyDescent="0.45">
      <c r="A2359" s="2">
        <v>594</v>
      </c>
      <c r="B2359" s="2" t="s">
        <v>699</v>
      </c>
      <c r="C2359" s="2" t="s">
        <v>93</v>
      </c>
      <c r="D2359" s="2" t="s">
        <v>41</v>
      </c>
      <c r="E2359" s="2">
        <v>23</v>
      </c>
      <c r="F2359" s="2">
        <v>53</v>
      </c>
      <c r="G2359" s="2">
        <v>159</v>
      </c>
      <c r="H2359" s="9">
        <f t="shared" si="36"/>
        <v>20.964360587002094</v>
      </c>
      <c r="I2359" s="2" t="str" cm="1">
        <f t="array" ref="I2359">_xlfn.IFS(F2359&gt;=100,"Over weight",F2359&lt;100,"Average weight")</f>
        <v>Average weight</v>
      </c>
      <c r="J2359" s="2" t="str" cm="1">
        <f t="array" ref="J2359">_xlfn.IFS(G2359&lt;164,"Below Average height",G2359&gt;=165,"Above Average height",G2359=164,"Average height")</f>
        <v>Below Average height</v>
      </c>
      <c r="K2359" s="2" t="str" cm="1">
        <f t="array" ref="K2359">_xlfn.IFS(E2359&lt;=16,"Children",E2359&lt;=30,"Young Adults",E2359&lt;=45,"Middle-aged Adults",E2359&gt;45,"Old Adults")</f>
        <v>Young Adults</v>
      </c>
    </row>
    <row r="2360" spans="1:11" x14ac:dyDescent="0.45">
      <c r="A2360" s="2">
        <v>597</v>
      </c>
      <c r="B2360" s="2" t="s">
        <v>702</v>
      </c>
      <c r="C2360" s="2" t="s">
        <v>87</v>
      </c>
      <c r="D2360" s="2" t="s">
        <v>41</v>
      </c>
      <c r="E2360" s="2">
        <v>30</v>
      </c>
      <c r="F2360" s="2">
        <v>54</v>
      </c>
      <c r="G2360" s="2">
        <v>160</v>
      </c>
      <c r="H2360" s="9">
        <f t="shared" si="36"/>
        <v>21.093749999999996</v>
      </c>
      <c r="I2360" s="2" t="str" cm="1">
        <f t="array" ref="I2360">_xlfn.IFS(F2360&gt;=100,"Over weight",F2360&lt;100,"Average weight")</f>
        <v>Average weight</v>
      </c>
      <c r="J2360" s="2" t="str" cm="1">
        <f t="array" ref="J2360">_xlfn.IFS(G2360&lt;164,"Below Average height",G2360&gt;=165,"Above Average height",G2360=164,"Average height")</f>
        <v>Below Average height</v>
      </c>
      <c r="K2360" s="2" t="str" cm="1">
        <f t="array" ref="K2360">_xlfn.IFS(E2360&lt;=16,"Children",E2360&lt;=30,"Young Adults",E2360&lt;=45,"Middle-aged Adults",E2360&gt;45,"Old Adults")</f>
        <v>Young Adults</v>
      </c>
    </row>
    <row r="2361" spans="1:11" x14ac:dyDescent="0.45">
      <c r="A2361" s="2">
        <v>607</v>
      </c>
      <c r="B2361" s="2" t="s">
        <v>712</v>
      </c>
      <c r="C2361" s="2" t="s">
        <v>91</v>
      </c>
      <c r="D2361" s="2" t="s">
        <v>17</v>
      </c>
      <c r="E2361" s="2">
        <v>25</v>
      </c>
      <c r="F2361" s="2">
        <v>65</v>
      </c>
      <c r="G2361" s="2">
        <v>162</v>
      </c>
      <c r="H2361" s="9">
        <f t="shared" si="36"/>
        <v>24.767565919829291</v>
      </c>
      <c r="I2361" s="2" t="str" cm="1">
        <f t="array" ref="I2361">_xlfn.IFS(F2361&gt;=100,"Over weight",F2361&lt;100,"Average weight")</f>
        <v>Average weight</v>
      </c>
      <c r="J2361" s="2" t="str" cm="1">
        <f t="array" ref="J2361">_xlfn.IFS(G2361&lt;164,"Below Average height",G2361&gt;=165,"Above Average height",G2361=164,"Average height")</f>
        <v>Below Average height</v>
      </c>
      <c r="K2361" s="2" t="str" cm="1">
        <f t="array" ref="K2361">_xlfn.IFS(E2361&lt;=16,"Children",E2361&lt;=30,"Young Adults",E2361&lt;=45,"Middle-aged Adults",E2361&gt;45,"Old Adults")</f>
        <v>Young Adults</v>
      </c>
    </row>
    <row r="2362" spans="1:11" x14ac:dyDescent="0.45">
      <c r="A2362" s="2">
        <v>610</v>
      </c>
      <c r="B2362" s="2" t="s">
        <v>715</v>
      </c>
      <c r="C2362" s="2" t="s">
        <v>87</v>
      </c>
      <c r="D2362" s="2" t="s">
        <v>5</v>
      </c>
      <c r="E2362" s="2">
        <v>29</v>
      </c>
      <c r="F2362" s="2">
        <v>55</v>
      </c>
      <c r="G2362" s="2">
        <v>157</v>
      </c>
      <c r="H2362" s="9">
        <f t="shared" si="36"/>
        <v>22.313278429145196</v>
      </c>
      <c r="I2362" s="2" t="str" cm="1">
        <f t="array" ref="I2362">_xlfn.IFS(F2362&gt;=100,"Over weight",F2362&lt;100,"Average weight")</f>
        <v>Average weight</v>
      </c>
      <c r="J2362" s="2" t="str" cm="1">
        <f t="array" ref="J2362">_xlfn.IFS(G2362&lt;164,"Below Average height",G2362&gt;=165,"Above Average height",G2362=164,"Average height")</f>
        <v>Below Average height</v>
      </c>
      <c r="K2362" s="2" t="str" cm="1">
        <f t="array" ref="K2362">_xlfn.IFS(E2362&lt;=16,"Children",E2362&lt;=30,"Young Adults",E2362&lt;=45,"Middle-aged Adults",E2362&gt;45,"Old Adults")</f>
        <v>Young Adults</v>
      </c>
    </row>
    <row r="2363" spans="1:11" x14ac:dyDescent="0.45">
      <c r="A2363" s="2">
        <v>613</v>
      </c>
      <c r="B2363" s="2" t="s">
        <v>718</v>
      </c>
      <c r="C2363" s="2" t="s">
        <v>85</v>
      </c>
      <c r="D2363" s="2" t="s">
        <v>63</v>
      </c>
      <c r="E2363" s="2">
        <v>22</v>
      </c>
      <c r="F2363" s="2">
        <v>58</v>
      </c>
      <c r="G2363" s="2">
        <v>159</v>
      </c>
      <c r="H2363" s="9">
        <f t="shared" si="36"/>
        <v>22.942130453700404</v>
      </c>
      <c r="I2363" s="2" t="str" cm="1">
        <f t="array" ref="I2363">_xlfn.IFS(F2363&gt;=100,"Over weight",F2363&lt;100,"Average weight")</f>
        <v>Average weight</v>
      </c>
      <c r="J2363" s="2" t="str" cm="1">
        <f t="array" ref="J2363">_xlfn.IFS(G2363&lt;164,"Below Average height",G2363&gt;=165,"Above Average height",G2363=164,"Average height")</f>
        <v>Below Average height</v>
      </c>
      <c r="K2363" s="2" t="str" cm="1">
        <f t="array" ref="K2363">_xlfn.IFS(E2363&lt;=16,"Children",E2363&lt;=30,"Young Adults",E2363&lt;=45,"Middle-aged Adults",E2363&gt;45,"Old Adults")</f>
        <v>Young Adults</v>
      </c>
    </row>
    <row r="2364" spans="1:11" x14ac:dyDescent="0.45">
      <c r="A2364" s="2">
        <v>614</v>
      </c>
      <c r="B2364" s="2" t="s">
        <v>719</v>
      </c>
      <c r="C2364" s="2" t="s">
        <v>88</v>
      </c>
      <c r="D2364" s="2" t="s">
        <v>75</v>
      </c>
      <c r="E2364" s="2">
        <v>25</v>
      </c>
      <c r="F2364" s="2">
        <v>52</v>
      </c>
      <c r="G2364" s="2">
        <v>163</v>
      </c>
      <c r="H2364" s="9">
        <f t="shared" si="36"/>
        <v>19.571681282697881</v>
      </c>
      <c r="I2364" s="2" t="str" cm="1">
        <f t="array" ref="I2364">_xlfn.IFS(F2364&gt;=100,"Over weight",F2364&lt;100,"Average weight")</f>
        <v>Average weight</v>
      </c>
      <c r="J2364" s="2" t="str" cm="1">
        <f t="array" ref="J2364">_xlfn.IFS(G2364&lt;164,"Below Average height",G2364&gt;=165,"Above Average height",G2364=164,"Average height")</f>
        <v>Below Average height</v>
      </c>
      <c r="K2364" s="2" t="str" cm="1">
        <f t="array" ref="K2364">_xlfn.IFS(E2364&lt;=16,"Children",E2364&lt;=30,"Young Adults",E2364&lt;=45,"Middle-aged Adults",E2364&gt;45,"Old Adults")</f>
        <v>Young Adults</v>
      </c>
    </row>
    <row r="2365" spans="1:11" x14ac:dyDescent="0.45">
      <c r="A2365" s="2">
        <v>621</v>
      </c>
      <c r="B2365" s="2" t="s">
        <v>726</v>
      </c>
      <c r="C2365" s="2" t="s">
        <v>86</v>
      </c>
      <c r="D2365" s="2" t="s">
        <v>27</v>
      </c>
      <c r="E2365" s="2">
        <v>20</v>
      </c>
      <c r="F2365" s="2">
        <v>102</v>
      </c>
      <c r="G2365" s="2">
        <v>155</v>
      </c>
      <c r="H2365" s="9">
        <f t="shared" si="36"/>
        <v>42.45577523413111</v>
      </c>
      <c r="I2365" s="2" t="str" cm="1">
        <f t="array" ref="I2365">_xlfn.IFS(F2365&gt;=100,"Over weight",F2365&lt;100,"Average weight")</f>
        <v>Over weight</v>
      </c>
      <c r="J2365" s="2" t="str" cm="1">
        <f t="array" ref="J2365">_xlfn.IFS(G2365&lt;164,"Below Average height",G2365&gt;=165,"Above Average height",G2365=164,"Average height")</f>
        <v>Below Average height</v>
      </c>
      <c r="K2365" s="2" t="str" cm="1">
        <f t="array" ref="K2365">_xlfn.IFS(E2365&lt;=16,"Children",E2365&lt;=30,"Young Adults",E2365&lt;=45,"Middle-aged Adults",E2365&gt;45,"Old Adults")</f>
        <v>Young Adults</v>
      </c>
    </row>
    <row r="2366" spans="1:11" x14ac:dyDescent="0.45">
      <c r="A2366" s="2">
        <v>629</v>
      </c>
      <c r="B2366" s="2" t="s">
        <v>734</v>
      </c>
      <c r="C2366" s="2" t="s">
        <v>98</v>
      </c>
      <c r="D2366" s="2" t="s">
        <v>13</v>
      </c>
      <c r="E2366" s="2">
        <v>29</v>
      </c>
      <c r="F2366" s="2">
        <v>54</v>
      </c>
      <c r="G2366" s="2">
        <v>160</v>
      </c>
      <c r="H2366" s="9">
        <f t="shared" si="36"/>
        <v>21.093749999999996</v>
      </c>
      <c r="I2366" s="2" t="str" cm="1">
        <f t="array" ref="I2366">_xlfn.IFS(F2366&gt;=100,"Over weight",F2366&lt;100,"Average weight")</f>
        <v>Average weight</v>
      </c>
      <c r="J2366" s="2" t="str" cm="1">
        <f t="array" ref="J2366">_xlfn.IFS(G2366&lt;164,"Below Average height",G2366&gt;=165,"Above Average height",G2366=164,"Average height")</f>
        <v>Below Average height</v>
      </c>
      <c r="K2366" s="2" t="str" cm="1">
        <f t="array" ref="K2366">_xlfn.IFS(E2366&lt;=16,"Children",E2366&lt;=30,"Young Adults",E2366&lt;=45,"Middle-aged Adults",E2366&gt;45,"Old Adults")</f>
        <v>Young Adults</v>
      </c>
    </row>
    <row r="2367" spans="1:11" x14ac:dyDescent="0.45">
      <c r="A2367" s="2">
        <v>642</v>
      </c>
      <c r="B2367" s="2" t="s">
        <v>747</v>
      </c>
      <c r="C2367" s="2" t="s">
        <v>85</v>
      </c>
      <c r="D2367" s="2" t="s">
        <v>39</v>
      </c>
      <c r="E2367" s="2">
        <v>29</v>
      </c>
      <c r="F2367" s="2">
        <v>59</v>
      </c>
      <c r="G2367" s="2">
        <v>159</v>
      </c>
      <c r="H2367" s="9">
        <f t="shared" si="36"/>
        <v>23.337684427040067</v>
      </c>
      <c r="I2367" s="2" t="str" cm="1">
        <f t="array" ref="I2367">_xlfn.IFS(F2367&gt;=100,"Over weight",F2367&lt;100,"Average weight")</f>
        <v>Average weight</v>
      </c>
      <c r="J2367" s="2" t="str" cm="1">
        <f t="array" ref="J2367">_xlfn.IFS(G2367&lt;164,"Below Average height",G2367&gt;=165,"Above Average height",G2367=164,"Average height")</f>
        <v>Below Average height</v>
      </c>
      <c r="K2367" s="2" t="str" cm="1">
        <f t="array" ref="K2367">_xlfn.IFS(E2367&lt;=16,"Children",E2367&lt;=30,"Young Adults",E2367&lt;=45,"Middle-aged Adults",E2367&gt;45,"Old Adults")</f>
        <v>Young Adults</v>
      </c>
    </row>
    <row r="2368" spans="1:11" x14ac:dyDescent="0.45">
      <c r="A2368" s="2">
        <v>643</v>
      </c>
      <c r="B2368" s="2" t="s">
        <v>748</v>
      </c>
      <c r="C2368" s="2" t="s">
        <v>94</v>
      </c>
      <c r="D2368" s="2" t="s">
        <v>60</v>
      </c>
      <c r="E2368" s="2">
        <v>26</v>
      </c>
      <c r="F2368" s="2">
        <v>102</v>
      </c>
      <c r="G2368" s="2">
        <v>158</v>
      </c>
      <c r="H2368" s="9">
        <f t="shared" si="36"/>
        <v>40.85883672488383</v>
      </c>
      <c r="I2368" s="2" t="str" cm="1">
        <f t="array" ref="I2368">_xlfn.IFS(F2368&gt;=100,"Over weight",F2368&lt;100,"Average weight")</f>
        <v>Over weight</v>
      </c>
      <c r="J2368" s="2" t="str" cm="1">
        <f t="array" ref="J2368">_xlfn.IFS(G2368&lt;164,"Below Average height",G2368&gt;=165,"Above Average height",G2368=164,"Average height")</f>
        <v>Below Average height</v>
      </c>
      <c r="K2368" s="2" t="str" cm="1">
        <f t="array" ref="K2368">_xlfn.IFS(E2368&lt;=16,"Children",E2368&lt;=30,"Young Adults",E2368&lt;=45,"Middle-aged Adults",E2368&gt;45,"Old Adults")</f>
        <v>Young Adults</v>
      </c>
    </row>
    <row r="2369" spans="1:11" x14ac:dyDescent="0.45">
      <c r="A2369" s="2">
        <v>654</v>
      </c>
      <c r="B2369" s="2" t="s">
        <v>759</v>
      </c>
      <c r="C2369" s="2" t="s">
        <v>93</v>
      </c>
      <c r="D2369" s="2" t="s">
        <v>80</v>
      </c>
      <c r="E2369" s="2">
        <v>26</v>
      </c>
      <c r="F2369" s="2">
        <v>77</v>
      </c>
      <c r="G2369" s="2">
        <v>160</v>
      </c>
      <c r="H2369" s="9">
        <f t="shared" si="36"/>
        <v>30.078124999999993</v>
      </c>
      <c r="I2369" s="2" t="str" cm="1">
        <f t="array" ref="I2369">_xlfn.IFS(F2369&gt;=100,"Over weight",F2369&lt;100,"Average weight")</f>
        <v>Average weight</v>
      </c>
      <c r="J2369" s="2" t="str" cm="1">
        <f t="array" ref="J2369">_xlfn.IFS(G2369&lt;164,"Below Average height",G2369&gt;=165,"Above Average height",G2369=164,"Average height")</f>
        <v>Below Average height</v>
      </c>
      <c r="K2369" s="2" t="str" cm="1">
        <f t="array" ref="K2369">_xlfn.IFS(E2369&lt;=16,"Children",E2369&lt;=30,"Young Adults",E2369&lt;=45,"Middle-aged Adults",E2369&gt;45,"Old Adults")</f>
        <v>Young Adults</v>
      </c>
    </row>
    <row r="2370" spans="1:11" x14ac:dyDescent="0.45">
      <c r="A2370" s="2">
        <v>682</v>
      </c>
      <c r="B2370" s="2" t="s">
        <v>787</v>
      </c>
      <c r="C2370" s="2" t="s">
        <v>87</v>
      </c>
      <c r="D2370" s="2" t="s">
        <v>60</v>
      </c>
      <c r="E2370" s="2">
        <v>33</v>
      </c>
      <c r="F2370" s="2">
        <v>90</v>
      </c>
      <c r="G2370" s="2">
        <v>158</v>
      </c>
      <c r="H2370" s="9">
        <f t="shared" ref="H2370:H2433" si="37" xml:space="preserve"> F2370 / (( G2370/ 100) ^ 2)</f>
        <v>36.051914757250437</v>
      </c>
      <c r="I2370" s="2" t="str" cm="1">
        <f t="array" ref="I2370">_xlfn.IFS(F2370&gt;=100,"Over weight",F2370&lt;100,"Average weight")</f>
        <v>Average weight</v>
      </c>
      <c r="J2370" s="2" t="str" cm="1">
        <f t="array" ref="J2370">_xlfn.IFS(G2370&lt;164,"Below Average height",G2370&gt;=165,"Above Average height",G2370=164,"Average height")</f>
        <v>Below Average height</v>
      </c>
      <c r="K2370" s="2" t="str" cm="1">
        <f t="array" ref="K2370">_xlfn.IFS(E2370&lt;=16,"Children",E2370&lt;=30,"Young Adults",E2370&lt;=45,"Middle-aged Adults",E2370&gt;45,"Old Adults")</f>
        <v>Middle-aged Adults</v>
      </c>
    </row>
    <row r="2371" spans="1:11" x14ac:dyDescent="0.45">
      <c r="A2371" s="2">
        <v>699</v>
      </c>
      <c r="B2371" s="2" t="s">
        <v>804</v>
      </c>
      <c r="C2371" s="2" t="s">
        <v>93</v>
      </c>
      <c r="D2371" s="2" t="s">
        <v>80</v>
      </c>
      <c r="E2371" s="2">
        <v>17</v>
      </c>
      <c r="F2371" s="2">
        <v>55</v>
      </c>
      <c r="G2371" s="2">
        <v>163</v>
      </c>
      <c r="H2371" s="9">
        <f t="shared" si="37"/>
        <v>20.700816741315069</v>
      </c>
      <c r="I2371" s="2" t="str" cm="1">
        <f t="array" ref="I2371">_xlfn.IFS(F2371&gt;=100,"Over weight",F2371&lt;100,"Average weight")</f>
        <v>Average weight</v>
      </c>
      <c r="J2371" s="2" t="str" cm="1">
        <f t="array" ref="J2371">_xlfn.IFS(G2371&lt;164,"Below Average height",G2371&gt;=165,"Above Average height",G2371=164,"Average height")</f>
        <v>Below Average height</v>
      </c>
      <c r="K2371" s="2" t="str" cm="1">
        <f t="array" ref="K2371">_xlfn.IFS(E2371&lt;=16,"Children",E2371&lt;=30,"Young Adults",E2371&lt;=45,"Middle-aged Adults",E2371&gt;45,"Old Adults")</f>
        <v>Young Adults</v>
      </c>
    </row>
    <row r="2372" spans="1:11" x14ac:dyDescent="0.45">
      <c r="A2372" s="2">
        <v>700</v>
      </c>
      <c r="B2372" s="2" t="s">
        <v>805</v>
      </c>
      <c r="C2372" s="2" t="s">
        <v>87</v>
      </c>
      <c r="D2372" s="2" t="s">
        <v>17</v>
      </c>
      <c r="E2372" s="2">
        <v>26</v>
      </c>
      <c r="F2372" s="2">
        <v>60</v>
      </c>
      <c r="G2372" s="2">
        <v>155</v>
      </c>
      <c r="H2372" s="9">
        <f t="shared" si="37"/>
        <v>24.973985431841829</v>
      </c>
      <c r="I2372" s="2" t="str" cm="1">
        <f t="array" ref="I2372">_xlfn.IFS(F2372&gt;=100,"Over weight",F2372&lt;100,"Average weight")</f>
        <v>Average weight</v>
      </c>
      <c r="J2372" s="2" t="str" cm="1">
        <f t="array" ref="J2372">_xlfn.IFS(G2372&lt;164,"Below Average height",G2372&gt;=165,"Above Average height",G2372=164,"Average height")</f>
        <v>Below Average height</v>
      </c>
      <c r="K2372" s="2" t="str" cm="1">
        <f t="array" ref="K2372">_xlfn.IFS(E2372&lt;=16,"Children",E2372&lt;=30,"Young Adults",E2372&lt;=45,"Middle-aged Adults",E2372&gt;45,"Old Adults")</f>
        <v>Young Adults</v>
      </c>
    </row>
    <row r="2373" spans="1:11" x14ac:dyDescent="0.45">
      <c r="A2373" s="2">
        <v>705</v>
      </c>
      <c r="B2373" s="2" t="s">
        <v>810</v>
      </c>
      <c r="C2373" s="2" t="s">
        <v>85</v>
      </c>
      <c r="D2373" s="2" t="s">
        <v>2</v>
      </c>
      <c r="E2373" s="2">
        <v>21</v>
      </c>
      <c r="F2373" s="2">
        <v>60</v>
      </c>
      <c r="G2373" s="2">
        <v>162</v>
      </c>
      <c r="H2373" s="9">
        <f t="shared" si="37"/>
        <v>22.862368541380881</v>
      </c>
      <c r="I2373" s="2" t="str" cm="1">
        <f t="array" ref="I2373">_xlfn.IFS(F2373&gt;=100,"Over weight",F2373&lt;100,"Average weight")</f>
        <v>Average weight</v>
      </c>
      <c r="J2373" s="2" t="str" cm="1">
        <f t="array" ref="J2373">_xlfn.IFS(G2373&lt;164,"Below Average height",G2373&gt;=165,"Above Average height",G2373=164,"Average height")</f>
        <v>Below Average height</v>
      </c>
      <c r="K2373" s="2" t="str" cm="1">
        <f t="array" ref="K2373">_xlfn.IFS(E2373&lt;=16,"Children",E2373&lt;=30,"Young Adults",E2373&lt;=45,"Middle-aged Adults",E2373&gt;45,"Old Adults")</f>
        <v>Young Adults</v>
      </c>
    </row>
    <row r="2374" spans="1:11" x14ac:dyDescent="0.45">
      <c r="A2374" s="2">
        <v>707</v>
      </c>
      <c r="B2374" s="2" t="s">
        <v>812</v>
      </c>
      <c r="C2374" s="2" t="s">
        <v>94</v>
      </c>
      <c r="D2374" s="2" t="s">
        <v>65</v>
      </c>
      <c r="E2374" s="2">
        <v>27</v>
      </c>
      <c r="F2374" s="2">
        <v>51</v>
      </c>
      <c r="G2374" s="2">
        <v>162</v>
      </c>
      <c r="H2374" s="9">
        <f t="shared" si="37"/>
        <v>19.433013260173752</v>
      </c>
      <c r="I2374" s="2" t="str" cm="1">
        <f t="array" ref="I2374">_xlfn.IFS(F2374&gt;=100,"Over weight",F2374&lt;100,"Average weight")</f>
        <v>Average weight</v>
      </c>
      <c r="J2374" s="2" t="str" cm="1">
        <f t="array" ref="J2374">_xlfn.IFS(G2374&lt;164,"Below Average height",G2374&gt;=165,"Above Average height",G2374=164,"Average height")</f>
        <v>Below Average height</v>
      </c>
      <c r="K2374" s="2" t="str" cm="1">
        <f t="array" ref="K2374">_xlfn.IFS(E2374&lt;=16,"Children",E2374&lt;=30,"Young Adults",E2374&lt;=45,"Middle-aged Adults",E2374&gt;45,"Old Adults")</f>
        <v>Young Adults</v>
      </c>
    </row>
    <row r="2375" spans="1:11" x14ac:dyDescent="0.45">
      <c r="A2375" s="2">
        <v>710</v>
      </c>
      <c r="B2375" s="2" t="s">
        <v>815</v>
      </c>
      <c r="C2375" s="2" t="s">
        <v>94</v>
      </c>
      <c r="D2375" s="2" t="s">
        <v>74</v>
      </c>
      <c r="E2375" s="2">
        <v>23</v>
      </c>
      <c r="F2375" s="2">
        <v>58</v>
      </c>
      <c r="G2375" s="2">
        <v>163</v>
      </c>
      <c r="H2375" s="9">
        <f t="shared" si="37"/>
        <v>21.829952199932254</v>
      </c>
      <c r="I2375" s="2" t="str" cm="1">
        <f t="array" ref="I2375">_xlfn.IFS(F2375&gt;=100,"Over weight",F2375&lt;100,"Average weight")</f>
        <v>Average weight</v>
      </c>
      <c r="J2375" s="2" t="str" cm="1">
        <f t="array" ref="J2375">_xlfn.IFS(G2375&lt;164,"Below Average height",G2375&gt;=165,"Above Average height",G2375=164,"Average height")</f>
        <v>Below Average height</v>
      </c>
      <c r="K2375" s="2" t="str" cm="1">
        <f t="array" ref="K2375">_xlfn.IFS(E2375&lt;=16,"Children",E2375&lt;=30,"Young Adults",E2375&lt;=45,"Middle-aged Adults",E2375&gt;45,"Old Adults")</f>
        <v>Young Adults</v>
      </c>
    </row>
    <row r="2376" spans="1:11" x14ac:dyDescent="0.45">
      <c r="A2376" s="2">
        <v>713</v>
      </c>
      <c r="B2376" s="2" t="s">
        <v>818</v>
      </c>
      <c r="C2376" s="2" t="s">
        <v>91</v>
      </c>
      <c r="D2376" s="2" t="s">
        <v>75</v>
      </c>
      <c r="E2376" s="2">
        <v>27</v>
      </c>
      <c r="F2376" s="2">
        <v>55</v>
      </c>
      <c r="G2376" s="2">
        <v>159</v>
      </c>
      <c r="H2376" s="9">
        <f t="shared" si="37"/>
        <v>21.75546853368142</v>
      </c>
      <c r="I2376" s="2" t="str" cm="1">
        <f t="array" ref="I2376">_xlfn.IFS(F2376&gt;=100,"Over weight",F2376&lt;100,"Average weight")</f>
        <v>Average weight</v>
      </c>
      <c r="J2376" s="2" t="str" cm="1">
        <f t="array" ref="J2376">_xlfn.IFS(G2376&lt;164,"Below Average height",G2376&gt;=165,"Above Average height",G2376=164,"Average height")</f>
        <v>Below Average height</v>
      </c>
      <c r="K2376" s="2" t="str" cm="1">
        <f t="array" ref="K2376">_xlfn.IFS(E2376&lt;=16,"Children",E2376&lt;=30,"Young Adults",E2376&lt;=45,"Middle-aged Adults",E2376&gt;45,"Old Adults")</f>
        <v>Young Adults</v>
      </c>
    </row>
    <row r="2377" spans="1:11" x14ac:dyDescent="0.45">
      <c r="A2377" s="2">
        <v>715</v>
      </c>
      <c r="B2377" s="2" t="s">
        <v>820</v>
      </c>
      <c r="C2377" s="2" t="s">
        <v>94</v>
      </c>
      <c r="D2377" s="2" t="s">
        <v>60</v>
      </c>
      <c r="E2377" s="2">
        <v>24</v>
      </c>
      <c r="F2377" s="2">
        <v>90</v>
      </c>
      <c r="G2377" s="2">
        <v>158</v>
      </c>
      <c r="H2377" s="9">
        <f t="shared" si="37"/>
        <v>36.051914757250437</v>
      </c>
      <c r="I2377" s="2" t="str" cm="1">
        <f t="array" ref="I2377">_xlfn.IFS(F2377&gt;=100,"Over weight",F2377&lt;100,"Average weight")</f>
        <v>Average weight</v>
      </c>
      <c r="J2377" s="2" t="str" cm="1">
        <f t="array" ref="J2377">_xlfn.IFS(G2377&lt;164,"Below Average height",G2377&gt;=165,"Above Average height",G2377=164,"Average height")</f>
        <v>Below Average height</v>
      </c>
      <c r="K2377" s="2" t="str" cm="1">
        <f t="array" ref="K2377">_xlfn.IFS(E2377&lt;=16,"Children",E2377&lt;=30,"Young Adults",E2377&lt;=45,"Middle-aged Adults",E2377&gt;45,"Old Adults")</f>
        <v>Young Adults</v>
      </c>
    </row>
    <row r="2378" spans="1:11" x14ac:dyDescent="0.45">
      <c r="A2378" s="2">
        <v>728</v>
      </c>
      <c r="B2378" s="2" t="s">
        <v>833</v>
      </c>
      <c r="C2378" s="2" t="s">
        <v>88</v>
      </c>
      <c r="D2378" s="2" t="s">
        <v>39</v>
      </c>
      <c r="E2378" s="2">
        <v>29</v>
      </c>
      <c r="F2378" s="2">
        <v>61</v>
      </c>
      <c r="G2378" s="2">
        <v>163</v>
      </c>
      <c r="H2378" s="9">
        <f t="shared" si="37"/>
        <v>22.959087658549439</v>
      </c>
      <c r="I2378" s="2" t="str" cm="1">
        <f t="array" ref="I2378">_xlfn.IFS(F2378&gt;=100,"Over weight",F2378&lt;100,"Average weight")</f>
        <v>Average weight</v>
      </c>
      <c r="J2378" s="2" t="str" cm="1">
        <f t="array" ref="J2378">_xlfn.IFS(G2378&lt;164,"Below Average height",G2378&gt;=165,"Above Average height",G2378=164,"Average height")</f>
        <v>Below Average height</v>
      </c>
      <c r="K2378" s="2" t="str" cm="1">
        <f t="array" ref="K2378">_xlfn.IFS(E2378&lt;=16,"Children",E2378&lt;=30,"Young Adults",E2378&lt;=45,"Middle-aged Adults",E2378&gt;45,"Old Adults")</f>
        <v>Young Adults</v>
      </c>
    </row>
    <row r="2379" spans="1:11" x14ac:dyDescent="0.45">
      <c r="A2379" s="2">
        <v>741</v>
      </c>
      <c r="B2379" s="2" t="s">
        <v>846</v>
      </c>
      <c r="C2379" s="2" t="s">
        <v>88</v>
      </c>
      <c r="D2379" s="2" t="s">
        <v>60</v>
      </c>
      <c r="E2379" s="2">
        <v>40</v>
      </c>
      <c r="F2379" s="2">
        <v>90</v>
      </c>
      <c r="G2379" s="2">
        <v>145</v>
      </c>
      <c r="H2379" s="9">
        <f t="shared" si="37"/>
        <v>42.806183115338882</v>
      </c>
      <c r="I2379" s="2" t="str" cm="1">
        <f t="array" ref="I2379">_xlfn.IFS(F2379&gt;=100,"Over weight",F2379&lt;100,"Average weight")</f>
        <v>Average weight</v>
      </c>
      <c r="J2379" s="2" t="str" cm="1">
        <f t="array" ref="J2379">_xlfn.IFS(G2379&lt;164,"Below Average height",G2379&gt;=165,"Above Average height",G2379=164,"Average height")</f>
        <v>Below Average height</v>
      </c>
      <c r="K2379" s="2" t="str" cm="1">
        <f t="array" ref="K2379">_xlfn.IFS(E2379&lt;=16,"Children",E2379&lt;=30,"Young Adults",E2379&lt;=45,"Middle-aged Adults",E2379&gt;45,"Old Adults")</f>
        <v>Middle-aged Adults</v>
      </c>
    </row>
    <row r="2380" spans="1:11" x14ac:dyDescent="0.45">
      <c r="A2380" s="2">
        <v>751</v>
      </c>
      <c r="B2380" s="2" t="s">
        <v>856</v>
      </c>
      <c r="C2380" s="2" t="s">
        <v>85</v>
      </c>
      <c r="D2380" s="2" t="s">
        <v>12</v>
      </c>
      <c r="E2380" s="2">
        <v>17</v>
      </c>
      <c r="F2380" s="2">
        <v>53</v>
      </c>
      <c r="G2380" s="2">
        <v>161</v>
      </c>
      <c r="H2380" s="9">
        <f t="shared" si="37"/>
        <v>20.446742023841672</v>
      </c>
      <c r="I2380" s="2" t="str" cm="1">
        <f t="array" ref="I2380">_xlfn.IFS(F2380&gt;=100,"Over weight",F2380&lt;100,"Average weight")</f>
        <v>Average weight</v>
      </c>
      <c r="J2380" s="2" t="str" cm="1">
        <f t="array" ref="J2380">_xlfn.IFS(G2380&lt;164,"Below Average height",G2380&gt;=165,"Above Average height",G2380=164,"Average height")</f>
        <v>Below Average height</v>
      </c>
      <c r="K2380" s="2" t="str" cm="1">
        <f t="array" ref="K2380">_xlfn.IFS(E2380&lt;=16,"Children",E2380&lt;=30,"Young Adults",E2380&lt;=45,"Middle-aged Adults",E2380&gt;45,"Old Adults")</f>
        <v>Young Adults</v>
      </c>
    </row>
    <row r="2381" spans="1:11" x14ac:dyDescent="0.45">
      <c r="A2381" s="2">
        <v>755</v>
      </c>
      <c r="B2381" s="2" t="s">
        <v>860</v>
      </c>
      <c r="C2381" s="2" t="s">
        <v>94</v>
      </c>
      <c r="D2381" s="2" t="s">
        <v>60</v>
      </c>
      <c r="E2381" s="2">
        <v>27</v>
      </c>
      <c r="F2381" s="2">
        <v>75</v>
      </c>
      <c r="G2381" s="2">
        <v>145</v>
      </c>
      <c r="H2381" s="9">
        <f t="shared" si="37"/>
        <v>35.6718192627824</v>
      </c>
      <c r="I2381" s="2" t="str" cm="1">
        <f t="array" ref="I2381">_xlfn.IFS(F2381&gt;=100,"Over weight",F2381&lt;100,"Average weight")</f>
        <v>Average weight</v>
      </c>
      <c r="J2381" s="2" t="str" cm="1">
        <f t="array" ref="J2381">_xlfn.IFS(G2381&lt;164,"Below Average height",G2381&gt;=165,"Above Average height",G2381=164,"Average height")</f>
        <v>Below Average height</v>
      </c>
      <c r="K2381" s="2" t="str" cm="1">
        <f t="array" ref="K2381">_xlfn.IFS(E2381&lt;=16,"Children",E2381&lt;=30,"Young Adults",E2381&lt;=45,"Middle-aged Adults",E2381&gt;45,"Old Adults")</f>
        <v>Young Adults</v>
      </c>
    </row>
    <row r="2382" spans="1:11" x14ac:dyDescent="0.45">
      <c r="A2382" s="2">
        <v>756</v>
      </c>
      <c r="B2382" s="2" t="s">
        <v>861</v>
      </c>
      <c r="C2382" s="2" t="s">
        <v>93</v>
      </c>
      <c r="D2382" s="2" t="s">
        <v>60</v>
      </c>
      <c r="E2382" s="2">
        <v>19</v>
      </c>
      <c r="F2382" s="2">
        <v>75</v>
      </c>
      <c r="G2382" s="2">
        <v>145</v>
      </c>
      <c r="H2382" s="9">
        <f t="shared" si="37"/>
        <v>35.6718192627824</v>
      </c>
      <c r="I2382" s="2" t="str" cm="1">
        <f t="array" ref="I2382">_xlfn.IFS(F2382&gt;=100,"Over weight",F2382&lt;100,"Average weight")</f>
        <v>Average weight</v>
      </c>
      <c r="J2382" s="2" t="str" cm="1">
        <f t="array" ref="J2382">_xlfn.IFS(G2382&lt;164,"Below Average height",G2382&gt;=165,"Above Average height",G2382=164,"Average height")</f>
        <v>Below Average height</v>
      </c>
      <c r="K2382" s="2" t="str" cm="1">
        <f t="array" ref="K2382">_xlfn.IFS(E2382&lt;=16,"Children",E2382&lt;=30,"Young Adults",E2382&lt;=45,"Middle-aged Adults",E2382&gt;45,"Old Adults")</f>
        <v>Young Adults</v>
      </c>
    </row>
    <row r="2383" spans="1:11" x14ac:dyDescent="0.45">
      <c r="A2383" s="2">
        <v>757</v>
      </c>
      <c r="B2383" s="2" t="s">
        <v>862</v>
      </c>
      <c r="C2383" s="2" t="s">
        <v>85</v>
      </c>
      <c r="D2383" s="2" t="s">
        <v>60</v>
      </c>
      <c r="E2383" s="2">
        <v>22</v>
      </c>
      <c r="F2383" s="2">
        <v>75</v>
      </c>
      <c r="G2383" s="2">
        <v>145</v>
      </c>
      <c r="H2383" s="9">
        <f t="shared" si="37"/>
        <v>35.6718192627824</v>
      </c>
      <c r="I2383" s="2" t="str" cm="1">
        <f t="array" ref="I2383">_xlfn.IFS(F2383&gt;=100,"Over weight",F2383&lt;100,"Average weight")</f>
        <v>Average weight</v>
      </c>
      <c r="J2383" s="2" t="str" cm="1">
        <f t="array" ref="J2383">_xlfn.IFS(G2383&lt;164,"Below Average height",G2383&gt;=165,"Above Average height",G2383=164,"Average height")</f>
        <v>Below Average height</v>
      </c>
      <c r="K2383" s="2" t="str" cm="1">
        <f t="array" ref="K2383">_xlfn.IFS(E2383&lt;=16,"Children",E2383&lt;=30,"Young Adults",E2383&lt;=45,"Middle-aged Adults",E2383&gt;45,"Old Adults")</f>
        <v>Young Adults</v>
      </c>
    </row>
    <row r="2384" spans="1:11" x14ac:dyDescent="0.45">
      <c r="A2384" s="2">
        <v>758</v>
      </c>
      <c r="B2384" s="2" t="s">
        <v>863</v>
      </c>
      <c r="C2384" s="2" t="s">
        <v>89</v>
      </c>
      <c r="D2384" s="2" t="s">
        <v>60</v>
      </c>
      <c r="E2384" s="2">
        <v>24</v>
      </c>
      <c r="F2384" s="2">
        <v>75</v>
      </c>
      <c r="G2384" s="2">
        <v>145</v>
      </c>
      <c r="H2384" s="9">
        <f t="shared" si="37"/>
        <v>35.6718192627824</v>
      </c>
      <c r="I2384" s="2" t="str" cm="1">
        <f t="array" ref="I2384">_xlfn.IFS(F2384&gt;=100,"Over weight",F2384&lt;100,"Average weight")</f>
        <v>Average weight</v>
      </c>
      <c r="J2384" s="2" t="str" cm="1">
        <f t="array" ref="J2384">_xlfn.IFS(G2384&lt;164,"Below Average height",G2384&gt;=165,"Above Average height",G2384=164,"Average height")</f>
        <v>Below Average height</v>
      </c>
      <c r="K2384" s="2" t="str" cm="1">
        <f t="array" ref="K2384">_xlfn.IFS(E2384&lt;=16,"Children",E2384&lt;=30,"Young Adults",E2384&lt;=45,"Middle-aged Adults",E2384&gt;45,"Old Adults")</f>
        <v>Young Adults</v>
      </c>
    </row>
    <row r="2385" spans="1:11" x14ac:dyDescent="0.45">
      <c r="A2385" s="2">
        <v>759</v>
      </c>
      <c r="B2385" s="2" t="s">
        <v>864</v>
      </c>
      <c r="C2385" s="2" t="s">
        <v>89</v>
      </c>
      <c r="D2385" s="2" t="s">
        <v>60</v>
      </c>
      <c r="E2385" s="2">
        <v>27</v>
      </c>
      <c r="F2385" s="2">
        <v>75</v>
      </c>
      <c r="G2385" s="2">
        <v>145</v>
      </c>
      <c r="H2385" s="9">
        <f t="shared" si="37"/>
        <v>35.6718192627824</v>
      </c>
      <c r="I2385" s="2" t="str" cm="1">
        <f t="array" ref="I2385">_xlfn.IFS(F2385&gt;=100,"Over weight",F2385&lt;100,"Average weight")</f>
        <v>Average weight</v>
      </c>
      <c r="J2385" s="2" t="str" cm="1">
        <f t="array" ref="J2385">_xlfn.IFS(G2385&lt;164,"Below Average height",G2385&gt;=165,"Above Average height",G2385=164,"Average height")</f>
        <v>Below Average height</v>
      </c>
      <c r="K2385" s="2" t="str" cm="1">
        <f t="array" ref="K2385">_xlfn.IFS(E2385&lt;=16,"Children",E2385&lt;=30,"Young Adults",E2385&lt;=45,"Middle-aged Adults",E2385&gt;45,"Old Adults")</f>
        <v>Young Adults</v>
      </c>
    </row>
    <row r="2386" spans="1:11" x14ac:dyDescent="0.45">
      <c r="A2386" s="2">
        <v>761</v>
      </c>
      <c r="B2386" s="2" t="s">
        <v>866</v>
      </c>
      <c r="C2386" s="2" t="s">
        <v>86</v>
      </c>
      <c r="D2386" s="2" t="s">
        <v>28</v>
      </c>
      <c r="E2386" s="2">
        <v>21</v>
      </c>
      <c r="F2386" s="2">
        <v>75</v>
      </c>
      <c r="G2386" s="2">
        <v>154</v>
      </c>
      <c r="H2386" s="9">
        <f t="shared" si="37"/>
        <v>31.624219935908247</v>
      </c>
      <c r="I2386" s="2" t="str" cm="1">
        <f t="array" ref="I2386">_xlfn.IFS(F2386&gt;=100,"Over weight",F2386&lt;100,"Average weight")</f>
        <v>Average weight</v>
      </c>
      <c r="J2386" s="2" t="str" cm="1">
        <f t="array" ref="J2386">_xlfn.IFS(G2386&lt;164,"Below Average height",G2386&gt;=165,"Above Average height",G2386=164,"Average height")</f>
        <v>Below Average height</v>
      </c>
      <c r="K2386" s="2" t="str" cm="1">
        <f t="array" ref="K2386">_xlfn.IFS(E2386&lt;=16,"Children",E2386&lt;=30,"Young Adults",E2386&lt;=45,"Middle-aged Adults",E2386&gt;45,"Old Adults")</f>
        <v>Young Adults</v>
      </c>
    </row>
    <row r="2387" spans="1:11" x14ac:dyDescent="0.45">
      <c r="A2387" s="2">
        <v>765</v>
      </c>
      <c r="B2387" s="2" t="s">
        <v>870</v>
      </c>
      <c r="C2387" s="2" t="s">
        <v>93</v>
      </c>
      <c r="D2387" s="2" t="s">
        <v>60</v>
      </c>
      <c r="E2387" s="2">
        <v>18</v>
      </c>
      <c r="F2387" s="2">
        <v>75</v>
      </c>
      <c r="G2387" s="2">
        <v>145</v>
      </c>
      <c r="H2387" s="9">
        <f t="shared" si="37"/>
        <v>35.6718192627824</v>
      </c>
      <c r="I2387" s="2" t="str" cm="1">
        <f t="array" ref="I2387">_xlfn.IFS(F2387&gt;=100,"Over weight",F2387&lt;100,"Average weight")</f>
        <v>Average weight</v>
      </c>
      <c r="J2387" s="2" t="str" cm="1">
        <f t="array" ref="J2387">_xlfn.IFS(G2387&lt;164,"Below Average height",G2387&gt;=165,"Above Average height",G2387=164,"Average height")</f>
        <v>Below Average height</v>
      </c>
      <c r="K2387" s="2" t="str" cm="1">
        <f t="array" ref="K2387">_xlfn.IFS(E2387&lt;=16,"Children",E2387&lt;=30,"Young Adults",E2387&lt;=45,"Middle-aged Adults",E2387&gt;45,"Old Adults")</f>
        <v>Young Adults</v>
      </c>
    </row>
    <row r="2388" spans="1:11" x14ac:dyDescent="0.45">
      <c r="A2388" s="2">
        <v>783</v>
      </c>
      <c r="B2388" s="2" t="s">
        <v>888</v>
      </c>
      <c r="C2388" s="2" t="s">
        <v>87</v>
      </c>
      <c r="D2388" s="2" t="s">
        <v>14</v>
      </c>
      <c r="E2388" s="2">
        <v>26</v>
      </c>
      <c r="F2388" s="2">
        <v>55</v>
      </c>
      <c r="G2388" s="2">
        <v>162</v>
      </c>
      <c r="H2388" s="9">
        <f t="shared" si="37"/>
        <v>20.957171162932475</v>
      </c>
      <c r="I2388" s="2" t="str" cm="1">
        <f t="array" ref="I2388">_xlfn.IFS(F2388&gt;=100,"Over weight",F2388&lt;100,"Average weight")</f>
        <v>Average weight</v>
      </c>
      <c r="J2388" s="2" t="str" cm="1">
        <f t="array" ref="J2388">_xlfn.IFS(G2388&lt;164,"Below Average height",G2388&gt;=165,"Above Average height",G2388=164,"Average height")</f>
        <v>Below Average height</v>
      </c>
      <c r="K2388" s="2" t="str" cm="1">
        <f t="array" ref="K2388">_xlfn.IFS(E2388&lt;=16,"Children",E2388&lt;=30,"Young Adults",E2388&lt;=45,"Middle-aged Adults",E2388&gt;45,"Old Adults")</f>
        <v>Young Adults</v>
      </c>
    </row>
    <row r="2389" spans="1:11" x14ac:dyDescent="0.45">
      <c r="A2389" s="2">
        <v>789</v>
      </c>
      <c r="B2389" s="2" t="s">
        <v>894</v>
      </c>
      <c r="C2389" s="2" t="s">
        <v>88</v>
      </c>
      <c r="D2389" s="2" t="s">
        <v>28</v>
      </c>
      <c r="E2389" s="2">
        <v>32</v>
      </c>
      <c r="F2389" s="2">
        <v>50</v>
      </c>
      <c r="G2389" s="2">
        <v>158</v>
      </c>
      <c r="H2389" s="9">
        <f t="shared" si="37"/>
        <v>20.028841531805796</v>
      </c>
      <c r="I2389" s="2" t="str" cm="1">
        <f t="array" ref="I2389">_xlfn.IFS(F2389&gt;=100,"Over weight",F2389&lt;100,"Average weight")</f>
        <v>Average weight</v>
      </c>
      <c r="J2389" s="2" t="str" cm="1">
        <f t="array" ref="J2389">_xlfn.IFS(G2389&lt;164,"Below Average height",G2389&gt;=165,"Above Average height",G2389=164,"Average height")</f>
        <v>Below Average height</v>
      </c>
      <c r="K2389" s="2" t="str" cm="1">
        <f t="array" ref="K2389">_xlfn.IFS(E2389&lt;=16,"Children",E2389&lt;=30,"Young Adults",E2389&lt;=45,"Middle-aged Adults",E2389&gt;45,"Old Adults")</f>
        <v>Middle-aged Adults</v>
      </c>
    </row>
    <row r="2390" spans="1:11" x14ac:dyDescent="0.45">
      <c r="A2390" s="2">
        <v>795</v>
      </c>
      <c r="B2390" s="2" t="s">
        <v>900</v>
      </c>
      <c r="C2390" s="2" t="s">
        <v>89</v>
      </c>
      <c r="D2390" s="2" t="s">
        <v>28</v>
      </c>
      <c r="E2390" s="2">
        <v>27</v>
      </c>
      <c r="F2390" s="2">
        <v>53</v>
      </c>
      <c r="G2390" s="2">
        <v>158</v>
      </c>
      <c r="H2390" s="9">
        <f t="shared" si="37"/>
        <v>21.230572023714146</v>
      </c>
      <c r="I2390" s="2" t="str" cm="1">
        <f t="array" ref="I2390">_xlfn.IFS(F2390&gt;=100,"Over weight",F2390&lt;100,"Average weight")</f>
        <v>Average weight</v>
      </c>
      <c r="J2390" s="2" t="str" cm="1">
        <f t="array" ref="J2390">_xlfn.IFS(G2390&lt;164,"Below Average height",G2390&gt;=165,"Above Average height",G2390=164,"Average height")</f>
        <v>Below Average height</v>
      </c>
      <c r="K2390" s="2" t="str" cm="1">
        <f t="array" ref="K2390">_xlfn.IFS(E2390&lt;=16,"Children",E2390&lt;=30,"Young Adults",E2390&lt;=45,"Middle-aged Adults",E2390&gt;45,"Old Adults")</f>
        <v>Young Adults</v>
      </c>
    </row>
    <row r="2391" spans="1:11" x14ac:dyDescent="0.45">
      <c r="A2391" s="2">
        <v>799</v>
      </c>
      <c r="B2391" s="2" t="s">
        <v>904</v>
      </c>
      <c r="C2391" s="2" t="s">
        <v>93</v>
      </c>
      <c r="D2391" s="2" t="s">
        <v>80</v>
      </c>
      <c r="E2391" s="2">
        <v>20</v>
      </c>
      <c r="F2391" s="2">
        <v>52</v>
      </c>
      <c r="G2391" s="2">
        <v>155</v>
      </c>
      <c r="H2391" s="9">
        <f t="shared" si="37"/>
        <v>21.644120707596251</v>
      </c>
      <c r="I2391" s="2" t="str" cm="1">
        <f t="array" ref="I2391">_xlfn.IFS(F2391&gt;=100,"Over weight",F2391&lt;100,"Average weight")</f>
        <v>Average weight</v>
      </c>
      <c r="J2391" s="2" t="str" cm="1">
        <f t="array" ref="J2391">_xlfn.IFS(G2391&lt;164,"Below Average height",G2391&gt;=165,"Above Average height",G2391=164,"Average height")</f>
        <v>Below Average height</v>
      </c>
      <c r="K2391" s="2" t="str" cm="1">
        <f t="array" ref="K2391">_xlfn.IFS(E2391&lt;=16,"Children",E2391&lt;=30,"Young Adults",E2391&lt;=45,"Middle-aged Adults",E2391&gt;45,"Old Adults")</f>
        <v>Young Adults</v>
      </c>
    </row>
    <row r="2392" spans="1:11" x14ac:dyDescent="0.45">
      <c r="A2392" s="2">
        <v>800</v>
      </c>
      <c r="B2392" s="2" t="s">
        <v>905</v>
      </c>
      <c r="C2392" s="2" t="s">
        <v>91</v>
      </c>
      <c r="D2392" s="2" t="s">
        <v>25</v>
      </c>
      <c r="E2392" s="2">
        <v>22</v>
      </c>
      <c r="F2392" s="2">
        <v>60</v>
      </c>
      <c r="G2392" s="2">
        <v>161</v>
      </c>
      <c r="H2392" s="9">
        <f t="shared" si="37"/>
        <v>23.147255121330193</v>
      </c>
      <c r="I2392" s="2" t="str" cm="1">
        <f t="array" ref="I2392">_xlfn.IFS(F2392&gt;=100,"Over weight",F2392&lt;100,"Average weight")</f>
        <v>Average weight</v>
      </c>
      <c r="J2392" s="2" t="str" cm="1">
        <f t="array" ref="J2392">_xlfn.IFS(G2392&lt;164,"Below Average height",G2392&gt;=165,"Above Average height",G2392=164,"Average height")</f>
        <v>Below Average height</v>
      </c>
      <c r="K2392" s="2" t="str" cm="1">
        <f t="array" ref="K2392">_xlfn.IFS(E2392&lt;=16,"Children",E2392&lt;=30,"Young Adults",E2392&lt;=45,"Middle-aged Adults",E2392&gt;45,"Old Adults")</f>
        <v>Young Adults</v>
      </c>
    </row>
    <row r="2393" spans="1:11" x14ac:dyDescent="0.45">
      <c r="A2393" s="2">
        <v>803</v>
      </c>
      <c r="B2393" s="2" t="s">
        <v>908</v>
      </c>
      <c r="C2393" s="2" t="s">
        <v>90</v>
      </c>
      <c r="D2393" s="2" t="s">
        <v>41</v>
      </c>
      <c r="E2393" s="2">
        <v>30</v>
      </c>
      <c r="F2393" s="2">
        <v>60</v>
      </c>
      <c r="G2393" s="2">
        <v>160</v>
      </c>
      <c r="H2393" s="9">
        <f t="shared" si="37"/>
        <v>23.437499999999996</v>
      </c>
      <c r="I2393" s="2" t="str" cm="1">
        <f t="array" ref="I2393">_xlfn.IFS(F2393&gt;=100,"Over weight",F2393&lt;100,"Average weight")</f>
        <v>Average weight</v>
      </c>
      <c r="J2393" s="2" t="str" cm="1">
        <f t="array" ref="J2393">_xlfn.IFS(G2393&lt;164,"Below Average height",G2393&gt;=165,"Above Average height",G2393=164,"Average height")</f>
        <v>Below Average height</v>
      </c>
      <c r="K2393" s="2" t="str" cm="1">
        <f t="array" ref="K2393">_xlfn.IFS(E2393&lt;=16,"Children",E2393&lt;=30,"Young Adults",E2393&lt;=45,"Middle-aged Adults",E2393&gt;45,"Old Adults")</f>
        <v>Young Adults</v>
      </c>
    </row>
    <row r="2394" spans="1:11" x14ac:dyDescent="0.45">
      <c r="A2394" s="2">
        <v>806</v>
      </c>
      <c r="B2394" s="2" t="s">
        <v>911</v>
      </c>
      <c r="C2394" s="2" t="s">
        <v>94</v>
      </c>
      <c r="D2394" s="2" t="s">
        <v>60</v>
      </c>
      <c r="E2394" s="2">
        <v>38</v>
      </c>
      <c r="F2394" s="2">
        <v>81</v>
      </c>
      <c r="G2394" s="2">
        <v>145</v>
      </c>
      <c r="H2394" s="9">
        <f t="shared" si="37"/>
        <v>38.525564803804997</v>
      </c>
      <c r="I2394" s="2" t="str" cm="1">
        <f t="array" ref="I2394">_xlfn.IFS(F2394&gt;=100,"Over weight",F2394&lt;100,"Average weight")</f>
        <v>Average weight</v>
      </c>
      <c r="J2394" s="2" t="str" cm="1">
        <f t="array" ref="J2394">_xlfn.IFS(G2394&lt;164,"Below Average height",G2394&gt;=165,"Above Average height",G2394=164,"Average height")</f>
        <v>Below Average height</v>
      </c>
      <c r="K2394" s="2" t="str" cm="1">
        <f t="array" ref="K2394">_xlfn.IFS(E2394&lt;=16,"Children",E2394&lt;=30,"Young Adults",E2394&lt;=45,"Middle-aged Adults",E2394&gt;45,"Old Adults")</f>
        <v>Middle-aged Adults</v>
      </c>
    </row>
    <row r="2395" spans="1:11" x14ac:dyDescent="0.45">
      <c r="A2395" s="2">
        <v>811</v>
      </c>
      <c r="B2395" s="2" t="s">
        <v>916</v>
      </c>
      <c r="C2395" s="2" t="s">
        <v>87</v>
      </c>
      <c r="D2395" s="2" t="s">
        <v>60</v>
      </c>
      <c r="E2395" s="2">
        <v>20</v>
      </c>
      <c r="F2395" s="2">
        <v>81</v>
      </c>
      <c r="G2395" s="2">
        <v>145</v>
      </c>
      <c r="H2395" s="9">
        <f t="shared" si="37"/>
        <v>38.525564803804997</v>
      </c>
      <c r="I2395" s="2" t="str" cm="1">
        <f t="array" ref="I2395">_xlfn.IFS(F2395&gt;=100,"Over weight",F2395&lt;100,"Average weight")</f>
        <v>Average weight</v>
      </c>
      <c r="J2395" s="2" t="str" cm="1">
        <f t="array" ref="J2395">_xlfn.IFS(G2395&lt;164,"Below Average height",G2395&gt;=165,"Above Average height",G2395=164,"Average height")</f>
        <v>Below Average height</v>
      </c>
      <c r="K2395" s="2" t="str" cm="1">
        <f t="array" ref="K2395">_xlfn.IFS(E2395&lt;=16,"Children",E2395&lt;=30,"Young Adults",E2395&lt;=45,"Middle-aged Adults",E2395&gt;45,"Old Adults")</f>
        <v>Young Adults</v>
      </c>
    </row>
    <row r="2396" spans="1:11" x14ac:dyDescent="0.45">
      <c r="A2396" s="2">
        <v>812</v>
      </c>
      <c r="B2396" s="2" t="s">
        <v>917</v>
      </c>
      <c r="C2396" s="2" t="s">
        <v>85</v>
      </c>
      <c r="D2396" s="2" t="s">
        <v>28</v>
      </c>
      <c r="E2396" s="2">
        <v>25</v>
      </c>
      <c r="F2396" s="2">
        <v>60</v>
      </c>
      <c r="G2396" s="2">
        <v>163</v>
      </c>
      <c r="H2396" s="9">
        <f t="shared" si="37"/>
        <v>22.582709172343712</v>
      </c>
      <c r="I2396" s="2" t="str" cm="1">
        <f t="array" ref="I2396">_xlfn.IFS(F2396&gt;=100,"Over weight",F2396&lt;100,"Average weight")</f>
        <v>Average weight</v>
      </c>
      <c r="J2396" s="2" t="str" cm="1">
        <f t="array" ref="J2396">_xlfn.IFS(G2396&lt;164,"Below Average height",G2396&gt;=165,"Above Average height",G2396=164,"Average height")</f>
        <v>Below Average height</v>
      </c>
      <c r="K2396" s="2" t="str" cm="1">
        <f t="array" ref="K2396">_xlfn.IFS(E2396&lt;=16,"Children",E2396&lt;=30,"Young Adults",E2396&lt;=45,"Middle-aged Adults",E2396&gt;45,"Old Adults")</f>
        <v>Young Adults</v>
      </c>
    </row>
    <row r="2397" spans="1:11" x14ac:dyDescent="0.45">
      <c r="A2397" s="2">
        <v>831</v>
      </c>
      <c r="B2397" s="2" t="s">
        <v>936</v>
      </c>
      <c r="C2397" s="2" t="s">
        <v>93</v>
      </c>
      <c r="D2397" s="2" t="s">
        <v>60</v>
      </c>
      <c r="E2397" s="2">
        <v>21</v>
      </c>
      <c r="F2397" s="2">
        <v>81</v>
      </c>
      <c r="G2397" s="2">
        <v>145</v>
      </c>
      <c r="H2397" s="9">
        <f t="shared" si="37"/>
        <v>38.525564803804997</v>
      </c>
      <c r="I2397" s="2" t="str" cm="1">
        <f t="array" ref="I2397">_xlfn.IFS(F2397&gt;=100,"Over weight",F2397&lt;100,"Average weight")</f>
        <v>Average weight</v>
      </c>
      <c r="J2397" s="2" t="str" cm="1">
        <f t="array" ref="J2397">_xlfn.IFS(G2397&lt;164,"Below Average height",G2397&gt;=165,"Above Average height",G2397=164,"Average height")</f>
        <v>Below Average height</v>
      </c>
      <c r="K2397" s="2" t="str" cm="1">
        <f t="array" ref="K2397">_xlfn.IFS(E2397&lt;=16,"Children",E2397&lt;=30,"Young Adults",E2397&lt;=45,"Middle-aged Adults",E2397&gt;45,"Old Adults")</f>
        <v>Young Adults</v>
      </c>
    </row>
    <row r="2398" spans="1:11" x14ac:dyDescent="0.45">
      <c r="A2398" s="2">
        <v>840</v>
      </c>
      <c r="B2398" s="2" t="s">
        <v>945</v>
      </c>
      <c r="C2398" s="2" t="s">
        <v>89</v>
      </c>
      <c r="D2398" s="2" t="s">
        <v>41</v>
      </c>
      <c r="E2398" s="2">
        <v>23</v>
      </c>
      <c r="F2398" s="2">
        <v>57</v>
      </c>
      <c r="G2398" s="2">
        <v>161</v>
      </c>
      <c r="H2398" s="9">
        <f t="shared" si="37"/>
        <v>21.989892365263682</v>
      </c>
      <c r="I2398" s="2" t="str" cm="1">
        <f t="array" ref="I2398">_xlfn.IFS(F2398&gt;=100,"Over weight",F2398&lt;100,"Average weight")</f>
        <v>Average weight</v>
      </c>
      <c r="J2398" s="2" t="str" cm="1">
        <f t="array" ref="J2398">_xlfn.IFS(G2398&lt;164,"Below Average height",G2398&gt;=165,"Above Average height",G2398=164,"Average height")</f>
        <v>Below Average height</v>
      </c>
      <c r="K2398" s="2" t="str" cm="1">
        <f t="array" ref="K2398">_xlfn.IFS(E2398&lt;=16,"Children",E2398&lt;=30,"Young Adults",E2398&lt;=45,"Middle-aged Adults",E2398&gt;45,"Old Adults")</f>
        <v>Young Adults</v>
      </c>
    </row>
    <row r="2399" spans="1:11" x14ac:dyDescent="0.45">
      <c r="A2399" s="2">
        <v>848</v>
      </c>
      <c r="B2399" s="2" t="s">
        <v>953</v>
      </c>
      <c r="C2399" s="2" t="s">
        <v>94</v>
      </c>
      <c r="D2399" s="2" t="s">
        <v>30</v>
      </c>
      <c r="E2399" s="2">
        <v>19</v>
      </c>
      <c r="F2399" s="2">
        <v>57</v>
      </c>
      <c r="G2399" s="2">
        <v>159</v>
      </c>
      <c r="H2399" s="9">
        <f t="shared" si="37"/>
        <v>22.546576480360741</v>
      </c>
      <c r="I2399" s="2" t="str" cm="1">
        <f t="array" ref="I2399">_xlfn.IFS(F2399&gt;=100,"Over weight",F2399&lt;100,"Average weight")</f>
        <v>Average weight</v>
      </c>
      <c r="J2399" s="2" t="str" cm="1">
        <f t="array" ref="J2399">_xlfn.IFS(G2399&lt;164,"Below Average height",G2399&gt;=165,"Above Average height",G2399=164,"Average height")</f>
        <v>Below Average height</v>
      </c>
      <c r="K2399" s="2" t="str" cm="1">
        <f t="array" ref="K2399">_xlfn.IFS(E2399&lt;=16,"Children",E2399&lt;=30,"Young Adults",E2399&lt;=45,"Middle-aged Adults",E2399&gt;45,"Old Adults")</f>
        <v>Young Adults</v>
      </c>
    </row>
    <row r="2400" spans="1:11" x14ac:dyDescent="0.45">
      <c r="A2400" s="2">
        <v>851</v>
      </c>
      <c r="B2400" s="2" t="s">
        <v>956</v>
      </c>
      <c r="C2400" s="2" t="s">
        <v>91</v>
      </c>
      <c r="D2400" s="2" t="s">
        <v>17</v>
      </c>
      <c r="E2400" s="2">
        <v>21</v>
      </c>
      <c r="F2400" s="2">
        <v>54</v>
      </c>
      <c r="G2400" s="2">
        <v>160</v>
      </c>
      <c r="H2400" s="9">
        <f t="shared" si="37"/>
        <v>21.093749999999996</v>
      </c>
      <c r="I2400" s="2" t="str" cm="1">
        <f t="array" ref="I2400">_xlfn.IFS(F2400&gt;=100,"Over weight",F2400&lt;100,"Average weight")</f>
        <v>Average weight</v>
      </c>
      <c r="J2400" s="2" t="str" cm="1">
        <f t="array" ref="J2400">_xlfn.IFS(G2400&lt;164,"Below Average height",G2400&gt;=165,"Above Average height",G2400=164,"Average height")</f>
        <v>Below Average height</v>
      </c>
      <c r="K2400" s="2" t="str" cm="1">
        <f t="array" ref="K2400">_xlfn.IFS(E2400&lt;=16,"Children",E2400&lt;=30,"Young Adults",E2400&lt;=45,"Middle-aged Adults",E2400&gt;45,"Old Adults")</f>
        <v>Young Adults</v>
      </c>
    </row>
    <row r="2401" spans="1:11" x14ac:dyDescent="0.45">
      <c r="A2401" s="2">
        <v>868</v>
      </c>
      <c r="B2401" s="2" t="s">
        <v>973</v>
      </c>
      <c r="C2401" s="2" t="s">
        <v>93</v>
      </c>
      <c r="D2401" s="2" t="s">
        <v>66</v>
      </c>
      <c r="E2401" s="2">
        <v>22</v>
      </c>
      <c r="F2401" s="2">
        <v>60</v>
      </c>
      <c r="G2401" s="2">
        <v>157</v>
      </c>
      <c r="H2401" s="9">
        <f t="shared" si="37"/>
        <v>24.341758286340216</v>
      </c>
      <c r="I2401" s="2" t="str" cm="1">
        <f t="array" ref="I2401">_xlfn.IFS(F2401&gt;=100,"Over weight",F2401&lt;100,"Average weight")</f>
        <v>Average weight</v>
      </c>
      <c r="J2401" s="2" t="str" cm="1">
        <f t="array" ref="J2401">_xlfn.IFS(G2401&lt;164,"Below Average height",G2401&gt;=165,"Above Average height",G2401=164,"Average height")</f>
        <v>Below Average height</v>
      </c>
      <c r="K2401" s="2" t="str" cm="1">
        <f t="array" ref="K2401">_xlfn.IFS(E2401&lt;=16,"Children",E2401&lt;=30,"Young Adults",E2401&lt;=45,"Middle-aged Adults",E2401&gt;45,"Old Adults")</f>
        <v>Young Adults</v>
      </c>
    </row>
    <row r="2402" spans="1:11" x14ac:dyDescent="0.45">
      <c r="A2402" s="2">
        <v>881</v>
      </c>
      <c r="B2402" s="2" t="s">
        <v>986</v>
      </c>
      <c r="C2402" s="2" t="s">
        <v>94</v>
      </c>
      <c r="D2402" s="2" t="s">
        <v>41</v>
      </c>
      <c r="E2402" s="2">
        <v>29</v>
      </c>
      <c r="F2402" s="2">
        <v>53</v>
      </c>
      <c r="G2402" s="2">
        <v>161</v>
      </c>
      <c r="H2402" s="9">
        <f t="shared" si="37"/>
        <v>20.446742023841672</v>
      </c>
      <c r="I2402" s="2" t="str" cm="1">
        <f t="array" ref="I2402">_xlfn.IFS(F2402&gt;=100,"Over weight",F2402&lt;100,"Average weight")</f>
        <v>Average weight</v>
      </c>
      <c r="J2402" s="2" t="str" cm="1">
        <f t="array" ref="J2402">_xlfn.IFS(G2402&lt;164,"Below Average height",G2402&gt;=165,"Above Average height",G2402=164,"Average height")</f>
        <v>Below Average height</v>
      </c>
      <c r="K2402" s="2" t="str" cm="1">
        <f t="array" ref="K2402">_xlfn.IFS(E2402&lt;=16,"Children",E2402&lt;=30,"Young Adults",E2402&lt;=45,"Middle-aged Adults",E2402&gt;45,"Old Adults")</f>
        <v>Young Adults</v>
      </c>
    </row>
    <row r="2403" spans="1:11" x14ac:dyDescent="0.45">
      <c r="A2403" s="2">
        <v>886</v>
      </c>
      <c r="B2403" s="2" t="s">
        <v>991</v>
      </c>
      <c r="C2403" s="2" t="s">
        <v>98</v>
      </c>
      <c r="D2403" s="2" t="s">
        <v>41</v>
      </c>
      <c r="E2403" s="2">
        <v>23</v>
      </c>
      <c r="F2403" s="2">
        <v>54</v>
      </c>
      <c r="G2403" s="2">
        <v>160</v>
      </c>
      <c r="H2403" s="9">
        <f t="shared" si="37"/>
        <v>21.093749999999996</v>
      </c>
      <c r="I2403" s="2" t="str" cm="1">
        <f t="array" ref="I2403">_xlfn.IFS(F2403&gt;=100,"Over weight",F2403&lt;100,"Average weight")</f>
        <v>Average weight</v>
      </c>
      <c r="J2403" s="2" t="str" cm="1">
        <f t="array" ref="J2403">_xlfn.IFS(G2403&lt;164,"Below Average height",G2403&gt;=165,"Above Average height",G2403=164,"Average height")</f>
        <v>Below Average height</v>
      </c>
      <c r="K2403" s="2" t="str" cm="1">
        <f t="array" ref="K2403">_xlfn.IFS(E2403&lt;=16,"Children",E2403&lt;=30,"Young Adults",E2403&lt;=45,"Middle-aged Adults",E2403&gt;45,"Old Adults")</f>
        <v>Young Adults</v>
      </c>
    </row>
    <row r="2404" spans="1:11" x14ac:dyDescent="0.45">
      <c r="A2404" s="2">
        <v>888</v>
      </c>
      <c r="B2404" s="2" t="s">
        <v>993</v>
      </c>
      <c r="C2404" s="2" t="s">
        <v>87</v>
      </c>
      <c r="D2404" s="2" t="s">
        <v>41</v>
      </c>
      <c r="E2404" s="2">
        <v>22</v>
      </c>
      <c r="F2404" s="2">
        <v>51</v>
      </c>
      <c r="G2404" s="2">
        <v>162</v>
      </c>
      <c r="H2404" s="9">
        <f t="shared" si="37"/>
        <v>19.433013260173752</v>
      </c>
      <c r="I2404" s="2" t="str" cm="1">
        <f t="array" ref="I2404">_xlfn.IFS(F2404&gt;=100,"Over weight",F2404&lt;100,"Average weight")</f>
        <v>Average weight</v>
      </c>
      <c r="J2404" s="2" t="str" cm="1">
        <f t="array" ref="J2404">_xlfn.IFS(G2404&lt;164,"Below Average height",G2404&gt;=165,"Above Average height",G2404=164,"Average height")</f>
        <v>Below Average height</v>
      </c>
      <c r="K2404" s="2" t="str" cm="1">
        <f t="array" ref="K2404">_xlfn.IFS(E2404&lt;=16,"Children",E2404&lt;=30,"Young Adults",E2404&lt;=45,"Middle-aged Adults",E2404&gt;45,"Old Adults")</f>
        <v>Young Adults</v>
      </c>
    </row>
    <row r="2405" spans="1:11" x14ac:dyDescent="0.45">
      <c r="A2405" s="2">
        <v>896</v>
      </c>
      <c r="B2405" s="2" t="s">
        <v>1001</v>
      </c>
      <c r="C2405" s="2" t="s">
        <v>94</v>
      </c>
      <c r="D2405" s="2" t="s">
        <v>60</v>
      </c>
      <c r="E2405" s="2">
        <v>23</v>
      </c>
      <c r="F2405" s="2">
        <v>78</v>
      </c>
      <c r="G2405" s="2">
        <v>145</v>
      </c>
      <c r="H2405" s="9">
        <f t="shared" si="37"/>
        <v>37.098692033293695</v>
      </c>
      <c r="I2405" s="2" t="str" cm="1">
        <f t="array" ref="I2405">_xlfn.IFS(F2405&gt;=100,"Over weight",F2405&lt;100,"Average weight")</f>
        <v>Average weight</v>
      </c>
      <c r="J2405" s="2" t="str" cm="1">
        <f t="array" ref="J2405">_xlfn.IFS(G2405&lt;164,"Below Average height",G2405&gt;=165,"Above Average height",G2405=164,"Average height")</f>
        <v>Below Average height</v>
      </c>
      <c r="K2405" s="2" t="str" cm="1">
        <f t="array" ref="K2405">_xlfn.IFS(E2405&lt;=16,"Children",E2405&lt;=30,"Young Adults",E2405&lt;=45,"Middle-aged Adults",E2405&gt;45,"Old Adults")</f>
        <v>Young Adults</v>
      </c>
    </row>
    <row r="2406" spans="1:11" x14ac:dyDescent="0.45">
      <c r="A2406" s="2">
        <v>905</v>
      </c>
      <c r="B2406" s="2" t="s">
        <v>1010</v>
      </c>
      <c r="C2406" s="2" t="s">
        <v>86</v>
      </c>
      <c r="D2406" s="2" t="s">
        <v>26</v>
      </c>
      <c r="E2406" s="2">
        <v>22</v>
      </c>
      <c r="F2406" s="2">
        <v>78</v>
      </c>
      <c r="G2406" s="2">
        <v>159</v>
      </c>
      <c r="H2406" s="9">
        <f t="shared" si="37"/>
        <v>30.853209920493647</v>
      </c>
      <c r="I2406" s="2" t="str" cm="1">
        <f t="array" ref="I2406">_xlfn.IFS(F2406&gt;=100,"Over weight",F2406&lt;100,"Average weight")</f>
        <v>Average weight</v>
      </c>
      <c r="J2406" s="2" t="str" cm="1">
        <f t="array" ref="J2406">_xlfn.IFS(G2406&lt;164,"Below Average height",G2406&gt;=165,"Above Average height",G2406=164,"Average height")</f>
        <v>Below Average height</v>
      </c>
      <c r="K2406" s="2" t="str" cm="1">
        <f t="array" ref="K2406">_xlfn.IFS(E2406&lt;=16,"Children",E2406&lt;=30,"Young Adults",E2406&lt;=45,"Middle-aged Adults",E2406&gt;45,"Old Adults")</f>
        <v>Young Adults</v>
      </c>
    </row>
    <row r="2407" spans="1:11" x14ac:dyDescent="0.45">
      <c r="A2407" s="2">
        <v>907</v>
      </c>
      <c r="B2407" s="2" t="s">
        <v>1012</v>
      </c>
      <c r="C2407" s="2" t="s">
        <v>94</v>
      </c>
      <c r="D2407" s="2" t="s">
        <v>21</v>
      </c>
      <c r="E2407" s="2">
        <v>25</v>
      </c>
      <c r="F2407" s="2">
        <v>54</v>
      </c>
      <c r="G2407" s="2">
        <v>158</v>
      </c>
      <c r="H2407" s="9">
        <f t="shared" si="37"/>
        <v>21.631148854350261</v>
      </c>
      <c r="I2407" s="2" t="str" cm="1">
        <f t="array" ref="I2407">_xlfn.IFS(F2407&gt;=100,"Over weight",F2407&lt;100,"Average weight")</f>
        <v>Average weight</v>
      </c>
      <c r="J2407" s="2" t="str" cm="1">
        <f t="array" ref="J2407">_xlfn.IFS(G2407&lt;164,"Below Average height",G2407&gt;=165,"Above Average height",G2407=164,"Average height")</f>
        <v>Below Average height</v>
      </c>
      <c r="K2407" s="2" t="str" cm="1">
        <f t="array" ref="K2407">_xlfn.IFS(E2407&lt;=16,"Children",E2407&lt;=30,"Young Adults",E2407&lt;=45,"Middle-aged Adults",E2407&gt;45,"Old Adults")</f>
        <v>Young Adults</v>
      </c>
    </row>
    <row r="2408" spans="1:11" x14ac:dyDescent="0.45">
      <c r="A2408" s="2">
        <v>915</v>
      </c>
      <c r="B2408" s="2" t="s">
        <v>1020</v>
      </c>
      <c r="C2408" s="2" t="s">
        <v>94</v>
      </c>
      <c r="D2408" s="2" t="s">
        <v>63</v>
      </c>
      <c r="E2408" s="2">
        <v>23</v>
      </c>
      <c r="F2408" s="2">
        <v>55</v>
      </c>
      <c r="G2408" s="2">
        <v>160</v>
      </c>
      <c r="H2408" s="9">
        <f t="shared" si="37"/>
        <v>21.484374999999996</v>
      </c>
      <c r="I2408" s="2" t="str" cm="1">
        <f t="array" ref="I2408">_xlfn.IFS(F2408&gt;=100,"Over weight",F2408&lt;100,"Average weight")</f>
        <v>Average weight</v>
      </c>
      <c r="J2408" s="2" t="str" cm="1">
        <f t="array" ref="J2408">_xlfn.IFS(G2408&lt;164,"Below Average height",G2408&gt;=165,"Above Average height",G2408=164,"Average height")</f>
        <v>Below Average height</v>
      </c>
      <c r="K2408" s="2" t="str" cm="1">
        <f t="array" ref="K2408">_xlfn.IFS(E2408&lt;=16,"Children",E2408&lt;=30,"Young Adults",E2408&lt;=45,"Middle-aged Adults",E2408&gt;45,"Old Adults")</f>
        <v>Young Adults</v>
      </c>
    </row>
    <row r="2409" spans="1:11" x14ac:dyDescent="0.45">
      <c r="A2409" s="2">
        <v>916</v>
      </c>
      <c r="B2409" s="2" t="s">
        <v>1021</v>
      </c>
      <c r="C2409" s="2" t="s">
        <v>94</v>
      </c>
      <c r="D2409" s="2" t="s">
        <v>42</v>
      </c>
      <c r="E2409" s="2">
        <v>31</v>
      </c>
      <c r="F2409" s="2">
        <v>53</v>
      </c>
      <c r="G2409" s="2">
        <v>159</v>
      </c>
      <c r="H2409" s="9">
        <f t="shared" si="37"/>
        <v>20.964360587002094</v>
      </c>
      <c r="I2409" s="2" t="str" cm="1">
        <f t="array" ref="I2409">_xlfn.IFS(F2409&gt;=100,"Over weight",F2409&lt;100,"Average weight")</f>
        <v>Average weight</v>
      </c>
      <c r="J2409" s="2" t="str" cm="1">
        <f t="array" ref="J2409">_xlfn.IFS(G2409&lt;164,"Below Average height",G2409&gt;=165,"Above Average height",G2409=164,"Average height")</f>
        <v>Below Average height</v>
      </c>
      <c r="K2409" s="2" t="str" cm="1">
        <f t="array" ref="K2409">_xlfn.IFS(E2409&lt;=16,"Children",E2409&lt;=30,"Young Adults",E2409&lt;=45,"Middle-aged Adults",E2409&gt;45,"Old Adults")</f>
        <v>Middle-aged Adults</v>
      </c>
    </row>
    <row r="2410" spans="1:11" x14ac:dyDescent="0.45">
      <c r="A2410" s="2">
        <v>932</v>
      </c>
      <c r="B2410" s="2" t="s">
        <v>1037</v>
      </c>
      <c r="C2410" s="2" t="s">
        <v>94</v>
      </c>
      <c r="D2410" s="2" t="s">
        <v>71</v>
      </c>
      <c r="E2410" s="2">
        <v>23</v>
      </c>
      <c r="F2410" s="2">
        <v>58</v>
      </c>
      <c r="G2410" s="2">
        <v>158</v>
      </c>
      <c r="H2410" s="9">
        <f t="shared" si="37"/>
        <v>23.233456176894723</v>
      </c>
      <c r="I2410" s="2" t="str" cm="1">
        <f t="array" ref="I2410">_xlfn.IFS(F2410&gt;=100,"Over weight",F2410&lt;100,"Average weight")</f>
        <v>Average weight</v>
      </c>
      <c r="J2410" s="2" t="str" cm="1">
        <f t="array" ref="J2410">_xlfn.IFS(G2410&lt;164,"Below Average height",G2410&gt;=165,"Above Average height",G2410=164,"Average height")</f>
        <v>Below Average height</v>
      </c>
      <c r="K2410" s="2" t="str" cm="1">
        <f t="array" ref="K2410">_xlfn.IFS(E2410&lt;=16,"Children",E2410&lt;=30,"Young Adults",E2410&lt;=45,"Middle-aged Adults",E2410&gt;45,"Old Adults")</f>
        <v>Young Adults</v>
      </c>
    </row>
    <row r="2411" spans="1:11" x14ac:dyDescent="0.45">
      <c r="A2411" s="2">
        <v>933</v>
      </c>
      <c r="B2411" s="2" t="s">
        <v>1038</v>
      </c>
      <c r="C2411" s="2" t="s">
        <v>91</v>
      </c>
      <c r="D2411" s="2" t="s">
        <v>17</v>
      </c>
      <c r="E2411" s="2">
        <v>27</v>
      </c>
      <c r="F2411" s="2">
        <v>55</v>
      </c>
      <c r="G2411" s="2">
        <v>163</v>
      </c>
      <c r="H2411" s="9">
        <f t="shared" si="37"/>
        <v>20.700816741315069</v>
      </c>
      <c r="I2411" s="2" t="str" cm="1">
        <f t="array" ref="I2411">_xlfn.IFS(F2411&gt;=100,"Over weight",F2411&lt;100,"Average weight")</f>
        <v>Average weight</v>
      </c>
      <c r="J2411" s="2" t="str" cm="1">
        <f t="array" ref="J2411">_xlfn.IFS(G2411&lt;164,"Below Average height",G2411&gt;=165,"Above Average height",G2411=164,"Average height")</f>
        <v>Below Average height</v>
      </c>
      <c r="K2411" s="2" t="str" cm="1">
        <f t="array" ref="K2411">_xlfn.IFS(E2411&lt;=16,"Children",E2411&lt;=30,"Young Adults",E2411&lt;=45,"Middle-aged Adults",E2411&gt;45,"Old Adults")</f>
        <v>Young Adults</v>
      </c>
    </row>
    <row r="2412" spans="1:11" x14ac:dyDescent="0.45">
      <c r="A2412" s="2">
        <v>959</v>
      </c>
      <c r="B2412" s="2" t="s">
        <v>1064</v>
      </c>
      <c r="C2412" s="2" t="s">
        <v>87</v>
      </c>
      <c r="D2412" s="2" t="s">
        <v>26</v>
      </c>
      <c r="E2412" s="2">
        <v>23</v>
      </c>
      <c r="F2412" s="2">
        <v>54</v>
      </c>
      <c r="G2412" s="2">
        <v>162</v>
      </c>
      <c r="H2412" s="9">
        <f t="shared" si="37"/>
        <v>20.576131687242793</v>
      </c>
      <c r="I2412" s="2" t="str" cm="1">
        <f t="array" ref="I2412">_xlfn.IFS(F2412&gt;=100,"Over weight",F2412&lt;100,"Average weight")</f>
        <v>Average weight</v>
      </c>
      <c r="J2412" s="2" t="str" cm="1">
        <f t="array" ref="J2412">_xlfn.IFS(G2412&lt;164,"Below Average height",G2412&gt;=165,"Above Average height",G2412=164,"Average height")</f>
        <v>Below Average height</v>
      </c>
      <c r="K2412" s="2" t="str" cm="1">
        <f t="array" ref="K2412">_xlfn.IFS(E2412&lt;=16,"Children",E2412&lt;=30,"Young Adults",E2412&lt;=45,"Middle-aged Adults",E2412&gt;45,"Old Adults")</f>
        <v>Young Adults</v>
      </c>
    </row>
    <row r="2413" spans="1:11" x14ac:dyDescent="0.45">
      <c r="A2413" s="2">
        <v>966</v>
      </c>
      <c r="B2413" s="2" t="s">
        <v>1071</v>
      </c>
      <c r="C2413" s="2" t="s">
        <v>86</v>
      </c>
      <c r="D2413" s="2" t="s">
        <v>63</v>
      </c>
      <c r="E2413" s="2">
        <v>26</v>
      </c>
      <c r="F2413" s="2">
        <v>84</v>
      </c>
      <c r="G2413" s="2">
        <v>155</v>
      </c>
      <c r="H2413" s="9">
        <f t="shared" si="37"/>
        <v>34.963579604578563</v>
      </c>
      <c r="I2413" s="2" t="str" cm="1">
        <f t="array" ref="I2413">_xlfn.IFS(F2413&gt;=100,"Over weight",F2413&lt;100,"Average weight")</f>
        <v>Average weight</v>
      </c>
      <c r="J2413" s="2" t="str" cm="1">
        <f t="array" ref="J2413">_xlfn.IFS(G2413&lt;164,"Below Average height",G2413&gt;=165,"Above Average height",G2413=164,"Average height")</f>
        <v>Below Average height</v>
      </c>
      <c r="K2413" s="2" t="str" cm="1">
        <f t="array" ref="K2413">_xlfn.IFS(E2413&lt;=16,"Children",E2413&lt;=30,"Young Adults",E2413&lt;=45,"Middle-aged Adults",E2413&gt;45,"Old Adults")</f>
        <v>Young Adults</v>
      </c>
    </row>
    <row r="2414" spans="1:11" x14ac:dyDescent="0.45">
      <c r="A2414" s="2">
        <v>967</v>
      </c>
      <c r="B2414" s="2" t="s">
        <v>1072</v>
      </c>
      <c r="C2414" s="2" t="s">
        <v>88</v>
      </c>
      <c r="D2414" s="2" t="s">
        <v>46</v>
      </c>
      <c r="E2414" s="2">
        <v>20</v>
      </c>
      <c r="F2414" s="2">
        <v>56</v>
      </c>
      <c r="G2414" s="2">
        <v>157</v>
      </c>
      <c r="H2414" s="9">
        <f t="shared" si="37"/>
        <v>22.718974400584202</v>
      </c>
      <c r="I2414" s="2" t="str" cm="1">
        <f t="array" ref="I2414">_xlfn.IFS(F2414&gt;=100,"Over weight",F2414&lt;100,"Average weight")</f>
        <v>Average weight</v>
      </c>
      <c r="J2414" s="2" t="str" cm="1">
        <f t="array" ref="J2414">_xlfn.IFS(G2414&lt;164,"Below Average height",G2414&gt;=165,"Above Average height",G2414=164,"Average height")</f>
        <v>Below Average height</v>
      </c>
      <c r="K2414" s="2" t="str" cm="1">
        <f t="array" ref="K2414">_xlfn.IFS(E2414&lt;=16,"Children",E2414&lt;=30,"Young Adults",E2414&lt;=45,"Middle-aged Adults",E2414&gt;45,"Old Adults")</f>
        <v>Young Adults</v>
      </c>
    </row>
    <row r="2415" spans="1:11" x14ac:dyDescent="0.45">
      <c r="A2415" s="2">
        <v>976</v>
      </c>
      <c r="B2415" s="2" t="s">
        <v>1081</v>
      </c>
      <c r="C2415" s="2" t="s">
        <v>94</v>
      </c>
      <c r="D2415" s="2" t="s">
        <v>74</v>
      </c>
      <c r="E2415" s="2">
        <v>22</v>
      </c>
      <c r="F2415" s="2">
        <v>60</v>
      </c>
      <c r="G2415" s="2">
        <v>162</v>
      </c>
      <c r="H2415" s="9">
        <f t="shared" si="37"/>
        <v>22.862368541380881</v>
      </c>
      <c r="I2415" s="2" t="str" cm="1">
        <f t="array" ref="I2415">_xlfn.IFS(F2415&gt;=100,"Over weight",F2415&lt;100,"Average weight")</f>
        <v>Average weight</v>
      </c>
      <c r="J2415" s="2" t="str" cm="1">
        <f t="array" ref="J2415">_xlfn.IFS(G2415&lt;164,"Below Average height",G2415&gt;=165,"Above Average height",G2415=164,"Average height")</f>
        <v>Below Average height</v>
      </c>
      <c r="K2415" s="2" t="str" cm="1">
        <f t="array" ref="K2415">_xlfn.IFS(E2415&lt;=16,"Children",E2415&lt;=30,"Young Adults",E2415&lt;=45,"Middle-aged Adults",E2415&gt;45,"Old Adults")</f>
        <v>Young Adults</v>
      </c>
    </row>
    <row r="2416" spans="1:11" x14ac:dyDescent="0.45">
      <c r="A2416" s="2">
        <v>989</v>
      </c>
      <c r="B2416" s="2" t="s">
        <v>1094</v>
      </c>
      <c r="C2416" s="2" t="s">
        <v>85</v>
      </c>
      <c r="D2416" s="2" t="s">
        <v>39</v>
      </c>
      <c r="E2416" s="2">
        <v>29</v>
      </c>
      <c r="F2416" s="2">
        <v>60</v>
      </c>
      <c r="G2416" s="2">
        <v>160</v>
      </c>
      <c r="H2416" s="9">
        <f t="shared" si="37"/>
        <v>23.437499999999996</v>
      </c>
      <c r="I2416" s="2" t="str" cm="1">
        <f t="array" ref="I2416">_xlfn.IFS(F2416&gt;=100,"Over weight",F2416&lt;100,"Average weight")</f>
        <v>Average weight</v>
      </c>
      <c r="J2416" s="2" t="str" cm="1">
        <f t="array" ref="J2416">_xlfn.IFS(G2416&lt;164,"Below Average height",G2416&gt;=165,"Above Average height",G2416=164,"Average height")</f>
        <v>Below Average height</v>
      </c>
      <c r="K2416" s="2" t="str" cm="1">
        <f t="array" ref="K2416">_xlfn.IFS(E2416&lt;=16,"Children",E2416&lt;=30,"Young Adults",E2416&lt;=45,"Middle-aged Adults",E2416&gt;45,"Old Adults")</f>
        <v>Young Adults</v>
      </c>
    </row>
    <row r="2417" spans="1:11" x14ac:dyDescent="0.45">
      <c r="A2417" s="2">
        <v>1002</v>
      </c>
      <c r="B2417" s="2" t="s">
        <v>1107</v>
      </c>
      <c r="C2417" s="2" t="s">
        <v>94</v>
      </c>
      <c r="D2417" s="2" t="s">
        <v>41</v>
      </c>
      <c r="E2417" s="2">
        <v>18</v>
      </c>
      <c r="F2417" s="2">
        <v>53</v>
      </c>
      <c r="G2417" s="2">
        <v>160</v>
      </c>
      <c r="H2417" s="9">
        <f t="shared" si="37"/>
        <v>20.703124999999996</v>
      </c>
      <c r="I2417" s="2" t="str" cm="1">
        <f t="array" ref="I2417">_xlfn.IFS(F2417&gt;=100,"Over weight",F2417&lt;100,"Average weight")</f>
        <v>Average weight</v>
      </c>
      <c r="J2417" s="2" t="str" cm="1">
        <f t="array" ref="J2417">_xlfn.IFS(G2417&lt;164,"Below Average height",G2417&gt;=165,"Above Average height",G2417=164,"Average height")</f>
        <v>Below Average height</v>
      </c>
      <c r="K2417" s="2" t="str" cm="1">
        <f t="array" ref="K2417">_xlfn.IFS(E2417&lt;=16,"Children",E2417&lt;=30,"Young Adults",E2417&lt;=45,"Middle-aged Adults",E2417&gt;45,"Old Adults")</f>
        <v>Young Adults</v>
      </c>
    </row>
    <row r="2418" spans="1:11" x14ac:dyDescent="0.45">
      <c r="A2418" s="2">
        <v>1008</v>
      </c>
      <c r="B2418" s="2" t="s">
        <v>1113</v>
      </c>
      <c r="C2418" s="2" t="s">
        <v>86</v>
      </c>
      <c r="D2418" s="2" t="s">
        <v>66</v>
      </c>
      <c r="E2418" s="2">
        <v>28</v>
      </c>
      <c r="F2418" s="2">
        <v>84</v>
      </c>
      <c r="G2418" s="2">
        <v>157</v>
      </c>
      <c r="H2418" s="9">
        <f t="shared" si="37"/>
        <v>34.078461600876302</v>
      </c>
      <c r="I2418" s="2" t="str" cm="1">
        <f t="array" ref="I2418">_xlfn.IFS(F2418&gt;=100,"Over weight",F2418&lt;100,"Average weight")</f>
        <v>Average weight</v>
      </c>
      <c r="J2418" s="2" t="str" cm="1">
        <f t="array" ref="J2418">_xlfn.IFS(G2418&lt;164,"Below Average height",G2418&gt;=165,"Above Average height",G2418=164,"Average height")</f>
        <v>Below Average height</v>
      </c>
      <c r="K2418" s="2" t="str" cm="1">
        <f t="array" ref="K2418">_xlfn.IFS(E2418&lt;=16,"Children",E2418&lt;=30,"Young Adults",E2418&lt;=45,"Middle-aged Adults",E2418&gt;45,"Old Adults")</f>
        <v>Young Adults</v>
      </c>
    </row>
    <row r="2419" spans="1:11" x14ac:dyDescent="0.45">
      <c r="A2419" s="2">
        <v>1017</v>
      </c>
      <c r="B2419" s="2" t="s">
        <v>1122</v>
      </c>
      <c r="C2419" s="2" t="s">
        <v>100</v>
      </c>
      <c r="D2419" s="2" t="s">
        <v>14</v>
      </c>
      <c r="E2419" s="2">
        <v>35</v>
      </c>
      <c r="F2419" s="2">
        <v>62</v>
      </c>
      <c r="G2419" s="2">
        <v>162</v>
      </c>
      <c r="H2419" s="9">
        <f t="shared" si="37"/>
        <v>23.624447492760247</v>
      </c>
      <c r="I2419" s="2" t="str" cm="1">
        <f t="array" ref="I2419">_xlfn.IFS(F2419&gt;=100,"Over weight",F2419&lt;100,"Average weight")</f>
        <v>Average weight</v>
      </c>
      <c r="J2419" s="2" t="str" cm="1">
        <f t="array" ref="J2419">_xlfn.IFS(G2419&lt;164,"Below Average height",G2419&gt;=165,"Above Average height",G2419=164,"Average height")</f>
        <v>Below Average height</v>
      </c>
      <c r="K2419" s="2" t="str" cm="1">
        <f t="array" ref="K2419">_xlfn.IFS(E2419&lt;=16,"Children",E2419&lt;=30,"Young Adults",E2419&lt;=45,"Middle-aged Adults",E2419&gt;45,"Old Adults")</f>
        <v>Middle-aged Adults</v>
      </c>
    </row>
    <row r="2420" spans="1:11" x14ac:dyDescent="0.45">
      <c r="A2420" s="2">
        <v>1018</v>
      </c>
      <c r="B2420" s="2" t="s">
        <v>1123</v>
      </c>
      <c r="C2420" s="2" t="s">
        <v>86</v>
      </c>
      <c r="D2420" s="2" t="s">
        <v>30</v>
      </c>
      <c r="E2420" s="2">
        <v>21</v>
      </c>
      <c r="F2420" s="2">
        <v>109</v>
      </c>
      <c r="G2420" s="2">
        <v>154</v>
      </c>
      <c r="H2420" s="9">
        <f t="shared" si="37"/>
        <v>45.960532973519989</v>
      </c>
      <c r="I2420" s="2" t="str" cm="1">
        <f t="array" ref="I2420">_xlfn.IFS(F2420&gt;=100,"Over weight",F2420&lt;100,"Average weight")</f>
        <v>Over weight</v>
      </c>
      <c r="J2420" s="2" t="str" cm="1">
        <f t="array" ref="J2420">_xlfn.IFS(G2420&lt;164,"Below Average height",G2420&gt;=165,"Above Average height",G2420=164,"Average height")</f>
        <v>Below Average height</v>
      </c>
      <c r="K2420" s="2" t="str" cm="1">
        <f t="array" ref="K2420">_xlfn.IFS(E2420&lt;=16,"Children",E2420&lt;=30,"Young Adults",E2420&lt;=45,"Middle-aged Adults",E2420&gt;45,"Old Adults")</f>
        <v>Young Adults</v>
      </c>
    </row>
    <row r="2421" spans="1:11" x14ac:dyDescent="0.45">
      <c r="A2421" s="2">
        <v>1032</v>
      </c>
      <c r="B2421" s="2" t="s">
        <v>1137</v>
      </c>
      <c r="C2421" s="2" t="s">
        <v>94</v>
      </c>
      <c r="D2421" s="2" t="s">
        <v>4</v>
      </c>
      <c r="E2421" s="2">
        <v>20</v>
      </c>
      <c r="F2421" s="2">
        <v>55</v>
      </c>
      <c r="G2421" s="2">
        <v>160</v>
      </c>
      <c r="H2421" s="9">
        <f t="shared" si="37"/>
        <v>21.484374999999996</v>
      </c>
      <c r="I2421" s="2" t="str" cm="1">
        <f t="array" ref="I2421">_xlfn.IFS(F2421&gt;=100,"Over weight",F2421&lt;100,"Average weight")</f>
        <v>Average weight</v>
      </c>
      <c r="J2421" s="2" t="str" cm="1">
        <f t="array" ref="J2421">_xlfn.IFS(G2421&lt;164,"Below Average height",G2421&gt;=165,"Above Average height",G2421=164,"Average height")</f>
        <v>Below Average height</v>
      </c>
      <c r="K2421" s="2" t="str" cm="1">
        <f t="array" ref="K2421">_xlfn.IFS(E2421&lt;=16,"Children",E2421&lt;=30,"Young Adults",E2421&lt;=45,"Middle-aged Adults",E2421&gt;45,"Old Adults")</f>
        <v>Young Adults</v>
      </c>
    </row>
    <row r="2422" spans="1:11" x14ac:dyDescent="0.45">
      <c r="A2422" s="2">
        <v>1035</v>
      </c>
      <c r="B2422" s="2" t="s">
        <v>1140</v>
      </c>
      <c r="C2422" s="2" t="s">
        <v>86</v>
      </c>
      <c r="D2422" s="2" t="s">
        <v>66</v>
      </c>
      <c r="E2422" s="2">
        <v>24</v>
      </c>
      <c r="F2422" s="2">
        <v>109</v>
      </c>
      <c r="G2422" s="2">
        <v>155</v>
      </c>
      <c r="H2422" s="9">
        <f t="shared" si="37"/>
        <v>45.369406867845989</v>
      </c>
      <c r="I2422" s="2" t="str" cm="1">
        <f t="array" ref="I2422">_xlfn.IFS(F2422&gt;=100,"Over weight",F2422&lt;100,"Average weight")</f>
        <v>Over weight</v>
      </c>
      <c r="J2422" s="2" t="str" cm="1">
        <f t="array" ref="J2422">_xlfn.IFS(G2422&lt;164,"Below Average height",G2422&gt;=165,"Above Average height",G2422=164,"Average height")</f>
        <v>Below Average height</v>
      </c>
      <c r="K2422" s="2" t="str" cm="1">
        <f t="array" ref="K2422">_xlfn.IFS(E2422&lt;=16,"Children",E2422&lt;=30,"Young Adults",E2422&lt;=45,"Middle-aged Adults",E2422&gt;45,"Old Adults")</f>
        <v>Young Adults</v>
      </c>
    </row>
    <row r="2423" spans="1:11" x14ac:dyDescent="0.45">
      <c r="A2423" s="2">
        <v>1038</v>
      </c>
      <c r="B2423" s="2" t="s">
        <v>1143</v>
      </c>
      <c r="C2423" s="2" t="s">
        <v>88</v>
      </c>
      <c r="D2423" s="2" t="s">
        <v>42</v>
      </c>
      <c r="E2423" s="2">
        <v>29</v>
      </c>
      <c r="F2423" s="2">
        <v>53</v>
      </c>
      <c r="G2423" s="2">
        <v>162</v>
      </c>
      <c r="H2423" s="9">
        <f t="shared" si="37"/>
        <v>20.195092211553114</v>
      </c>
      <c r="I2423" s="2" t="str" cm="1">
        <f t="array" ref="I2423">_xlfn.IFS(F2423&gt;=100,"Over weight",F2423&lt;100,"Average weight")</f>
        <v>Average weight</v>
      </c>
      <c r="J2423" s="2" t="str" cm="1">
        <f t="array" ref="J2423">_xlfn.IFS(G2423&lt;164,"Below Average height",G2423&gt;=165,"Above Average height",G2423=164,"Average height")</f>
        <v>Below Average height</v>
      </c>
      <c r="K2423" s="2" t="str" cm="1">
        <f t="array" ref="K2423">_xlfn.IFS(E2423&lt;=16,"Children",E2423&lt;=30,"Young Adults",E2423&lt;=45,"Middle-aged Adults",E2423&gt;45,"Old Adults")</f>
        <v>Young Adults</v>
      </c>
    </row>
    <row r="2424" spans="1:11" x14ac:dyDescent="0.45">
      <c r="A2424" s="2">
        <v>1047</v>
      </c>
      <c r="B2424" s="2" t="s">
        <v>1152</v>
      </c>
      <c r="C2424" s="2" t="s">
        <v>98</v>
      </c>
      <c r="D2424" s="2" t="s">
        <v>44</v>
      </c>
      <c r="E2424" s="2">
        <v>24</v>
      </c>
      <c r="F2424" s="2">
        <v>48</v>
      </c>
      <c r="G2424" s="2">
        <v>160</v>
      </c>
      <c r="H2424" s="9">
        <f t="shared" si="37"/>
        <v>18.749999999999996</v>
      </c>
      <c r="I2424" s="2" t="str" cm="1">
        <f t="array" ref="I2424">_xlfn.IFS(F2424&gt;=100,"Over weight",F2424&lt;100,"Average weight")</f>
        <v>Average weight</v>
      </c>
      <c r="J2424" s="2" t="str" cm="1">
        <f t="array" ref="J2424">_xlfn.IFS(G2424&lt;164,"Below Average height",G2424&gt;=165,"Above Average height",G2424=164,"Average height")</f>
        <v>Below Average height</v>
      </c>
      <c r="K2424" s="2" t="str" cm="1">
        <f t="array" ref="K2424">_xlfn.IFS(E2424&lt;=16,"Children",E2424&lt;=30,"Young Adults",E2424&lt;=45,"Middle-aged Adults",E2424&gt;45,"Old Adults")</f>
        <v>Young Adults</v>
      </c>
    </row>
    <row r="2425" spans="1:11" x14ac:dyDescent="0.45">
      <c r="A2425" s="2">
        <v>1049</v>
      </c>
      <c r="B2425" s="2" t="s">
        <v>1154</v>
      </c>
      <c r="C2425" s="2" t="s">
        <v>85</v>
      </c>
      <c r="D2425" s="2" t="s">
        <v>44</v>
      </c>
      <c r="E2425" s="2">
        <v>24</v>
      </c>
      <c r="F2425" s="2">
        <v>53</v>
      </c>
      <c r="G2425" s="2">
        <v>156</v>
      </c>
      <c r="H2425" s="9">
        <f t="shared" si="37"/>
        <v>21.7784352399737</v>
      </c>
      <c r="I2425" s="2" t="str" cm="1">
        <f t="array" ref="I2425">_xlfn.IFS(F2425&gt;=100,"Over weight",F2425&lt;100,"Average weight")</f>
        <v>Average weight</v>
      </c>
      <c r="J2425" s="2" t="str" cm="1">
        <f t="array" ref="J2425">_xlfn.IFS(G2425&lt;164,"Below Average height",G2425&gt;=165,"Above Average height",G2425=164,"Average height")</f>
        <v>Below Average height</v>
      </c>
      <c r="K2425" s="2" t="str" cm="1">
        <f t="array" ref="K2425">_xlfn.IFS(E2425&lt;=16,"Children",E2425&lt;=30,"Young Adults",E2425&lt;=45,"Middle-aged Adults",E2425&gt;45,"Old Adults")</f>
        <v>Young Adults</v>
      </c>
    </row>
    <row r="2426" spans="1:11" x14ac:dyDescent="0.45">
      <c r="A2426" s="2">
        <v>1073</v>
      </c>
      <c r="B2426" s="2" t="s">
        <v>1178</v>
      </c>
      <c r="C2426" s="2" t="s">
        <v>88</v>
      </c>
      <c r="D2426" s="2" t="s">
        <v>13</v>
      </c>
      <c r="E2426" s="2">
        <v>27</v>
      </c>
      <c r="F2426" s="2">
        <v>51</v>
      </c>
      <c r="G2426" s="2">
        <v>161</v>
      </c>
      <c r="H2426" s="9">
        <f t="shared" si="37"/>
        <v>19.675166853130666</v>
      </c>
      <c r="I2426" s="2" t="str" cm="1">
        <f t="array" ref="I2426">_xlfn.IFS(F2426&gt;=100,"Over weight",F2426&lt;100,"Average weight")</f>
        <v>Average weight</v>
      </c>
      <c r="J2426" s="2" t="str" cm="1">
        <f t="array" ref="J2426">_xlfn.IFS(G2426&lt;164,"Below Average height",G2426&gt;=165,"Above Average height",G2426=164,"Average height")</f>
        <v>Below Average height</v>
      </c>
      <c r="K2426" s="2" t="str" cm="1">
        <f t="array" ref="K2426">_xlfn.IFS(E2426&lt;=16,"Children",E2426&lt;=30,"Young Adults",E2426&lt;=45,"Middle-aged Adults",E2426&gt;45,"Old Adults")</f>
        <v>Young Adults</v>
      </c>
    </row>
    <row r="2427" spans="1:11" x14ac:dyDescent="0.45">
      <c r="A2427" s="2">
        <v>1083</v>
      </c>
      <c r="B2427" s="2" t="s">
        <v>1188</v>
      </c>
      <c r="C2427" s="2" t="s">
        <v>89</v>
      </c>
      <c r="D2427" s="2" t="s">
        <v>43</v>
      </c>
      <c r="E2427" s="2">
        <v>24</v>
      </c>
      <c r="F2427" s="2">
        <v>56</v>
      </c>
      <c r="G2427" s="2">
        <v>157</v>
      </c>
      <c r="H2427" s="9">
        <f t="shared" si="37"/>
        <v>22.718974400584202</v>
      </c>
      <c r="I2427" s="2" t="str" cm="1">
        <f t="array" ref="I2427">_xlfn.IFS(F2427&gt;=100,"Over weight",F2427&lt;100,"Average weight")</f>
        <v>Average weight</v>
      </c>
      <c r="J2427" s="2" t="str" cm="1">
        <f t="array" ref="J2427">_xlfn.IFS(G2427&lt;164,"Below Average height",G2427&gt;=165,"Above Average height",G2427=164,"Average height")</f>
        <v>Below Average height</v>
      </c>
      <c r="K2427" s="2" t="str" cm="1">
        <f t="array" ref="K2427">_xlfn.IFS(E2427&lt;=16,"Children",E2427&lt;=30,"Young Adults",E2427&lt;=45,"Middle-aged Adults",E2427&gt;45,"Old Adults")</f>
        <v>Young Adults</v>
      </c>
    </row>
    <row r="2428" spans="1:11" x14ac:dyDescent="0.45">
      <c r="A2428" s="2">
        <v>1106</v>
      </c>
      <c r="B2428" s="2" t="s">
        <v>1211</v>
      </c>
      <c r="C2428" s="2" t="s">
        <v>94</v>
      </c>
      <c r="D2428" s="2" t="s">
        <v>42</v>
      </c>
      <c r="E2428" s="2">
        <v>29</v>
      </c>
      <c r="F2428" s="2">
        <v>52</v>
      </c>
      <c r="G2428" s="2">
        <v>159</v>
      </c>
      <c r="H2428" s="9">
        <f t="shared" si="37"/>
        <v>20.568806613662431</v>
      </c>
      <c r="I2428" s="2" t="str" cm="1">
        <f t="array" ref="I2428">_xlfn.IFS(F2428&gt;=100,"Over weight",F2428&lt;100,"Average weight")</f>
        <v>Average weight</v>
      </c>
      <c r="J2428" s="2" t="str" cm="1">
        <f t="array" ref="J2428">_xlfn.IFS(G2428&lt;164,"Below Average height",G2428&gt;=165,"Above Average height",G2428=164,"Average height")</f>
        <v>Below Average height</v>
      </c>
      <c r="K2428" s="2" t="str" cm="1">
        <f t="array" ref="K2428">_xlfn.IFS(E2428&lt;=16,"Children",E2428&lt;=30,"Young Adults",E2428&lt;=45,"Middle-aged Adults",E2428&gt;45,"Old Adults")</f>
        <v>Young Adults</v>
      </c>
    </row>
    <row r="2429" spans="1:11" x14ac:dyDescent="0.45">
      <c r="A2429" s="2">
        <v>1109</v>
      </c>
      <c r="B2429" s="2" t="s">
        <v>1214</v>
      </c>
      <c r="C2429" s="2" t="s">
        <v>100</v>
      </c>
      <c r="D2429" s="2" t="s">
        <v>41</v>
      </c>
      <c r="E2429" s="2">
        <v>24</v>
      </c>
      <c r="F2429" s="2">
        <v>63</v>
      </c>
      <c r="G2429" s="2">
        <v>162</v>
      </c>
      <c r="H2429" s="9">
        <f t="shared" si="37"/>
        <v>24.005486968449926</v>
      </c>
      <c r="I2429" s="2" t="str" cm="1">
        <f t="array" ref="I2429">_xlfn.IFS(F2429&gt;=100,"Over weight",F2429&lt;100,"Average weight")</f>
        <v>Average weight</v>
      </c>
      <c r="J2429" s="2" t="str" cm="1">
        <f t="array" ref="J2429">_xlfn.IFS(G2429&lt;164,"Below Average height",G2429&gt;=165,"Above Average height",G2429=164,"Average height")</f>
        <v>Below Average height</v>
      </c>
      <c r="K2429" s="2" t="str" cm="1">
        <f t="array" ref="K2429">_xlfn.IFS(E2429&lt;=16,"Children",E2429&lt;=30,"Young Adults",E2429&lt;=45,"Middle-aged Adults",E2429&gt;45,"Old Adults")</f>
        <v>Young Adults</v>
      </c>
    </row>
    <row r="2430" spans="1:11" x14ac:dyDescent="0.45">
      <c r="A2430" s="2">
        <v>1118</v>
      </c>
      <c r="B2430" s="2" t="s">
        <v>1223</v>
      </c>
      <c r="C2430" s="2" t="s">
        <v>94</v>
      </c>
      <c r="D2430" s="2" t="s">
        <v>66</v>
      </c>
      <c r="E2430" s="2">
        <v>28</v>
      </c>
      <c r="F2430" s="2">
        <v>55</v>
      </c>
      <c r="G2430" s="2">
        <v>162</v>
      </c>
      <c r="H2430" s="9">
        <f t="shared" si="37"/>
        <v>20.957171162932475</v>
      </c>
      <c r="I2430" s="2" t="str" cm="1">
        <f t="array" ref="I2430">_xlfn.IFS(F2430&gt;=100,"Over weight",F2430&lt;100,"Average weight")</f>
        <v>Average weight</v>
      </c>
      <c r="J2430" s="2" t="str" cm="1">
        <f t="array" ref="J2430">_xlfn.IFS(G2430&lt;164,"Below Average height",G2430&gt;=165,"Above Average height",G2430=164,"Average height")</f>
        <v>Below Average height</v>
      </c>
      <c r="K2430" s="2" t="str" cm="1">
        <f t="array" ref="K2430">_xlfn.IFS(E2430&lt;=16,"Children",E2430&lt;=30,"Young Adults",E2430&lt;=45,"Middle-aged Adults",E2430&gt;45,"Old Adults")</f>
        <v>Young Adults</v>
      </c>
    </row>
    <row r="2431" spans="1:11" x14ac:dyDescent="0.45">
      <c r="A2431" s="2">
        <v>1129</v>
      </c>
      <c r="B2431" s="2" t="s">
        <v>1234</v>
      </c>
      <c r="C2431" s="2" t="s">
        <v>86</v>
      </c>
      <c r="D2431" s="2" t="s">
        <v>79</v>
      </c>
      <c r="E2431" s="2">
        <v>25</v>
      </c>
      <c r="F2431" s="2">
        <v>111</v>
      </c>
      <c r="G2431" s="2">
        <v>163</v>
      </c>
      <c r="H2431" s="9">
        <f t="shared" si="37"/>
        <v>41.778011968835862</v>
      </c>
      <c r="I2431" s="2" t="str" cm="1">
        <f t="array" ref="I2431">_xlfn.IFS(F2431&gt;=100,"Over weight",F2431&lt;100,"Average weight")</f>
        <v>Over weight</v>
      </c>
      <c r="J2431" s="2" t="str" cm="1">
        <f t="array" ref="J2431">_xlfn.IFS(G2431&lt;164,"Below Average height",G2431&gt;=165,"Above Average height",G2431=164,"Average height")</f>
        <v>Below Average height</v>
      </c>
      <c r="K2431" s="2" t="str" cm="1">
        <f t="array" ref="K2431">_xlfn.IFS(E2431&lt;=16,"Children",E2431&lt;=30,"Young Adults",E2431&lt;=45,"Middle-aged Adults",E2431&gt;45,"Old Adults")</f>
        <v>Young Adults</v>
      </c>
    </row>
    <row r="2432" spans="1:11" x14ac:dyDescent="0.45">
      <c r="A2432" s="2">
        <v>1134</v>
      </c>
      <c r="B2432" s="2" t="s">
        <v>1239</v>
      </c>
      <c r="C2432" s="2" t="s">
        <v>93</v>
      </c>
      <c r="D2432" s="2" t="s">
        <v>71</v>
      </c>
      <c r="E2432" s="2">
        <v>20</v>
      </c>
      <c r="F2432" s="2">
        <v>53</v>
      </c>
      <c r="G2432" s="2">
        <v>160</v>
      </c>
      <c r="H2432" s="9">
        <f t="shared" si="37"/>
        <v>20.703124999999996</v>
      </c>
      <c r="I2432" s="2" t="str" cm="1">
        <f t="array" ref="I2432">_xlfn.IFS(F2432&gt;=100,"Over weight",F2432&lt;100,"Average weight")</f>
        <v>Average weight</v>
      </c>
      <c r="J2432" s="2" t="str" cm="1">
        <f t="array" ref="J2432">_xlfn.IFS(G2432&lt;164,"Below Average height",G2432&gt;=165,"Above Average height",G2432=164,"Average height")</f>
        <v>Below Average height</v>
      </c>
      <c r="K2432" s="2" t="str" cm="1">
        <f t="array" ref="K2432">_xlfn.IFS(E2432&lt;=16,"Children",E2432&lt;=30,"Young Adults",E2432&lt;=45,"Middle-aged Adults",E2432&gt;45,"Old Adults")</f>
        <v>Young Adults</v>
      </c>
    </row>
    <row r="2433" spans="1:11" x14ac:dyDescent="0.45">
      <c r="A2433" s="2">
        <v>1159</v>
      </c>
      <c r="B2433" s="2" t="s">
        <v>1264</v>
      </c>
      <c r="C2433" s="2" t="s">
        <v>93</v>
      </c>
      <c r="D2433" s="2" t="s">
        <v>6</v>
      </c>
      <c r="E2433" s="2">
        <v>32</v>
      </c>
      <c r="F2433" s="2">
        <v>55</v>
      </c>
      <c r="G2433" s="2">
        <v>160</v>
      </c>
      <c r="H2433" s="9">
        <f t="shared" si="37"/>
        <v>21.484374999999996</v>
      </c>
      <c r="I2433" s="2" t="str" cm="1">
        <f t="array" ref="I2433">_xlfn.IFS(F2433&gt;=100,"Over weight",F2433&lt;100,"Average weight")</f>
        <v>Average weight</v>
      </c>
      <c r="J2433" s="2" t="str" cm="1">
        <f t="array" ref="J2433">_xlfn.IFS(G2433&lt;164,"Below Average height",G2433&gt;=165,"Above Average height",G2433=164,"Average height")</f>
        <v>Below Average height</v>
      </c>
      <c r="K2433" s="2" t="str" cm="1">
        <f t="array" ref="K2433">_xlfn.IFS(E2433&lt;=16,"Children",E2433&lt;=30,"Young Adults",E2433&lt;=45,"Middle-aged Adults",E2433&gt;45,"Old Adults")</f>
        <v>Middle-aged Adults</v>
      </c>
    </row>
    <row r="2434" spans="1:11" x14ac:dyDescent="0.45">
      <c r="A2434" s="2">
        <v>1162</v>
      </c>
      <c r="B2434" s="2" t="s">
        <v>1267</v>
      </c>
      <c r="C2434" s="2" t="s">
        <v>98</v>
      </c>
      <c r="D2434" s="2" t="s">
        <v>65</v>
      </c>
      <c r="E2434" s="2">
        <v>26</v>
      </c>
      <c r="F2434" s="2">
        <v>54</v>
      </c>
      <c r="G2434" s="2">
        <v>160</v>
      </c>
      <c r="H2434" s="9">
        <f t="shared" ref="H2434:H2497" si="38" xml:space="preserve"> F2434 / (( G2434/ 100) ^ 2)</f>
        <v>21.093749999999996</v>
      </c>
      <c r="I2434" s="2" t="str" cm="1">
        <f t="array" ref="I2434">_xlfn.IFS(F2434&gt;=100,"Over weight",F2434&lt;100,"Average weight")</f>
        <v>Average weight</v>
      </c>
      <c r="J2434" s="2" t="str" cm="1">
        <f t="array" ref="J2434">_xlfn.IFS(G2434&lt;164,"Below Average height",G2434&gt;=165,"Above Average height",G2434=164,"Average height")</f>
        <v>Below Average height</v>
      </c>
      <c r="K2434" s="2" t="str" cm="1">
        <f t="array" ref="K2434">_xlfn.IFS(E2434&lt;=16,"Children",E2434&lt;=30,"Young Adults",E2434&lt;=45,"Middle-aged Adults",E2434&gt;45,"Old Adults")</f>
        <v>Young Adults</v>
      </c>
    </row>
    <row r="2435" spans="1:11" x14ac:dyDescent="0.45">
      <c r="A2435" s="2">
        <v>1201</v>
      </c>
      <c r="B2435" s="2" t="s">
        <v>1306</v>
      </c>
      <c r="C2435" s="2" t="s">
        <v>86</v>
      </c>
      <c r="D2435" s="2" t="s">
        <v>44</v>
      </c>
      <c r="E2435" s="2">
        <v>16</v>
      </c>
      <c r="F2435" s="2">
        <v>58</v>
      </c>
      <c r="G2435" s="2">
        <v>159</v>
      </c>
      <c r="H2435" s="9">
        <f t="shared" si="38"/>
        <v>22.942130453700404</v>
      </c>
      <c r="I2435" s="2" t="str" cm="1">
        <f t="array" ref="I2435">_xlfn.IFS(F2435&gt;=100,"Over weight",F2435&lt;100,"Average weight")</f>
        <v>Average weight</v>
      </c>
      <c r="J2435" s="2" t="str" cm="1">
        <f t="array" ref="J2435">_xlfn.IFS(G2435&lt;164,"Below Average height",G2435&gt;=165,"Above Average height",G2435=164,"Average height")</f>
        <v>Below Average height</v>
      </c>
      <c r="K2435" s="2" t="str" cm="1">
        <f t="array" ref="K2435">_xlfn.IFS(E2435&lt;=16,"Children",E2435&lt;=30,"Young Adults",E2435&lt;=45,"Middle-aged Adults",E2435&gt;45,"Old Adults")</f>
        <v>Children</v>
      </c>
    </row>
    <row r="2436" spans="1:11" x14ac:dyDescent="0.45">
      <c r="A2436" s="2">
        <v>1203</v>
      </c>
      <c r="B2436" s="2" t="s">
        <v>1308</v>
      </c>
      <c r="C2436" s="2" t="s">
        <v>91</v>
      </c>
      <c r="D2436" s="2" t="s">
        <v>25</v>
      </c>
      <c r="E2436" s="2">
        <v>28</v>
      </c>
      <c r="F2436" s="2">
        <v>58</v>
      </c>
      <c r="G2436" s="2">
        <v>159</v>
      </c>
      <c r="H2436" s="9">
        <f t="shared" si="38"/>
        <v>22.942130453700404</v>
      </c>
      <c r="I2436" s="2" t="str" cm="1">
        <f t="array" ref="I2436">_xlfn.IFS(F2436&gt;=100,"Over weight",F2436&lt;100,"Average weight")</f>
        <v>Average weight</v>
      </c>
      <c r="J2436" s="2" t="str" cm="1">
        <f t="array" ref="J2436">_xlfn.IFS(G2436&lt;164,"Below Average height",G2436&gt;=165,"Above Average height",G2436=164,"Average height")</f>
        <v>Below Average height</v>
      </c>
      <c r="K2436" s="2" t="str" cm="1">
        <f t="array" ref="K2436">_xlfn.IFS(E2436&lt;=16,"Children",E2436&lt;=30,"Young Adults",E2436&lt;=45,"Middle-aged Adults",E2436&gt;45,"Old Adults")</f>
        <v>Young Adults</v>
      </c>
    </row>
    <row r="2437" spans="1:11" x14ac:dyDescent="0.45">
      <c r="A2437" s="2">
        <v>1209</v>
      </c>
      <c r="B2437" s="2" t="s">
        <v>1314</v>
      </c>
      <c r="C2437" s="2" t="s">
        <v>86</v>
      </c>
      <c r="D2437" s="2" t="s">
        <v>73</v>
      </c>
      <c r="E2437" s="2">
        <v>18</v>
      </c>
      <c r="F2437" s="2">
        <v>72</v>
      </c>
      <c r="G2437" s="2">
        <v>162</v>
      </c>
      <c r="H2437" s="9">
        <f t="shared" si="38"/>
        <v>27.434842249657059</v>
      </c>
      <c r="I2437" s="2" t="str" cm="1">
        <f t="array" ref="I2437">_xlfn.IFS(F2437&gt;=100,"Over weight",F2437&lt;100,"Average weight")</f>
        <v>Average weight</v>
      </c>
      <c r="J2437" s="2" t="str" cm="1">
        <f t="array" ref="J2437">_xlfn.IFS(G2437&lt;164,"Below Average height",G2437&gt;=165,"Above Average height",G2437=164,"Average height")</f>
        <v>Below Average height</v>
      </c>
      <c r="K2437" s="2" t="str" cm="1">
        <f t="array" ref="K2437">_xlfn.IFS(E2437&lt;=16,"Children",E2437&lt;=30,"Young Adults",E2437&lt;=45,"Middle-aged Adults",E2437&gt;45,"Old Adults")</f>
        <v>Young Adults</v>
      </c>
    </row>
    <row r="2438" spans="1:11" x14ac:dyDescent="0.45">
      <c r="A2438" s="2">
        <v>1213</v>
      </c>
      <c r="B2438" s="2" t="s">
        <v>1318</v>
      </c>
      <c r="C2438" s="2" t="s">
        <v>94</v>
      </c>
      <c r="D2438" s="2" t="s">
        <v>25</v>
      </c>
      <c r="E2438" s="2">
        <v>19</v>
      </c>
      <c r="F2438" s="2">
        <v>56</v>
      </c>
      <c r="G2438" s="2">
        <v>160</v>
      </c>
      <c r="H2438" s="9">
        <f t="shared" si="38"/>
        <v>21.874999999999996</v>
      </c>
      <c r="I2438" s="2" t="str" cm="1">
        <f t="array" ref="I2438">_xlfn.IFS(F2438&gt;=100,"Over weight",F2438&lt;100,"Average weight")</f>
        <v>Average weight</v>
      </c>
      <c r="J2438" s="2" t="str" cm="1">
        <f t="array" ref="J2438">_xlfn.IFS(G2438&lt;164,"Below Average height",G2438&gt;=165,"Above Average height",G2438=164,"Average height")</f>
        <v>Below Average height</v>
      </c>
      <c r="K2438" s="2" t="str" cm="1">
        <f t="array" ref="K2438">_xlfn.IFS(E2438&lt;=16,"Children",E2438&lt;=30,"Young Adults",E2438&lt;=45,"Middle-aged Adults",E2438&gt;45,"Old Adults")</f>
        <v>Young Adults</v>
      </c>
    </row>
    <row r="2439" spans="1:11" x14ac:dyDescent="0.45">
      <c r="A2439" s="2">
        <v>1232</v>
      </c>
      <c r="B2439" s="2" t="s">
        <v>1337</v>
      </c>
      <c r="C2439" s="2" t="s">
        <v>86</v>
      </c>
      <c r="D2439" s="2" t="s">
        <v>14</v>
      </c>
      <c r="E2439" s="2">
        <v>28</v>
      </c>
      <c r="F2439" s="2">
        <v>72</v>
      </c>
      <c r="G2439" s="2">
        <v>149</v>
      </c>
      <c r="H2439" s="9">
        <f t="shared" si="38"/>
        <v>32.430971577856852</v>
      </c>
      <c r="I2439" s="2" t="str" cm="1">
        <f t="array" ref="I2439">_xlfn.IFS(F2439&gt;=100,"Over weight",F2439&lt;100,"Average weight")</f>
        <v>Average weight</v>
      </c>
      <c r="J2439" s="2" t="str" cm="1">
        <f t="array" ref="J2439">_xlfn.IFS(G2439&lt;164,"Below Average height",G2439&gt;=165,"Above Average height",G2439=164,"Average height")</f>
        <v>Below Average height</v>
      </c>
      <c r="K2439" s="2" t="str" cm="1">
        <f t="array" ref="K2439">_xlfn.IFS(E2439&lt;=16,"Children",E2439&lt;=30,"Young Adults",E2439&lt;=45,"Middle-aged Adults",E2439&gt;45,"Old Adults")</f>
        <v>Young Adults</v>
      </c>
    </row>
    <row r="2440" spans="1:11" x14ac:dyDescent="0.45">
      <c r="A2440" s="2">
        <v>1241</v>
      </c>
      <c r="B2440" s="2" t="s">
        <v>1346</v>
      </c>
      <c r="C2440" s="2" t="s">
        <v>87</v>
      </c>
      <c r="D2440" s="2" t="s">
        <v>5</v>
      </c>
      <c r="E2440" s="2">
        <v>28</v>
      </c>
      <c r="F2440" s="2">
        <v>54</v>
      </c>
      <c r="G2440" s="2">
        <v>157</v>
      </c>
      <c r="H2440" s="9">
        <f t="shared" si="38"/>
        <v>21.907582457706194</v>
      </c>
      <c r="I2440" s="2" t="str" cm="1">
        <f t="array" ref="I2440">_xlfn.IFS(F2440&gt;=100,"Over weight",F2440&lt;100,"Average weight")</f>
        <v>Average weight</v>
      </c>
      <c r="J2440" s="2" t="str" cm="1">
        <f t="array" ref="J2440">_xlfn.IFS(G2440&lt;164,"Below Average height",G2440&gt;=165,"Above Average height",G2440=164,"Average height")</f>
        <v>Below Average height</v>
      </c>
      <c r="K2440" s="2" t="str" cm="1">
        <f t="array" ref="K2440">_xlfn.IFS(E2440&lt;=16,"Children",E2440&lt;=30,"Young Adults",E2440&lt;=45,"Middle-aged Adults",E2440&gt;45,"Old Adults")</f>
        <v>Young Adults</v>
      </c>
    </row>
    <row r="2441" spans="1:11" x14ac:dyDescent="0.45">
      <c r="A2441" s="2">
        <v>1247</v>
      </c>
      <c r="B2441" s="2" t="s">
        <v>1352</v>
      </c>
      <c r="C2441" s="2" t="s">
        <v>91</v>
      </c>
      <c r="D2441" s="2" t="s">
        <v>80</v>
      </c>
      <c r="E2441" s="2">
        <v>23</v>
      </c>
      <c r="F2441" s="2">
        <v>59</v>
      </c>
      <c r="G2441" s="2">
        <v>152</v>
      </c>
      <c r="H2441" s="9">
        <f t="shared" si="38"/>
        <v>25.536703601108034</v>
      </c>
      <c r="I2441" s="2" t="str" cm="1">
        <f t="array" ref="I2441">_xlfn.IFS(F2441&gt;=100,"Over weight",F2441&lt;100,"Average weight")</f>
        <v>Average weight</v>
      </c>
      <c r="J2441" s="2" t="str" cm="1">
        <f t="array" ref="J2441">_xlfn.IFS(G2441&lt;164,"Below Average height",G2441&gt;=165,"Above Average height",G2441=164,"Average height")</f>
        <v>Below Average height</v>
      </c>
      <c r="K2441" s="2" t="str" cm="1">
        <f t="array" ref="K2441">_xlfn.IFS(E2441&lt;=16,"Children",E2441&lt;=30,"Young Adults",E2441&lt;=45,"Middle-aged Adults",E2441&gt;45,"Old Adults")</f>
        <v>Young Adults</v>
      </c>
    </row>
    <row r="2442" spans="1:11" x14ac:dyDescent="0.45">
      <c r="A2442" s="2">
        <v>1258</v>
      </c>
      <c r="B2442" s="2" t="s">
        <v>1363</v>
      </c>
      <c r="C2442" s="2" t="s">
        <v>94</v>
      </c>
      <c r="D2442" s="2" t="s">
        <v>44</v>
      </c>
      <c r="E2442" s="2">
        <v>28</v>
      </c>
      <c r="F2442" s="2">
        <v>48</v>
      </c>
      <c r="G2442" s="2">
        <v>154</v>
      </c>
      <c r="H2442" s="9">
        <f t="shared" si="38"/>
        <v>20.239500758981279</v>
      </c>
      <c r="I2442" s="2" t="str" cm="1">
        <f t="array" ref="I2442">_xlfn.IFS(F2442&gt;=100,"Over weight",F2442&lt;100,"Average weight")</f>
        <v>Average weight</v>
      </c>
      <c r="J2442" s="2" t="str" cm="1">
        <f t="array" ref="J2442">_xlfn.IFS(G2442&lt;164,"Below Average height",G2442&gt;=165,"Above Average height",G2442=164,"Average height")</f>
        <v>Below Average height</v>
      </c>
      <c r="K2442" s="2" t="str" cm="1">
        <f t="array" ref="K2442">_xlfn.IFS(E2442&lt;=16,"Children",E2442&lt;=30,"Young Adults",E2442&lt;=45,"Middle-aged Adults",E2442&gt;45,"Old Adults")</f>
        <v>Young Adults</v>
      </c>
    </row>
    <row r="2443" spans="1:11" x14ac:dyDescent="0.45">
      <c r="A2443" s="2">
        <v>1259</v>
      </c>
      <c r="B2443" s="2" t="s">
        <v>1364</v>
      </c>
      <c r="C2443" s="2" t="s">
        <v>86</v>
      </c>
      <c r="D2443" s="2" t="s">
        <v>5</v>
      </c>
      <c r="E2443" s="2">
        <v>16</v>
      </c>
      <c r="F2443" s="2">
        <v>72</v>
      </c>
      <c r="G2443" s="2">
        <v>154</v>
      </c>
      <c r="H2443" s="9">
        <f t="shared" si="38"/>
        <v>30.359251138471919</v>
      </c>
      <c r="I2443" s="2" t="str" cm="1">
        <f t="array" ref="I2443">_xlfn.IFS(F2443&gt;=100,"Over weight",F2443&lt;100,"Average weight")</f>
        <v>Average weight</v>
      </c>
      <c r="J2443" s="2" t="str" cm="1">
        <f t="array" ref="J2443">_xlfn.IFS(G2443&lt;164,"Below Average height",G2443&gt;=165,"Above Average height",G2443=164,"Average height")</f>
        <v>Below Average height</v>
      </c>
      <c r="K2443" s="2" t="str" cm="1">
        <f t="array" ref="K2443">_xlfn.IFS(E2443&lt;=16,"Children",E2443&lt;=30,"Young Adults",E2443&lt;=45,"Middle-aged Adults",E2443&gt;45,"Old Adults")</f>
        <v>Children</v>
      </c>
    </row>
    <row r="2444" spans="1:11" x14ac:dyDescent="0.45">
      <c r="A2444" s="2">
        <v>1260</v>
      </c>
      <c r="B2444" s="2" t="s">
        <v>1365</v>
      </c>
      <c r="C2444" s="2" t="s">
        <v>98</v>
      </c>
      <c r="D2444" s="2" t="s">
        <v>44</v>
      </c>
      <c r="E2444" s="2">
        <v>18</v>
      </c>
      <c r="F2444" s="2">
        <v>46</v>
      </c>
      <c r="G2444" s="2">
        <v>154</v>
      </c>
      <c r="H2444" s="9">
        <f t="shared" si="38"/>
        <v>19.396188227357058</v>
      </c>
      <c r="I2444" s="2" t="str" cm="1">
        <f t="array" ref="I2444">_xlfn.IFS(F2444&gt;=100,"Over weight",F2444&lt;100,"Average weight")</f>
        <v>Average weight</v>
      </c>
      <c r="J2444" s="2" t="str" cm="1">
        <f t="array" ref="J2444">_xlfn.IFS(G2444&lt;164,"Below Average height",G2444&gt;=165,"Above Average height",G2444=164,"Average height")</f>
        <v>Below Average height</v>
      </c>
      <c r="K2444" s="2" t="str" cm="1">
        <f t="array" ref="K2444">_xlfn.IFS(E2444&lt;=16,"Children",E2444&lt;=30,"Young Adults",E2444&lt;=45,"Middle-aged Adults",E2444&gt;45,"Old Adults")</f>
        <v>Young Adults</v>
      </c>
    </row>
    <row r="2445" spans="1:11" x14ac:dyDescent="0.45">
      <c r="A2445" s="2">
        <v>1267</v>
      </c>
      <c r="B2445" s="2" t="s">
        <v>1372</v>
      </c>
      <c r="C2445" s="2" t="s">
        <v>89</v>
      </c>
      <c r="D2445" s="2" t="s">
        <v>44</v>
      </c>
      <c r="E2445" s="2">
        <v>22</v>
      </c>
      <c r="F2445" s="2">
        <v>52</v>
      </c>
      <c r="G2445" s="2">
        <v>163</v>
      </c>
      <c r="H2445" s="9">
        <f t="shared" si="38"/>
        <v>19.571681282697881</v>
      </c>
      <c r="I2445" s="2" t="str" cm="1">
        <f t="array" ref="I2445">_xlfn.IFS(F2445&gt;=100,"Over weight",F2445&lt;100,"Average weight")</f>
        <v>Average weight</v>
      </c>
      <c r="J2445" s="2" t="str" cm="1">
        <f t="array" ref="J2445">_xlfn.IFS(G2445&lt;164,"Below Average height",G2445&gt;=165,"Above Average height",G2445=164,"Average height")</f>
        <v>Below Average height</v>
      </c>
      <c r="K2445" s="2" t="str" cm="1">
        <f t="array" ref="K2445">_xlfn.IFS(E2445&lt;=16,"Children",E2445&lt;=30,"Young Adults",E2445&lt;=45,"Middle-aged Adults",E2445&gt;45,"Old Adults")</f>
        <v>Young Adults</v>
      </c>
    </row>
    <row r="2446" spans="1:11" x14ac:dyDescent="0.45">
      <c r="A2446" s="2">
        <v>1271</v>
      </c>
      <c r="B2446" s="2" t="s">
        <v>1376</v>
      </c>
      <c r="C2446" s="2" t="s">
        <v>89</v>
      </c>
      <c r="D2446" s="2" t="s">
        <v>44</v>
      </c>
      <c r="E2446" s="2">
        <v>20</v>
      </c>
      <c r="F2446" s="2">
        <v>58</v>
      </c>
      <c r="G2446" s="2">
        <v>163</v>
      </c>
      <c r="H2446" s="9">
        <f t="shared" si="38"/>
        <v>21.829952199932254</v>
      </c>
      <c r="I2446" s="2" t="str" cm="1">
        <f t="array" ref="I2446">_xlfn.IFS(F2446&gt;=100,"Over weight",F2446&lt;100,"Average weight")</f>
        <v>Average weight</v>
      </c>
      <c r="J2446" s="2" t="str" cm="1">
        <f t="array" ref="J2446">_xlfn.IFS(G2446&lt;164,"Below Average height",G2446&gt;=165,"Above Average height",G2446=164,"Average height")</f>
        <v>Below Average height</v>
      </c>
      <c r="K2446" s="2" t="str" cm="1">
        <f t="array" ref="K2446">_xlfn.IFS(E2446&lt;=16,"Children",E2446&lt;=30,"Young Adults",E2446&lt;=45,"Middle-aged Adults",E2446&gt;45,"Old Adults")</f>
        <v>Young Adults</v>
      </c>
    </row>
    <row r="2447" spans="1:11" x14ac:dyDescent="0.45">
      <c r="A2447" s="2">
        <v>1279</v>
      </c>
      <c r="B2447" s="2" t="s">
        <v>1384</v>
      </c>
      <c r="C2447" s="2" t="s">
        <v>88</v>
      </c>
      <c r="D2447" s="2" t="s">
        <v>23</v>
      </c>
      <c r="E2447" s="2">
        <v>24</v>
      </c>
      <c r="F2447" s="2">
        <v>55</v>
      </c>
      <c r="G2447" s="2">
        <v>157</v>
      </c>
      <c r="H2447" s="9">
        <f t="shared" si="38"/>
        <v>22.313278429145196</v>
      </c>
      <c r="I2447" s="2" t="str" cm="1">
        <f t="array" ref="I2447">_xlfn.IFS(F2447&gt;=100,"Over weight",F2447&lt;100,"Average weight")</f>
        <v>Average weight</v>
      </c>
      <c r="J2447" s="2" t="str" cm="1">
        <f t="array" ref="J2447">_xlfn.IFS(G2447&lt;164,"Below Average height",G2447&gt;=165,"Above Average height",G2447=164,"Average height")</f>
        <v>Below Average height</v>
      </c>
      <c r="K2447" s="2" t="str" cm="1">
        <f t="array" ref="K2447">_xlfn.IFS(E2447&lt;=16,"Children",E2447&lt;=30,"Young Adults",E2447&lt;=45,"Middle-aged Adults",E2447&gt;45,"Old Adults")</f>
        <v>Young Adults</v>
      </c>
    </row>
    <row r="2448" spans="1:11" x14ac:dyDescent="0.45">
      <c r="A2448" s="2">
        <v>1281</v>
      </c>
      <c r="B2448" s="2" t="s">
        <v>1386</v>
      </c>
      <c r="C2448" s="2" t="s">
        <v>91</v>
      </c>
      <c r="D2448" s="2" t="s">
        <v>75</v>
      </c>
      <c r="E2448" s="2">
        <v>20</v>
      </c>
      <c r="F2448" s="2">
        <v>62</v>
      </c>
      <c r="G2448" s="2">
        <v>162</v>
      </c>
      <c r="H2448" s="9">
        <f t="shared" si="38"/>
        <v>23.624447492760247</v>
      </c>
      <c r="I2448" s="2" t="str" cm="1">
        <f t="array" ref="I2448">_xlfn.IFS(F2448&gt;=100,"Over weight",F2448&lt;100,"Average weight")</f>
        <v>Average weight</v>
      </c>
      <c r="J2448" s="2" t="str" cm="1">
        <f t="array" ref="J2448">_xlfn.IFS(G2448&lt;164,"Below Average height",G2448&gt;=165,"Above Average height",G2448=164,"Average height")</f>
        <v>Below Average height</v>
      </c>
      <c r="K2448" s="2" t="str" cm="1">
        <f t="array" ref="K2448">_xlfn.IFS(E2448&lt;=16,"Children",E2448&lt;=30,"Young Adults",E2448&lt;=45,"Middle-aged Adults",E2448&gt;45,"Old Adults")</f>
        <v>Young Adults</v>
      </c>
    </row>
    <row r="2449" spans="1:11" x14ac:dyDescent="0.45">
      <c r="A2449" s="2">
        <v>1284</v>
      </c>
      <c r="B2449" s="2" t="s">
        <v>1389</v>
      </c>
      <c r="C2449" s="2" t="s">
        <v>86</v>
      </c>
      <c r="D2449" s="2" t="s">
        <v>66</v>
      </c>
      <c r="E2449" s="2">
        <v>19</v>
      </c>
      <c r="F2449" s="2">
        <v>98</v>
      </c>
      <c r="G2449" s="2">
        <v>158</v>
      </c>
      <c r="H2449" s="9">
        <f t="shared" si="38"/>
        <v>39.256529402339361</v>
      </c>
      <c r="I2449" s="2" t="str" cm="1">
        <f t="array" ref="I2449">_xlfn.IFS(F2449&gt;=100,"Over weight",F2449&lt;100,"Average weight")</f>
        <v>Average weight</v>
      </c>
      <c r="J2449" s="2" t="str" cm="1">
        <f t="array" ref="J2449">_xlfn.IFS(G2449&lt;164,"Below Average height",G2449&gt;=165,"Above Average height",G2449=164,"Average height")</f>
        <v>Below Average height</v>
      </c>
      <c r="K2449" s="2" t="str" cm="1">
        <f t="array" ref="K2449">_xlfn.IFS(E2449&lt;=16,"Children",E2449&lt;=30,"Young Adults",E2449&lt;=45,"Middle-aged Adults",E2449&gt;45,"Old Adults")</f>
        <v>Young Adults</v>
      </c>
    </row>
    <row r="2450" spans="1:11" x14ac:dyDescent="0.45">
      <c r="A2450" s="2">
        <v>1289</v>
      </c>
      <c r="B2450" s="2" t="s">
        <v>1394</v>
      </c>
      <c r="C2450" s="2" t="s">
        <v>88</v>
      </c>
      <c r="D2450" s="2" t="s">
        <v>52</v>
      </c>
      <c r="E2450" s="2">
        <v>32</v>
      </c>
      <c r="F2450" s="2">
        <v>52</v>
      </c>
      <c r="G2450" s="2">
        <v>160</v>
      </c>
      <c r="H2450" s="9">
        <f t="shared" si="38"/>
        <v>20.312499999999996</v>
      </c>
      <c r="I2450" s="2" t="str" cm="1">
        <f t="array" ref="I2450">_xlfn.IFS(F2450&gt;=100,"Over weight",F2450&lt;100,"Average weight")</f>
        <v>Average weight</v>
      </c>
      <c r="J2450" s="2" t="str" cm="1">
        <f t="array" ref="J2450">_xlfn.IFS(G2450&lt;164,"Below Average height",G2450&gt;=165,"Above Average height",G2450=164,"Average height")</f>
        <v>Below Average height</v>
      </c>
      <c r="K2450" s="2" t="str" cm="1">
        <f t="array" ref="K2450">_xlfn.IFS(E2450&lt;=16,"Children",E2450&lt;=30,"Young Adults",E2450&lt;=45,"Middle-aged Adults",E2450&gt;45,"Old Adults")</f>
        <v>Middle-aged Adults</v>
      </c>
    </row>
    <row r="2451" spans="1:11" x14ac:dyDescent="0.45">
      <c r="A2451" s="2">
        <v>1293</v>
      </c>
      <c r="B2451" s="2" t="s">
        <v>1398</v>
      </c>
      <c r="C2451" s="2" t="s">
        <v>94</v>
      </c>
      <c r="D2451" s="2" t="s">
        <v>17</v>
      </c>
      <c r="E2451" s="2">
        <v>25</v>
      </c>
      <c r="F2451" s="2">
        <v>48</v>
      </c>
      <c r="G2451" s="2">
        <v>163</v>
      </c>
      <c r="H2451" s="9">
        <f t="shared" si="38"/>
        <v>18.066167337874969</v>
      </c>
      <c r="I2451" s="2" t="str" cm="1">
        <f t="array" ref="I2451">_xlfn.IFS(F2451&gt;=100,"Over weight",F2451&lt;100,"Average weight")</f>
        <v>Average weight</v>
      </c>
      <c r="J2451" s="2" t="str" cm="1">
        <f t="array" ref="J2451">_xlfn.IFS(G2451&lt;164,"Below Average height",G2451&gt;=165,"Above Average height",G2451=164,"Average height")</f>
        <v>Below Average height</v>
      </c>
      <c r="K2451" s="2" t="str" cm="1">
        <f t="array" ref="K2451">_xlfn.IFS(E2451&lt;=16,"Children",E2451&lt;=30,"Young Adults",E2451&lt;=45,"Middle-aged Adults",E2451&gt;45,"Old Adults")</f>
        <v>Young Adults</v>
      </c>
    </row>
    <row r="2452" spans="1:11" x14ac:dyDescent="0.45">
      <c r="A2452" s="2">
        <v>1295</v>
      </c>
      <c r="B2452" s="2" t="s">
        <v>1400</v>
      </c>
      <c r="C2452" s="2" t="s">
        <v>87</v>
      </c>
      <c r="D2452" s="2" t="s">
        <v>17</v>
      </c>
      <c r="E2452" s="2">
        <v>27</v>
      </c>
      <c r="F2452" s="2">
        <v>50</v>
      </c>
      <c r="G2452" s="2">
        <v>160</v>
      </c>
      <c r="H2452" s="9">
        <f t="shared" si="38"/>
        <v>19.531249999999996</v>
      </c>
      <c r="I2452" s="2" t="str" cm="1">
        <f t="array" ref="I2452">_xlfn.IFS(F2452&gt;=100,"Over weight",F2452&lt;100,"Average weight")</f>
        <v>Average weight</v>
      </c>
      <c r="J2452" s="2" t="str" cm="1">
        <f t="array" ref="J2452">_xlfn.IFS(G2452&lt;164,"Below Average height",G2452&gt;=165,"Above Average height",G2452=164,"Average height")</f>
        <v>Below Average height</v>
      </c>
      <c r="K2452" s="2" t="str" cm="1">
        <f t="array" ref="K2452">_xlfn.IFS(E2452&lt;=16,"Children",E2452&lt;=30,"Young Adults",E2452&lt;=45,"Middle-aged Adults",E2452&gt;45,"Old Adults")</f>
        <v>Young Adults</v>
      </c>
    </row>
    <row r="2453" spans="1:11" x14ac:dyDescent="0.45">
      <c r="A2453" s="2">
        <v>1306</v>
      </c>
      <c r="B2453" s="2" t="s">
        <v>1411</v>
      </c>
      <c r="C2453" s="2" t="s">
        <v>87</v>
      </c>
      <c r="D2453" s="2" t="s">
        <v>6</v>
      </c>
      <c r="E2453" s="2">
        <v>20</v>
      </c>
      <c r="F2453" s="2">
        <v>60</v>
      </c>
      <c r="G2453" s="2">
        <v>162</v>
      </c>
      <c r="H2453" s="9">
        <f t="shared" si="38"/>
        <v>22.862368541380881</v>
      </c>
      <c r="I2453" s="2" t="str" cm="1">
        <f t="array" ref="I2453">_xlfn.IFS(F2453&gt;=100,"Over weight",F2453&lt;100,"Average weight")</f>
        <v>Average weight</v>
      </c>
      <c r="J2453" s="2" t="str" cm="1">
        <f t="array" ref="J2453">_xlfn.IFS(G2453&lt;164,"Below Average height",G2453&gt;=165,"Above Average height",G2453=164,"Average height")</f>
        <v>Below Average height</v>
      </c>
      <c r="K2453" s="2" t="str" cm="1">
        <f t="array" ref="K2453">_xlfn.IFS(E2453&lt;=16,"Children",E2453&lt;=30,"Young Adults",E2453&lt;=45,"Middle-aged Adults",E2453&gt;45,"Old Adults")</f>
        <v>Young Adults</v>
      </c>
    </row>
    <row r="2454" spans="1:11" x14ac:dyDescent="0.45">
      <c r="A2454" s="2">
        <v>1309</v>
      </c>
      <c r="B2454" s="2" t="s">
        <v>1414</v>
      </c>
      <c r="C2454" s="2" t="s">
        <v>96</v>
      </c>
      <c r="D2454" s="2" t="s">
        <v>74</v>
      </c>
      <c r="E2454" s="2">
        <v>39</v>
      </c>
      <c r="F2454" s="2">
        <v>98</v>
      </c>
      <c r="G2454" s="2">
        <v>163</v>
      </c>
      <c r="H2454" s="9">
        <f t="shared" si="38"/>
        <v>36.885091648161392</v>
      </c>
      <c r="I2454" s="2" t="str" cm="1">
        <f t="array" ref="I2454">_xlfn.IFS(F2454&gt;=100,"Over weight",F2454&lt;100,"Average weight")</f>
        <v>Average weight</v>
      </c>
      <c r="J2454" s="2" t="str" cm="1">
        <f t="array" ref="J2454">_xlfn.IFS(G2454&lt;164,"Below Average height",G2454&gt;=165,"Above Average height",G2454=164,"Average height")</f>
        <v>Below Average height</v>
      </c>
      <c r="K2454" s="2" t="str" cm="1">
        <f t="array" ref="K2454">_xlfn.IFS(E2454&lt;=16,"Children",E2454&lt;=30,"Young Adults",E2454&lt;=45,"Middle-aged Adults",E2454&gt;45,"Old Adults")</f>
        <v>Middle-aged Adults</v>
      </c>
    </row>
    <row r="2455" spans="1:11" x14ac:dyDescent="0.45">
      <c r="A2455" s="2">
        <v>1312</v>
      </c>
      <c r="B2455" s="2" t="s">
        <v>1417</v>
      </c>
      <c r="C2455" s="2" t="s">
        <v>86</v>
      </c>
      <c r="D2455" s="2" t="s">
        <v>28</v>
      </c>
      <c r="E2455" s="2">
        <v>29</v>
      </c>
      <c r="F2455" s="2">
        <v>98</v>
      </c>
      <c r="G2455" s="2">
        <v>162</v>
      </c>
      <c r="H2455" s="9">
        <f t="shared" si="38"/>
        <v>37.341868617588773</v>
      </c>
      <c r="I2455" s="2" t="str" cm="1">
        <f t="array" ref="I2455">_xlfn.IFS(F2455&gt;=100,"Over weight",F2455&lt;100,"Average weight")</f>
        <v>Average weight</v>
      </c>
      <c r="J2455" s="2" t="str" cm="1">
        <f t="array" ref="J2455">_xlfn.IFS(G2455&lt;164,"Below Average height",G2455&gt;=165,"Above Average height",G2455=164,"Average height")</f>
        <v>Below Average height</v>
      </c>
      <c r="K2455" s="2" t="str" cm="1">
        <f t="array" ref="K2455">_xlfn.IFS(E2455&lt;=16,"Children",E2455&lt;=30,"Young Adults",E2455&lt;=45,"Middle-aged Adults",E2455&gt;45,"Old Adults")</f>
        <v>Young Adults</v>
      </c>
    </row>
    <row r="2456" spans="1:11" x14ac:dyDescent="0.45">
      <c r="A2456" s="2">
        <v>1325</v>
      </c>
      <c r="B2456" s="2" t="s">
        <v>1430</v>
      </c>
      <c r="C2456" s="2" t="s">
        <v>88</v>
      </c>
      <c r="D2456" s="2" t="s">
        <v>17</v>
      </c>
      <c r="E2456" s="2">
        <v>32</v>
      </c>
      <c r="F2456" s="2">
        <v>50</v>
      </c>
      <c r="G2456" s="2">
        <v>160</v>
      </c>
      <c r="H2456" s="9">
        <f t="shared" si="38"/>
        <v>19.531249999999996</v>
      </c>
      <c r="I2456" s="2" t="str" cm="1">
        <f t="array" ref="I2456">_xlfn.IFS(F2456&gt;=100,"Over weight",F2456&lt;100,"Average weight")</f>
        <v>Average weight</v>
      </c>
      <c r="J2456" s="2" t="str" cm="1">
        <f t="array" ref="J2456">_xlfn.IFS(G2456&lt;164,"Below Average height",G2456&gt;=165,"Above Average height",G2456=164,"Average height")</f>
        <v>Below Average height</v>
      </c>
      <c r="K2456" s="2" t="str" cm="1">
        <f t="array" ref="K2456">_xlfn.IFS(E2456&lt;=16,"Children",E2456&lt;=30,"Young Adults",E2456&lt;=45,"Middle-aged Adults",E2456&gt;45,"Old Adults")</f>
        <v>Middle-aged Adults</v>
      </c>
    </row>
    <row r="2457" spans="1:11" x14ac:dyDescent="0.45">
      <c r="A2457" s="2">
        <v>1353</v>
      </c>
      <c r="B2457" s="2" t="s">
        <v>1458</v>
      </c>
      <c r="C2457" s="2" t="s">
        <v>91</v>
      </c>
      <c r="D2457" s="2" t="s">
        <v>17</v>
      </c>
      <c r="E2457" s="2">
        <v>22</v>
      </c>
      <c r="F2457" s="2">
        <v>60</v>
      </c>
      <c r="G2457" s="2">
        <v>160</v>
      </c>
      <c r="H2457" s="9">
        <f t="shared" si="38"/>
        <v>23.437499999999996</v>
      </c>
      <c r="I2457" s="2" t="str" cm="1">
        <f t="array" ref="I2457">_xlfn.IFS(F2457&gt;=100,"Over weight",F2457&lt;100,"Average weight")</f>
        <v>Average weight</v>
      </c>
      <c r="J2457" s="2" t="str" cm="1">
        <f t="array" ref="J2457">_xlfn.IFS(G2457&lt;164,"Below Average height",G2457&gt;=165,"Above Average height",G2457=164,"Average height")</f>
        <v>Below Average height</v>
      </c>
      <c r="K2457" s="2" t="str" cm="1">
        <f t="array" ref="K2457">_xlfn.IFS(E2457&lt;=16,"Children",E2457&lt;=30,"Young Adults",E2457&lt;=45,"Middle-aged Adults",E2457&gt;45,"Old Adults")</f>
        <v>Young Adults</v>
      </c>
    </row>
    <row r="2458" spans="1:11" x14ac:dyDescent="0.45">
      <c r="A2458" s="2">
        <v>1376</v>
      </c>
      <c r="B2458" s="2" t="s">
        <v>1481</v>
      </c>
      <c r="C2458" s="2" t="s">
        <v>91</v>
      </c>
      <c r="D2458" s="2" t="s">
        <v>14</v>
      </c>
      <c r="E2458" s="2">
        <v>27</v>
      </c>
      <c r="F2458" s="2">
        <v>60</v>
      </c>
      <c r="G2458" s="2">
        <v>163</v>
      </c>
      <c r="H2458" s="9">
        <f t="shared" si="38"/>
        <v>22.582709172343712</v>
      </c>
      <c r="I2458" s="2" t="str" cm="1">
        <f t="array" ref="I2458">_xlfn.IFS(F2458&gt;=100,"Over weight",F2458&lt;100,"Average weight")</f>
        <v>Average weight</v>
      </c>
      <c r="J2458" s="2" t="str" cm="1">
        <f t="array" ref="J2458">_xlfn.IFS(G2458&lt;164,"Below Average height",G2458&gt;=165,"Above Average height",G2458=164,"Average height")</f>
        <v>Below Average height</v>
      </c>
      <c r="K2458" s="2" t="str" cm="1">
        <f t="array" ref="K2458">_xlfn.IFS(E2458&lt;=16,"Children",E2458&lt;=30,"Young Adults",E2458&lt;=45,"Middle-aged Adults",E2458&gt;45,"Old Adults")</f>
        <v>Young Adults</v>
      </c>
    </row>
    <row r="2459" spans="1:11" x14ac:dyDescent="0.45">
      <c r="A2459" s="2">
        <v>1387</v>
      </c>
      <c r="B2459" s="2" t="s">
        <v>1492</v>
      </c>
      <c r="C2459" s="2" t="s">
        <v>86</v>
      </c>
      <c r="D2459" s="2" t="s">
        <v>66</v>
      </c>
      <c r="E2459" s="2">
        <v>17</v>
      </c>
      <c r="F2459" s="2">
        <v>59</v>
      </c>
      <c r="G2459" s="2">
        <v>162</v>
      </c>
      <c r="H2459" s="9">
        <f t="shared" si="38"/>
        <v>22.481329065691202</v>
      </c>
      <c r="I2459" s="2" t="str" cm="1">
        <f t="array" ref="I2459">_xlfn.IFS(F2459&gt;=100,"Over weight",F2459&lt;100,"Average weight")</f>
        <v>Average weight</v>
      </c>
      <c r="J2459" s="2" t="str" cm="1">
        <f t="array" ref="J2459">_xlfn.IFS(G2459&lt;164,"Below Average height",G2459&gt;=165,"Above Average height",G2459=164,"Average height")</f>
        <v>Below Average height</v>
      </c>
      <c r="K2459" s="2" t="str" cm="1">
        <f t="array" ref="K2459">_xlfn.IFS(E2459&lt;=16,"Children",E2459&lt;=30,"Young Adults",E2459&lt;=45,"Middle-aged Adults",E2459&gt;45,"Old Adults")</f>
        <v>Young Adults</v>
      </c>
    </row>
    <row r="2460" spans="1:11" x14ac:dyDescent="0.45">
      <c r="A2460" s="2">
        <v>1392</v>
      </c>
      <c r="B2460" s="2" t="s">
        <v>1497</v>
      </c>
      <c r="C2460" s="2" t="s">
        <v>94</v>
      </c>
      <c r="D2460" s="2" t="s">
        <v>13</v>
      </c>
      <c r="E2460" s="2">
        <v>27</v>
      </c>
      <c r="F2460" s="2">
        <v>54</v>
      </c>
      <c r="G2460" s="2">
        <v>160</v>
      </c>
      <c r="H2460" s="9">
        <f t="shared" si="38"/>
        <v>21.093749999999996</v>
      </c>
      <c r="I2460" s="2" t="str" cm="1">
        <f t="array" ref="I2460">_xlfn.IFS(F2460&gt;=100,"Over weight",F2460&lt;100,"Average weight")</f>
        <v>Average weight</v>
      </c>
      <c r="J2460" s="2" t="str" cm="1">
        <f t="array" ref="J2460">_xlfn.IFS(G2460&lt;164,"Below Average height",G2460&gt;=165,"Above Average height",G2460=164,"Average height")</f>
        <v>Below Average height</v>
      </c>
      <c r="K2460" s="2" t="str" cm="1">
        <f t="array" ref="K2460">_xlfn.IFS(E2460&lt;=16,"Children",E2460&lt;=30,"Young Adults",E2460&lt;=45,"Middle-aged Adults",E2460&gt;45,"Old Adults")</f>
        <v>Young Adults</v>
      </c>
    </row>
    <row r="2461" spans="1:11" x14ac:dyDescent="0.45">
      <c r="A2461" s="2">
        <v>1393</v>
      </c>
      <c r="B2461" s="2" t="s">
        <v>1498</v>
      </c>
      <c r="C2461" s="2" t="s">
        <v>88</v>
      </c>
      <c r="D2461" s="2" t="s">
        <v>71</v>
      </c>
      <c r="E2461" s="2">
        <v>32</v>
      </c>
      <c r="F2461" s="2">
        <v>54</v>
      </c>
      <c r="G2461" s="2">
        <v>160</v>
      </c>
      <c r="H2461" s="9">
        <f t="shared" si="38"/>
        <v>21.093749999999996</v>
      </c>
      <c r="I2461" s="2" t="str" cm="1">
        <f t="array" ref="I2461">_xlfn.IFS(F2461&gt;=100,"Over weight",F2461&lt;100,"Average weight")</f>
        <v>Average weight</v>
      </c>
      <c r="J2461" s="2" t="str" cm="1">
        <f t="array" ref="J2461">_xlfn.IFS(G2461&lt;164,"Below Average height",G2461&gt;=165,"Above Average height",G2461=164,"Average height")</f>
        <v>Below Average height</v>
      </c>
      <c r="K2461" s="2" t="str" cm="1">
        <f t="array" ref="K2461">_xlfn.IFS(E2461&lt;=16,"Children",E2461&lt;=30,"Young Adults",E2461&lt;=45,"Middle-aged Adults",E2461&gt;45,"Old Adults")</f>
        <v>Middle-aged Adults</v>
      </c>
    </row>
    <row r="2462" spans="1:11" x14ac:dyDescent="0.45">
      <c r="A2462" s="2">
        <v>1401</v>
      </c>
      <c r="B2462" s="2" t="s">
        <v>1506</v>
      </c>
      <c r="C2462" s="2" t="s">
        <v>98</v>
      </c>
      <c r="D2462" s="2" t="s">
        <v>14</v>
      </c>
      <c r="E2462" s="2">
        <v>20</v>
      </c>
      <c r="F2462" s="2">
        <v>52</v>
      </c>
      <c r="G2462" s="2">
        <v>163</v>
      </c>
      <c r="H2462" s="9">
        <f t="shared" si="38"/>
        <v>19.571681282697881</v>
      </c>
      <c r="I2462" s="2" t="str" cm="1">
        <f t="array" ref="I2462">_xlfn.IFS(F2462&gt;=100,"Over weight",F2462&lt;100,"Average weight")</f>
        <v>Average weight</v>
      </c>
      <c r="J2462" s="2" t="str" cm="1">
        <f t="array" ref="J2462">_xlfn.IFS(G2462&lt;164,"Below Average height",G2462&gt;=165,"Above Average height",G2462=164,"Average height")</f>
        <v>Below Average height</v>
      </c>
      <c r="K2462" s="2" t="str" cm="1">
        <f t="array" ref="K2462">_xlfn.IFS(E2462&lt;=16,"Children",E2462&lt;=30,"Young Adults",E2462&lt;=45,"Middle-aged Adults",E2462&gt;45,"Old Adults")</f>
        <v>Young Adults</v>
      </c>
    </row>
    <row r="2463" spans="1:11" x14ac:dyDescent="0.45">
      <c r="A2463" s="2">
        <v>1408</v>
      </c>
      <c r="B2463" s="2" t="s">
        <v>1513</v>
      </c>
      <c r="C2463" s="2" t="s">
        <v>87</v>
      </c>
      <c r="D2463" s="2" t="s">
        <v>28</v>
      </c>
      <c r="E2463" s="2">
        <v>22</v>
      </c>
      <c r="F2463" s="2">
        <v>61</v>
      </c>
      <c r="G2463" s="2">
        <v>163</v>
      </c>
      <c r="H2463" s="9">
        <f t="shared" si="38"/>
        <v>22.959087658549439</v>
      </c>
      <c r="I2463" s="2" t="str" cm="1">
        <f t="array" ref="I2463">_xlfn.IFS(F2463&gt;=100,"Over weight",F2463&lt;100,"Average weight")</f>
        <v>Average weight</v>
      </c>
      <c r="J2463" s="2" t="str" cm="1">
        <f t="array" ref="J2463">_xlfn.IFS(G2463&lt;164,"Below Average height",G2463&gt;=165,"Above Average height",G2463=164,"Average height")</f>
        <v>Below Average height</v>
      </c>
      <c r="K2463" s="2" t="str" cm="1">
        <f t="array" ref="K2463">_xlfn.IFS(E2463&lt;=16,"Children",E2463&lt;=30,"Young Adults",E2463&lt;=45,"Middle-aged Adults",E2463&gt;45,"Old Adults")</f>
        <v>Young Adults</v>
      </c>
    </row>
    <row r="2464" spans="1:11" x14ac:dyDescent="0.45">
      <c r="A2464" s="2">
        <v>1411</v>
      </c>
      <c r="B2464" s="2" t="s">
        <v>1516</v>
      </c>
      <c r="C2464" s="2" t="s">
        <v>94</v>
      </c>
      <c r="D2464" s="2" t="s">
        <v>23</v>
      </c>
      <c r="E2464" s="2">
        <v>30</v>
      </c>
      <c r="F2464" s="2">
        <v>52</v>
      </c>
      <c r="G2464" s="2">
        <v>158</v>
      </c>
      <c r="H2464" s="9">
        <f t="shared" si="38"/>
        <v>20.82999519307803</v>
      </c>
      <c r="I2464" s="2" t="str" cm="1">
        <f t="array" ref="I2464">_xlfn.IFS(F2464&gt;=100,"Over weight",F2464&lt;100,"Average weight")</f>
        <v>Average weight</v>
      </c>
      <c r="J2464" s="2" t="str" cm="1">
        <f t="array" ref="J2464">_xlfn.IFS(G2464&lt;164,"Below Average height",G2464&gt;=165,"Above Average height",G2464=164,"Average height")</f>
        <v>Below Average height</v>
      </c>
      <c r="K2464" s="2" t="str" cm="1">
        <f t="array" ref="K2464">_xlfn.IFS(E2464&lt;=16,"Children",E2464&lt;=30,"Young Adults",E2464&lt;=45,"Middle-aged Adults",E2464&gt;45,"Old Adults")</f>
        <v>Young Adults</v>
      </c>
    </row>
    <row r="2465" spans="1:11" x14ac:dyDescent="0.45">
      <c r="A2465" s="2">
        <v>1413</v>
      </c>
      <c r="B2465" s="2" t="s">
        <v>1518</v>
      </c>
      <c r="C2465" s="2" t="s">
        <v>87</v>
      </c>
      <c r="D2465" s="2" t="s">
        <v>6</v>
      </c>
      <c r="E2465" s="2">
        <v>34</v>
      </c>
      <c r="F2465" s="2">
        <v>50</v>
      </c>
      <c r="G2465" s="2">
        <v>157</v>
      </c>
      <c r="H2465" s="9">
        <f t="shared" si="38"/>
        <v>20.28479857195018</v>
      </c>
      <c r="I2465" s="2" t="str" cm="1">
        <f t="array" ref="I2465">_xlfn.IFS(F2465&gt;=100,"Over weight",F2465&lt;100,"Average weight")</f>
        <v>Average weight</v>
      </c>
      <c r="J2465" s="2" t="str" cm="1">
        <f t="array" ref="J2465">_xlfn.IFS(G2465&lt;164,"Below Average height",G2465&gt;=165,"Above Average height",G2465=164,"Average height")</f>
        <v>Below Average height</v>
      </c>
      <c r="K2465" s="2" t="str" cm="1">
        <f t="array" ref="K2465">_xlfn.IFS(E2465&lt;=16,"Children",E2465&lt;=30,"Young Adults",E2465&lt;=45,"Middle-aged Adults",E2465&gt;45,"Old Adults")</f>
        <v>Middle-aged Adults</v>
      </c>
    </row>
    <row r="2466" spans="1:11" x14ac:dyDescent="0.45">
      <c r="A2466" s="2">
        <v>1457</v>
      </c>
      <c r="B2466" s="2" t="s">
        <v>1562</v>
      </c>
      <c r="C2466" s="2" t="s">
        <v>100</v>
      </c>
      <c r="D2466" s="2" t="s">
        <v>65</v>
      </c>
      <c r="E2466" s="2">
        <v>18</v>
      </c>
      <c r="F2466" s="2">
        <v>60</v>
      </c>
      <c r="G2466" s="2">
        <v>158</v>
      </c>
      <c r="H2466" s="9">
        <f t="shared" si="38"/>
        <v>24.034609838166958</v>
      </c>
      <c r="I2466" s="2" t="str" cm="1">
        <f t="array" ref="I2466">_xlfn.IFS(F2466&gt;=100,"Over weight",F2466&lt;100,"Average weight")</f>
        <v>Average weight</v>
      </c>
      <c r="J2466" s="2" t="str" cm="1">
        <f t="array" ref="J2466">_xlfn.IFS(G2466&lt;164,"Below Average height",G2466&gt;=165,"Above Average height",G2466=164,"Average height")</f>
        <v>Below Average height</v>
      </c>
      <c r="K2466" s="2" t="str" cm="1">
        <f t="array" ref="K2466">_xlfn.IFS(E2466&lt;=16,"Children",E2466&lt;=30,"Young Adults",E2466&lt;=45,"Middle-aged Adults",E2466&gt;45,"Old Adults")</f>
        <v>Young Adults</v>
      </c>
    </row>
    <row r="2467" spans="1:11" x14ac:dyDescent="0.45">
      <c r="A2467" s="2">
        <v>1461</v>
      </c>
      <c r="B2467" s="2" t="s">
        <v>1566</v>
      </c>
      <c r="C2467" s="2" t="s">
        <v>90</v>
      </c>
      <c r="D2467" s="2" t="s">
        <v>5</v>
      </c>
      <c r="E2467" s="2">
        <v>30</v>
      </c>
      <c r="F2467" s="2">
        <v>55</v>
      </c>
      <c r="G2467" s="2">
        <v>160</v>
      </c>
      <c r="H2467" s="9">
        <f t="shared" si="38"/>
        <v>21.484374999999996</v>
      </c>
      <c r="I2467" s="2" t="str" cm="1">
        <f t="array" ref="I2467">_xlfn.IFS(F2467&gt;=100,"Over weight",F2467&lt;100,"Average weight")</f>
        <v>Average weight</v>
      </c>
      <c r="J2467" s="2" t="str" cm="1">
        <f t="array" ref="J2467">_xlfn.IFS(G2467&lt;164,"Below Average height",G2467&gt;=165,"Above Average height",G2467=164,"Average height")</f>
        <v>Below Average height</v>
      </c>
      <c r="K2467" s="2" t="str" cm="1">
        <f t="array" ref="K2467">_xlfn.IFS(E2467&lt;=16,"Children",E2467&lt;=30,"Young Adults",E2467&lt;=45,"Middle-aged Adults",E2467&gt;45,"Old Adults")</f>
        <v>Young Adults</v>
      </c>
    </row>
    <row r="2468" spans="1:11" x14ac:dyDescent="0.45">
      <c r="A2468" s="2">
        <v>1465</v>
      </c>
      <c r="B2468" s="2" t="s">
        <v>1570</v>
      </c>
      <c r="C2468" s="2" t="s">
        <v>93</v>
      </c>
      <c r="D2468" s="2" t="s">
        <v>30</v>
      </c>
      <c r="E2468" s="2">
        <v>35</v>
      </c>
      <c r="F2468" s="2">
        <v>56</v>
      </c>
      <c r="G2468" s="2">
        <v>160</v>
      </c>
      <c r="H2468" s="9">
        <f t="shared" si="38"/>
        <v>21.874999999999996</v>
      </c>
      <c r="I2468" s="2" t="str" cm="1">
        <f t="array" ref="I2468">_xlfn.IFS(F2468&gt;=100,"Over weight",F2468&lt;100,"Average weight")</f>
        <v>Average weight</v>
      </c>
      <c r="J2468" s="2" t="str" cm="1">
        <f t="array" ref="J2468">_xlfn.IFS(G2468&lt;164,"Below Average height",G2468&gt;=165,"Above Average height",G2468=164,"Average height")</f>
        <v>Below Average height</v>
      </c>
      <c r="K2468" s="2" t="str" cm="1">
        <f t="array" ref="K2468">_xlfn.IFS(E2468&lt;=16,"Children",E2468&lt;=30,"Young Adults",E2468&lt;=45,"Middle-aged Adults",E2468&gt;45,"Old Adults")</f>
        <v>Middle-aged Adults</v>
      </c>
    </row>
    <row r="2469" spans="1:11" x14ac:dyDescent="0.45">
      <c r="A2469" s="2">
        <v>1470</v>
      </c>
      <c r="B2469" s="2" t="s">
        <v>1575</v>
      </c>
      <c r="C2469" s="2" t="s">
        <v>87</v>
      </c>
      <c r="D2469" s="2" t="s">
        <v>80</v>
      </c>
      <c r="E2469" s="2">
        <v>25</v>
      </c>
      <c r="F2469" s="2">
        <v>58</v>
      </c>
      <c r="G2469" s="2">
        <v>160</v>
      </c>
      <c r="H2469" s="9">
        <f t="shared" si="38"/>
        <v>22.656249999999996</v>
      </c>
      <c r="I2469" s="2" t="str" cm="1">
        <f t="array" ref="I2469">_xlfn.IFS(F2469&gt;=100,"Over weight",F2469&lt;100,"Average weight")</f>
        <v>Average weight</v>
      </c>
      <c r="J2469" s="2" t="str" cm="1">
        <f t="array" ref="J2469">_xlfn.IFS(G2469&lt;164,"Below Average height",G2469&gt;=165,"Above Average height",G2469=164,"Average height")</f>
        <v>Below Average height</v>
      </c>
      <c r="K2469" s="2" t="str" cm="1">
        <f t="array" ref="K2469">_xlfn.IFS(E2469&lt;=16,"Children",E2469&lt;=30,"Young Adults",E2469&lt;=45,"Middle-aged Adults",E2469&gt;45,"Old Adults")</f>
        <v>Young Adults</v>
      </c>
    </row>
    <row r="2470" spans="1:11" x14ac:dyDescent="0.45">
      <c r="A2470" s="2">
        <v>1471</v>
      </c>
      <c r="B2470" s="2" t="s">
        <v>1576</v>
      </c>
      <c r="C2470" s="2" t="s">
        <v>96</v>
      </c>
      <c r="D2470" s="2" t="s">
        <v>14</v>
      </c>
      <c r="E2470" s="2">
        <v>46</v>
      </c>
      <c r="F2470" s="2">
        <v>59</v>
      </c>
      <c r="G2470" s="2">
        <v>143</v>
      </c>
      <c r="H2470" s="9">
        <f t="shared" si="38"/>
        <v>28.85226661450438</v>
      </c>
      <c r="I2470" s="2" t="str" cm="1">
        <f t="array" ref="I2470">_xlfn.IFS(F2470&gt;=100,"Over weight",F2470&lt;100,"Average weight")</f>
        <v>Average weight</v>
      </c>
      <c r="J2470" s="2" t="str" cm="1">
        <f t="array" ref="J2470">_xlfn.IFS(G2470&lt;164,"Below Average height",G2470&gt;=165,"Above Average height",G2470=164,"Average height")</f>
        <v>Below Average height</v>
      </c>
      <c r="K2470" s="2" t="str" cm="1">
        <f t="array" ref="K2470">_xlfn.IFS(E2470&lt;=16,"Children",E2470&lt;=30,"Young Adults",E2470&lt;=45,"Middle-aged Adults",E2470&gt;45,"Old Adults")</f>
        <v>Old Adults</v>
      </c>
    </row>
    <row r="2471" spans="1:11" x14ac:dyDescent="0.45">
      <c r="A2471" s="2">
        <v>1472</v>
      </c>
      <c r="B2471" s="2" t="s">
        <v>1577</v>
      </c>
      <c r="C2471" s="2" t="s">
        <v>94</v>
      </c>
      <c r="D2471" s="2" t="s">
        <v>66</v>
      </c>
      <c r="E2471" s="2">
        <v>33</v>
      </c>
      <c r="F2471" s="2">
        <v>55</v>
      </c>
      <c r="G2471" s="2">
        <v>158</v>
      </c>
      <c r="H2471" s="9">
        <f t="shared" si="38"/>
        <v>22.031725684986377</v>
      </c>
      <c r="I2471" s="2" t="str" cm="1">
        <f t="array" ref="I2471">_xlfn.IFS(F2471&gt;=100,"Over weight",F2471&lt;100,"Average weight")</f>
        <v>Average weight</v>
      </c>
      <c r="J2471" s="2" t="str" cm="1">
        <f t="array" ref="J2471">_xlfn.IFS(G2471&lt;164,"Below Average height",G2471&gt;=165,"Above Average height",G2471=164,"Average height")</f>
        <v>Below Average height</v>
      </c>
      <c r="K2471" s="2" t="str" cm="1">
        <f t="array" ref="K2471">_xlfn.IFS(E2471&lt;=16,"Children",E2471&lt;=30,"Young Adults",E2471&lt;=45,"Middle-aged Adults",E2471&gt;45,"Old Adults")</f>
        <v>Middle-aged Adults</v>
      </c>
    </row>
    <row r="2472" spans="1:11" x14ac:dyDescent="0.45">
      <c r="A2472" s="2">
        <v>1473</v>
      </c>
      <c r="B2472" s="2" t="s">
        <v>1578</v>
      </c>
      <c r="C2472" s="2" t="s">
        <v>88</v>
      </c>
      <c r="D2472" s="2" t="s">
        <v>66</v>
      </c>
      <c r="E2472" s="2">
        <v>34</v>
      </c>
      <c r="F2472" s="2">
        <v>59</v>
      </c>
      <c r="G2472" s="2">
        <v>163</v>
      </c>
      <c r="H2472" s="9">
        <f t="shared" si="38"/>
        <v>22.206330686137981</v>
      </c>
      <c r="I2472" s="2" t="str" cm="1">
        <f t="array" ref="I2472">_xlfn.IFS(F2472&gt;=100,"Over weight",F2472&lt;100,"Average weight")</f>
        <v>Average weight</v>
      </c>
      <c r="J2472" s="2" t="str" cm="1">
        <f t="array" ref="J2472">_xlfn.IFS(G2472&lt;164,"Below Average height",G2472&gt;=165,"Above Average height",G2472=164,"Average height")</f>
        <v>Below Average height</v>
      </c>
      <c r="K2472" s="2" t="str" cm="1">
        <f t="array" ref="K2472">_xlfn.IFS(E2472&lt;=16,"Children",E2472&lt;=30,"Young Adults",E2472&lt;=45,"Middle-aged Adults",E2472&gt;45,"Old Adults")</f>
        <v>Middle-aged Adults</v>
      </c>
    </row>
    <row r="2473" spans="1:11" x14ac:dyDescent="0.45">
      <c r="A2473" s="2">
        <v>1474</v>
      </c>
      <c r="B2473" s="2" t="s">
        <v>1579</v>
      </c>
      <c r="C2473" s="2" t="s">
        <v>96</v>
      </c>
      <c r="D2473" s="2" t="s">
        <v>41</v>
      </c>
      <c r="E2473" s="2">
        <v>25</v>
      </c>
      <c r="F2473" s="2">
        <v>59</v>
      </c>
      <c r="G2473" s="2">
        <v>163</v>
      </c>
      <c r="H2473" s="9">
        <f t="shared" si="38"/>
        <v>22.206330686137981</v>
      </c>
      <c r="I2473" s="2" t="str" cm="1">
        <f t="array" ref="I2473">_xlfn.IFS(F2473&gt;=100,"Over weight",F2473&lt;100,"Average weight")</f>
        <v>Average weight</v>
      </c>
      <c r="J2473" s="2" t="str" cm="1">
        <f t="array" ref="J2473">_xlfn.IFS(G2473&lt;164,"Below Average height",G2473&gt;=165,"Above Average height",G2473=164,"Average height")</f>
        <v>Below Average height</v>
      </c>
      <c r="K2473" s="2" t="str" cm="1">
        <f t="array" ref="K2473">_xlfn.IFS(E2473&lt;=16,"Children",E2473&lt;=30,"Young Adults",E2473&lt;=45,"Middle-aged Adults",E2473&gt;45,"Old Adults")</f>
        <v>Young Adults</v>
      </c>
    </row>
    <row r="2474" spans="1:11" x14ac:dyDescent="0.45">
      <c r="A2474" s="2">
        <v>1483</v>
      </c>
      <c r="B2474" s="2" t="s">
        <v>1588</v>
      </c>
      <c r="C2474" s="2" t="s">
        <v>93</v>
      </c>
      <c r="D2474" s="2" t="s">
        <v>6</v>
      </c>
      <c r="E2474" s="2">
        <v>19</v>
      </c>
      <c r="F2474" s="2">
        <v>57</v>
      </c>
      <c r="G2474" s="2">
        <v>160</v>
      </c>
      <c r="H2474" s="9">
        <f t="shared" si="38"/>
        <v>22.265624999999996</v>
      </c>
      <c r="I2474" s="2" t="str" cm="1">
        <f t="array" ref="I2474">_xlfn.IFS(F2474&gt;=100,"Over weight",F2474&lt;100,"Average weight")</f>
        <v>Average weight</v>
      </c>
      <c r="J2474" s="2" t="str" cm="1">
        <f t="array" ref="J2474">_xlfn.IFS(G2474&lt;164,"Below Average height",G2474&gt;=165,"Above Average height",G2474=164,"Average height")</f>
        <v>Below Average height</v>
      </c>
      <c r="K2474" s="2" t="str" cm="1">
        <f t="array" ref="K2474">_xlfn.IFS(E2474&lt;=16,"Children",E2474&lt;=30,"Young Adults",E2474&lt;=45,"Middle-aged Adults",E2474&gt;45,"Old Adults")</f>
        <v>Young Adults</v>
      </c>
    </row>
    <row r="2475" spans="1:11" x14ac:dyDescent="0.45">
      <c r="A2475" s="2">
        <v>1504</v>
      </c>
      <c r="B2475" s="2" t="s">
        <v>1609</v>
      </c>
      <c r="C2475" s="2" t="s">
        <v>85</v>
      </c>
      <c r="D2475" s="2" t="s">
        <v>65</v>
      </c>
      <c r="E2475" s="2">
        <v>21</v>
      </c>
      <c r="F2475" s="2">
        <v>70</v>
      </c>
      <c r="G2475" s="2">
        <v>163</v>
      </c>
      <c r="H2475" s="9">
        <f t="shared" si="38"/>
        <v>26.346494034400994</v>
      </c>
      <c r="I2475" s="2" t="str" cm="1">
        <f t="array" ref="I2475">_xlfn.IFS(F2475&gt;=100,"Over weight",F2475&lt;100,"Average weight")</f>
        <v>Average weight</v>
      </c>
      <c r="J2475" s="2" t="str" cm="1">
        <f t="array" ref="J2475">_xlfn.IFS(G2475&lt;164,"Below Average height",G2475&gt;=165,"Above Average height",G2475=164,"Average height")</f>
        <v>Below Average height</v>
      </c>
      <c r="K2475" s="2" t="str" cm="1">
        <f t="array" ref="K2475">_xlfn.IFS(E2475&lt;=16,"Children",E2475&lt;=30,"Young Adults",E2475&lt;=45,"Middle-aged Adults",E2475&gt;45,"Old Adults")</f>
        <v>Young Adults</v>
      </c>
    </row>
    <row r="2476" spans="1:11" x14ac:dyDescent="0.45">
      <c r="A2476" s="2">
        <v>1522</v>
      </c>
      <c r="B2476" s="2" t="s">
        <v>1627</v>
      </c>
      <c r="C2476" s="2" t="s">
        <v>85</v>
      </c>
      <c r="D2476" s="2" t="s">
        <v>22</v>
      </c>
      <c r="E2476" s="2">
        <v>16</v>
      </c>
      <c r="F2476" s="2">
        <v>55</v>
      </c>
      <c r="G2476" s="2">
        <v>156</v>
      </c>
      <c r="H2476" s="9">
        <f t="shared" si="38"/>
        <v>22.600262984878366</v>
      </c>
      <c r="I2476" s="2" t="str" cm="1">
        <f t="array" ref="I2476">_xlfn.IFS(F2476&gt;=100,"Over weight",F2476&lt;100,"Average weight")</f>
        <v>Average weight</v>
      </c>
      <c r="J2476" s="2" t="str" cm="1">
        <f t="array" ref="J2476">_xlfn.IFS(G2476&lt;164,"Below Average height",G2476&gt;=165,"Above Average height",G2476=164,"Average height")</f>
        <v>Below Average height</v>
      </c>
      <c r="K2476" s="2" t="str" cm="1">
        <f t="array" ref="K2476">_xlfn.IFS(E2476&lt;=16,"Children",E2476&lt;=30,"Young Adults",E2476&lt;=45,"Middle-aged Adults",E2476&gt;45,"Old Adults")</f>
        <v>Children</v>
      </c>
    </row>
    <row r="2477" spans="1:11" x14ac:dyDescent="0.45">
      <c r="A2477" s="2">
        <v>1537</v>
      </c>
      <c r="B2477" s="2" t="s">
        <v>1642</v>
      </c>
      <c r="C2477" s="2" t="s">
        <v>86</v>
      </c>
      <c r="D2477" s="2" t="s">
        <v>75</v>
      </c>
      <c r="E2477" s="2">
        <v>16</v>
      </c>
      <c r="F2477" s="2">
        <v>47</v>
      </c>
      <c r="G2477" s="2">
        <v>153</v>
      </c>
      <c r="H2477" s="9">
        <f t="shared" si="38"/>
        <v>20.077747874749029</v>
      </c>
      <c r="I2477" s="2" t="str" cm="1">
        <f t="array" ref="I2477">_xlfn.IFS(F2477&gt;=100,"Over weight",F2477&lt;100,"Average weight")</f>
        <v>Average weight</v>
      </c>
      <c r="J2477" s="2" t="str" cm="1">
        <f t="array" ref="J2477">_xlfn.IFS(G2477&lt;164,"Below Average height",G2477&gt;=165,"Above Average height",G2477=164,"Average height")</f>
        <v>Below Average height</v>
      </c>
      <c r="K2477" s="2" t="str" cm="1">
        <f t="array" ref="K2477">_xlfn.IFS(E2477&lt;=16,"Children",E2477&lt;=30,"Young Adults",E2477&lt;=45,"Middle-aged Adults",E2477&gt;45,"Old Adults")</f>
        <v>Children</v>
      </c>
    </row>
    <row r="2478" spans="1:11" x14ac:dyDescent="0.45">
      <c r="A2478" s="2">
        <v>1546</v>
      </c>
      <c r="B2478" s="2" t="s">
        <v>1651</v>
      </c>
      <c r="C2478" s="2" t="s">
        <v>94</v>
      </c>
      <c r="D2478" s="2" t="s">
        <v>39</v>
      </c>
      <c r="E2478" s="2">
        <v>35</v>
      </c>
      <c r="F2478" s="2">
        <v>59</v>
      </c>
      <c r="G2478" s="2">
        <v>163</v>
      </c>
      <c r="H2478" s="9">
        <f t="shared" si="38"/>
        <v>22.206330686137981</v>
      </c>
      <c r="I2478" s="2" t="str" cm="1">
        <f t="array" ref="I2478">_xlfn.IFS(F2478&gt;=100,"Over weight",F2478&lt;100,"Average weight")</f>
        <v>Average weight</v>
      </c>
      <c r="J2478" s="2" t="str" cm="1">
        <f t="array" ref="J2478">_xlfn.IFS(G2478&lt;164,"Below Average height",G2478&gt;=165,"Above Average height",G2478=164,"Average height")</f>
        <v>Below Average height</v>
      </c>
      <c r="K2478" s="2" t="str" cm="1">
        <f t="array" ref="K2478">_xlfn.IFS(E2478&lt;=16,"Children",E2478&lt;=30,"Young Adults",E2478&lt;=45,"Middle-aged Adults",E2478&gt;45,"Old Adults")</f>
        <v>Middle-aged Adults</v>
      </c>
    </row>
    <row r="2479" spans="1:11" x14ac:dyDescent="0.45">
      <c r="A2479" s="2">
        <v>1555</v>
      </c>
      <c r="B2479" s="2" t="s">
        <v>1660</v>
      </c>
      <c r="C2479" s="2" t="s">
        <v>96</v>
      </c>
      <c r="D2479" s="2" t="s">
        <v>41</v>
      </c>
      <c r="E2479" s="2">
        <v>23</v>
      </c>
      <c r="F2479" s="2">
        <v>47</v>
      </c>
      <c r="G2479" s="2">
        <v>161</v>
      </c>
      <c r="H2479" s="9">
        <f t="shared" si="38"/>
        <v>18.132016511708652</v>
      </c>
      <c r="I2479" s="2" t="str" cm="1">
        <f t="array" ref="I2479">_xlfn.IFS(F2479&gt;=100,"Over weight",F2479&lt;100,"Average weight")</f>
        <v>Average weight</v>
      </c>
      <c r="J2479" s="2" t="str" cm="1">
        <f t="array" ref="J2479">_xlfn.IFS(G2479&lt;164,"Below Average height",G2479&gt;=165,"Above Average height",G2479=164,"Average height")</f>
        <v>Below Average height</v>
      </c>
      <c r="K2479" s="2" t="str" cm="1">
        <f t="array" ref="K2479">_xlfn.IFS(E2479&lt;=16,"Children",E2479&lt;=30,"Young Adults",E2479&lt;=45,"Middle-aged Adults",E2479&gt;45,"Old Adults")</f>
        <v>Young Adults</v>
      </c>
    </row>
    <row r="2480" spans="1:11" x14ac:dyDescent="0.45">
      <c r="A2480" s="2">
        <v>1563</v>
      </c>
      <c r="B2480" s="2" t="s">
        <v>1668</v>
      </c>
      <c r="C2480" s="2" t="s">
        <v>86</v>
      </c>
      <c r="D2480" s="2" t="s">
        <v>66</v>
      </c>
      <c r="E2480" s="2">
        <v>24</v>
      </c>
      <c r="F2480" s="2">
        <v>47</v>
      </c>
      <c r="G2480" s="2">
        <v>160</v>
      </c>
      <c r="H2480" s="9">
        <f t="shared" si="38"/>
        <v>18.359374999999996</v>
      </c>
      <c r="I2480" s="2" t="str" cm="1">
        <f t="array" ref="I2480">_xlfn.IFS(F2480&gt;=100,"Over weight",F2480&lt;100,"Average weight")</f>
        <v>Average weight</v>
      </c>
      <c r="J2480" s="2" t="str" cm="1">
        <f t="array" ref="J2480">_xlfn.IFS(G2480&lt;164,"Below Average height",G2480&gt;=165,"Above Average height",G2480=164,"Average height")</f>
        <v>Below Average height</v>
      </c>
      <c r="K2480" s="2" t="str" cm="1">
        <f t="array" ref="K2480">_xlfn.IFS(E2480&lt;=16,"Children",E2480&lt;=30,"Young Adults",E2480&lt;=45,"Middle-aged Adults",E2480&gt;45,"Old Adults")</f>
        <v>Young Adults</v>
      </c>
    </row>
    <row r="2481" spans="1:11" x14ac:dyDescent="0.45">
      <c r="A2481" s="2">
        <v>1569</v>
      </c>
      <c r="B2481" s="2" t="s">
        <v>1674</v>
      </c>
      <c r="C2481" s="2" t="s">
        <v>87</v>
      </c>
      <c r="D2481" s="2" t="s">
        <v>5</v>
      </c>
      <c r="E2481" s="2">
        <v>28</v>
      </c>
      <c r="F2481" s="2">
        <v>62</v>
      </c>
      <c r="G2481" s="2">
        <v>162</v>
      </c>
      <c r="H2481" s="9">
        <f t="shared" si="38"/>
        <v>23.624447492760247</v>
      </c>
      <c r="I2481" s="2" t="str" cm="1">
        <f t="array" ref="I2481">_xlfn.IFS(F2481&gt;=100,"Over weight",F2481&lt;100,"Average weight")</f>
        <v>Average weight</v>
      </c>
      <c r="J2481" s="2" t="str" cm="1">
        <f t="array" ref="J2481">_xlfn.IFS(G2481&lt;164,"Below Average height",G2481&gt;=165,"Above Average height",G2481=164,"Average height")</f>
        <v>Below Average height</v>
      </c>
      <c r="K2481" s="2" t="str" cm="1">
        <f t="array" ref="K2481">_xlfn.IFS(E2481&lt;=16,"Children",E2481&lt;=30,"Young Adults",E2481&lt;=45,"Middle-aged Adults",E2481&gt;45,"Old Adults")</f>
        <v>Young Adults</v>
      </c>
    </row>
    <row r="2482" spans="1:11" x14ac:dyDescent="0.45">
      <c r="A2482" s="2">
        <v>1572</v>
      </c>
      <c r="B2482" s="2" t="s">
        <v>1677</v>
      </c>
      <c r="C2482" s="2" t="s">
        <v>87</v>
      </c>
      <c r="D2482" s="2" t="s">
        <v>41</v>
      </c>
      <c r="E2482" s="2">
        <v>19</v>
      </c>
      <c r="F2482" s="2">
        <v>48</v>
      </c>
      <c r="G2482" s="2">
        <v>151</v>
      </c>
      <c r="H2482" s="9">
        <f t="shared" si="38"/>
        <v>21.051708258409718</v>
      </c>
      <c r="I2482" s="2" t="str" cm="1">
        <f t="array" ref="I2482">_xlfn.IFS(F2482&gt;=100,"Over weight",F2482&lt;100,"Average weight")</f>
        <v>Average weight</v>
      </c>
      <c r="J2482" s="2" t="str" cm="1">
        <f t="array" ref="J2482">_xlfn.IFS(G2482&lt;164,"Below Average height",G2482&gt;=165,"Above Average height",G2482=164,"Average height")</f>
        <v>Below Average height</v>
      </c>
      <c r="K2482" s="2" t="str" cm="1">
        <f t="array" ref="K2482">_xlfn.IFS(E2482&lt;=16,"Children",E2482&lt;=30,"Young Adults",E2482&lt;=45,"Middle-aged Adults",E2482&gt;45,"Old Adults")</f>
        <v>Young Adults</v>
      </c>
    </row>
    <row r="2483" spans="1:11" x14ac:dyDescent="0.45">
      <c r="A2483" s="2">
        <v>1574</v>
      </c>
      <c r="B2483" s="2" t="s">
        <v>1679</v>
      </c>
      <c r="C2483" s="2" t="s">
        <v>88</v>
      </c>
      <c r="D2483" s="2" t="s">
        <v>59</v>
      </c>
      <c r="E2483" s="2">
        <v>21</v>
      </c>
      <c r="F2483" s="2">
        <v>59</v>
      </c>
      <c r="G2483" s="2">
        <v>152</v>
      </c>
      <c r="H2483" s="9">
        <f t="shared" si="38"/>
        <v>25.536703601108034</v>
      </c>
      <c r="I2483" s="2" t="str" cm="1">
        <f t="array" ref="I2483">_xlfn.IFS(F2483&gt;=100,"Over weight",F2483&lt;100,"Average weight")</f>
        <v>Average weight</v>
      </c>
      <c r="J2483" s="2" t="str" cm="1">
        <f t="array" ref="J2483">_xlfn.IFS(G2483&lt;164,"Below Average height",G2483&gt;=165,"Above Average height",G2483=164,"Average height")</f>
        <v>Below Average height</v>
      </c>
      <c r="K2483" s="2" t="str" cm="1">
        <f t="array" ref="K2483">_xlfn.IFS(E2483&lt;=16,"Children",E2483&lt;=30,"Young Adults",E2483&lt;=45,"Middle-aged Adults",E2483&gt;45,"Old Adults")</f>
        <v>Young Adults</v>
      </c>
    </row>
    <row r="2484" spans="1:11" x14ac:dyDescent="0.45">
      <c r="A2484" s="2">
        <v>1581</v>
      </c>
      <c r="B2484" s="2" t="s">
        <v>1686</v>
      </c>
      <c r="C2484" s="2" t="s">
        <v>85</v>
      </c>
      <c r="D2484" s="2" t="s">
        <v>60</v>
      </c>
      <c r="E2484" s="2">
        <v>25</v>
      </c>
      <c r="F2484" s="2">
        <v>47</v>
      </c>
      <c r="G2484" s="2">
        <v>143</v>
      </c>
      <c r="H2484" s="9">
        <f t="shared" si="38"/>
        <v>22.984008997995016</v>
      </c>
      <c r="I2484" s="2" t="str" cm="1">
        <f t="array" ref="I2484">_xlfn.IFS(F2484&gt;=100,"Over weight",F2484&lt;100,"Average weight")</f>
        <v>Average weight</v>
      </c>
      <c r="J2484" s="2" t="str" cm="1">
        <f t="array" ref="J2484">_xlfn.IFS(G2484&lt;164,"Below Average height",G2484&gt;=165,"Above Average height",G2484=164,"Average height")</f>
        <v>Below Average height</v>
      </c>
      <c r="K2484" s="2" t="str" cm="1">
        <f t="array" ref="K2484">_xlfn.IFS(E2484&lt;=16,"Children",E2484&lt;=30,"Young Adults",E2484&lt;=45,"Middle-aged Adults",E2484&gt;45,"Old Adults")</f>
        <v>Young Adults</v>
      </c>
    </row>
    <row r="2485" spans="1:11" x14ac:dyDescent="0.45">
      <c r="A2485" s="2">
        <v>1589</v>
      </c>
      <c r="B2485" s="2" t="s">
        <v>1694</v>
      </c>
      <c r="C2485" s="2" t="s">
        <v>86</v>
      </c>
      <c r="D2485" s="2" t="s">
        <v>80</v>
      </c>
      <c r="E2485" s="2">
        <v>16</v>
      </c>
      <c r="F2485" s="2">
        <v>47</v>
      </c>
      <c r="G2485" s="2">
        <v>160</v>
      </c>
      <c r="H2485" s="9">
        <f t="shared" si="38"/>
        <v>18.359374999999996</v>
      </c>
      <c r="I2485" s="2" t="str" cm="1">
        <f t="array" ref="I2485">_xlfn.IFS(F2485&gt;=100,"Over weight",F2485&lt;100,"Average weight")</f>
        <v>Average weight</v>
      </c>
      <c r="J2485" s="2" t="str" cm="1">
        <f t="array" ref="J2485">_xlfn.IFS(G2485&lt;164,"Below Average height",G2485&gt;=165,"Above Average height",G2485=164,"Average height")</f>
        <v>Below Average height</v>
      </c>
      <c r="K2485" s="2" t="str" cm="1">
        <f t="array" ref="K2485">_xlfn.IFS(E2485&lt;=16,"Children",E2485&lt;=30,"Young Adults",E2485&lt;=45,"Middle-aged Adults",E2485&gt;45,"Old Adults")</f>
        <v>Children</v>
      </c>
    </row>
    <row r="2486" spans="1:11" x14ac:dyDescent="0.45">
      <c r="A2486" s="2">
        <v>1590</v>
      </c>
      <c r="B2486" s="2" t="s">
        <v>1695</v>
      </c>
      <c r="C2486" s="2" t="s">
        <v>93</v>
      </c>
      <c r="D2486" s="2" t="s">
        <v>41</v>
      </c>
      <c r="E2486" s="2">
        <v>31</v>
      </c>
      <c r="F2486" s="2">
        <v>48</v>
      </c>
      <c r="G2486" s="2">
        <v>157</v>
      </c>
      <c r="H2486" s="9">
        <f t="shared" si="38"/>
        <v>19.473406629072173</v>
      </c>
      <c r="I2486" s="2" t="str" cm="1">
        <f t="array" ref="I2486">_xlfn.IFS(F2486&gt;=100,"Over weight",F2486&lt;100,"Average weight")</f>
        <v>Average weight</v>
      </c>
      <c r="J2486" s="2" t="str" cm="1">
        <f t="array" ref="J2486">_xlfn.IFS(G2486&lt;164,"Below Average height",G2486&gt;=165,"Above Average height",G2486=164,"Average height")</f>
        <v>Below Average height</v>
      </c>
      <c r="K2486" s="2" t="str" cm="1">
        <f t="array" ref="K2486">_xlfn.IFS(E2486&lt;=16,"Children",E2486&lt;=30,"Young Adults",E2486&lt;=45,"Middle-aged Adults",E2486&gt;45,"Old Adults")</f>
        <v>Middle-aged Adults</v>
      </c>
    </row>
    <row r="2487" spans="1:11" x14ac:dyDescent="0.45">
      <c r="A2487" s="2">
        <v>1597</v>
      </c>
      <c r="B2487" s="2" t="s">
        <v>1702</v>
      </c>
      <c r="C2487" s="2" t="s">
        <v>89</v>
      </c>
      <c r="D2487" s="2" t="s">
        <v>41</v>
      </c>
      <c r="E2487" s="2">
        <v>24</v>
      </c>
      <c r="F2487" s="2">
        <v>60</v>
      </c>
      <c r="G2487" s="2">
        <v>162</v>
      </c>
      <c r="H2487" s="9">
        <f t="shared" si="38"/>
        <v>22.862368541380881</v>
      </c>
      <c r="I2487" s="2" t="str" cm="1">
        <f t="array" ref="I2487">_xlfn.IFS(F2487&gt;=100,"Over weight",F2487&lt;100,"Average weight")</f>
        <v>Average weight</v>
      </c>
      <c r="J2487" s="2" t="str" cm="1">
        <f t="array" ref="J2487">_xlfn.IFS(G2487&lt;164,"Below Average height",G2487&gt;=165,"Above Average height",G2487=164,"Average height")</f>
        <v>Below Average height</v>
      </c>
      <c r="K2487" s="2" t="str" cm="1">
        <f t="array" ref="K2487">_xlfn.IFS(E2487&lt;=16,"Children",E2487&lt;=30,"Young Adults",E2487&lt;=45,"Middle-aged Adults",E2487&gt;45,"Old Adults")</f>
        <v>Young Adults</v>
      </c>
    </row>
    <row r="2488" spans="1:11" x14ac:dyDescent="0.45">
      <c r="A2488" s="2">
        <v>1601</v>
      </c>
      <c r="B2488" s="2" t="s">
        <v>1706</v>
      </c>
      <c r="C2488" s="2" t="s">
        <v>87</v>
      </c>
      <c r="D2488" s="2" t="s">
        <v>65</v>
      </c>
      <c r="E2488" s="2">
        <v>25</v>
      </c>
      <c r="F2488" s="2">
        <v>47</v>
      </c>
      <c r="G2488" s="2">
        <v>161</v>
      </c>
      <c r="H2488" s="9">
        <f t="shared" si="38"/>
        <v>18.132016511708652</v>
      </c>
      <c r="I2488" s="2" t="str" cm="1">
        <f t="array" ref="I2488">_xlfn.IFS(F2488&gt;=100,"Over weight",F2488&lt;100,"Average weight")</f>
        <v>Average weight</v>
      </c>
      <c r="J2488" s="2" t="str" cm="1">
        <f t="array" ref="J2488">_xlfn.IFS(G2488&lt;164,"Below Average height",G2488&gt;=165,"Above Average height",G2488=164,"Average height")</f>
        <v>Below Average height</v>
      </c>
      <c r="K2488" s="2" t="str" cm="1">
        <f t="array" ref="K2488">_xlfn.IFS(E2488&lt;=16,"Children",E2488&lt;=30,"Young Adults",E2488&lt;=45,"Middle-aged Adults",E2488&gt;45,"Old Adults")</f>
        <v>Young Adults</v>
      </c>
    </row>
    <row r="2489" spans="1:11" x14ac:dyDescent="0.45">
      <c r="A2489" s="2">
        <v>1605</v>
      </c>
      <c r="B2489" s="2" t="s">
        <v>1710</v>
      </c>
      <c r="C2489" s="2" t="s">
        <v>96</v>
      </c>
      <c r="D2489" s="2" t="s">
        <v>60</v>
      </c>
      <c r="E2489" s="2">
        <v>35</v>
      </c>
      <c r="F2489" s="2">
        <v>47</v>
      </c>
      <c r="G2489" s="2">
        <v>143</v>
      </c>
      <c r="H2489" s="9">
        <f t="shared" si="38"/>
        <v>22.984008997995016</v>
      </c>
      <c r="I2489" s="2" t="str" cm="1">
        <f t="array" ref="I2489">_xlfn.IFS(F2489&gt;=100,"Over weight",F2489&lt;100,"Average weight")</f>
        <v>Average weight</v>
      </c>
      <c r="J2489" s="2" t="str" cm="1">
        <f t="array" ref="J2489">_xlfn.IFS(G2489&lt;164,"Below Average height",G2489&gt;=165,"Above Average height",G2489=164,"Average height")</f>
        <v>Below Average height</v>
      </c>
      <c r="K2489" s="2" t="str" cm="1">
        <f t="array" ref="K2489">_xlfn.IFS(E2489&lt;=16,"Children",E2489&lt;=30,"Young Adults",E2489&lt;=45,"Middle-aged Adults",E2489&gt;45,"Old Adults")</f>
        <v>Middle-aged Adults</v>
      </c>
    </row>
    <row r="2490" spans="1:11" x14ac:dyDescent="0.45">
      <c r="A2490" s="2">
        <v>1608</v>
      </c>
      <c r="B2490" s="2" t="s">
        <v>1713</v>
      </c>
      <c r="C2490" s="2" t="s">
        <v>94</v>
      </c>
      <c r="D2490" s="2" t="s">
        <v>79</v>
      </c>
      <c r="E2490" s="2">
        <v>33</v>
      </c>
      <c r="F2490" s="2">
        <v>51</v>
      </c>
      <c r="G2490" s="2">
        <v>161</v>
      </c>
      <c r="H2490" s="9">
        <f t="shared" si="38"/>
        <v>19.675166853130666</v>
      </c>
      <c r="I2490" s="2" t="str" cm="1">
        <f t="array" ref="I2490">_xlfn.IFS(F2490&gt;=100,"Over weight",F2490&lt;100,"Average weight")</f>
        <v>Average weight</v>
      </c>
      <c r="J2490" s="2" t="str" cm="1">
        <f t="array" ref="J2490">_xlfn.IFS(G2490&lt;164,"Below Average height",G2490&gt;=165,"Above Average height",G2490=164,"Average height")</f>
        <v>Below Average height</v>
      </c>
      <c r="K2490" s="2" t="str" cm="1">
        <f t="array" ref="K2490">_xlfn.IFS(E2490&lt;=16,"Children",E2490&lt;=30,"Young Adults",E2490&lt;=45,"Middle-aged Adults",E2490&gt;45,"Old Adults")</f>
        <v>Middle-aged Adults</v>
      </c>
    </row>
    <row r="2491" spans="1:11" x14ac:dyDescent="0.45">
      <c r="A2491" s="2">
        <v>1617</v>
      </c>
      <c r="B2491" s="2" t="s">
        <v>1722</v>
      </c>
      <c r="C2491" s="2" t="s">
        <v>93</v>
      </c>
      <c r="D2491" s="2" t="s">
        <v>14</v>
      </c>
      <c r="E2491" s="2">
        <v>26</v>
      </c>
      <c r="F2491" s="2">
        <v>58</v>
      </c>
      <c r="G2491" s="2">
        <v>163</v>
      </c>
      <c r="H2491" s="9">
        <f t="shared" si="38"/>
        <v>21.829952199932254</v>
      </c>
      <c r="I2491" s="2" t="str" cm="1">
        <f t="array" ref="I2491">_xlfn.IFS(F2491&gt;=100,"Over weight",F2491&lt;100,"Average weight")</f>
        <v>Average weight</v>
      </c>
      <c r="J2491" s="2" t="str" cm="1">
        <f t="array" ref="J2491">_xlfn.IFS(G2491&lt;164,"Below Average height",G2491&gt;=165,"Above Average height",G2491=164,"Average height")</f>
        <v>Below Average height</v>
      </c>
      <c r="K2491" s="2" t="str" cm="1">
        <f t="array" ref="K2491">_xlfn.IFS(E2491&lt;=16,"Children",E2491&lt;=30,"Young Adults",E2491&lt;=45,"Middle-aged Adults",E2491&gt;45,"Old Adults")</f>
        <v>Young Adults</v>
      </c>
    </row>
    <row r="2492" spans="1:11" x14ac:dyDescent="0.45">
      <c r="A2492" s="2">
        <v>1641</v>
      </c>
      <c r="B2492" s="2" t="s">
        <v>1746</v>
      </c>
      <c r="C2492" s="2" t="s">
        <v>94</v>
      </c>
      <c r="D2492" s="2" t="s">
        <v>60</v>
      </c>
      <c r="E2492" s="2">
        <v>24</v>
      </c>
      <c r="F2492" s="2">
        <v>47</v>
      </c>
      <c r="G2492" s="2">
        <v>143</v>
      </c>
      <c r="H2492" s="9">
        <f t="shared" si="38"/>
        <v>22.984008997995016</v>
      </c>
      <c r="I2492" s="2" t="str" cm="1">
        <f t="array" ref="I2492">_xlfn.IFS(F2492&gt;=100,"Over weight",F2492&lt;100,"Average weight")</f>
        <v>Average weight</v>
      </c>
      <c r="J2492" s="2" t="str" cm="1">
        <f t="array" ref="J2492">_xlfn.IFS(G2492&lt;164,"Below Average height",G2492&gt;=165,"Above Average height",G2492=164,"Average height")</f>
        <v>Below Average height</v>
      </c>
      <c r="K2492" s="2" t="str" cm="1">
        <f t="array" ref="K2492">_xlfn.IFS(E2492&lt;=16,"Children",E2492&lt;=30,"Young Adults",E2492&lt;=45,"Middle-aged Adults",E2492&gt;45,"Old Adults")</f>
        <v>Young Adults</v>
      </c>
    </row>
    <row r="2493" spans="1:11" x14ac:dyDescent="0.45">
      <c r="A2493" s="2">
        <v>1644</v>
      </c>
      <c r="B2493" s="2" t="s">
        <v>1749</v>
      </c>
      <c r="C2493" s="2" t="s">
        <v>88</v>
      </c>
      <c r="D2493" s="2" t="s">
        <v>63</v>
      </c>
      <c r="E2493" s="2">
        <v>23</v>
      </c>
      <c r="F2493" s="2">
        <v>51</v>
      </c>
      <c r="G2493" s="2">
        <v>158</v>
      </c>
      <c r="H2493" s="9">
        <f t="shared" si="38"/>
        <v>20.429418362441915</v>
      </c>
      <c r="I2493" s="2" t="str" cm="1">
        <f t="array" ref="I2493">_xlfn.IFS(F2493&gt;=100,"Over weight",F2493&lt;100,"Average weight")</f>
        <v>Average weight</v>
      </c>
      <c r="J2493" s="2" t="str" cm="1">
        <f t="array" ref="J2493">_xlfn.IFS(G2493&lt;164,"Below Average height",G2493&gt;=165,"Above Average height",G2493=164,"Average height")</f>
        <v>Below Average height</v>
      </c>
      <c r="K2493" s="2" t="str" cm="1">
        <f t="array" ref="K2493">_xlfn.IFS(E2493&lt;=16,"Children",E2493&lt;=30,"Young Adults",E2493&lt;=45,"Middle-aged Adults",E2493&gt;45,"Old Adults")</f>
        <v>Young Adults</v>
      </c>
    </row>
    <row r="2494" spans="1:11" x14ac:dyDescent="0.45">
      <c r="A2494" s="2">
        <v>1650</v>
      </c>
      <c r="B2494" s="2" t="s">
        <v>1754</v>
      </c>
      <c r="C2494" s="2" t="s">
        <v>98</v>
      </c>
      <c r="D2494" s="2" t="s">
        <v>21</v>
      </c>
      <c r="E2494" s="2">
        <v>25</v>
      </c>
      <c r="F2494" s="2">
        <v>58</v>
      </c>
      <c r="G2494" s="2">
        <v>161</v>
      </c>
      <c r="H2494" s="9">
        <f t="shared" si="38"/>
        <v>22.375679950619187</v>
      </c>
      <c r="I2494" s="2" t="str" cm="1">
        <f t="array" ref="I2494">_xlfn.IFS(F2494&gt;=100,"Over weight",F2494&lt;100,"Average weight")</f>
        <v>Average weight</v>
      </c>
      <c r="J2494" s="2" t="str" cm="1">
        <f t="array" ref="J2494">_xlfn.IFS(G2494&lt;164,"Below Average height",G2494&gt;=165,"Above Average height",G2494=164,"Average height")</f>
        <v>Below Average height</v>
      </c>
      <c r="K2494" s="2" t="str" cm="1">
        <f t="array" ref="K2494">_xlfn.IFS(E2494&lt;=16,"Children",E2494&lt;=30,"Young Adults",E2494&lt;=45,"Middle-aged Adults",E2494&gt;45,"Old Adults")</f>
        <v>Young Adults</v>
      </c>
    </row>
    <row r="2495" spans="1:11" x14ac:dyDescent="0.45">
      <c r="A2495" s="2">
        <v>1652</v>
      </c>
      <c r="B2495" s="2" t="s">
        <v>1756</v>
      </c>
      <c r="C2495" s="2" t="s">
        <v>85</v>
      </c>
      <c r="D2495" s="2" t="s">
        <v>23</v>
      </c>
      <c r="E2495" s="2">
        <v>28</v>
      </c>
      <c r="F2495" s="2">
        <v>59</v>
      </c>
      <c r="G2495" s="2">
        <v>160</v>
      </c>
      <c r="H2495" s="9">
        <f t="shared" si="38"/>
        <v>23.046874999999996</v>
      </c>
      <c r="I2495" s="2" t="str" cm="1">
        <f t="array" ref="I2495">_xlfn.IFS(F2495&gt;=100,"Over weight",F2495&lt;100,"Average weight")</f>
        <v>Average weight</v>
      </c>
      <c r="J2495" s="2" t="str" cm="1">
        <f t="array" ref="J2495">_xlfn.IFS(G2495&lt;164,"Below Average height",G2495&gt;=165,"Above Average height",G2495=164,"Average height")</f>
        <v>Below Average height</v>
      </c>
      <c r="K2495" s="2" t="str" cm="1">
        <f t="array" ref="K2495">_xlfn.IFS(E2495&lt;=16,"Children",E2495&lt;=30,"Young Adults",E2495&lt;=45,"Middle-aged Adults",E2495&gt;45,"Old Adults")</f>
        <v>Young Adults</v>
      </c>
    </row>
    <row r="2496" spans="1:11" x14ac:dyDescent="0.45">
      <c r="A2496" s="2">
        <v>1658</v>
      </c>
      <c r="B2496" s="2" t="s">
        <v>1762</v>
      </c>
      <c r="C2496" s="2" t="s">
        <v>94</v>
      </c>
      <c r="D2496" s="2" t="s">
        <v>21</v>
      </c>
      <c r="E2496" s="2">
        <v>24</v>
      </c>
      <c r="F2496" s="2">
        <v>57</v>
      </c>
      <c r="G2496" s="2">
        <v>162</v>
      </c>
      <c r="H2496" s="9">
        <f t="shared" si="38"/>
        <v>21.719250114311837</v>
      </c>
      <c r="I2496" s="2" t="str" cm="1">
        <f t="array" ref="I2496">_xlfn.IFS(F2496&gt;=100,"Over weight",F2496&lt;100,"Average weight")</f>
        <v>Average weight</v>
      </c>
      <c r="J2496" s="2" t="str" cm="1">
        <f t="array" ref="J2496">_xlfn.IFS(G2496&lt;164,"Below Average height",G2496&gt;=165,"Above Average height",G2496=164,"Average height")</f>
        <v>Below Average height</v>
      </c>
      <c r="K2496" s="2" t="str" cm="1">
        <f t="array" ref="K2496">_xlfn.IFS(E2496&lt;=16,"Children",E2496&lt;=30,"Young Adults",E2496&lt;=45,"Middle-aged Adults",E2496&gt;45,"Old Adults")</f>
        <v>Young Adults</v>
      </c>
    </row>
    <row r="2497" spans="1:11" x14ac:dyDescent="0.45">
      <c r="A2497" s="2">
        <v>1664</v>
      </c>
      <c r="B2497" s="2" t="s">
        <v>1768</v>
      </c>
      <c r="C2497" s="2" t="s">
        <v>89</v>
      </c>
      <c r="D2497" s="2" t="s">
        <v>80</v>
      </c>
      <c r="E2497" s="2">
        <v>26</v>
      </c>
      <c r="F2497" s="2">
        <v>61</v>
      </c>
      <c r="G2497" s="2">
        <v>160</v>
      </c>
      <c r="H2497" s="9">
        <f t="shared" si="38"/>
        <v>23.828124999999996</v>
      </c>
      <c r="I2497" s="2" t="str" cm="1">
        <f t="array" ref="I2497">_xlfn.IFS(F2497&gt;=100,"Over weight",F2497&lt;100,"Average weight")</f>
        <v>Average weight</v>
      </c>
      <c r="J2497" s="2" t="str" cm="1">
        <f t="array" ref="J2497">_xlfn.IFS(G2497&lt;164,"Below Average height",G2497&gt;=165,"Above Average height",G2497=164,"Average height")</f>
        <v>Below Average height</v>
      </c>
      <c r="K2497" s="2" t="str" cm="1">
        <f t="array" ref="K2497">_xlfn.IFS(E2497&lt;=16,"Children",E2497&lt;=30,"Young Adults",E2497&lt;=45,"Middle-aged Adults",E2497&gt;45,"Old Adults")</f>
        <v>Young Adults</v>
      </c>
    </row>
    <row r="2498" spans="1:11" x14ac:dyDescent="0.45">
      <c r="A2498" s="2">
        <v>1666</v>
      </c>
      <c r="B2498" s="2" t="s">
        <v>1770</v>
      </c>
      <c r="C2498" s="2" t="s">
        <v>96</v>
      </c>
      <c r="D2498" s="2" t="s">
        <v>14</v>
      </c>
      <c r="E2498" s="2">
        <v>32</v>
      </c>
      <c r="F2498" s="2">
        <v>61</v>
      </c>
      <c r="G2498" s="2">
        <v>163</v>
      </c>
      <c r="H2498" s="9">
        <f t="shared" ref="H2498:H2561" si="39" xml:space="preserve"> F2498 / (( G2498/ 100) ^ 2)</f>
        <v>22.959087658549439</v>
      </c>
      <c r="I2498" s="2" t="str" cm="1">
        <f t="array" ref="I2498">_xlfn.IFS(F2498&gt;=100,"Over weight",F2498&lt;100,"Average weight")</f>
        <v>Average weight</v>
      </c>
      <c r="J2498" s="2" t="str" cm="1">
        <f t="array" ref="J2498">_xlfn.IFS(G2498&lt;164,"Below Average height",G2498&gt;=165,"Above Average height",G2498=164,"Average height")</f>
        <v>Below Average height</v>
      </c>
      <c r="K2498" s="2" t="str" cm="1">
        <f t="array" ref="K2498">_xlfn.IFS(E2498&lt;=16,"Children",E2498&lt;=30,"Young Adults",E2498&lt;=45,"Middle-aged Adults",E2498&gt;45,"Old Adults")</f>
        <v>Middle-aged Adults</v>
      </c>
    </row>
    <row r="2499" spans="1:11" x14ac:dyDescent="0.45">
      <c r="A2499" s="2">
        <v>1683</v>
      </c>
      <c r="B2499" s="2" t="s">
        <v>1787</v>
      </c>
      <c r="C2499" s="2" t="s">
        <v>93</v>
      </c>
      <c r="D2499" s="2" t="s">
        <v>41</v>
      </c>
      <c r="E2499" s="2">
        <v>19</v>
      </c>
      <c r="F2499" s="2">
        <v>50</v>
      </c>
      <c r="G2499" s="2">
        <v>162</v>
      </c>
      <c r="H2499" s="9">
        <f t="shared" si="39"/>
        <v>19.051973784484069</v>
      </c>
      <c r="I2499" s="2" t="str" cm="1">
        <f t="array" ref="I2499">_xlfn.IFS(F2499&gt;=100,"Over weight",F2499&lt;100,"Average weight")</f>
        <v>Average weight</v>
      </c>
      <c r="J2499" s="2" t="str" cm="1">
        <f t="array" ref="J2499">_xlfn.IFS(G2499&lt;164,"Below Average height",G2499&gt;=165,"Above Average height",G2499=164,"Average height")</f>
        <v>Below Average height</v>
      </c>
      <c r="K2499" s="2" t="str" cm="1">
        <f t="array" ref="K2499">_xlfn.IFS(E2499&lt;=16,"Children",E2499&lt;=30,"Young Adults",E2499&lt;=45,"Middle-aged Adults",E2499&gt;45,"Old Adults")</f>
        <v>Young Adults</v>
      </c>
    </row>
    <row r="2500" spans="1:11" x14ac:dyDescent="0.45">
      <c r="A2500" s="2">
        <v>1684</v>
      </c>
      <c r="B2500" s="2" t="s">
        <v>1788</v>
      </c>
      <c r="C2500" s="2" t="s">
        <v>89</v>
      </c>
      <c r="D2500" s="2" t="s">
        <v>41</v>
      </c>
      <c r="E2500" s="2">
        <v>38</v>
      </c>
      <c r="F2500" s="2">
        <v>57</v>
      </c>
      <c r="G2500" s="2">
        <v>163</v>
      </c>
      <c r="H2500" s="9">
        <f t="shared" si="39"/>
        <v>21.453573713726524</v>
      </c>
      <c r="I2500" s="2" t="str" cm="1">
        <f t="array" ref="I2500">_xlfn.IFS(F2500&gt;=100,"Over weight",F2500&lt;100,"Average weight")</f>
        <v>Average weight</v>
      </c>
      <c r="J2500" s="2" t="str" cm="1">
        <f t="array" ref="J2500">_xlfn.IFS(G2500&lt;164,"Below Average height",G2500&gt;=165,"Above Average height",G2500=164,"Average height")</f>
        <v>Below Average height</v>
      </c>
      <c r="K2500" s="2" t="str" cm="1">
        <f t="array" ref="K2500">_xlfn.IFS(E2500&lt;=16,"Children",E2500&lt;=30,"Young Adults",E2500&lt;=45,"Middle-aged Adults",E2500&gt;45,"Old Adults")</f>
        <v>Middle-aged Adults</v>
      </c>
    </row>
    <row r="2501" spans="1:11" x14ac:dyDescent="0.45">
      <c r="A2501" s="2">
        <v>1685</v>
      </c>
      <c r="B2501" s="2" t="s">
        <v>1789</v>
      </c>
      <c r="C2501" s="2" t="s">
        <v>93</v>
      </c>
      <c r="D2501" s="2" t="s">
        <v>60</v>
      </c>
      <c r="E2501" s="2">
        <v>19</v>
      </c>
      <c r="F2501" s="2">
        <v>61</v>
      </c>
      <c r="G2501" s="2">
        <v>143</v>
      </c>
      <c r="H2501" s="9">
        <f t="shared" si="39"/>
        <v>29.830309550589273</v>
      </c>
      <c r="I2501" s="2" t="str" cm="1">
        <f t="array" ref="I2501">_xlfn.IFS(F2501&gt;=100,"Over weight",F2501&lt;100,"Average weight")</f>
        <v>Average weight</v>
      </c>
      <c r="J2501" s="2" t="str" cm="1">
        <f t="array" ref="J2501">_xlfn.IFS(G2501&lt;164,"Below Average height",G2501&gt;=165,"Above Average height",G2501=164,"Average height")</f>
        <v>Below Average height</v>
      </c>
      <c r="K2501" s="2" t="str" cm="1">
        <f t="array" ref="K2501">_xlfn.IFS(E2501&lt;=16,"Children",E2501&lt;=30,"Young Adults",E2501&lt;=45,"Middle-aged Adults",E2501&gt;45,"Old Adults")</f>
        <v>Young Adults</v>
      </c>
    </row>
    <row r="2502" spans="1:11" x14ac:dyDescent="0.45">
      <c r="A2502" s="2">
        <v>1688</v>
      </c>
      <c r="B2502" s="2" t="s">
        <v>1792</v>
      </c>
      <c r="C2502" s="2" t="s">
        <v>88</v>
      </c>
      <c r="D2502" s="2" t="s">
        <v>74</v>
      </c>
      <c r="E2502" s="2">
        <v>36</v>
      </c>
      <c r="F2502" s="2">
        <v>54</v>
      </c>
      <c r="G2502" s="2">
        <v>159</v>
      </c>
      <c r="H2502" s="9">
        <f t="shared" si="39"/>
        <v>21.359914560341757</v>
      </c>
      <c r="I2502" s="2" t="str" cm="1">
        <f t="array" ref="I2502">_xlfn.IFS(F2502&gt;=100,"Over weight",F2502&lt;100,"Average weight")</f>
        <v>Average weight</v>
      </c>
      <c r="J2502" s="2" t="str" cm="1">
        <f t="array" ref="J2502">_xlfn.IFS(G2502&lt;164,"Below Average height",G2502&gt;=165,"Above Average height",G2502=164,"Average height")</f>
        <v>Below Average height</v>
      </c>
      <c r="K2502" s="2" t="str" cm="1">
        <f t="array" ref="K2502">_xlfn.IFS(E2502&lt;=16,"Children",E2502&lt;=30,"Young Adults",E2502&lt;=45,"Middle-aged Adults",E2502&gt;45,"Old Adults")</f>
        <v>Middle-aged Adults</v>
      </c>
    </row>
    <row r="2503" spans="1:11" x14ac:dyDescent="0.45">
      <c r="A2503" s="2">
        <v>1702</v>
      </c>
      <c r="B2503" s="2" t="s">
        <v>1806</v>
      </c>
      <c r="C2503" s="2" t="s">
        <v>88</v>
      </c>
      <c r="D2503" s="2" t="s">
        <v>60</v>
      </c>
      <c r="E2503" s="2">
        <v>30</v>
      </c>
      <c r="F2503" s="2">
        <v>61</v>
      </c>
      <c r="G2503" s="2">
        <v>143</v>
      </c>
      <c r="H2503" s="9">
        <f t="shared" si="39"/>
        <v>29.830309550589273</v>
      </c>
      <c r="I2503" s="2" t="str" cm="1">
        <f t="array" ref="I2503">_xlfn.IFS(F2503&gt;=100,"Over weight",F2503&lt;100,"Average weight")</f>
        <v>Average weight</v>
      </c>
      <c r="J2503" s="2" t="str" cm="1">
        <f t="array" ref="J2503">_xlfn.IFS(G2503&lt;164,"Below Average height",G2503&gt;=165,"Above Average height",G2503=164,"Average height")</f>
        <v>Below Average height</v>
      </c>
      <c r="K2503" s="2" t="str" cm="1">
        <f t="array" ref="K2503">_xlfn.IFS(E2503&lt;=16,"Children",E2503&lt;=30,"Young Adults",E2503&lt;=45,"Middle-aged Adults",E2503&gt;45,"Old Adults")</f>
        <v>Young Adults</v>
      </c>
    </row>
    <row r="2504" spans="1:11" x14ac:dyDescent="0.45">
      <c r="A2504" s="2">
        <v>1713</v>
      </c>
      <c r="B2504" s="2" t="s">
        <v>1817</v>
      </c>
      <c r="C2504" s="2" t="s">
        <v>98</v>
      </c>
      <c r="D2504" s="2" t="s">
        <v>41</v>
      </c>
      <c r="E2504" s="2">
        <v>24</v>
      </c>
      <c r="F2504" s="2">
        <v>52</v>
      </c>
      <c r="G2504" s="2">
        <v>161</v>
      </c>
      <c r="H2504" s="9">
        <f t="shared" si="39"/>
        <v>20.060954438486167</v>
      </c>
      <c r="I2504" s="2" t="str" cm="1">
        <f t="array" ref="I2504">_xlfn.IFS(F2504&gt;=100,"Over weight",F2504&lt;100,"Average weight")</f>
        <v>Average weight</v>
      </c>
      <c r="J2504" s="2" t="str" cm="1">
        <f t="array" ref="J2504">_xlfn.IFS(G2504&lt;164,"Below Average height",G2504&gt;=165,"Above Average height",G2504=164,"Average height")</f>
        <v>Below Average height</v>
      </c>
      <c r="K2504" s="2" t="str" cm="1">
        <f t="array" ref="K2504">_xlfn.IFS(E2504&lt;=16,"Children",E2504&lt;=30,"Young Adults",E2504&lt;=45,"Middle-aged Adults",E2504&gt;45,"Old Adults")</f>
        <v>Young Adults</v>
      </c>
    </row>
    <row r="2505" spans="1:11" x14ac:dyDescent="0.45">
      <c r="A2505" s="2">
        <v>1723</v>
      </c>
      <c r="B2505" s="2" t="s">
        <v>1827</v>
      </c>
      <c r="C2505" s="2" t="s">
        <v>85</v>
      </c>
      <c r="D2505" s="2" t="s">
        <v>19</v>
      </c>
      <c r="E2505" s="2">
        <v>18</v>
      </c>
      <c r="F2505" s="2">
        <v>59</v>
      </c>
      <c r="G2505" s="2">
        <v>161</v>
      </c>
      <c r="H2505" s="9">
        <f t="shared" si="39"/>
        <v>22.761467535974688</v>
      </c>
      <c r="I2505" s="2" t="str" cm="1">
        <f t="array" ref="I2505">_xlfn.IFS(F2505&gt;=100,"Over weight",F2505&lt;100,"Average weight")</f>
        <v>Average weight</v>
      </c>
      <c r="J2505" s="2" t="str" cm="1">
        <f t="array" ref="J2505">_xlfn.IFS(G2505&lt;164,"Below Average height",G2505&gt;=165,"Above Average height",G2505=164,"Average height")</f>
        <v>Below Average height</v>
      </c>
      <c r="K2505" s="2" t="str" cm="1">
        <f t="array" ref="K2505">_xlfn.IFS(E2505&lt;=16,"Children",E2505&lt;=30,"Young Adults",E2505&lt;=45,"Middle-aged Adults",E2505&gt;45,"Old Adults")</f>
        <v>Young Adults</v>
      </c>
    </row>
    <row r="2506" spans="1:11" x14ac:dyDescent="0.45">
      <c r="A2506" s="2">
        <v>1725</v>
      </c>
      <c r="B2506" s="2" t="s">
        <v>1829</v>
      </c>
      <c r="C2506" s="2" t="s">
        <v>93</v>
      </c>
      <c r="D2506" s="2" t="s">
        <v>21</v>
      </c>
      <c r="E2506" s="2">
        <v>19</v>
      </c>
      <c r="F2506" s="2">
        <v>53</v>
      </c>
      <c r="G2506" s="2">
        <v>156</v>
      </c>
      <c r="H2506" s="9">
        <f t="shared" si="39"/>
        <v>21.7784352399737</v>
      </c>
      <c r="I2506" s="2" t="str" cm="1">
        <f t="array" ref="I2506">_xlfn.IFS(F2506&gt;=100,"Over weight",F2506&lt;100,"Average weight")</f>
        <v>Average weight</v>
      </c>
      <c r="J2506" s="2" t="str" cm="1">
        <f t="array" ref="J2506">_xlfn.IFS(G2506&lt;164,"Below Average height",G2506&gt;=165,"Above Average height",G2506=164,"Average height")</f>
        <v>Below Average height</v>
      </c>
      <c r="K2506" s="2" t="str" cm="1">
        <f t="array" ref="K2506">_xlfn.IFS(E2506&lt;=16,"Children",E2506&lt;=30,"Young Adults",E2506&lt;=45,"Middle-aged Adults",E2506&gt;45,"Old Adults")</f>
        <v>Young Adults</v>
      </c>
    </row>
    <row r="2507" spans="1:11" x14ac:dyDescent="0.45">
      <c r="A2507" s="2">
        <v>1727</v>
      </c>
      <c r="B2507" s="2" t="s">
        <v>1831</v>
      </c>
      <c r="C2507" s="2" t="s">
        <v>86</v>
      </c>
      <c r="D2507" s="2" t="s">
        <v>17</v>
      </c>
      <c r="E2507" s="2">
        <v>30</v>
      </c>
      <c r="F2507" s="2">
        <v>61</v>
      </c>
      <c r="G2507" s="2">
        <v>160</v>
      </c>
      <c r="H2507" s="9">
        <f t="shared" si="39"/>
        <v>23.828124999999996</v>
      </c>
      <c r="I2507" s="2" t="str" cm="1">
        <f t="array" ref="I2507">_xlfn.IFS(F2507&gt;=100,"Over weight",F2507&lt;100,"Average weight")</f>
        <v>Average weight</v>
      </c>
      <c r="J2507" s="2" t="str" cm="1">
        <f t="array" ref="J2507">_xlfn.IFS(G2507&lt;164,"Below Average height",G2507&gt;=165,"Above Average height",G2507=164,"Average height")</f>
        <v>Below Average height</v>
      </c>
      <c r="K2507" s="2" t="str" cm="1">
        <f t="array" ref="K2507">_xlfn.IFS(E2507&lt;=16,"Children",E2507&lt;=30,"Young Adults",E2507&lt;=45,"Middle-aged Adults",E2507&gt;45,"Old Adults")</f>
        <v>Young Adults</v>
      </c>
    </row>
    <row r="2508" spans="1:11" x14ac:dyDescent="0.45">
      <c r="A2508" s="2">
        <v>1731</v>
      </c>
      <c r="B2508" s="2" t="s">
        <v>1835</v>
      </c>
      <c r="C2508" s="2" t="s">
        <v>85</v>
      </c>
      <c r="D2508" s="2" t="s">
        <v>20</v>
      </c>
      <c r="E2508" s="2">
        <v>19</v>
      </c>
      <c r="F2508" s="2">
        <v>56</v>
      </c>
      <c r="G2508" s="2">
        <v>160</v>
      </c>
      <c r="H2508" s="9">
        <f t="shared" si="39"/>
        <v>21.874999999999996</v>
      </c>
      <c r="I2508" s="2" t="str" cm="1">
        <f t="array" ref="I2508">_xlfn.IFS(F2508&gt;=100,"Over weight",F2508&lt;100,"Average weight")</f>
        <v>Average weight</v>
      </c>
      <c r="J2508" s="2" t="str" cm="1">
        <f t="array" ref="J2508">_xlfn.IFS(G2508&lt;164,"Below Average height",G2508&gt;=165,"Above Average height",G2508=164,"Average height")</f>
        <v>Below Average height</v>
      </c>
      <c r="K2508" s="2" t="str" cm="1">
        <f t="array" ref="K2508">_xlfn.IFS(E2508&lt;=16,"Children",E2508&lt;=30,"Young Adults",E2508&lt;=45,"Middle-aged Adults",E2508&gt;45,"Old Adults")</f>
        <v>Young Adults</v>
      </c>
    </row>
    <row r="2509" spans="1:11" x14ac:dyDescent="0.45">
      <c r="A2509" s="2">
        <v>1735</v>
      </c>
      <c r="B2509" s="2" t="s">
        <v>1839</v>
      </c>
      <c r="C2509" s="2" t="s">
        <v>89</v>
      </c>
      <c r="D2509" s="2" t="s">
        <v>44</v>
      </c>
      <c r="E2509" s="2">
        <v>17</v>
      </c>
      <c r="F2509" s="2">
        <v>49</v>
      </c>
      <c r="G2509" s="2">
        <v>158</v>
      </c>
      <c r="H2509" s="9">
        <f t="shared" si="39"/>
        <v>19.62826470116968</v>
      </c>
      <c r="I2509" s="2" t="str" cm="1">
        <f t="array" ref="I2509">_xlfn.IFS(F2509&gt;=100,"Over weight",F2509&lt;100,"Average weight")</f>
        <v>Average weight</v>
      </c>
      <c r="J2509" s="2" t="str" cm="1">
        <f t="array" ref="J2509">_xlfn.IFS(G2509&lt;164,"Below Average height",G2509&gt;=165,"Above Average height",G2509=164,"Average height")</f>
        <v>Below Average height</v>
      </c>
      <c r="K2509" s="2" t="str" cm="1">
        <f t="array" ref="K2509">_xlfn.IFS(E2509&lt;=16,"Children",E2509&lt;=30,"Young Adults",E2509&lt;=45,"Middle-aged Adults",E2509&gt;45,"Old Adults")</f>
        <v>Young Adults</v>
      </c>
    </row>
    <row r="2510" spans="1:11" x14ac:dyDescent="0.45">
      <c r="A2510" s="2">
        <v>1745</v>
      </c>
      <c r="B2510" s="2" t="s">
        <v>1849</v>
      </c>
      <c r="C2510" s="2" t="s">
        <v>86</v>
      </c>
      <c r="D2510" s="2" t="s">
        <v>26</v>
      </c>
      <c r="E2510" s="2">
        <v>26</v>
      </c>
      <c r="F2510" s="2">
        <v>73</v>
      </c>
      <c r="G2510" s="2">
        <v>163</v>
      </c>
      <c r="H2510" s="9">
        <f t="shared" si="39"/>
        <v>27.475629493018182</v>
      </c>
      <c r="I2510" s="2" t="str" cm="1">
        <f t="array" ref="I2510">_xlfn.IFS(F2510&gt;=100,"Over weight",F2510&lt;100,"Average weight")</f>
        <v>Average weight</v>
      </c>
      <c r="J2510" s="2" t="str" cm="1">
        <f t="array" ref="J2510">_xlfn.IFS(G2510&lt;164,"Below Average height",G2510&gt;=165,"Above Average height",G2510=164,"Average height")</f>
        <v>Below Average height</v>
      </c>
      <c r="K2510" s="2" t="str" cm="1">
        <f t="array" ref="K2510">_xlfn.IFS(E2510&lt;=16,"Children",E2510&lt;=30,"Young Adults",E2510&lt;=45,"Middle-aged Adults",E2510&gt;45,"Old Adults")</f>
        <v>Young Adults</v>
      </c>
    </row>
    <row r="2511" spans="1:11" x14ac:dyDescent="0.45">
      <c r="A2511" s="2">
        <v>1747</v>
      </c>
      <c r="B2511" s="2" t="s">
        <v>1851</v>
      </c>
      <c r="C2511" s="2" t="s">
        <v>100</v>
      </c>
      <c r="D2511" s="2" t="s">
        <v>75</v>
      </c>
      <c r="E2511" s="2">
        <v>37</v>
      </c>
      <c r="F2511" s="2">
        <v>53</v>
      </c>
      <c r="G2511" s="2">
        <v>162</v>
      </c>
      <c r="H2511" s="9">
        <f t="shared" si="39"/>
        <v>20.195092211553114</v>
      </c>
      <c r="I2511" s="2" t="str" cm="1">
        <f t="array" ref="I2511">_xlfn.IFS(F2511&gt;=100,"Over weight",F2511&lt;100,"Average weight")</f>
        <v>Average weight</v>
      </c>
      <c r="J2511" s="2" t="str" cm="1">
        <f t="array" ref="J2511">_xlfn.IFS(G2511&lt;164,"Below Average height",G2511&gt;=165,"Above Average height",G2511=164,"Average height")</f>
        <v>Below Average height</v>
      </c>
      <c r="K2511" s="2" t="str" cm="1">
        <f t="array" ref="K2511">_xlfn.IFS(E2511&lt;=16,"Children",E2511&lt;=30,"Young Adults",E2511&lt;=45,"Middle-aged Adults",E2511&gt;45,"Old Adults")</f>
        <v>Middle-aged Adults</v>
      </c>
    </row>
    <row r="2512" spans="1:11" x14ac:dyDescent="0.45">
      <c r="A2512" s="2">
        <v>1748</v>
      </c>
      <c r="B2512" s="2" t="s">
        <v>1852</v>
      </c>
      <c r="C2512" s="2" t="s">
        <v>89</v>
      </c>
      <c r="D2512" s="2" t="s">
        <v>60</v>
      </c>
      <c r="E2512" s="2">
        <v>17</v>
      </c>
      <c r="F2512" s="2">
        <v>73</v>
      </c>
      <c r="G2512" s="2">
        <v>143</v>
      </c>
      <c r="H2512" s="9">
        <f t="shared" si="39"/>
        <v>35.698567167098638</v>
      </c>
      <c r="I2512" s="2" t="str" cm="1">
        <f t="array" ref="I2512">_xlfn.IFS(F2512&gt;=100,"Over weight",F2512&lt;100,"Average weight")</f>
        <v>Average weight</v>
      </c>
      <c r="J2512" s="2" t="str" cm="1">
        <f t="array" ref="J2512">_xlfn.IFS(G2512&lt;164,"Below Average height",G2512&gt;=165,"Above Average height",G2512=164,"Average height")</f>
        <v>Below Average height</v>
      </c>
      <c r="K2512" s="2" t="str" cm="1">
        <f t="array" ref="K2512">_xlfn.IFS(E2512&lt;=16,"Children",E2512&lt;=30,"Young Adults",E2512&lt;=45,"Middle-aged Adults",E2512&gt;45,"Old Adults")</f>
        <v>Young Adults</v>
      </c>
    </row>
    <row r="2513" spans="1:11" x14ac:dyDescent="0.45">
      <c r="A2513" s="2">
        <v>1765</v>
      </c>
      <c r="B2513" s="2" t="s">
        <v>1869</v>
      </c>
      <c r="C2513" s="2" t="s">
        <v>96</v>
      </c>
      <c r="D2513" s="2" t="s">
        <v>60</v>
      </c>
      <c r="E2513" s="2">
        <v>26</v>
      </c>
      <c r="F2513" s="2">
        <v>73</v>
      </c>
      <c r="G2513" s="2">
        <v>143</v>
      </c>
      <c r="H2513" s="9">
        <f t="shared" si="39"/>
        <v>35.698567167098638</v>
      </c>
      <c r="I2513" s="2" t="str" cm="1">
        <f t="array" ref="I2513">_xlfn.IFS(F2513&gt;=100,"Over weight",F2513&lt;100,"Average weight")</f>
        <v>Average weight</v>
      </c>
      <c r="J2513" s="2" t="str" cm="1">
        <f t="array" ref="J2513">_xlfn.IFS(G2513&lt;164,"Below Average height",G2513&gt;=165,"Above Average height",G2513=164,"Average height")</f>
        <v>Below Average height</v>
      </c>
      <c r="K2513" s="2" t="str" cm="1">
        <f t="array" ref="K2513">_xlfn.IFS(E2513&lt;=16,"Children",E2513&lt;=30,"Young Adults",E2513&lt;=45,"Middle-aged Adults",E2513&gt;45,"Old Adults")</f>
        <v>Young Adults</v>
      </c>
    </row>
    <row r="2514" spans="1:11" x14ac:dyDescent="0.45">
      <c r="A2514" s="2">
        <v>1768</v>
      </c>
      <c r="B2514" s="2" t="s">
        <v>1872</v>
      </c>
      <c r="C2514" s="2" t="s">
        <v>94</v>
      </c>
      <c r="D2514" s="2" t="s">
        <v>60</v>
      </c>
      <c r="E2514" s="2">
        <v>27</v>
      </c>
      <c r="F2514" s="2">
        <v>73</v>
      </c>
      <c r="G2514" s="2">
        <v>143</v>
      </c>
      <c r="H2514" s="9">
        <f t="shared" si="39"/>
        <v>35.698567167098638</v>
      </c>
      <c r="I2514" s="2" t="str" cm="1">
        <f t="array" ref="I2514">_xlfn.IFS(F2514&gt;=100,"Over weight",F2514&lt;100,"Average weight")</f>
        <v>Average weight</v>
      </c>
      <c r="J2514" s="2" t="str" cm="1">
        <f t="array" ref="J2514">_xlfn.IFS(G2514&lt;164,"Below Average height",G2514&gt;=165,"Above Average height",G2514=164,"Average height")</f>
        <v>Below Average height</v>
      </c>
      <c r="K2514" s="2" t="str" cm="1">
        <f t="array" ref="K2514">_xlfn.IFS(E2514&lt;=16,"Children",E2514&lt;=30,"Young Adults",E2514&lt;=45,"Middle-aged Adults",E2514&gt;45,"Old Adults")</f>
        <v>Young Adults</v>
      </c>
    </row>
    <row r="2515" spans="1:11" x14ac:dyDescent="0.45">
      <c r="A2515" s="2">
        <v>1809</v>
      </c>
      <c r="B2515" s="2" t="s">
        <v>1913</v>
      </c>
      <c r="C2515" s="2" t="s">
        <v>91</v>
      </c>
      <c r="D2515" s="2" t="s">
        <v>80</v>
      </c>
      <c r="E2515" s="2">
        <v>31</v>
      </c>
      <c r="F2515" s="2">
        <v>66</v>
      </c>
      <c r="G2515" s="2">
        <v>163</v>
      </c>
      <c r="H2515" s="9">
        <f t="shared" si="39"/>
        <v>24.840980089578082</v>
      </c>
      <c r="I2515" s="2" t="str" cm="1">
        <f t="array" ref="I2515">_xlfn.IFS(F2515&gt;=100,"Over weight",F2515&lt;100,"Average weight")</f>
        <v>Average weight</v>
      </c>
      <c r="J2515" s="2" t="str" cm="1">
        <f t="array" ref="J2515">_xlfn.IFS(G2515&lt;164,"Below Average height",G2515&gt;=165,"Above Average height",G2515=164,"Average height")</f>
        <v>Below Average height</v>
      </c>
      <c r="K2515" s="2" t="str" cm="1">
        <f t="array" ref="K2515">_xlfn.IFS(E2515&lt;=16,"Children",E2515&lt;=30,"Young Adults",E2515&lt;=45,"Middle-aged Adults",E2515&gt;45,"Old Adults")</f>
        <v>Middle-aged Adults</v>
      </c>
    </row>
    <row r="2516" spans="1:11" x14ac:dyDescent="0.45">
      <c r="A2516" s="2">
        <v>1810</v>
      </c>
      <c r="B2516" s="2" t="s">
        <v>1914</v>
      </c>
      <c r="C2516" s="2" t="s">
        <v>96</v>
      </c>
      <c r="D2516" s="2" t="s">
        <v>80</v>
      </c>
      <c r="E2516" s="2">
        <v>36</v>
      </c>
      <c r="F2516" s="2">
        <v>73</v>
      </c>
      <c r="G2516" s="2">
        <v>155</v>
      </c>
      <c r="H2516" s="9">
        <f t="shared" si="39"/>
        <v>30.38501560874089</v>
      </c>
      <c r="I2516" s="2" t="str" cm="1">
        <f t="array" ref="I2516">_xlfn.IFS(F2516&gt;=100,"Over weight",F2516&lt;100,"Average weight")</f>
        <v>Average weight</v>
      </c>
      <c r="J2516" s="2" t="str" cm="1">
        <f t="array" ref="J2516">_xlfn.IFS(G2516&lt;164,"Below Average height",G2516&gt;=165,"Above Average height",G2516=164,"Average height")</f>
        <v>Below Average height</v>
      </c>
      <c r="K2516" s="2" t="str" cm="1">
        <f t="array" ref="K2516">_xlfn.IFS(E2516&lt;=16,"Children",E2516&lt;=30,"Young Adults",E2516&lt;=45,"Middle-aged Adults",E2516&gt;45,"Old Adults")</f>
        <v>Middle-aged Adults</v>
      </c>
    </row>
    <row r="2517" spans="1:11" x14ac:dyDescent="0.45">
      <c r="A2517" s="2">
        <v>1820</v>
      </c>
      <c r="B2517" s="2" t="s">
        <v>1924</v>
      </c>
      <c r="C2517" s="2" t="s">
        <v>85</v>
      </c>
      <c r="D2517" s="2" t="s">
        <v>14</v>
      </c>
      <c r="E2517" s="2">
        <v>21</v>
      </c>
      <c r="F2517" s="2">
        <v>66</v>
      </c>
      <c r="G2517" s="2">
        <v>162</v>
      </c>
      <c r="H2517" s="9">
        <f t="shared" si="39"/>
        <v>25.14860539551897</v>
      </c>
      <c r="I2517" s="2" t="str" cm="1">
        <f t="array" ref="I2517">_xlfn.IFS(F2517&gt;=100,"Over weight",F2517&lt;100,"Average weight")</f>
        <v>Average weight</v>
      </c>
      <c r="J2517" s="2" t="str" cm="1">
        <f t="array" ref="J2517">_xlfn.IFS(G2517&lt;164,"Below Average height",G2517&gt;=165,"Above Average height",G2517=164,"Average height")</f>
        <v>Below Average height</v>
      </c>
      <c r="K2517" s="2" t="str" cm="1">
        <f t="array" ref="K2517">_xlfn.IFS(E2517&lt;=16,"Children",E2517&lt;=30,"Young Adults",E2517&lt;=45,"Middle-aged Adults",E2517&gt;45,"Old Adults")</f>
        <v>Young Adults</v>
      </c>
    </row>
    <row r="2518" spans="1:11" x14ac:dyDescent="0.45">
      <c r="A2518" s="2">
        <v>1821</v>
      </c>
      <c r="B2518" s="2" t="s">
        <v>1925</v>
      </c>
      <c r="C2518" s="2" t="s">
        <v>88</v>
      </c>
      <c r="D2518" s="2" t="s">
        <v>70</v>
      </c>
      <c r="E2518" s="2">
        <v>20</v>
      </c>
      <c r="F2518" s="2">
        <v>52</v>
      </c>
      <c r="G2518" s="2">
        <v>162</v>
      </c>
      <c r="H2518" s="9">
        <f t="shared" si="39"/>
        <v>19.814052735863431</v>
      </c>
      <c r="I2518" s="2" t="str" cm="1">
        <f t="array" ref="I2518">_xlfn.IFS(F2518&gt;=100,"Over weight",F2518&lt;100,"Average weight")</f>
        <v>Average weight</v>
      </c>
      <c r="J2518" s="2" t="str" cm="1">
        <f t="array" ref="J2518">_xlfn.IFS(G2518&lt;164,"Below Average height",G2518&gt;=165,"Above Average height",G2518=164,"Average height")</f>
        <v>Below Average height</v>
      </c>
      <c r="K2518" s="2" t="str" cm="1">
        <f t="array" ref="K2518">_xlfn.IFS(E2518&lt;=16,"Children",E2518&lt;=30,"Young Adults",E2518&lt;=45,"Middle-aged Adults",E2518&gt;45,"Old Adults")</f>
        <v>Young Adults</v>
      </c>
    </row>
    <row r="2519" spans="1:11" x14ac:dyDescent="0.45">
      <c r="A2519" s="2">
        <v>1827</v>
      </c>
      <c r="B2519" s="2" t="s">
        <v>1931</v>
      </c>
      <c r="C2519" s="2" t="s">
        <v>85</v>
      </c>
      <c r="D2519" s="2" t="s">
        <v>66</v>
      </c>
      <c r="E2519" s="2">
        <v>19</v>
      </c>
      <c r="F2519" s="2">
        <v>56</v>
      </c>
      <c r="G2519" s="2">
        <v>163</v>
      </c>
      <c r="H2519" s="9">
        <f t="shared" si="39"/>
        <v>21.077195227520797</v>
      </c>
      <c r="I2519" s="2" t="str" cm="1">
        <f t="array" ref="I2519">_xlfn.IFS(F2519&gt;=100,"Over weight",F2519&lt;100,"Average weight")</f>
        <v>Average weight</v>
      </c>
      <c r="J2519" s="2" t="str" cm="1">
        <f t="array" ref="J2519">_xlfn.IFS(G2519&lt;164,"Below Average height",G2519&gt;=165,"Above Average height",G2519=164,"Average height")</f>
        <v>Below Average height</v>
      </c>
      <c r="K2519" s="2" t="str" cm="1">
        <f t="array" ref="K2519">_xlfn.IFS(E2519&lt;=16,"Children",E2519&lt;=30,"Young Adults",E2519&lt;=45,"Middle-aged Adults",E2519&gt;45,"Old Adults")</f>
        <v>Young Adults</v>
      </c>
    </row>
    <row r="2520" spans="1:11" x14ac:dyDescent="0.45">
      <c r="A2520" s="2">
        <v>1841</v>
      </c>
      <c r="B2520" s="2" t="s">
        <v>1945</v>
      </c>
      <c r="C2520" s="2" t="s">
        <v>91</v>
      </c>
      <c r="D2520" s="2" t="s">
        <v>17</v>
      </c>
      <c r="E2520" s="2">
        <v>23</v>
      </c>
      <c r="F2520" s="2">
        <v>58</v>
      </c>
      <c r="G2520" s="2">
        <v>158</v>
      </c>
      <c r="H2520" s="9">
        <f t="shared" si="39"/>
        <v>23.233456176894723</v>
      </c>
      <c r="I2520" s="2" t="str" cm="1">
        <f t="array" ref="I2520">_xlfn.IFS(F2520&gt;=100,"Over weight",F2520&lt;100,"Average weight")</f>
        <v>Average weight</v>
      </c>
      <c r="J2520" s="2" t="str" cm="1">
        <f t="array" ref="J2520">_xlfn.IFS(G2520&lt;164,"Below Average height",G2520&gt;=165,"Above Average height",G2520=164,"Average height")</f>
        <v>Below Average height</v>
      </c>
      <c r="K2520" s="2" t="str" cm="1">
        <f t="array" ref="K2520">_xlfn.IFS(E2520&lt;=16,"Children",E2520&lt;=30,"Young Adults",E2520&lt;=45,"Middle-aged Adults",E2520&gt;45,"Old Adults")</f>
        <v>Young Adults</v>
      </c>
    </row>
    <row r="2521" spans="1:11" x14ac:dyDescent="0.45">
      <c r="A2521" s="2">
        <v>1856</v>
      </c>
      <c r="B2521" s="2" t="s">
        <v>1960</v>
      </c>
      <c r="C2521" s="2" t="s">
        <v>87</v>
      </c>
      <c r="D2521" s="2" t="s">
        <v>66</v>
      </c>
      <c r="E2521" s="2">
        <v>20</v>
      </c>
      <c r="F2521" s="2">
        <v>60</v>
      </c>
      <c r="G2521" s="2">
        <v>159</v>
      </c>
      <c r="H2521" s="9">
        <f t="shared" si="39"/>
        <v>23.733238400379729</v>
      </c>
      <c r="I2521" s="2" t="str" cm="1">
        <f t="array" ref="I2521">_xlfn.IFS(F2521&gt;=100,"Over weight",F2521&lt;100,"Average weight")</f>
        <v>Average weight</v>
      </c>
      <c r="J2521" s="2" t="str" cm="1">
        <f t="array" ref="J2521">_xlfn.IFS(G2521&lt;164,"Below Average height",G2521&gt;=165,"Above Average height",G2521=164,"Average height")</f>
        <v>Below Average height</v>
      </c>
      <c r="K2521" s="2" t="str" cm="1">
        <f t="array" ref="K2521">_xlfn.IFS(E2521&lt;=16,"Children",E2521&lt;=30,"Young Adults",E2521&lt;=45,"Middle-aged Adults",E2521&gt;45,"Old Adults")</f>
        <v>Young Adults</v>
      </c>
    </row>
    <row r="2522" spans="1:11" x14ac:dyDescent="0.45">
      <c r="A2522" s="2">
        <v>1859</v>
      </c>
      <c r="B2522" s="2" t="s">
        <v>1963</v>
      </c>
      <c r="C2522" s="2" t="s">
        <v>85</v>
      </c>
      <c r="D2522" s="2" t="s">
        <v>31</v>
      </c>
      <c r="E2522" s="2">
        <v>21</v>
      </c>
      <c r="F2522" s="2">
        <v>61</v>
      </c>
      <c r="G2522" s="2">
        <v>161</v>
      </c>
      <c r="H2522" s="9">
        <f t="shared" si="39"/>
        <v>23.533042706685695</v>
      </c>
      <c r="I2522" s="2" t="str" cm="1">
        <f t="array" ref="I2522">_xlfn.IFS(F2522&gt;=100,"Over weight",F2522&lt;100,"Average weight")</f>
        <v>Average weight</v>
      </c>
      <c r="J2522" s="2" t="str" cm="1">
        <f t="array" ref="J2522">_xlfn.IFS(G2522&lt;164,"Below Average height",G2522&gt;=165,"Above Average height",G2522=164,"Average height")</f>
        <v>Below Average height</v>
      </c>
      <c r="K2522" s="2" t="str" cm="1">
        <f t="array" ref="K2522">_xlfn.IFS(E2522&lt;=16,"Children",E2522&lt;=30,"Young Adults",E2522&lt;=45,"Middle-aged Adults",E2522&gt;45,"Old Adults")</f>
        <v>Young Adults</v>
      </c>
    </row>
    <row r="2523" spans="1:11" x14ac:dyDescent="0.45">
      <c r="A2523" s="2">
        <v>1863</v>
      </c>
      <c r="B2523" s="2" t="s">
        <v>1967</v>
      </c>
      <c r="C2523" s="2" t="s">
        <v>94</v>
      </c>
      <c r="D2523" s="2" t="s">
        <v>80</v>
      </c>
      <c r="E2523" s="2">
        <v>27</v>
      </c>
      <c r="F2523" s="2">
        <v>62</v>
      </c>
      <c r="G2523" s="2">
        <v>163</v>
      </c>
      <c r="H2523" s="9">
        <f t="shared" si="39"/>
        <v>23.335466144755166</v>
      </c>
      <c r="I2523" s="2" t="str" cm="1">
        <f t="array" ref="I2523">_xlfn.IFS(F2523&gt;=100,"Over weight",F2523&lt;100,"Average weight")</f>
        <v>Average weight</v>
      </c>
      <c r="J2523" s="2" t="str" cm="1">
        <f t="array" ref="J2523">_xlfn.IFS(G2523&lt;164,"Below Average height",G2523&gt;=165,"Above Average height",G2523=164,"Average height")</f>
        <v>Below Average height</v>
      </c>
      <c r="K2523" s="2" t="str" cm="1">
        <f t="array" ref="K2523">_xlfn.IFS(E2523&lt;=16,"Children",E2523&lt;=30,"Young Adults",E2523&lt;=45,"Middle-aged Adults",E2523&gt;45,"Old Adults")</f>
        <v>Young Adults</v>
      </c>
    </row>
    <row r="2524" spans="1:11" x14ac:dyDescent="0.45">
      <c r="A2524" s="2">
        <v>1867</v>
      </c>
      <c r="B2524" s="2" t="s">
        <v>1971</v>
      </c>
      <c r="C2524" s="2" t="s">
        <v>91</v>
      </c>
      <c r="D2524" s="2" t="s">
        <v>25</v>
      </c>
      <c r="E2524" s="2">
        <v>31</v>
      </c>
      <c r="F2524" s="2">
        <v>65</v>
      </c>
      <c r="G2524" s="2">
        <v>163</v>
      </c>
      <c r="H2524" s="9">
        <f t="shared" si="39"/>
        <v>24.464601603372351</v>
      </c>
      <c r="I2524" s="2" t="str" cm="1">
        <f t="array" ref="I2524">_xlfn.IFS(F2524&gt;=100,"Over weight",F2524&lt;100,"Average weight")</f>
        <v>Average weight</v>
      </c>
      <c r="J2524" s="2" t="str" cm="1">
        <f t="array" ref="J2524">_xlfn.IFS(G2524&lt;164,"Below Average height",G2524&gt;=165,"Above Average height",G2524=164,"Average height")</f>
        <v>Below Average height</v>
      </c>
      <c r="K2524" s="2" t="str" cm="1">
        <f t="array" ref="K2524">_xlfn.IFS(E2524&lt;=16,"Children",E2524&lt;=30,"Young Adults",E2524&lt;=45,"Middle-aged Adults",E2524&gt;45,"Old Adults")</f>
        <v>Middle-aged Adults</v>
      </c>
    </row>
    <row r="2525" spans="1:11" x14ac:dyDescent="0.45">
      <c r="A2525" s="2">
        <v>1868</v>
      </c>
      <c r="B2525" s="2" t="s">
        <v>1972</v>
      </c>
      <c r="C2525" s="2" t="s">
        <v>88</v>
      </c>
      <c r="D2525" s="2" t="s">
        <v>49</v>
      </c>
      <c r="E2525" s="2">
        <v>25</v>
      </c>
      <c r="F2525" s="2">
        <v>52</v>
      </c>
      <c r="G2525" s="2">
        <v>163</v>
      </c>
      <c r="H2525" s="9">
        <f t="shared" si="39"/>
        <v>19.571681282697881</v>
      </c>
      <c r="I2525" s="2" t="str" cm="1">
        <f t="array" ref="I2525">_xlfn.IFS(F2525&gt;=100,"Over weight",F2525&lt;100,"Average weight")</f>
        <v>Average weight</v>
      </c>
      <c r="J2525" s="2" t="str" cm="1">
        <f t="array" ref="J2525">_xlfn.IFS(G2525&lt;164,"Below Average height",G2525&gt;=165,"Above Average height",G2525=164,"Average height")</f>
        <v>Below Average height</v>
      </c>
      <c r="K2525" s="2" t="str" cm="1">
        <f t="array" ref="K2525">_xlfn.IFS(E2525&lt;=16,"Children",E2525&lt;=30,"Young Adults",E2525&lt;=45,"Middle-aged Adults",E2525&gt;45,"Old Adults")</f>
        <v>Young Adults</v>
      </c>
    </row>
    <row r="2526" spans="1:11" x14ac:dyDescent="0.45">
      <c r="A2526" s="2">
        <v>1891</v>
      </c>
      <c r="B2526" s="2" t="s">
        <v>1995</v>
      </c>
      <c r="C2526" s="2" t="s">
        <v>87</v>
      </c>
      <c r="D2526" s="2" t="s">
        <v>60</v>
      </c>
      <c r="E2526" s="2">
        <v>23</v>
      </c>
      <c r="F2526" s="2">
        <v>73</v>
      </c>
      <c r="G2526" s="2">
        <v>143</v>
      </c>
      <c r="H2526" s="9">
        <f t="shared" si="39"/>
        <v>35.698567167098638</v>
      </c>
      <c r="I2526" s="2" t="str" cm="1">
        <f t="array" ref="I2526">_xlfn.IFS(F2526&gt;=100,"Over weight",F2526&lt;100,"Average weight")</f>
        <v>Average weight</v>
      </c>
      <c r="J2526" s="2" t="str" cm="1">
        <f t="array" ref="J2526">_xlfn.IFS(G2526&lt;164,"Below Average height",G2526&gt;=165,"Above Average height",G2526=164,"Average height")</f>
        <v>Below Average height</v>
      </c>
      <c r="K2526" s="2" t="str" cm="1">
        <f t="array" ref="K2526">_xlfn.IFS(E2526&lt;=16,"Children",E2526&lt;=30,"Young Adults",E2526&lt;=45,"Middle-aged Adults",E2526&gt;45,"Old Adults")</f>
        <v>Young Adults</v>
      </c>
    </row>
    <row r="2527" spans="1:11" x14ac:dyDescent="0.45">
      <c r="A2527" s="2">
        <v>1902</v>
      </c>
      <c r="B2527" s="2" t="s">
        <v>2006</v>
      </c>
      <c r="C2527" s="2" t="s">
        <v>88</v>
      </c>
      <c r="D2527" s="2" t="s">
        <v>21</v>
      </c>
      <c r="E2527" s="2">
        <v>27</v>
      </c>
      <c r="F2527" s="2">
        <v>55</v>
      </c>
      <c r="G2527" s="2">
        <v>163</v>
      </c>
      <c r="H2527" s="9">
        <f t="shared" si="39"/>
        <v>20.700816741315069</v>
      </c>
      <c r="I2527" s="2" t="str" cm="1">
        <f t="array" ref="I2527">_xlfn.IFS(F2527&gt;=100,"Over weight",F2527&lt;100,"Average weight")</f>
        <v>Average weight</v>
      </c>
      <c r="J2527" s="2" t="str" cm="1">
        <f t="array" ref="J2527">_xlfn.IFS(G2527&lt;164,"Below Average height",G2527&gt;=165,"Above Average height",G2527=164,"Average height")</f>
        <v>Below Average height</v>
      </c>
      <c r="K2527" s="2" t="str" cm="1">
        <f t="array" ref="K2527">_xlfn.IFS(E2527&lt;=16,"Children",E2527&lt;=30,"Young Adults",E2527&lt;=45,"Middle-aged Adults",E2527&gt;45,"Old Adults")</f>
        <v>Young Adults</v>
      </c>
    </row>
    <row r="2528" spans="1:11" x14ac:dyDescent="0.45">
      <c r="A2528" s="2">
        <v>1907</v>
      </c>
      <c r="B2528" s="2" t="s">
        <v>2011</v>
      </c>
      <c r="C2528" s="2" t="s">
        <v>87</v>
      </c>
      <c r="D2528" s="2" t="s">
        <v>14</v>
      </c>
      <c r="E2528" s="2">
        <v>28</v>
      </c>
      <c r="F2528" s="2">
        <v>57</v>
      </c>
      <c r="G2528" s="2">
        <v>157</v>
      </c>
      <c r="H2528" s="9">
        <f t="shared" si="39"/>
        <v>23.124670372023203</v>
      </c>
      <c r="I2528" s="2" t="str" cm="1">
        <f t="array" ref="I2528">_xlfn.IFS(F2528&gt;=100,"Over weight",F2528&lt;100,"Average weight")</f>
        <v>Average weight</v>
      </c>
      <c r="J2528" s="2" t="str" cm="1">
        <f t="array" ref="J2528">_xlfn.IFS(G2528&lt;164,"Below Average height",G2528&gt;=165,"Above Average height",G2528=164,"Average height")</f>
        <v>Below Average height</v>
      </c>
      <c r="K2528" s="2" t="str" cm="1">
        <f t="array" ref="K2528">_xlfn.IFS(E2528&lt;=16,"Children",E2528&lt;=30,"Young Adults",E2528&lt;=45,"Middle-aged Adults",E2528&gt;45,"Old Adults")</f>
        <v>Young Adults</v>
      </c>
    </row>
    <row r="2529" spans="1:11" x14ac:dyDescent="0.45">
      <c r="A2529" s="2">
        <v>1923</v>
      </c>
      <c r="B2529" s="2" t="s">
        <v>2027</v>
      </c>
      <c r="C2529" s="2" t="s">
        <v>87</v>
      </c>
      <c r="D2529" s="2" t="s">
        <v>80</v>
      </c>
      <c r="E2529" s="2">
        <v>35</v>
      </c>
      <c r="F2529" s="2">
        <v>49</v>
      </c>
      <c r="G2529" s="2">
        <v>152</v>
      </c>
      <c r="H2529" s="9">
        <f t="shared" si="39"/>
        <v>21.208448753462605</v>
      </c>
      <c r="I2529" s="2" t="str" cm="1">
        <f t="array" ref="I2529">_xlfn.IFS(F2529&gt;=100,"Over weight",F2529&lt;100,"Average weight")</f>
        <v>Average weight</v>
      </c>
      <c r="J2529" s="2" t="str" cm="1">
        <f t="array" ref="J2529">_xlfn.IFS(G2529&lt;164,"Below Average height",G2529&gt;=165,"Above Average height",G2529=164,"Average height")</f>
        <v>Below Average height</v>
      </c>
      <c r="K2529" s="2" t="str" cm="1">
        <f t="array" ref="K2529">_xlfn.IFS(E2529&lt;=16,"Children",E2529&lt;=30,"Young Adults",E2529&lt;=45,"Middle-aged Adults",E2529&gt;45,"Old Adults")</f>
        <v>Middle-aged Adults</v>
      </c>
    </row>
    <row r="2530" spans="1:11" x14ac:dyDescent="0.45">
      <c r="A2530" s="2">
        <v>1925</v>
      </c>
      <c r="B2530" s="2" t="s">
        <v>2029</v>
      </c>
      <c r="C2530" s="2" t="s">
        <v>98</v>
      </c>
      <c r="D2530" s="2" t="s">
        <v>14</v>
      </c>
      <c r="E2530" s="2">
        <v>23</v>
      </c>
      <c r="F2530" s="2">
        <v>49</v>
      </c>
      <c r="G2530" s="2">
        <v>160</v>
      </c>
      <c r="H2530" s="9">
        <f t="shared" si="39"/>
        <v>19.140624999999996</v>
      </c>
      <c r="I2530" s="2" t="str" cm="1">
        <f t="array" ref="I2530">_xlfn.IFS(F2530&gt;=100,"Over weight",F2530&lt;100,"Average weight")</f>
        <v>Average weight</v>
      </c>
      <c r="J2530" s="2" t="str" cm="1">
        <f t="array" ref="J2530">_xlfn.IFS(G2530&lt;164,"Below Average height",G2530&gt;=165,"Above Average height",G2530=164,"Average height")</f>
        <v>Below Average height</v>
      </c>
      <c r="K2530" s="2" t="str" cm="1">
        <f t="array" ref="K2530">_xlfn.IFS(E2530&lt;=16,"Children",E2530&lt;=30,"Young Adults",E2530&lt;=45,"Middle-aged Adults",E2530&gt;45,"Old Adults")</f>
        <v>Young Adults</v>
      </c>
    </row>
    <row r="2531" spans="1:11" x14ac:dyDescent="0.45">
      <c r="A2531" s="2">
        <v>1932</v>
      </c>
      <c r="B2531" s="2" t="s">
        <v>2036</v>
      </c>
      <c r="C2531" s="2" t="s">
        <v>86</v>
      </c>
      <c r="D2531" s="2" t="s">
        <v>14</v>
      </c>
      <c r="E2531" s="2">
        <v>24</v>
      </c>
      <c r="F2531" s="2">
        <v>69</v>
      </c>
      <c r="G2531" s="2">
        <v>160</v>
      </c>
      <c r="H2531" s="9">
        <f t="shared" si="39"/>
        <v>26.953124999999996</v>
      </c>
      <c r="I2531" s="2" t="str" cm="1">
        <f t="array" ref="I2531">_xlfn.IFS(F2531&gt;=100,"Over weight",F2531&lt;100,"Average weight")</f>
        <v>Average weight</v>
      </c>
      <c r="J2531" s="2" t="str" cm="1">
        <f t="array" ref="J2531">_xlfn.IFS(G2531&lt;164,"Below Average height",G2531&gt;=165,"Above Average height",G2531=164,"Average height")</f>
        <v>Below Average height</v>
      </c>
      <c r="K2531" s="2" t="str" cm="1">
        <f t="array" ref="K2531">_xlfn.IFS(E2531&lt;=16,"Children",E2531&lt;=30,"Young Adults",E2531&lt;=45,"Middle-aged Adults",E2531&gt;45,"Old Adults")</f>
        <v>Young Adults</v>
      </c>
    </row>
    <row r="2532" spans="1:11" x14ac:dyDescent="0.45">
      <c r="A2532" s="2">
        <v>1937</v>
      </c>
      <c r="B2532" s="2" t="s">
        <v>2041</v>
      </c>
      <c r="C2532" s="2" t="s">
        <v>89</v>
      </c>
      <c r="D2532" s="2" t="s">
        <v>80</v>
      </c>
      <c r="E2532" s="2">
        <v>33</v>
      </c>
      <c r="F2532" s="2">
        <v>56</v>
      </c>
      <c r="G2532" s="2">
        <v>163</v>
      </c>
      <c r="H2532" s="9">
        <f t="shared" si="39"/>
        <v>21.077195227520797</v>
      </c>
      <c r="I2532" s="2" t="str" cm="1">
        <f t="array" ref="I2532">_xlfn.IFS(F2532&gt;=100,"Over weight",F2532&lt;100,"Average weight")</f>
        <v>Average weight</v>
      </c>
      <c r="J2532" s="2" t="str" cm="1">
        <f t="array" ref="J2532">_xlfn.IFS(G2532&lt;164,"Below Average height",G2532&gt;=165,"Above Average height",G2532=164,"Average height")</f>
        <v>Below Average height</v>
      </c>
      <c r="K2532" s="2" t="str" cm="1">
        <f t="array" ref="K2532">_xlfn.IFS(E2532&lt;=16,"Children",E2532&lt;=30,"Young Adults",E2532&lt;=45,"Middle-aged Adults",E2532&gt;45,"Old Adults")</f>
        <v>Middle-aged Adults</v>
      </c>
    </row>
    <row r="2533" spans="1:11" x14ac:dyDescent="0.45">
      <c r="A2533" s="2">
        <v>1940</v>
      </c>
      <c r="B2533" s="2" t="s">
        <v>2044</v>
      </c>
      <c r="C2533" s="2" t="s">
        <v>94</v>
      </c>
      <c r="D2533" s="2" t="s">
        <v>60</v>
      </c>
      <c r="E2533" s="2">
        <v>27</v>
      </c>
      <c r="F2533" s="2">
        <v>69</v>
      </c>
      <c r="G2533" s="2">
        <v>143</v>
      </c>
      <c r="H2533" s="9">
        <f t="shared" si="39"/>
        <v>33.742481294928851</v>
      </c>
      <c r="I2533" s="2" t="str" cm="1">
        <f t="array" ref="I2533">_xlfn.IFS(F2533&gt;=100,"Over weight",F2533&lt;100,"Average weight")</f>
        <v>Average weight</v>
      </c>
      <c r="J2533" s="2" t="str" cm="1">
        <f t="array" ref="J2533">_xlfn.IFS(G2533&lt;164,"Below Average height",G2533&gt;=165,"Above Average height",G2533=164,"Average height")</f>
        <v>Below Average height</v>
      </c>
      <c r="K2533" s="2" t="str" cm="1">
        <f t="array" ref="K2533">_xlfn.IFS(E2533&lt;=16,"Children",E2533&lt;=30,"Young Adults",E2533&lt;=45,"Middle-aged Adults",E2533&gt;45,"Old Adults")</f>
        <v>Young Adults</v>
      </c>
    </row>
    <row r="2534" spans="1:11" x14ac:dyDescent="0.45">
      <c r="A2534" s="2">
        <v>1942</v>
      </c>
      <c r="B2534" s="2" t="s">
        <v>2046</v>
      </c>
      <c r="C2534" s="2" t="s">
        <v>88</v>
      </c>
      <c r="D2534" s="2" t="s">
        <v>60</v>
      </c>
      <c r="E2534" s="2">
        <v>27</v>
      </c>
      <c r="F2534" s="2">
        <v>69</v>
      </c>
      <c r="G2534" s="2">
        <v>143</v>
      </c>
      <c r="H2534" s="9">
        <f t="shared" si="39"/>
        <v>33.742481294928851</v>
      </c>
      <c r="I2534" s="2" t="str" cm="1">
        <f t="array" ref="I2534">_xlfn.IFS(F2534&gt;=100,"Over weight",F2534&lt;100,"Average weight")</f>
        <v>Average weight</v>
      </c>
      <c r="J2534" s="2" t="str" cm="1">
        <f t="array" ref="J2534">_xlfn.IFS(G2534&lt;164,"Below Average height",G2534&gt;=165,"Above Average height",G2534=164,"Average height")</f>
        <v>Below Average height</v>
      </c>
      <c r="K2534" s="2" t="str" cm="1">
        <f t="array" ref="K2534">_xlfn.IFS(E2534&lt;=16,"Children",E2534&lt;=30,"Young Adults",E2534&lt;=45,"Middle-aged Adults",E2534&gt;45,"Old Adults")</f>
        <v>Young Adults</v>
      </c>
    </row>
    <row r="2535" spans="1:11" x14ac:dyDescent="0.45">
      <c r="A2535" s="2">
        <v>1956</v>
      </c>
      <c r="B2535" s="2" t="s">
        <v>2060</v>
      </c>
      <c r="C2535" s="2" t="s">
        <v>89</v>
      </c>
      <c r="D2535" s="2" t="s">
        <v>80</v>
      </c>
      <c r="E2535" s="2">
        <v>27</v>
      </c>
      <c r="F2535" s="2">
        <v>61</v>
      </c>
      <c r="G2535" s="2">
        <v>160</v>
      </c>
      <c r="H2535" s="9">
        <f t="shared" si="39"/>
        <v>23.828124999999996</v>
      </c>
      <c r="I2535" s="2" t="str" cm="1">
        <f t="array" ref="I2535">_xlfn.IFS(F2535&gt;=100,"Over weight",F2535&lt;100,"Average weight")</f>
        <v>Average weight</v>
      </c>
      <c r="J2535" s="2" t="str" cm="1">
        <f t="array" ref="J2535">_xlfn.IFS(G2535&lt;164,"Below Average height",G2535&gt;=165,"Above Average height",G2535=164,"Average height")</f>
        <v>Below Average height</v>
      </c>
      <c r="K2535" s="2" t="str" cm="1">
        <f t="array" ref="K2535">_xlfn.IFS(E2535&lt;=16,"Children",E2535&lt;=30,"Young Adults",E2535&lt;=45,"Middle-aged Adults",E2535&gt;45,"Old Adults")</f>
        <v>Young Adults</v>
      </c>
    </row>
    <row r="2536" spans="1:11" x14ac:dyDescent="0.45">
      <c r="A2536" s="2">
        <v>1958</v>
      </c>
      <c r="B2536" s="2" t="s">
        <v>2062</v>
      </c>
      <c r="C2536" s="2" t="s">
        <v>94</v>
      </c>
      <c r="D2536" s="2" t="s">
        <v>25</v>
      </c>
      <c r="E2536" s="2">
        <v>31</v>
      </c>
      <c r="F2536" s="2">
        <v>54</v>
      </c>
      <c r="G2536" s="2">
        <v>161</v>
      </c>
      <c r="H2536" s="9">
        <f t="shared" si="39"/>
        <v>20.832529609197174</v>
      </c>
      <c r="I2536" s="2" t="str" cm="1">
        <f t="array" ref="I2536">_xlfn.IFS(F2536&gt;=100,"Over weight",F2536&lt;100,"Average weight")</f>
        <v>Average weight</v>
      </c>
      <c r="J2536" s="2" t="str" cm="1">
        <f t="array" ref="J2536">_xlfn.IFS(G2536&lt;164,"Below Average height",G2536&gt;=165,"Above Average height",G2536=164,"Average height")</f>
        <v>Below Average height</v>
      </c>
      <c r="K2536" s="2" t="str" cm="1">
        <f t="array" ref="K2536">_xlfn.IFS(E2536&lt;=16,"Children",E2536&lt;=30,"Young Adults",E2536&lt;=45,"Middle-aged Adults",E2536&gt;45,"Old Adults")</f>
        <v>Middle-aged Adults</v>
      </c>
    </row>
    <row r="2537" spans="1:11" x14ac:dyDescent="0.45">
      <c r="A2537" s="2">
        <v>1968</v>
      </c>
      <c r="B2537" s="2" t="s">
        <v>2072</v>
      </c>
      <c r="C2537" s="2" t="s">
        <v>94</v>
      </c>
      <c r="D2537" s="2" t="s">
        <v>8</v>
      </c>
      <c r="E2537" s="2">
        <v>26</v>
      </c>
      <c r="F2537" s="2">
        <v>53</v>
      </c>
      <c r="G2537" s="2">
        <v>163</v>
      </c>
      <c r="H2537" s="9">
        <f t="shared" si="39"/>
        <v>19.948059768903612</v>
      </c>
      <c r="I2537" s="2" t="str" cm="1">
        <f t="array" ref="I2537">_xlfn.IFS(F2537&gt;=100,"Over weight",F2537&lt;100,"Average weight")</f>
        <v>Average weight</v>
      </c>
      <c r="J2537" s="2" t="str" cm="1">
        <f t="array" ref="J2537">_xlfn.IFS(G2537&lt;164,"Below Average height",G2537&gt;=165,"Above Average height",G2537=164,"Average height")</f>
        <v>Below Average height</v>
      </c>
      <c r="K2537" s="2" t="str" cm="1">
        <f t="array" ref="K2537">_xlfn.IFS(E2537&lt;=16,"Children",E2537&lt;=30,"Young Adults",E2537&lt;=45,"Middle-aged Adults",E2537&gt;45,"Old Adults")</f>
        <v>Young Adults</v>
      </c>
    </row>
    <row r="2538" spans="1:11" x14ac:dyDescent="0.45">
      <c r="A2538" s="2">
        <v>1993</v>
      </c>
      <c r="B2538" s="2" t="s">
        <v>2097</v>
      </c>
      <c r="C2538" s="2" t="s">
        <v>87</v>
      </c>
      <c r="D2538" s="2" t="s">
        <v>42</v>
      </c>
      <c r="E2538" s="2">
        <v>21</v>
      </c>
      <c r="F2538" s="2">
        <v>57</v>
      </c>
      <c r="G2538" s="2">
        <v>162</v>
      </c>
      <c r="H2538" s="9">
        <f t="shared" si="39"/>
        <v>21.719250114311837</v>
      </c>
      <c r="I2538" s="2" t="str" cm="1">
        <f t="array" ref="I2538">_xlfn.IFS(F2538&gt;=100,"Over weight",F2538&lt;100,"Average weight")</f>
        <v>Average weight</v>
      </c>
      <c r="J2538" s="2" t="str" cm="1">
        <f t="array" ref="J2538">_xlfn.IFS(G2538&lt;164,"Below Average height",G2538&gt;=165,"Above Average height",G2538=164,"Average height")</f>
        <v>Below Average height</v>
      </c>
      <c r="K2538" s="2" t="str" cm="1">
        <f t="array" ref="K2538">_xlfn.IFS(E2538&lt;=16,"Children",E2538&lt;=30,"Young Adults",E2538&lt;=45,"Middle-aged Adults",E2538&gt;45,"Old Adults")</f>
        <v>Young Adults</v>
      </c>
    </row>
    <row r="2539" spans="1:11" x14ac:dyDescent="0.45">
      <c r="A2539" s="2">
        <v>2003</v>
      </c>
      <c r="B2539" s="2" t="s">
        <v>2107</v>
      </c>
      <c r="C2539" s="2" t="s">
        <v>94</v>
      </c>
      <c r="D2539" s="2" t="s">
        <v>28</v>
      </c>
      <c r="E2539" s="2">
        <v>29</v>
      </c>
      <c r="F2539" s="2">
        <v>55</v>
      </c>
      <c r="G2539" s="2">
        <v>162</v>
      </c>
      <c r="H2539" s="9">
        <f t="shared" si="39"/>
        <v>20.957171162932475</v>
      </c>
      <c r="I2539" s="2" t="str" cm="1">
        <f t="array" ref="I2539">_xlfn.IFS(F2539&gt;=100,"Over weight",F2539&lt;100,"Average weight")</f>
        <v>Average weight</v>
      </c>
      <c r="J2539" s="2" t="str" cm="1">
        <f t="array" ref="J2539">_xlfn.IFS(G2539&lt;164,"Below Average height",G2539&gt;=165,"Above Average height",G2539=164,"Average height")</f>
        <v>Below Average height</v>
      </c>
      <c r="K2539" s="2" t="str" cm="1">
        <f t="array" ref="K2539">_xlfn.IFS(E2539&lt;=16,"Children",E2539&lt;=30,"Young Adults",E2539&lt;=45,"Middle-aged Adults",E2539&gt;45,"Old Adults")</f>
        <v>Young Adults</v>
      </c>
    </row>
    <row r="2540" spans="1:11" x14ac:dyDescent="0.45">
      <c r="A2540" s="2">
        <v>2005</v>
      </c>
      <c r="B2540" s="2" t="s">
        <v>2109</v>
      </c>
      <c r="C2540" s="2" t="s">
        <v>98</v>
      </c>
      <c r="D2540" s="2" t="s">
        <v>41</v>
      </c>
      <c r="E2540" s="2">
        <v>23</v>
      </c>
      <c r="F2540" s="2">
        <v>52</v>
      </c>
      <c r="G2540" s="2">
        <v>160</v>
      </c>
      <c r="H2540" s="9">
        <f t="shared" si="39"/>
        <v>20.312499999999996</v>
      </c>
      <c r="I2540" s="2" t="str" cm="1">
        <f t="array" ref="I2540">_xlfn.IFS(F2540&gt;=100,"Over weight",F2540&lt;100,"Average weight")</f>
        <v>Average weight</v>
      </c>
      <c r="J2540" s="2" t="str" cm="1">
        <f t="array" ref="J2540">_xlfn.IFS(G2540&lt;164,"Below Average height",G2540&gt;=165,"Above Average height",G2540=164,"Average height")</f>
        <v>Below Average height</v>
      </c>
      <c r="K2540" s="2" t="str" cm="1">
        <f t="array" ref="K2540">_xlfn.IFS(E2540&lt;=16,"Children",E2540&lt;=30,"Young Adults",E2540&lt;=45,"Middle-aged Adults",E2540&gt;45,"Old Adults")</f>
        <v>Young Adults</v>
      </c>
    </row>
    <row r="2541" spans="1:11" x14ac:dyDescent="0.45">
      <c r="A2541" s="2">
        <v>2009</v>
      </c>
      <c r="B2541" s="2" t="s">
        <v>2113</v>
      </c>
      <c r="C2541" s="2" t="s">
        <v>98</v>
      </c>
      <c r="D2541" s="2" t="s">
        <v>41</v>
      </c>
      <c r="E2541" s="2">
        <v>22</v>
      </c>
      <c r="F2541" s="2">
        <v>58</v>
      </c>
      <c r="G2541" s="2">
        <v>161</v>
      </c>
      <c r="H2541" s="9">
        <f t="shared" si="39"/>
        <v>22.375679950619187</v>
      </c>
      <c r="I2541" s="2" t="str" cm="1">
        <f t="array" ref="I2541">_xlfn.IFS(F2541&gt;=100,"Over weight",F2541&lt;100,"Average weight")</f>
        <v>Average weight</v>
      </c>
      <c r="J2541" s="2" t="str" cm="1">
        <f t="array" ref="J2541">_xlfn.IFS(G2541&lt;164,"Below Average height",G2541&gt;=165,"Above Average height",G2541=164,"Average height")</f>
        <v>Below Average height</v>
      </c>
      <c r="K2541" s="2" t="str" cm="1">
        <f t="array" ref="K2541">_xlfn.IFS(E2541&lt;=16,"Children",E2541&lt;=30,"Young Adults",E2541&lt;=45,"Middle-aged Adults",E2541&gt;45,"Old Adults")</f>
        <v>Young Adults</v>
      </c>
    </row>
    <row r="2542" spans="1:11" x14ac:dyDescent="0.45">
      <c r="A2542" s="2">
        <v>2010</v>
      </c>
      <c r="B2542" s="2" t="s">
        <v>2114</v>
      </c>
      <c r="C2542" s="2" t="s">
        <v>98</v>
      </c>
      <c r="D2542" s="2" t="s">
        <v>41</v>
      </c>
      <c r="E2542" s="2">
        <v>20</v>
      </c>
      <c r="F2542" s="2">
        <v>49</v>
      </c>
      <c r="G2542" s="2">
        <v>152</v>
      </c>
      <c r="H2542" s="9">
        <f t="shared" si="39"/>
        <v>21.208448753462605</v>
      </c>
      <c r="I2542" s="2" t="str" cm="1">
        <f t="array" ref="I2542">_xlfn.IFS(F2542&gt;=100,"Over weight",F2542&lt;100,"Average weight")</f>
        <v>Average weight</v>
      </c>
      <c r="J2542" s="2" t="str" cm="1">
        <f t="array" ref="J2542">_xlfn.IFS(G2542&lt;164,"Below Average height",G2542&gt;=165,"Above Average height",G2542=164,"Average height")</f>
        <v>Below Average height</v>
      </c>
      <c r="K2542" s="2" t="str" cm="1">
        <f t="array" ref="K2542">_xlfn.IFS(E2542&lt;=16,"Children",E2542&lt;=30,"Young Adults",E2542&lt;=45,"Middle-aged Adults",E2542&gt;45,"Old Adults")</f>
        <v>Young Adults</v>
      </c>
    </row>
    <row r="2543" spans="1:11" x14ac:dyDescent="0.45">
      <c r="A2543" s="2">
        <v>2014</v>
      </c>
      <c r="B2543" s="2" t="s">
        <v>2118</v>
      </c>
      <c r="C2543" s="2" t="s">
        <v>86</v>
      </c>
      <c r="D2543" s="2" t="s">
        <v>80</v>
      </c>
      <c r="E2543" s="2">
        <v>19</v>
      </c>
      <c r="F2543" s="2">
        <v>69</v>
      </c>
      <c r="G2543" s="2">
        <v>163</v>
      </c>
      <c r="H2543" s="9">
        <f t="shared" si="39"/>
        <v>25.970115548195267</v>
      </c>
      <c r="I2543" s="2" t="str" cm="1">
        <f t="array" ref="I2543">_xlfn.IFS(F2543&gt;=100,"Over weight",F2543&lt;100,"Average weight")</f>
        <v>Average weight</v>
      </c>
      <c r="J2543" s="2" t="str" cm="1">
        <f t="array" ref="J2543">_xlfn.IFS(G2543&lt;164,"Below Average height",G2543&gt;=165,"Above Average height",G2543=164,"Average height")</f>
        <v>Below Average height</v>
      </c>
      <c r="K2543" s="2" t="str" cm="1">
        <f t="array" ref="K2543">_xlfn.IFS(E2543&lt;=16,"Children",E2543&lt;=30,"Young Adults",E2543&lt;=45,"Middle-aged Adults",E2543&gt;45,"Old Adults")</f>
        <v>Young Adults</v>
      </c>
    </row>
    <row r="2544" spans="1:11" x14ac:dyDescent="0.45">
      <c r="A2544" s="2">
        <v>2025</v>
      </c>
      <c r="B2544" s="2" t="s">
        <v>2129</v>
      </c>
      <c r="C2544" s="2" t="s">
        <v>88</v>
      </c>
      <c r="D2544" s="2" t="s">
        <v>23</v>
      </c>
      <c r="E2544" s="2">
        <v>26</v>
      </c>
      <c r="F2544" s="2">
        <v>54</v>
      </c>
      <c r="G2544" s="2">
        <v>163</v>
      </c>
      <c r="H2544" s="9">
        <f t="shared" si="39"/>
        <v>20.324438255109339</v>
      </c>
      <c r="I2544" s="2" t="str" cm="1">
        <f t="array" ref="I2544">_xlfn.IFS(F2544&gt;=100,"Over weight",F2544&lt;100,"Average weight")</f>
        <v>Average weight</v>
      </c>
      <c r="J2544" s="2" t="str" cm="1">
        <f t="array" ref="J2544">_xlfn.IFS(G2544&lt;164,"Below Average height",G2544&gt;=165,"Above Average height",G2544=164,"Average height")</f>
        <v>Below Average height</v>
      </c>
      <c r="K2544" s="2" t="str" cm="1">
        <f t="array" ref="K2544">_xlfn.IFS(E2544&lt;=16,"Children",E2544&lt;=30,"Young Adults",E2544&lt;=45,"Middle-aged Adults",E2544&gt;45,"Old Adults")</f>
        <v>Young Adults</v>
      </c>
    </row>
    <row r="2545" spans="1:11" x14ac:dyDescent="0.45">
      <c r="A2545" s="2">
        <v>2026</v>
      </c>
      <c r="B2545" s="2" t="s">
        <v>2130</v>
      </c>
      <c r="C2545" s="2" t="s">
        <v>93</v>
      </c>
      <c r="D2545" s="2" t="s">
        <v>58</v>
      </c>
      <c r="E2545" s="2">
        <v>30</v>
      </c>
      <c r="F2545" s="2">
        <v>57</v>
      </c>
      <c r="G2545" s="2">
        <v>163</v>
      </c>
      <c r="H2545" s="9">
        <f t="shared" si="39"/>
        <v>21.453573713726524</v>
      </c>
      <c r="I2545" s="2" t="str" cm="1">
        <f t="array" ref="I2545">_xlfn.IFS(F2545&gt;=100,"Over weight",F2545&lt;100,"Average weight")</f>
        <v>Average weight</v>
      </c>
      <c r="J2545" s="2" t="str" cm="1">
        <f t="array" ref="J2545">_xlfn.IFS(G2545&lt;164,"Below Average height",G2545&gt;=165,"Above Average height",G2545=164,"Average height")</f>
        <v>Below Average height</v>
      </c>
      <c r="K2545" s="2" t="str" cm="1">
        <f t="array" ref="K2545">_xlfn.IFS(E2545&lt;=16,"Children",E2545&lt;=30,"Young Adults",E2545&lt;=45,"Middle-aged Adults",E2545&gt;45,"Old Adults")</f>
        <v>Young Adults</v>
      </c>
    </row>
    <row r="2546" spans="1:11" x14ac:dyDescent="0.45">
      <c r="A2546" s="2">
        <v>2028</v>
      </c>
      <c r="B2546" s="2" t="s">
        <v>2132</v>
      </c>
      <c r="C2546" s="2" t="s">
        <v>86</v>
      </c>
      <c r="D2546" s="2" t="s">
        <v>28</v>
      </c>
      <c r="E2546" s="2">
        <v>26</v>
      </c>
      <c r="F2546" s="2">
        <v>69</v>
      </c>
      <c r="G2546" s="2">
        <v>153</v>
      </c>
      <c r="H2546" s="9">
        <f t="shared" si="39"/>
        <v>29.475842624631554</v>
      </c>
      <c r="I2546" s="2" t="str" cm="1">
        <f t="array" ref="I2546">_xlfn.IFS(F2546&gt;=100,"Over weight",F2546&lt;100,"Average weight")</f>
        <v>Average weight</v>
      </c>
      <c r="J2546" s="2" t="str" cm="1">
        <f t="array" ref="J2546">_xlfn.IFS(G2546&lt;164,"Below Average height",G2546&gt;=165,"Above Average height",G2546=164,"Average height")</f>
        <v>Below Average height</v>
      </c>
      <c r="K2546" s="2" t="str" cm="1">
        <f t="array" ref="K2546">_xlfn.IFS(E2546&lt;=16,"Children",E2546&lt;=30,"Young Adults",E2546&lt;=45,"Middle-aged Adults",E2546&gt;45,"Old Adults")</f>
        <v>Young Adults</v>
      </c>
    </row>
    <row r="2547" spans="1:11" x14ac:dyDescent="0.45">
      <c r="A2547" s="2">
        <v>2041</v>
      </c>
      <c r="B2547" s="2" t="s">
        <v>2145</v>
      </c>
      <c r="C2547" s="2" t="s">
        <v>96</v>
      </c>
      <c r="D2547" s="2" t="s">
        <v>75</v>
      </c>
      <c r="E2547" s="2">
        <v>29</v>
      </c>
      <c r="F2547" s="2">
        <v>69</v>
      </c>
      <c r="G2547" s="2">
        <v>162</v>
      </c>
      <c r="H2547" s="9">
        <f t="shared" si="39"/>
        <v>26.291723822588015</v>
      </c>
      <c r="I2547" s="2" t="str" cm="1">
        <f t="array" ref="I2547">_xlfn.IFS(F2547&gt;=100,"Over weight",F2547&lt;100,"Average weight")</f>
        <v>Average weight</v>
      </c>
      <c r="J2547" s="2" t="str" cm="1">
        <f t="array" ref="J2547">_xlfn.IFS(G2547&lt;164,"Below Average height",G2547&gt;=165,"Above Average height",G2547=164,"Average height")</f>
        <v>Below Average height</v>
      </c>
      <c r="K2547" s="2" t="str" cm="1">
        <f t="array" ref="K2547">_xlfn.IFS(E2547&lt;=16,"Children",E2547&lt;=30,"Young Adults",E2547&lt;=45,"Middle-aged Adults",E2547&gt;45,"Old Adults")</f>
        <v>Young Adults</v>
      </c>
    </row>
    <row r="2548" spans="1:11" x14ac:dyDescent="0.45">
      <c r="A2548" s="2">
        <v>2053</v>
      </c>
      <c r="B2548" s="2" t="s">
        <v>2157</v>
      </c>
      <c r="C2548" s="2" t="s">
        <v>85</v>
      </c>
      <c r="D2548" s="2" t="s">
        <v>80</v>
      </c>
      <c r="E2548" s="2">
        <v>30</v>
      </c>
      <c r="F2548" s="2">
        <v>61</v>
      </c>
      <c r="G2548" s="2">
        <v>163</v>
      </c>
      <c r="H2548" s="9">
        <f t="shared" si="39"/>
        <v>22.959087658549439</v>
      </c>
      <c r="I2548" s="2" t="str" cm="1">
        <f t="array" ref="I2548">_xlfn.IFS(F2548&gt;=100,"Over weight",F2548&lt;100,"Average weight")</f>
        <v>Average weight</v>
      </c>
      <c r="J2548" s="2" t="str" cm="1">
        <f t="array" ref="J2548">_xlfn.IFS(G2548&lt;164,"Below Average height",G2548&gt;=165,"Above Average height",G2548=164,"Average height")</f>
        <v>Below Average height</v>
      </c>
      <c r="K2548" s="2" t="str" cm="1">
        <f t="array" ref="K2548">_xlfn.IFS(E2548&lt;=16,"Children",E2548&lt;=30,"Young Adults",E2548&lt;=45,"Middle-aged Adults",E2548&gt;45,"Old Adults")</f>
        <v>Young Adults</v>
      </c>
    </row>
    <row r="2549" spans="1:11" x14ac:dyDescent="0.45">
      <c r="A2549" s="2">
        <v>2059</v>
      </c>
      <c r="B2549" s="2" t="s">
        <v>2163</v>
      </c>
      <c r="C2549" s="2" t="s">
        <v>85</v>
      </c>
      <c r="D2549" s="2" t="s">
        <v>6</v>
      </c>
      <c r="E2549" s="2">
        <v>20</v>
      </c>
      <c r="F2549" s="2">
        <v>59</v>
      </c>
      <c r="G2549" s="2">
        <v>157</v>
      </c>
      <c r="H2549" s="9">
        <f t="shared" si="39"/>
        <v>23.936062314901211</v>
      </c>
      <c r="I2549" s="2" t="str" cm="1">
        <f t="array" ref="I2549">_xlfn.IFS(F2549&gt;=100,"Over weight",F2549&lt;100,"Average weight")</f>
        <v>Average weight</v>
      </c>
      <c r="J2549" s="2" t="str" cm="1">
        <f t="array" ref="J2549">_xlfn.IFS(G2549&lt;164,"Below Average height",G2549&gt;=165,"Above Average height",G2549=164,"Average height")</f>
        <v>Below Average height</v>
      </c>
      <c r="K2549" s="2" t="str" cm="1">
        <f t="array" ref="K2549">_xlfn.IFS(E2549&lt;=16,"Children",E2549&lt;=30,"Young Adults",E2549&lt;=45,"Middle-aged Adults",E2549&gt;45,"Old Adults")</f>
        <v>Young Adults</v>
      </c>
    </row>
    <row r="2550" spans="1:11" x14ac:dyDescent="0.45">
      <c r="A2550" s="2">
        <v>2066</v>
      </c>
      <c r="B2550" s="2" t="s">
        <v>2170</v>
      </c>
      <c r="C2550" s="2" t="s">
        <v>87</v>
      </c>
      <c r="D2550" s="2" t="s">
        <v>80</v>
      </c>
      <c r="E2550" s="2">
        <v>24</v>
      </c>
      <c r="F2550" s="2">
        <v>51</v>
      </c>
      <c r="G2550" s="2">
        <v>157</v>
      </c>
      <c r="H2550" s="9">
        <f t="shared" si="39"/>
        <v>20.690494543389182</v>
      </c>
      <c r="I2550" s="2" t="str" cm="1">
        <f t="array" ref="I2550">_xlfn.IFS(F2550&gt;=100,"Over weight",F2550&lt;100,"Average weight")</f>
        <v>Average weight</v>
      </c>
      <c r="J2550" s="2" t="str" cm="1">
        <f t="array" ref="J2550">_xlfn.IFS(G2550&lt;164,"Below Average height",G2550&gt;=165,"Above Average height",G2550=164,"Average height")</f>
        <v>Below Average height</v>
      </c>
      <c r="K2550" s="2" t="str" cm="1">
        <f t="array" ref="K2550">_xlfn.IFS(E2550&lt;=16,"Children",E2550&lt;=30,"Young Adults",E2550&lt;=45,"Middle-aged Adults",E2550&gt;45,"Old Adults")</f>
        <v>Young Adults</v>
      </c>
    </row>
    <row r="2551" spans="1:11" x14ac:dyDescent="0.45">
      <c r="A2551" s="2">
        <v>2093</v>
      </c>
      <c r="B2551" s="2" t="s">
        <v>2197</v>
      </c>
      <c r="C2551" s="2" t="s">
        <v>88</v>
      </c>
      <c r="D2551" s="2" t="s">
        <v>79</v>
      </c>
      <c r="E2551" s="2">
        <v>24</v>
      </c>
      <c r="F2551" s="2">
        <v>55</v>
      </c>
      <c r="G2551" s="2">
        <v>160</v>
      </c>
      <c r="H2551" s="9">
        <f t="shared" si="39"/>
        <v>21.484374999999996</v>
      </c>
      <c r="I2551" s="2" t="str" cm="1">
        <f t="array" ref="I2551">_xlfn.IFS(F2551&gt;=100,"Over weight",F2551&lt;100,"Average weight")</f>
        <v>Average weight</v>
      </c>
      <c r="J2551" s="2" t="str" cm="1">
        <f t="array" ref="J2551">_xlfn.IFS(G2551&lt;164,"Below Average height",G2551&gt;=165,"Above Average height",G2551=164,"Average height")</f>
        <v>Below Average height</v>
      </c>
      <c r="K2551" s="2" t="str" cm="1">
        <f t="array" ref="K2551">_xlfn.IFS(E2551&lt;=16,"Children",E2551&lt;=30,"Young Adults",E2551&lt;=45,"Middle-aged Adults",E2551&gt;45,"Old Adults")</f>
        <v>Young Adults</v>
      </c>
    </row>
    <row r="2552" spans="1:11" x14ac:dyDescent="0.45">
      <c r="A2552" s="2">
        <v>2094</v>
      </c>
      <c r="B2552" s="2" t="s">
        <v>2198</v>
      </c>
      <c r="C2552" s="2" t="s">
        <v>88</v>
      </c>
      <c r="D2552" s="2" t="s">
        <v>79</v>
      </c>
      <c r="E2552" s="2">
        <v>24</v>
      </c>
      <c r="F2552" s="2">
        <v>55</v>
      </c>
      <c r="G2552" s="2">
        <v>160</v>
      </c>
      <c r="H2552" s="9">
        <f t="shared" si="39"/>
        <v>21.484374999999996</v>
      </c>
      <c r="I2552" s="2" t="str" cm="1">
        <f t="array" ref="I2552">_xlfn.IFS(F2552&gt;=100,"Over weight",F2552&lt;100,"Average weight")</f>
        <v>Average weight</v>
      </c>
      <c r="J2552" s="2" t="str" cm="1">
        <f t="array" ref="J2552">_xlfn.IFS(G2552&lt;164,"Below Average height",G2552&gt;=165,"Above Average height",G2552=164,"Average height")</f>
        <v>Below Average height</v>
      </c>
      <c r="K2552" s="2" t="str" cm="1">
        <f t="array" ref="K2552">_xlfn.IFS(E2552&lt;=16,"Children",E2552&lt;=30,"Young Adults",E2552&lt;=45,"Middle-aged Adults",E2552&gt;45,"Old Adults")</f>
        <v>Young Adults</v>
      </c>
    </row>
    <row r="2553" spans="1:11" x14ac:dyDescent="0.45">
      <c r="A2553" s="2">
        <v>2099</v>
      </c>
      <c r="B2553" s="2" t="s">
        <v>2203</v>
      </c>
      <c r="C2553" s="2" t="s">
        <v>87</v>
      </c>
      <c r="D2553" s="2" t="s">
        <v>44</v>
      </c>
      <c r="E2553" s="2">
        <v>19</v>
      </c>
      <c r="F2553" s="2">
        <v>56</v>
      </c>
      <c r="G2553" s="2">
        <v>163</v>
      </c>
      <c r="H2553" s="9">
        <f t="shared" si="39"/>
        <v>21.077195227520797</v>
      </c>
      <c r="I2553" s="2" t="str" cm="1">
        <f t="array" ref="I2553">_xlfn.IFS(F2553&gt;=100,"Over weight",F2553&lt;100,"Average weight")</f>
        <v>Average weight</v>
      </c>
      <c r="J2553" s="2" t="str" cm="1">
        <f t="array" ref="J2553">_xlfn.IFS(G2553&lt;164,"Below Average height",G2553&gt;=165,"Above Average height",G2553=164,"Average height")</f>
        <v>Below Average height</v>
      </c>
      <c r="K2553" s="2" t="str" cm="1">
        <f t="array" ref="K2553">_xlfn.IFS(E2553&lt;=16,"Children",E2553&lt;=30,"Young Adults",E2553&lt;=45,"Middle-aged Adults",E2553&gt;45,"Old Adults")</f>
        <v>Young Adults</v>
      </c>
    </row>
    <row r="2554" spans="1:11" x14ac:dyDescent="0.45">
      <c r="A2554" s="2">
        <v>2101</v>
      </c>
      <c r="B2554" s="2" t="s">
        <v>2205</v>
      </c>
      <c r="C2554" s="2" t="s">
        <v>85</v>
      </c>
      <c r="D2554" s="2" t="s">
        <v>4</v>
      </c>
      <c r="E2554" s="2">
        <v>21</v>
      </c>
      <c r="F2554" s="2">
        <v>68</v>
      </c>
      <c r="G2554" s="2">
        <v>163</v>
      </c>
      <c r="H2554" s="9">
        <f t="shared" si="39"/>
        <v>25.59373706198954</v>
      </c>
      <c r="I2554" s="2" t="str" cm="1">
        <f t="array" ref="I2554">_xlfn.IFS(F2554&gt;=100,"Over weight",F2554&lt;100,"Average weight")</f>
        <v>Average weight</v>
      </c>
      <c r="J2554" s="2" t="str" cm="1">
        <f t="array" ref="J2554">_xlfn.IFS(G2554&lt;164,"Below Average height",G2554&gt;=165,"Above Average height",G2554=164,"Average height")</f>
        <v>Below Average height</v>
      </c>
      <c r="K2554" s="2" t="str" cm="1">
        <f t="array" ref="K2554">_xlfn.IFS(E2554&lt;=16,"Children",E2554&lt;=30,"Young Adults",E2554&lt;=45,"Middle-aged Adults",E2554&gt;45,"Old Adults")</f>
        <v>Young Adults</v>
      </c>
    </row>
    <row r="2555" spans="1:11" x14ac:dyDescent="0.45">
      <c r="A2555" s="2">
        <v>2104</v>
      </c>
      <c r="B2555" s="2" t="s">
        <v>2208</v>
      </c>
      <c r="C2555" s="2" t="s">
        <v>87</v>
      </c>
      <c r="D2555" s="2" t="s">
        <v>66</v>
      </c>
      <c r="E2555" s="2">
        <v>27</v>
      </c>
      <c r="F2555" s="2">
        <v>55</v>
      </c>
      <c r="G2555" s="2">
        <v>158</v>
      </c>
      <c r="H2555" s="9">
        <f t="shared" si="39"/>
        <v>22.031725684986377</v>
      </c>
      <c r="I2555" s="2" t="str" cm="1">
        <f t="array" ref="I2555">_xlfn.IFS(F2555&gt;=100,"Over weight",F2555&lt;100,"Average weight")</f>
        <v>Average weight</v>
      </c>
      <c r="J2555" s="2" t="str" cm="1">
        <f t="array" ref="J2555">_xlfn.IFS(G2555&lt;164,"Below Average height",G2555&gt;=165,"Above Average height",G2555=164,"Average height")</f>
        <v>Below Average height</v>
      </c>
      <c r="K2555" s="2" t="str" cm="1">
        <f t="array" ref="K2555">_xlfn.IFS(E2555&lt;=16,"Children",E2555&lt;=30,"Young Adults",E2555&lt;=45,"Middle-aged Adults",E2555&gt;45,"Old Adults")</f>
        <v>Young Adults</v>
      </c>
    </row>
    <row r="2556" spans="1:11" x14ac:dyDescent="0.45">
      <c r="A2556" s="2">
        <v>2117</v>
      </c>
      <c r="B2556" s="2" t="s">
        <v>2221</v>
      </c>
      <c r="C2556" s="2" t="s">
        <v>86</v>
      </c>
      <c r="D2556" s="2" t="s">
        <v>17</v>
      </c>
      <c r="E2556" s="2">
        <v>31</v>
      </c>
      <c r="F2556" s="2">
        <v>57</v>
      </c>
      <c r="G2556" s="2">
        <v>158</v>
      </c>
      <c r="H2556" s="9">
        <f t="shared" si="39"/>
        <v>22.832879346258608</v>
      </c>
      <c r="I2556" s="2" t="str" cm="1">
        <f t="array" ref="I2556">_xlfn.IFS(F2556&gt;=100,"Over weight",F2556&lt;100,"Average weight")</f>
        <v>Average weight</v>
      </c>
      <c r="J2556" s="2" t="str" cm="1">
        <f t="array" ref="J2556">_xlfn.IFS(G2556&lt;164,"Below Average height",G2556&gt;=165,"Above Average height",G2556=164,"Average height")</f>
        <v>Below Average height</v>
      </c>
      <c r="K2556" s="2" t="str" cm="1">
        <f t="array" ref="K2556">_xlfn.IFS(E2556&lt;=16,"Children",E2556&lt;=30,"Young Adults",E2556&lt;=45,"Middle-aged Adults",E2556&gt;45,"Old Adults")</f>
        <v>Middle-aged Adults</v>
      </c>
    </row>
    <row r="2557" spans="1:11" x14ac:dyDescent="0.45">
      <c r="A2557" s="2">
        <v>2123</v>
      </c>
      <c r="B2557" s="2" t="s">
        <v>2227</v>
      </c>
      <c r="C2557" s="2" t="s">
        <v>89</v>
      </c>
      <c r="D2557" s="2" t="s">
        <v>41</v>
      </c>
      <c r="E2557" s="2">
        <v>30</v>
      </c>
      <c r="F2557" s="2">
        <v>51</v>
      </c>
      <c r="G2557" s="2">
        <v>156</v>
      </c>
      <c r="H2557" s="9">
        <f t="shared" si="39"/>
        <v>20.956607495069033</v>
      </c>
      <c r="I2557" s="2" t="str" cm="1">
        <f t="array" ref="I2557">_xlfn.IFS(F2557&gt;=100,"Over weight",F2557&lt;100,"Average weight")</f>
        <v>Average weight</v>
      </c>
      <c r="J2557" s="2" t="str" cm="1">
        <f t="array" ref="J2557">_xlfn.IFS(G2557&lt;164,"Below Average height",G2557&gt;=165,"Above Average height",G2557=164,"Average height")</f>
        <v>Below Average height</v>
      </c>
      <c r="K2557" s="2" t="str" cm="1">
        <f t="array" ref="K2557">_xlfn.IFS(E2557&lt;=16,"Children",E2557&lt;=30,"Young Adults",E2557&lt;=45,"Middle-aged Adults",E2557&gt;45,"Old Adults")</f>
        <v>Young Adults</v>
      </c>
    </row>
    <row r="2558" spans="1:11" x14ac:dyDescent="0.45">
      <c r="A2558" s="2">
        <v>2158</v>
      </c>
      <c r="B2558" s="2" t="s">
        <v>2262</v>
      </c>
      <c r="C2558" s="2" t="s">
        <v>88</v>
      </c>
      <c r="D2558" s="2" t="s">
        <v>8</v>
      </c>
      <c r="E2558" s="2">
        <v>24</v>
      </c>
      <c r="F2558" s="2">
        <v>50</v>
      </c>
      <c r="G2558" s="2">
        <v>160</v>
      </c>
      <c r="H2558" s="9">
        <f t="shared" si="39"/>
        <v>19.531249999999996</v>
      </c>
      <c r="I2558" s="2" t="str" cm="1">
        <f t="array" ref="I2558">_xlfn.IFS(F2558&gt;=100,"Over weight",F2558&lt;100,"Average weight")</f>
        <v>Average weight</v>
      </c>
      <c r="J2558" s="2" t="str" cm="1">
        <f t="array" ref="J2558">_xlfn.IFS(G2558&lt;164,"Below Average height",G2558&gt;=165,"Above Average height",G2558=164,"Average height")</f>
        <v>Below Average height</v>
      </c>
      <c r="K2558" s="2" t="str" cm="1">
        <f t="array" ref="K2558">_xlfn.IFS(E2558&lt;=16,"Children",E2558&lt;=30,"Young Adults",E2558&lt;=45,"Middle-aged Adults",E2558&gt;45,"Old Adults")</f>
        <v>Young Adults</v>
      </c>
    </row>
    <row r="2559" spans="1:11" x14ac:dyDescent="0.45">
      <c r="A2559" s="2">
        <v>2166</v>
      </c>
      <c r="B2559" s="2" t="s">
        <v>2270</v>
      </c>
      <c r="C2559" s="2" t="s">
        <v>88</v>
      </c>
      <c r="D2559" s="2" t="s">
        <v>66</v>
      </c>
      <c r="E2559" s="2">
        <v>23</v>
      </c>
      <c r="F2559" s="2">
        <v>54</v>
      </c>
      <c r="G2559" s="2">
        <v>162</v>
      </c>
      <c r="H2559" s="9">
        <f t="shared" si="39"/>
        <v>20.576131687242793</v>
      </c>
      <c r="I2559" s="2" t="str" cm="1">
        <f t="array" ref="I2559">_xlfn.IFS(F2559&gt;=100,"Over weight",F2559&lt;100,"Average weight")</f>
        <v>Average weight</v>
      </c>
      <c r="J2559" s="2" t="str" cm="1">
        <f t="array" ref="J2559">_xlfn.IFS(G2559&lt;164,"Below Average height",G2559&gt;=165,"Above Average height",G2559=164,"Average height")</f>
        <v>Below Average height</v>
      </c>
      <c r="K2559" s="2" t="str" cm="1">
        <f t="array" ref="K2559">_xlfn.IFS(E2559&lt;=16,"Children",E2559&lt;=30,"Young Adults",E2559&lt;=45,"Middle-aged Adults",E2559&gt;45,"Old Adults")</f>
        <v>Young Adults</v>
      </c>
    </row>
    <row r="2560" spans="1:11" x14ac:dyDescent="0.45">
      <c r="A2560" s="2">
        <v>2171</v>
      </c>
      <c r="B2560" s="2" t="s">
        <v>2275</v>
      </c>
      <c r="C2560" s="2" t="s">
        <v>91</v>
      </c>
      <c r="D2560" s="2" t="s">
        <v>75</v>
      </c>
      <c r="E2560" s="2">
        <v>21</v>
      </c>
      <c r="F2560" s="2">
        <v>55</v>
      </c>
      <c r="G2560" s="2">
        <v>158</v>
      </c>
      <c r="H2560" s="9">
        <f t="shared" si="39"/>
        <v>22.031725684986377</v>
      </c>
      <c r="I2560" s="2" t="str" cm="1">
        <f t="array" ref="I2560">_xlfn.IFS(F2560&gt;=100,"Over weight",F2560&lt;100,"Average weight")</f>
        <v>Average weight</v>
      </c>
      <c r="J2560" s="2" t="str" cm="1">
        <f t="array" ref="J2560">_xlfn.IFS(G2560&lt;164,"Below Average height",G2560&gt;=165,"Above Average height",G2560=164,"Average height")</f>
        <v>Below Average height</v>
      </c>
      <c r="K2560" s="2" t="str" cm="1">
        <f t="array" ref="K2560">_xlfn.IFS(E2560&lt;=16,"Children",E2560&lt;=30,"Young Adults",E2560&lt;=45,"Middle-aged Adults",E2560&gt;45,"Old Adults")</f>
        <v>Young Adults</v>
      </c>
    </row>
    <row r="2561" spans="1:11" x14ac:dyDescent="0.45">
      <c r="A2561" s="2">
        <v>2192</v>
      </c>
      <c r="B2561" s="2" t="s">
        <v>2296</v>
      </c>
      <c r="C2561" s="2" t="s">
        <v>91</v>
      </c>
      <c r="D2561" s="2" t="s">
        <v>66</v>
      </c>
      <c r="E2561" s="2">
        <v>17</v>
      </c>
      <c r="F2561" s="2">
        <v>66</v>
      </c>
      <c r="G2561" s="2">
        <v>160</v>
      </c>
      <c r="H2561" s="9">
        <f t="shared" si="39"/>
        <v>25.781249999999996</v>
      </c>
      <c r="I2561" s="2" t="str" cm="1">
        <f t="array" ref="I2561">_xlfn.IFS(F2561&gt;=100,"Over weight",F2561&lt;100,"Average weight")</f>
        <v>Average weight</v>
      </c>
      <c r="J2561" s="2" t="str" cm="1">
        <f t="array" ref="J2561">_xlfn.IFS(G2561&lt;164,"Below Average height",G2561&gt;=165,"Above Average height",G2561=164,"Average height")</f>
        <v>Below Average height</v>
      </c>
      <c r="K2561" s="2" t="str" cm="1">
        <f t="array" ref="K2561">_xlfn.IFS(E2561&lt;=16,"Children",E2561&lt;=30,"Young Adults",E2561&lt;=45,"Middle-aged Adults",E2561&gt;45,"Old Adults")</f>
        <v>Young Adults</v>
      </c>
    </row>
    <row r="2562" spans="1:11" x14ac:dyDescent="0.45">
      <c r="A2562" s="2">
        <v>2193</v>
      </c>
      <c r="B2562" s="2" t="s">
        <v>2297</v>
      </c>
      <c r="C2562" s="2" t="s">
        <v>91</v>
      </c>
      <c r="D2562" s="2" t="s">
        <v>14</v>
      </c>
      <c r="E2562" s="2">
        <v>30</v>
      </c>
      <c r="F2562" s="2">
        <v>76</v>
      </c>
      <c r="G2562" s="2">
        <v>163</v>
      </c>
      <c r="H2562" s="9">
        <f t="shared" ref="H2562:H2607" si="40" xml:space="preserve"> F2562 / (( G2562/ 100) ^ 2)</f>
        <v>28.604764951635367</v>
      </c>
      <c r="I2562" s="2" t="str" cm="1">
        <f t="array" ref="I2562">_xlfn.IFS(F2562&gt;=100,"Over weight",F2562&lt;100,"Average weight")</f>
        <v>Average weight</v>
      </c>
      <c r="J2562" s="2" t="str" cm="1">
        <f t="array" ref="J2562">_xlfn.IFS(G2562&lt;164,"Below Average height",G2562&gt;=165,"Above Average height",G2562=164,"Average height")</f>
        <v>Below Average height</v>
      </c>
      <c r="K2562" s="2" t="str" cm="1">
        <f t="array" ref="K2562">_xlfn.IFS(E2562&lt;=16,"Children",E2562&lt;=30,"Young Adults",E2562&lt;=45,"Middle-aged Adults",E2562&gt;45,"Old Adults")</f>
        <v>Young Adults</v>
      </c>
    </row>
    <row r="2563" spans="1:11" x14ac:dyDescent="0.45">
      <c r="A2563" s="2">
        <v>2202</v>
      </c>
      <c r="B2563" s="2" t="s">
        <v>2306</v>
      </c>
      <c r="C2563" s="2" t="s">
        <v>88</v>
      </c>
      <c r="D2563" s="2" t="s">
        <v>80</v>
      </c>
      <c r="E2563" s="2">
        <v>22</v>
      </c>
      <c r="F2563" s="2">
        <v>51</v>
      </c>
      <c r="G2563" s="2">
        <v>152</v>
      </c>
      <c r="H2563" s="9">
        <f t="shared" si="40"/>
        <v>22.07409972299169</v>
      </c>
      <c r="I2563" s="2" t="str" cm="1">
        <f t="array" ref="I2563">_xlfn.IFS(F2563&gt;=100,"Over weight",F2563&lt;100,"Average weight")</f>
        <v>Average weight</v>
      </c>
      <c r="J2563" s="2" t="str" cm="1">
        <f t="array" ref="J2563">_xlfn.IFS(G2563&lt;164,"Below Average height",G2563&gt;=165,"Above Average height",G2563=164,"Average height")</f>
        <v>Below Average height</v>
      </c>
      <c r="K2563" s="2" t="str" cm="1">
        <f t="array" ref="K2563">_xlfn.IFS(E2563&lt;=16,"Children",E2563&lt;=30,"Young Adults",E2563&lt;=45,"Middle-aged Adults",E2563&gt;45,"Old Adults")</f>
        <v>Young Adults</v>
      </c>
    </row>
    <row r="2564" spans="1:11" x14ac:dyDescent="0.45">
      <c r="A2564" s="2">
        <v>2228</v>
      </c>
      <c r="B2564" s="2" t="s">
        <v>2332</v>
      </c>
      <c r="C2564" s="2" t="s">
        <v>94</v>
      </c>
      <c r="D2564" s="2" t="s">
        <v>80</v>
      </c>
      <c r="E2564" s="2">
        <v>23</v>
      </c>
      <c r="F2564" s="2">
        <v>52</v>
      </c>
      <c r="G2564" s="2">
        <v>157</v>
      </c>
      <c r="H2564" s="9">
        <f t="shared" si="40"/>
        <v>21.096190514828187</v>
      </c>
      <c r="I2564" s="2" t="str" cm="1">
        <f t="array" ref="I2564">_xlfn.IFS(F2564&gt;=100,"Over weight",F2564&lt;100,"Average weight")</f>
        <v>Average weight</v>
      </c>
      <c r="J2564" s="2" t="str" cm="1">
        <f t="array" ref="J2564">_xlfn.IFS(G2564&lt;164,"Below Average height",G2564&gt;=165,"Above Average height",G2564=164,"Average height")</f>
        <v>Below Average height</v>
      </c>
      <c r="K2564" s="2" t="str" cm="1">
        <f t="array" ref="K2564">_xlfn.IFS(E2564&lt;=16,"Children",E2564&lt;=30,"Young Adults",E2564&lt;=45,"Middle-aged Adults",E2564&gt;45,"Old Adults")</f>
        <v>Young Adults</v>
      </c>
    </row>
    <row r="2565" spans="1:11" x14ac:dyDescent="0.45">
      <c r="A2565" s="2">
        <v>2230</v>
      </c>
      <c r="B2565" s="2" t="s">
        <v>2334</v>
      </c>
      <c r="C2565" s="2" t="s">
        <v>98</v>
      </c>
      <c r="D2565" s="2" t="s">
        <v>14</v>
      </c>
      <c r="E2565" s="2">
        <v>19</v>
      </c>
      <c r="F2565" s="2">
        <v>60</v>
      </c>
      <c r="G2565" s="2">
        <v>162</v>
      </c>
      <c r="H2565" s="9">
        <f t="shared" si="40"/>
        <v>22.862368541380881</v>
      </c>
      <c r="I2565" s="2" t="str" cm="1">
        <f t="array" ref="I2565">_xlfn.IFS(F2565&gt;=100,"Over weight",F2565&lt;100,"Average weight")</f>
        <v>Average weight</v>
      </c>
      <c r="J2565" s="2" t="str" cm="1">
        <f t="array" ref="J2565">_xlfn.IFS(G2565&lt;164,"Below Average height",G2565&gt;=165,"Above Average height",G2565=164,"Average height")</f>
        <v>Below Average height</v>
      </c>
      <c r="K2565" s="2" t="str" cm="1">
        <f t="array" ref="K2565">_xlfn.IFS(E2565&lt;=16,"Children",E2565&lt;=30,"Young Adults",E2565&lt;=45,"Middle-aged Adults",E2565&gt;45,"Old Adults")</f>
        <v>Young Adults</v>
      </c>
    </row>
    <row r="2566" spans="1:11" x14ac:dyDescent="0.45">
      <c r="A2566" s="2">
        <v>2232</v>
      </c>
      <c r="B2566" s="2" t="s">
        <v>2336</v>
      </c>
      <c r="C2566" s="2" t="s">
        <v>91</v>
      </c>
      <c r="D2566" s="2" t="s">
        <v>75</v>
      </c>
      <c r="E2566" s="2">
        <v>19</v>
      </c>
      <c r="F2566" s="2">
        <v>56</v>
      </c>
      <c r="G2566" s="2">
        <v>160</v>
      </c>
      <c r="H2566" s="9">
        <f t="shared" si="40"/>
        <v>21.874999999999996</v>
      </c>
      <c r="I2566" s="2" t="str" cm="1">
        <f t="array" ref="I2566">_xlfn.IFS(F2566&gt;=100,"Over weight",F2566&lt;100,"Average weight")</f>
        <v>Average weight</v>
      </c>
      <c r="J2566" s="2" t="str" cm="1">
        <f t="array" ref="J2566">_xlfn.IFS(G2566&lt;164,"Below Average height",G2566&gt;=165,"Above Average height",G2566=164,"Average height")</f>
        <v>Below Average height</v>
      </c>
      <c r="K2566" s="2" t="str" cm="1">
        <f t="array" ref="K2566">_xlfn.IFS(E2566&lt;=16,"Children",E2566&lt;=30,"Young Adults",E2566&lt;=45,"Middle-aged Adults",E2566&gt;45,"Old Adults")</f>
        <v>Young Adults</v>
      </c>
    </row>
    <row r="2567" spans="1:11" x14ac:dyDescent="0.45">
      <c r="A2567" s="2">
        <v>2256</v>
      </c>
      <c r="B2567" s="2" t="s">
        <v>2360</v>
      </c>
      <c r="C2567" s="2" t="s">
        <v>87</v>
      </c>
      <c r="D2567" s="2" t="s">
        <v>21</v>
      </c>
      <c r="E2567" s="2">
        <v>27</v>
      </c>
      <c r="F2567" s="2">
        <v>55</v>
      </c>
      <c r="G2567" s="2">
        <v>162</v>
      </c>
      <c r="H2567" s="9">
        <f t="shared" si="40"/>
        <v>20.957171162932475</v>
      </c>
      <c r="I2567" s="2" t="str" cm="1">
        <f t="array" ref="I2567">_xlfn.IFS(F2567&gt;=100,"Over weight",F2567&lt;100,"Average weight")</f>
        <v>Average weight</v>
      </c>
      <c r="J2567" s="2" t="str" cm="1">
        <f t="array" ref="J2567">_xlfn.IFS(G2567&lt;164,"Below Average height",G2567&gt;=165,"Above Average height",G2567=164,"Average height")</f>
        <v>Below Average height</v>
      </c>
      <c r="K2567" s="2" t="str" cm="1">
        <f t="array" ref="K2567">_xlfn.IFS(E2567&lt;=16,"Children",E2567&lt;=30,"Young Adults",E2567&lt;=45,"Middle-aged Adults",E2567&gt;45,"Old Adults")</f>
        <v>Young Adults</v>
      </c>
    </row>
    <row r="2568" spans="1:11" x14ac:dyDescent="0.45">
      <c r="A2568" s="2">
        <v>2257</v>
      </c>
      <c r="B2568" s="2" t="s">
        <v>2361</v>
      </c>
      <c r="C2568" s="2" t="s">
        <v>87</v>
      </c>
      <c r="D2568" s="2" t="s">
        <v>21</v>
      </c>
      <c r="E2568" s="2">
        <v>24</v>
      </c>
      <c r="F2568" s="2">
        <v>51</v>
      </c>
      <c r="G2568" s="2">
        <v>161</v>
      </c>
      <c r="H2568" s="9">
        <f t="shared" si="40"/>
        <v>19.675166853130666</v>
      </c>
      <c r="I2568" s="2" t="str" cm="1">
        <f t="array" ref="I2568">_xlfn.IFS(F2568&gt;=100,"Over weight",F2568&lt;100,"Average weight")</f>
        <v>Average weight</v>
      </c>
      <c r="J2568" s="2" t="str" cm="1">
        <f t="array" ref="J2568">_xlfn.IFS(G2568&lt;164,"Below Average height",G2568&gt;=165,"Above Average height",G2568=164,"Average height")</f>
        <v>Below Average height</v>
      </c>
      <c r="K2568" s="2" t="str" cm="1">
        <f t="array" ref="K2568">_xlfn.IFS(E2568&lt;=16,"Children",E2568&lt;=30,"Young Adults",E2568&lt;=45,"Middle-aged Adults",E2568&gt;45,"Old Adults")</f>
        <v>Young Adults</v>
      </c>
    </row>
    <row r="2569" spans="1:11" x14ac:dyDescent="0.45">
      <c r="A2569" s="2">
        <v>2259</v>
      </c>
      <c r="B2569" s="2" t="s">
        <v>2363</v>
      </c>
      <c r="C2569" s="2" t="s">
        <v>86</v>
      </c>
      <c r="D2569" s="2" t="s">
        <v>63</v>
      </c>
      <c r="E2569" s="2">
        <v>20</v>
      </c>
      <c r="F2569" s="2">
        <v>43</v>
      </c>
      <c r="G2569" s="2">
        <v>161</v>
      </c>
      <c r="H2569" s="9">
        <f t="shared" si="40"/>
        <v>16.588866170286639</v>
      </c>
      <c r="I2569" s="2" t="str" cm="1">
        <f t="array" ref="I2569">_xlfn.IFS(F2569&gt;=100,"Over weight",F2569&lt;100,"Average weight")</f>
        <v>Average weight</v>
      </c>
      <c r="J2569" s="2" t="str" cm="1">
        <f t="array" ref="J2569">_xlfn.IFS(G2569&lt;164,"Below Average height",G2569&gt;=165,"Above Average height",G2569=164,"Average height")</f>
        <v>Below Average height</v>
      </c>
      <c r="K2569" s="2" t="str" cm="1">
        <f t="array" ref="K2569">_xlfn.IFS(E2569&lt;=16,"Children",E2569&lt;=30,"Young Adults",E2569&lt;=45,"Middle-aged Adults",E2569&gt;45,"Old Adults")</f>
        <v>Young Adults</v>
      </c>
    </row>
    <row r="2570" spans="1:11" x14ac:dyDescent="0.45">
      <c r="A2570" s="2">
        <v>2264</v>
      </c>
      <c r="B2570" s="2" t="s">
        <v>2368</v>
      </c>
      <c r="C2570" s="2" t="s">
        <v>93</v>
      </c>
      <c r="D2570" s="2" t="s">
        <v>17</v>
      </c>
      <c r="E2570" s="2">
        <v>18</v>
      </c>
      <c r="F2570" s="2">
        <v>58</v>
      </c>
      <c r="G2570" s="2">
        <v>158</v>
      </c>
      <c r="H2570" s="9">
        <f t="shared" si="40"/>
        <v>23.233456176894723</v>
      </c>
      <c r="I2570" s="2" t="str" cm="1">
        <f t="array" ref="I2570">_xlfn.IFS(F2570&gt;=100,"Over weight",F2570&lt;100,"Average weight")</f>
        <v>Average weight</v>
      </c>
      <c r="J2570" s="2" t="str" cm="1">
        <f t="array" ref="J2570">_xlfn.IFS(G2570&lt;164,"Below Average height",G2570&gt;=165,"Above Average height",G2570=164,"Average height")</f>
        <v>Below Average height</v>
      </c>
      <c r="K2570" s="2" t="str" cm="1">
        <f t="array" ref="K2570">_xlfn.IFS(E2570&lt;=16,"Children",E2570&lt;=30,"Young Adults",E2570&lt;=45,"Middle-aged Adults",E2570&gt;45,"Old Adults")</f>
        <v>Young Adults</v>
      </c>
    </row>
    <row r="2571" spans="1:11" x14ac:dyDescent="0.45">
      <c r="A2571" s="2">
        <v>2269</v>
      </c>
      <c r="B2571" s="2" t="s">
        <v>2373</v>
      </c>
      <c r="C2571" s="2" t="s">
        <v>86</v>
      </c>
      <c r="D2571" s="2" t="s">
        <v>41</v>
      </c>
      <c r="E2571" s="2">
        <v>24</v>
      </c>
      <c r="F2571" s="2">
        <v>43</v>
      </c>
      <c r="G2571" s="2">
        <v>161</v>
      </c>
      <c r="H2571" s="9">
        <f t="shared" si="40"/>
        <v>16.588866170286639</v>
      </c>
      <c r="I2571" s="2" t="str" cm="1">
        <f t="array" ref="I2571">_xlfn.IFS(F2571&gt;=100,"Over weight",F2571&lt;100,"Average weight")</f>
        <v>Average weight</v>
      </c>
      <c r="J2571" s="2" t="str" cm="1">
        <f t="array" ref="J2571">_xlfn.IFS(G2571&lt;164,"Below Average height",G2571&gt;=165,"Above Average height",G2571=164,"Average height")</f>
        <v>Below Average height</v>
      </c>
      <c r="K2571" s="2" t="str" cm="1">
        <f t="array" ref="K2571">_xlfn.IFS(E2571&lt;=16,"Children",E2571&lt;=30,"Young Adults",E2571&lt;=45,"Middle-aged Adults",E2571&gt;45,"Old Adults")</f>
        <v>Young Adults</v>
      </c>
    </row>
    <row r="2572" spans="1:11" x14ac:dyDescent="0.45">
      <c r="A2572" s="2">
        <v>2270</v>
      </c>
      <c r="B2572" s="2" t="s">
        <v>2374</v>
      </c>
      <c r="C2572" s="2" t="s">
        <v>88</v>
      </c>
      <c r="D2572" s="2" t="s">
        <v>41</v>
      </c>
      <c r="E2572" s="2">
        <v>21</v>
      </c>
      <c r="F2572" s="2">
        <v>59</v>
      </c>
      <c r="G2572" s="2">
        <v>162</v>
      </c>
      <c r="H2572" s="9">
        <f t="shared" si="40"/>
        <v>22.481329065691202</v>
      </c>
      <c r="I2572" s="2" t="str" cm="1">
        <f t="array" ref="I2572">_xlfn.IFS(F2572&gt;=100,"Over weight",F2572&lt;100,"Average weight")</f>
        <v>Average weight</v>
      </c>
      <c r="J2572" s="2" t="str" cm="1">
        <f t="array" ref="J2572">_xlfn.IFS(G2572&lt;164,"Below Average height",G2572&gt;=165,"Above Average height",G2572=164,"Average height")</f>
        <v>Below Average height</v>
      </c>
      <c r="K2572" s="2" t="str" cm="1">
        <f t="array" ref="K2572">_xlfn.IFS(E2572&lt;=16,"Children",E2572&lt;=30,"Young Adults",E2572&lt;=45,"Middle-aged Adults",E2572&gt;45,"Old Adults")</f>
        <v>Young Adults</v>
      </c>
    </row>
    <row r="2573" spans="1:11" x14ac:dyDescent="0.45">
      <c r="A2573" s="2">
        <v>2284</v>
      </c>
      <c r="B2573" s="2" t="s">
        <v>2388</v>
      </c>
      <c r="C2573" s="2" t="s">
        <v>89</v>
      </c>
      <c r="D2573" s="2" t="s">
        <v>41</v>
      </c>
      <c r="E2573" s="2">
        <v>35</v>
      </c>
      <c r="F2573" s="2">
        <v>55</v>
      </c>
      <c r="G2573" s="2">
        <v>162</v>
      </c>
      <c r="H2573" s="9">
        <f t="shared" si="40"/>
        <v>20.957171162932475</v>
      </c>
      <c r="I2573" s="2" t="str" cm="1">
        <f t="array" ref="I2573">_xlfn.IFS(F2573&gt;=100,"Over weight",F2573&lt;100,"Average weight")</f>
        <v>Average weight</v>
      </c>
      <c r="J2573" s="2" t="str" cm="1">
        <f t="array" ref="J2573">_xlfn.IFS(G2573&lt;164,"Below Average height",G2573&gt;=165,"Above Average height",G2573=164,"Average height")</f>
        <v>Below Average height</v>
      </c>
      <c r="K2573" s="2" t="str" cm="1">
        <f t="array" ref="K2573">_xlfn.IFS(E2573&lt;=16,"Children",E2573&lt;=30,"Young Adults",E2573&lt;=45,"Middle-aged Adults",E2573&gt;45,"Old Adults")</f>
        <v>Middle-aged Adults</v>
      </c>
    </row>
    <row r="2574" spans="1:11" x14ac:dyDescent="0.45">
      <c r="A2574" s="2">
        <v>2287</v>
      </c>
      <c r="B2574" s="2" t="s">
        <v>2391</v>
      </c>
      <c r="C2574" s="2" t="s">
        <v>89</v>
      </c>
      <c r="D2574" s="2" t="s">
        <v>41</v>
      </c>
      <c r="E2574" s="2">
        <v>15</v>
      </c>
      <c r="F2574" s="2">
        <v>57</v>
      </c>
      <c r="G2574" s="2">
        <v>163</v>
      </c>
      <c r="H2574" s="9">
        <f t="shared" si="40"/>
        <v>21.453573713726524</v>
      </c>
      <c r="I2574" s="2" t="str" cm="1">
        <f t="array" ref="I2574">_xlfn.IFS(F2574&gt;=100,"Over weight",F2574&lt;100,"Average weight")</f>
        <v>Average weight</v>
      </c>
      <c r="J2574" s="2" t="str" cm="1">
        <f t="array" ref="J2574">_xlfn.IFS(G2574&lt;164,"Below Average height",G2574&gt;=165,"Above Average height",G2574=164,"Average height")</f>
        <v>Below Average height</v>
      </c>
      <c r="K2574" s="2" t="str" cm="1">
        <f t="array" ref="K2574">_xlfn.IFS(E2574&lt;=16,"Children",E2574&lt;=30,"Young Adults",E2574&lt;=45,"Middle-aged Adults",E2574&gt;45,"Old Adults")</f>
        <v>Children</v>
      </c>
    </row>
    <row r="2575" spans="1:11" x14ac:dyDescent="0.45">
      <c r="A2575" s="2">
        <v>2302</v>
      </c>
      <c r="B2575" s="2" t="s">
        <v>2406</v>
      </c>
      <c r="C2575" s="2" t="s">
        <v>91</v>
      </c>
      <c r="D2575" s="2" t="s">
        <v>17</v>
      </c>
      <c r="E2575" s="2">
        <v>24</v>
      </c>
      <c r="F2575" s="2">
        <v>54</v>
      </c>
      <c r="G2575" s="2">
        <v>163</v>
      </c>
      <c r="H2575" s="9">
        <f t="shared" si="40"/>
        <v>20.324438255109339</v>
      </c>
      <c r="I2575" s="2" t="str" cm="1">
        <f t="array" ref="I2575">_xlfn.IFS(F2575&gt;=100,"Over weight",F2575&lt;100,"Average weight")</f>
        <v>Average weight</v>
      </c>
      <c r="J2575" s="2" t="str" cm="1">
        <f t="array" ref="J2575">_xlfn.IFS(G2575&lt;164,"Below Average height",G2575&gt;=165,"Above Average height",G2575=164,"Average height")</f>
        <v>Below Average height</v>
      </c>
      <c r="K2575" s="2" t="str" cm="1">
        <f t="array" ref="K2575">_xlfn.IFS(E2575&lt;=16,"Children",E2575&lt;=30,"Young Adults",E2575&lt;=45,"Middle-aged Adults",E2575&gt;45,"Old Adults")</f>
        <v>Young Adults</v>
      </c>
    </row>
    <row r="2576" spans="1:11" x14ac:dyDescent="0.45">
      <c r="A2576" s="2">
        <v>2305</v>
      </c>
      <c r="B2576" s="2" t="s">
        <v>2409</v>
      </c>
      <c r="C2576" s="2" t="s">
        <v>93</v>
      </c>
      <c r="D2576" s="2" t="s">
        <v>14</v>
      </c>
      <c r="E2576" s="2">
        <v>17</v>
      </c>
      <c r="F2576" s="2">
        <v>54</v>
      </c>
      <c r="G2576" s="2">
        <v>160</v>
      </c>
      <c r="H2576" s="9">
        <f t="shared" si="40"/>
        <v>21.093749999999996</v>
      </c>
      <c r="I2576" s="2" t="str" cm="1">
        <f t="array" ref="I2576">_xlfn.IFS(F2576&gt;=100,"Over weight",F2576&lt;100,"Average weight")</f>
        <v>Average weight</v>
      </c>
      <c r="J2576" s="2" t="str" cm="1">
        <f t="array" ref="J2576">_xlfn.IFS(G2576&lt;164,"Below Average height",G2576&gt;=165,"Above Average height",G2576=164,"Average height")</f>
        <v>Below Average height</v>
      </c>
      <c r="K2576" s="2" t="str" cm="1">
        <f t="array" ref="K2576">_xlfn.IFS(E2576&lt;=16,"Children",E2576&lt;=30,"Young Adults",E2576&lt;=45,"Middle-aged Adults",E2576&gt;45,"Old Adults")</f>
        <v>Young Adults</v>
      </c>
    </row>
    <row r="2577" spans="1:11" x14ac:dyDescent="0.45">
      <c r="A2577" s="2">
        <v>2313</v>
      </c>
      <c r="B2577" s="2" t="s">
        <v>2417</v>
      </c>
      <c r="C2577" s="2" t="s">
        <v>91</v>
      </c>
      <c r="D2577" s="2" t="s">
        <v>66</v>
      </c>
      <c r="E2577" s="2">
        <v>26</v>
      </c>
      <c r="F2577" s="2">
        <v>69</v>
      </c>
      <c r="G2577" s="2">
        <v>163</v>
      </c>
      <c r="H2577" s="9">
        <f t="shared" si="40"/>
        <v>25.970115548195267</v>
      </c>
      <c r="I2577" s="2" t="str" cm="1">
        <f t="array" ref="I2577">_xlfn.IFS(F2577&gt;=100,"Over weight",F2577&lt;100,"Average weight")</f>
        <v>Average weight</v>
      </c>
      <c r="J2577" s="2" t="str" cm="1">
        <f t="array" ref="J2577">_xlfn.IFS(G2577&lt;164,"Below Average height",G2577&gt;=165,"Above Average height",G2577=164,"Average height")</f>
        <v>Below Average height</v>
      </c>
      <c r="K2577" s="2" t="str" cm="1">
        <f t="array" ref="K2577">_xlfn.IFS(E2577&lt;=16,"Children",E2577&lt;=30,"Young Adults",E2577&lt;=45,"Middle-aged Adults",E2577&gt;45,"Old Adults")</f>
        <v>Young Adults</v>
      </c>
    </row>
    <row r="2578" spans="1:11" x14ac:dyDescent="0.45">
      <c r="A2578" s="2">
        <v>2319</v>
      </c>
      <c r="B2578" s="2" t="s">
        <v>2423</v>
      </c>
      <c r="C2578" s="2" t="s">
        <v>91</v>
      </c>
      <c r="D2578" s="2" t="s">
        <v>75</v>
      </c>
      <c r="E2578" s="2">
        <v>17</v>
      </c>
      <c r="F2578" s="2">
        <v>67</v>
      </c>
      <c r="G2578" s="2">
        <v>162</v>
      </c>
      <c r="H2578" s="9">
        <f t="shared" si="40"/>
        <v>25.529644871208653</v>
      </c>
      <c r="I2578" s="2" t="str" cm="1">
        <f t="array" ref="I2578">_xlfn.IFS(F2578&gt;=100,"Over weight",F2578&lt;100,"Average weight")</f>
        <v>Average weight</v>
      </c>
      <c r="J2578" s="2" t="str" cm="1">
        <f t="array" ref="J2578">_xlfn.IFS(G2578&lt;164,"Below Average height",G2578&gt;=165,"Above Average height",G2578=164,"Average height")</f>
        <v>Below Average height</v>
      </c>
      <c r="K2578" s="2" t="str" cm="1">
        <f t="array" ref="K2578">_xlfn.IFS(E2578&lt;=16,"Children",E2578&lt;=30,"Young Adults",E2578&lt;=45,"Middle-aged Adults",E2578&gt;45,"Old Adults")</f>
        <v>Young Adults</v>
      </c>
    </row>
    <row r="2579" spans="1:11" x14ac:dyDescent="0.45">
      <c r="A2579" s="2">
        <v>2366</v>
      </c>
      <c r="B2579" s="2" t="s">
        <v>2470</v>
      </c>
      <c r="C2579" s="2" t="s">
        <v>87</v>
      </c>
      <c r="D2579" s="2" t="s">
        <v>8</v>
      </c>
      <c r="E2579" s="2">
        <v>30</v>
      </c>
      <c r="F2579" s="2">
        <v>53</v>
      </c>
      <c r="G2579" s="2">
        <v>153</v>
      </c>
      <c r="H2579" s="9">
        <f t="shared" si="40"/>
        <v>22.64086462471699</v>
      </c>
      <c r="I2579" s="2" t="str" cm="1">
        <f t="array" ref="I2579">_xlfn.IFS(F2579&gt;=100,"Over weight",F2579&lt;100,"Average weight")</f>
        <v>Average weight</v>
      </c>
      <c r="J2579" s="2" t="str" cm="1">
        <f t="array" ref="J2579">_xlfn.IFS(G2579&lt;164,"Below Average height",G2579&gt;=165,"Above Average height",G2579=164,"Average height")</f>
        <v>Below Average height</v>
      </c>
      <c r="K2579" s="2" t="str" cm="1">
        <f t="array" ref="K2579">_xlfn.IFS(E2579&lt;=16,"Children",E2579&lt;=30,"Young Adults",E2579&lt;=45,"Middle-aged Adults",E2579&gt;45,"Old Adults")</f>
        <v>Young Adults</v>
      </c>
    </row>
    <row r="2580" spans="1:11" x14ac:dyDescent="0.45">
      <c r="A2580" s="2">
        <v>2367</v>
      </c>
      <c r="B2580" s="2" t="s">
        <v>2471</v>
      </c>
      <c r="C2580" s="2" t="s">
        <v>93</v>
      </c>
      <c r="D2580" s="2" t="s">
        <v>66</v>
      </c>
      <c r="E2580" s="2">
        <v>22</v>
      </c>
      <c r="F2580" s="2">
        <v>65</v>
      </c>
      <c r="G2580" s="2">
        <v>162</v>
      </c>
      <c r="H2580" s="9">
        <f t="shared" si="40"/>
        <v>24.767565919829291</v>
      </c>
      <c r="I2580" s="2" t="str" cm="1">
        <f t="array" ref="I2580">_xlfn.IFS(F2580&gt;=100,"Over weight",F2580&lt;100,"Average weight")</f>
        <v>Average weight</v>
      </c>
      <c r="J2580" s="2" t="str" cm="1">
        <f t="array" ref="J2580">_xlfn.IFS(G2580&lt;164,"Below Average height",G2580&gt;=165,"Above Average height",G2580=164,"Average height")</f>
        <v>Below Average height</v>
      </c>
      <c r="K2580" s="2" t="str" cm="1">
        <f t="array" ref="K2580">_xlfn.IFS(E2580&lt;=16,"Children",E2580&lt;=30,"Young Adults",E2580&lt;=45,"Middle-aged Adults",E2580&gt;45,"Old Adults")</f>
        <v>Young Adults</v>
      </c>
    </row>
    <row r="2581" spans="1:11" x14ac:dyDescent="0.45">
      <c r="A2581" s="2">
        <v>2378</v>
      </c>
      <c r="B2581" s="2" t="s">
        <v>2482</v>
      </c>
      <c r="C2581" s="2" t="s">
        <v>100</v>
      </c>
      <c r="D2581" s="2" t="s">
        <v>80</v>
      </c>
      <c r="E2581" s="2">
        <v>25</v>
      </c>
      <c r="F2581" s="2">
        <v>64</v>
      </c>
      <c r="G2581" s="2">
        <v>163</v>
      </c>
      <c r="H2581" s="9">
        <f t="shared" si="40"/>
        <v>24.088223117166624</v>
      </c>
      <c r="I2581" s="2" t="str" cm="1">
        <f t="array" ref="I2581">_xlfn.IFS(F2581&gt;=100,"Over weight",F2581&lt;100,"Average weight")</f>
        <v>Average weight</v>
      </c>
      <c r="J2581" s="2" t="str" cm="1">
        <f t="array" ref="J2581">_xlfn.IFS(G2581&lt;164,"Below Average height",G2581&gt;=165,"Above Average height",G2581=164,"Average height")</f>
        <v>Below Average height</v>
      </c>
      <c r="K2581" s="2" t="str" cm="1">
        <f t="array" ref="K2581">_xlfn.IFS(E2581&lt;=16,"Children",E2581&lt;=30,"Young Adults",E2581&lt;=45,"Middle-aged Adults",E2581&gt;45,"Old Adults")</f>
        <v>Young Adults</v>
      </c>
    </row>
    <row r="2582" spans="1:11" x14ac:dyDescent="0.45">
      <c r="A2582" s="2">
        <v>2387</v>
      </c>
      <c r="B2582" s="2" t="s">
        <v>2491</v>
      </c>
      <c r="C2582" s="2" t="s">
        <v>87</v>
      </c>
      <c r="D2582" s="2" t="s">
        <v>21</v>
      </c>
      <c r="E2582" s="2">
        <v>17</v>
      </c>
      <c r="F2582" s="2">
        <v>55</v>
      </c>
      <c r="G2582" s="2">
        <v>163</v>
      </c>
      <c r="H2582" s="9">
        <f t="shared" si="40"/>
        <v>20.700816741315069</v>
      </c>
      <c r="I2582" s="2" t="str" cm="1">
        <f t="array" ref="I2582">_xlfn.IFS(F2582&gt;=100,"Over weight",F2582&lt;100,"Average weight")</f>
        <v>Average weight</v>
      </c>
      <c r="J2582" s="2" t="str" cm="1">
        <f t="array" ref="J2582">_xlfn.IFS(G2582&lt;164,"Below Average height",G2582&gt;=165,"Above Average height",G2582=164,"Average height")</f>
        <v>Below Average height</v>
      </c>
      <c r="K2582" s="2" t="str" cm="1">
        <f t="array" ref="K2582">_xlfn.IFS(E2582&lt;=16,"Children",E2582&lt;=30,"Young Adults",E2582&lt;=45,"Middle-aged Adults",E2582&gt;45,"Old Adults")</f>
        <v>Young Adults</v>
      </c>
    </row>
    <row r="2583" spans="1:11" x14ac:dyDescent="0.45">
      <c r="A2583" s="2">
        <v>2407</v>
      </c>
      <c r="B2583" s="2" t="s">
        <v>2511</v>
      </c>
      <c r="C2583" s="2" t="s">
        <v>98</v>
      </c>
      <c r="D2583" s="2" t="s">
        <v>58</v>
      </c>
      <c r="E2583" s="2">
        <v>22</v>
      </c>
      <c r="F2583" s="2">
        <v>57</v>
      </c>
      <c r="G2583" s="2">
        <v>163</v>
      </c>
      <c r="H2583" s="9">
        <f t="shared" si="40"/>
        <v>21.453573713726524</v>
      </c>
      <c r="I2583" s="2" t="str" cm="1">
        <f t="array" ref="I2583">_xlfn.IFS(F2583&gt;=100,"Over weight",F2583&lt;100,"Average weight")</f>
        <v>Average weight</v>
      </c>
      <c r="J2583" s="2" t="str" cm="1">
        <f t="array" ref="J2583">_xlfn.IFS(G2583&lt;164,"Below Average height",G2583&gt;=165,"Above Average height",G2583=164,"Average height")</f>
        <v>Below Average height</v>
      </c>
      <c r="K2583" s="2" t="str" cm="1">
        <f t="array" ref="K2583">_xlfn.IFS(E2583&lt;=16,"Children",E2583&lt;=30,"Young Adults",E2583&lt;=45,"Middle-aged Adults",E2583&gt;45,"Old Adults")</f>
        <v>Young Adults</v>
      </c>
    </row>
    <row r="2584" spans="1:11" x14ac:dyDescent="0.45">
      <c r="A2584" s="2">
        <v>2416</v>
      </c>
      <c r="B2584" s="2" t="s">
        <v>2520</v>
      </c>
      <c r="C2584" s="2" t="s">
        <v>88</v>
      </c>
      <c r="D2584" s="2" t="s">
        <v>79</v>
      </c>
      <c r="E2584" s="2">
        <v>32</v>
      </c>
      <c r="F2584" s="2">
        <v>49</v>
      </c>
      <c r="G2584" s="2">
        <v>152</v>
      </c>
      <c r="H2584" s="9">
        <f t="shared" si="40"/>
        <v>21.208448753462605</v>
      </c>
      <c r="I2584" s="2" t="str" cm="1">
        <f t="array" ref="I2584">_xlfn.IFS(F2584&gt;=100,"Over weight",F2584&lt;100,"Average weight")</f>
        <v>Average weight</v>
      </c>
      <c r="J2584" s="2" t="str" cm="1">
        <f t="array" ref="J2584">_xlfn.IFS(G2584&lt;164,"Below Average height",G2584&gt;=165,"Above Average height",G2584=164,"Average height")</f>
        <v>Below Average height</v>
      </c>
      <c r="K2584" s="2" t="str" cm="1">
        <f t="array" ref="K2584">_xlfn.IFS(E2584&lt;=16,"Children",E2584&lt;=30,"Young Adults",E2584&lt;=45,"Middle-aged Adults",E2584&gt;45,"Old Adults")</f>
        <v>Middle-aged Adults</v>
      </c>
    </row>
    <row r="2585" spans="1:11" x14ac:dyDescent="0.45">
      <c r="A2585" s="2">
        <v>2421</v>
      </c>
      <c r="B2585" s="2" t="s">
        <v>2525</v>
      </c>
      <c r="C2585" s="2" t="s">
        <v>91</v>
      </c>
      <c r="D2585" s="2" t="s">
        <v>70</v>
      </c>
      <c r="E2585" s="2">
        <v>20</v>
      </c>
      <c r="F2585" s="2">
        <v>55</v>
      </c>
      <c r="G2585" s="2">
        <v>163</v>
      </c>
      <c r="H2585" s="9">
        <f t="shared" si="40"/>
        <v>20.700816741315069</v>
      </c>
      <c r="I2585" s="2" t="str" cm="1">
        <f t="array" ref="I2585">_xlfn.IFS(F2585&gt;=100,"Over weight",F2585&lt;100,"Average weight")</f>
        <v>Average weight</v>
      </c>
      <c r="J2585" s="2" t="str" cm="1">
        <f t="array" ref="J2585">_xlfn.IFS(G2585&lt;164,"Below Average height",G2585&gt;=165,"Above Average height",G2585=164,"Average height")</f>
        <v>Below Average height</v>
      </c>
      <c r="K2585" s="2" t="str" cm="1">
        <f t="array" ref="K2585">_xlfn.IFS(E2585&lt;=16,"Children",E2585&lt;=30,"Young Adults",E2585&lt;=45,"Middle-aged Adults",E2585&gt;45,"Old Adults")</f>
        <v>Young Adults</v>
      </c>
    </row>
    <row r="2586" spans="1:11" x14ac:dyDescent="0.45">
      <c r="A2586" s="2">
        <v>2434</v>
      </c>
      <c r="B2586" s="2" t="s">
        <v>2538</v>
      </c>
      <c r="C2586" s="2" t="s">
        <v>94</v>
      </c>
      <c r="D2586" s="2" t="s">
        <v>26</v>
      </c>
      <c r="E2586" s="2">
        <v>27</v>
      </c>
      <c r="F2586" s="2">
        <v>56</v>
      </c>
      <c r="G2586" s="2">
        <v>160</v>
      </c>
      <c r="H2586" s="9">
        <f t="shared" si="40"/>
        <v>21.874999999999996</v>
      </c>
      <c r="I2586" s="2" t="str" cm="1">
        <f t="array" ref="I2586">_xlfn.IFS(F2586&gt;=100,"Over weight",F2586&lt;100,"Average weight")</f>
        <v>Average weight</v>
      </c>
      <c r="J2586" s="2" t="str" cm="1">
        <f t="array" ref="J2586">_xlfn.IFS(G2586&lt;164,"Below Average height",G2586&gt;=165,"Above Average height",G2586=164,"Average height")</f>
        <v>Below Average height</v>
      </c>
      <c r="K2586" s="2" t="str" cm="1">
        <f t="array" ref="K2586">_xlfn.IFS(E2586&lt;=16,"Children",E2586&lt;=30,"Young Adults",E2586&lt;=45,"Middle-aged Adults",E2586&gt;45,"Old Adults")</f>
        <v>Young Adults</v>
      </c>
    </row>
    <row r="2587" spans="1:11" x14ac:dyDescent="0.45">
      <c r="A2587" s="2">
        <v>2436</v>
      </c>
      <c r="B2587" s="2" t="s">
        <v>2540</v>
      </c>
      <c r="C2587" s="2" t="s">
        <v>86</v>
      </c>
      <c r="D2587" s="2" t="s">
        <v>14</v>
      </c>
      <c r="E2587" s="2">
        <v>20</v>
      </c>
      <c r="F2587" s="2">
        <v>103</v>
      </c>
      <c r="G2587" s="2">
        <v>162</v>
      </c>
      <c r="H2587" s="9">
        <f t="shared" si="40"/>
        <v>39.247065996037179</v>
      </c>
      <c r="I2587" s="2" t="str" cm="1">
        <f t="array" ref="I2587">_xlfn.IFS(F2587&gt;=100,"Over weight",F2587&lt;100,"Average weight")</f>
        <v>Over weight</v>
      </c>
      <c r="J2587" s="2" t="str" cm="1">
        <f t="array" ref="J2587">_xlfn.IFS(G2587&lt;164,"Below Average height",G2587&gt;=165,"Above Average height",G2587=164,"Average height")</f>
        <v>Below Average height</v>
      </c>
      <c r="K2587" s="2" t="str" cm="1">
        <f t="array" ref="K2587">_xlfn.IFS(E2587&lt;=16,"Children",E2587&lt;=30,"Young Adults",E2587&lt;=45,"Middle-aged Adults",E2587&gt;45,"Old Adults")</f>
        <v>Young Adults</v>
      </c>
    </row>
    <row r="2588" spans="1:11" x14ac:dyDescent="0.45">
      <c r="A2588" s="2">
        <v>2449</v>
      </c>
      <c r="B2588" s="2" t="s">
        <v>2553</v>
      </c>
      <c r="C2588" s="2" t="s">
        <v>87</v>
      </c>
      <c r="D2588" s="2" t="s">
        <v>79</v>
      </c>
      <c r="E2588" s="2">
        <v>23</v>
      </c>
      <c r="F2588" s="2">
        <v>52</v>
      </c>
      <c r="G2588" s="2">
        <v>161</v>
      </c>
      <c r="H2588" s="9">
        <f t="shared" si="40"/>
        <v>20.060954438486167</v>
      </c>
      <c r="I2588" s="2" t="str" cm="1">
        <f t="array" ref="I2588">_xlfn.IFS(F2588&gt;=100,"Over weight",F2588&lt;100,"Average weight")</f>
        <v>Average weight</v>
      </c>
      <c r="J2588" s="2" t="str" cm="1">
        <f t="array" ref="J2588">_xlfn.IFS(G2588&lt;164,"Below Average height",G2588&gt;=165,"Above Average height",G2588=164,"Average height")</f>
        <v>Below Average height</v>
      </c>
      <c r="K2588" s="2" t="str" cm="1">
        <f t="array" ref="K2588">_xlfn.IFS(E2588&lt;=16,"Children",E2588&lt;=30,"Young Adults",E2588&lt;=45,"Middle-aged Adults",E2588&gt;45,"Old Adults")</f>
        <v>Young Adults</v>
      </c>
    </row>
    <row r="2589" spans="1:11" x14ac:dyDescent="0.45">
      <c r="A2589" s="2">
        <v>2450</v>
      </c>
      <c r="B2589" s="2" t="s">
        <v>2554</v>
      </c>
      <c r="C2589" s="2" t="s">
        <v>86</v>
      </c>
      <c r="D2589" s="2" t="s">
        <v>79</v>
      </c>
      <c r="E2589" s="2">
        <v>23</v>
      </c>
      <c r="F2589" s="2">
        <v>103</v>
      </c>
      <c r="G2589" s="2">
        <v>160</v>
      </c>
      <c r="H2589" s="9">
        <f t="shared" si="40"/>
        <v>40.234374999999993</v>
      </c>
      <c r="I2589" s="2" t="str" cm="1">
        <f t="array" ref="I2589">_xlfn.IFS(F2589&gt;=100,"Over weight",F2589&lt;100,"Average weight")</f>
        <v>Over weight</v>
      </c>
      <c r="J2589" s="2" t="str" cm="1">
        <f t="array" ref="J2589">_xlfn.IFS(G2589&lt;164,"Below Average height",G2589&gt;=165,"Above Average height",G2589=164,"Average height")</f>
        <v>Below Average height</v>
      </c>
      <c r="K2589" s="2" t="str" cm="1">
        <f t="array" ref="K2589">_xlfn.IFS(E2589&lt;=16,"Children",E2589&lt;=30,"Young Adults",E2589&lt;=45,"Middle-aged Adults",E2589&gt;45,"Old Adults")</f>
        <v>Young Adults</v>
      </c>
    </row>
    <row r="2590" spans="1:11" x14ac:dyDescent="0.45">
      <c r="A2590" s="2">
        <v>2455</v>
      </c>
      <c r="B2590" s="2" t="s">
        <v>2559</v>
      </c>
      <c r="C2590" s="2" t="s">
        <v>98</v>
      </c>
      <c r="D2590" s="2" t="s">
        <v>58</v>
      </c>
      <c r="E2590" s="2">
        <v>24</v>
      </c>
      <c r="F2590" s="2">
        <v>52</v>
      </c>
      <c r="G2590" s="2">
        <v>159</v>
      </c>
      <c r="H2590" s="9">
        <f t="shared" si="40"/>
        <v>20.568806613662431</v>
      </c>
      <c r="I2590" s="2" t="str" cm="1">
        <f t="array" ref="I2590">_xlfn.IFS(F2590&gt;=100,"Over weight",F2590&lt;100,"Average weight")</f>
        <v>Average weight</v>
      </c>
      <c r="J2590" s="2" t="str" cm="1">
        <f t="array" ref="J2590">_xlfn.IFS(G2590&lt;164,"Below Average height",G2590&gt;=165,"Above Average height",G2590=164,"Average height")</f>
        <v>Below Average height</v>
      </c>
      <c r="K2590" s="2" t="str" cm="1">
        <f t="array" ref="K2590">_xlfn.IFS(E2590&lt;=16,"Children",E2590&lt;=30,"Young Adults",E2590&lt;=45,"Middle-aged Adults",E2590&gt;45,"Old Adults")</f>
        <v>Young Adults</v>
      </c>
    </row>
    <row r="2591" spans="1:11" x14ac:dyDescent="0.45">
      <c r="A2591" s="2">
        <v>2473</v>
      </c>
      <c r="B2591" s="2" t="s">
        <v>2577</v>
      </c>
      <c r="C2591" s="2" t="s">
        <v>91</v>
      </c>
      <c r="D2591" s="2" t="s">
        <v>17</v>
      </c>
      <c r="E2591" s="2">
        <v>30</v>
      </c>
      <c r="F2591" s="2">
        <v>57</v>
      </c>
      <c r="G2591" s="2">
        <v>160</v>
      </c>
      <c r="H2591" s="9">
        <f t="shared" si="40"/>
        <v>22.265624999999996</v>
      </c>
      <c r="I2591" s="2" t="str" cm="1">
        <f t="array" ref="I2591">_xlfn.IFS(F2591&gt;=100,"Over weight",F2591&lt;100,"Average weight")</f>
        <v>Average weight</v>
      </c>
      <c r="J2591" s="2" t="str" cm="1">
        <f t="array" ref="J2591">_xlfn.IFS(G2591&lt;164,"Below Average height",G2591&gt;=165,"Above Average height",G2591=164,"Average height")</f>
        <v>Below Average height</v>
      </c>
      <c r="K2591" s="2" t="str" cm="1">
        <f t="array" ref="K2591">_xlfn.IFS(E2591&lt;=16,"Children",E2591&lt;=30,"Young Adults",E2591&lt;=45,"Middle-aged Adults",E2591&gt;45,"Old Adults")</f>
        <v>Young Adults</v>
      </c>
    </row>
    <row r="2592" spans="1:11" x14ac:dyDescent="0.45">
      <c r="A2592" s="2">
        <v>2486</v>
      </c>
      <c r="B2592" s="2" t="s">
        <v>2590</v>
      </c>
      <c r="C2592" s="2" t="s">
        <v>91</v>
      </c>
      <c r="D2592" s="2" t="s">
        <v>80</v>
      </c>
      <c r="E2592" s="2">
        <v>29</v>
      </c>
      <c r="F2592" s="2">
        <v>62</v>
      </c>
      <c r="G2592" s="2">
        <v>163</v>
      </c>
      <c r="H2592" s="9">
        <f t="shared" si="40"/>
        <v>23.335466144755166</v>
      </c>
      <c r="I2592" s="2" t="str" cm="1">
        <f t="array" ref="I2592">_xlfn.IFS(F2592&gt;=100,"Over weight",F2592&lt;100,"Average weight")</f>
        <v>Average weight</v>
      </c>
      <c r="J2592" s="2" t="str" cm="1">
        <f t="array" ref="J2592">_xlfn.IFS(G2592&lt;164,"Below Average height",G2592&gt;=165,"Above Average height",G2592=164,"Average height")</f>
        <v>Below Average height</v>
      </c>
      <c r="K2592" s="2" t="str" cm="1">
        <f t="array" ref="K2592">_xlfn.IFS(E2592&lt;=16,"Children",E2592&lt;=30,"Young Adults",E2592&lt;=45,"Middle-aged Adults",E2592&gt;45,"Old Adults")</f>
        <v>Young Adults</v>
      </c>
    </row>
    <row r="2593" spans="1:11" x14ac:dyDescent="0.45">
      <c r="A2593" s="2">
        <v>2507</v>
      </c>
      <c r="B2593" s="2" t="s">
        <v>2611</v>
      </c>
      <c r="C2593" s="2" t="s">
        <v>94</v>
      </c>
      <c r="D2593" s="2" t="s">
        <v>14</v>
      </c>
      <c r="E2593" s="2">
        <v>26</v>
      </c>
      <c r="F2593" s="2">
        <v>55</v>
      </c>
      <c r="G2593" s="2">
        <v>163</v>
      </c>
      <c r="H2593" s="9">
        <f t="shared" si="40"/>
        <v>20.700816741315069</v>
      </c>
      <c r="I2593" s="2" t="str" cm="1">
        <f t="array" ref="I2593">_xlfn.IFS(F2593&gt;=100,"Over weight",F2593&lt;100,"Average weight")</f>
        <v>Average weight</v>
      </c>
      <c r="J2593" s="2" t="str" cm="1">
        <f t="array" ref="J2593">_xlfn.IFS(G2593&lt;164,"Below Average height",G2593&gt;=165,"Above Average height",G2593=164,"Average height")</f>
        <v>Below Average height</v>
      </c>
      <c r="K2593" s="2" t="str" cm="1">
        <f t="array" ref="K2593">_xlfn.IFS(E2593&lt;=16,"Children",E2593&lt;=30,"Young Adults",E2593&lt;=45,"Middle-aged Adults",E2593&gt;45,"Old Adults")</f>
        <v>Young Adults</v>
      </c>
    </row>
    <row r="2594" spans="1:11" x14ac:dyDescent="0.45">
      <c r="A2594" s="2">
        <v>2511</v>
      </c>
      <c r="B2594" s="2" t="s">
        <v>2615</v>
      </c>
      <c r="C2594" s="2" t="s">
        <v>98</v>
      </c>
      <c r="D2594" s="2" t="s">
        <v>6</v>
      </c>
      <c r="E2594" s="2">
        <v>27</v>
      </c>
      <c r="F2594" s="2">
        <v>55</v>
      </c>
      <c r="G2594" s="2">
        <v>162</v>
      </c>
      <c r="H2594" s="9">
        <f t="shared" si="40"/>
        <v>20.957171162932475</v>
      </c>
      <c r="I2594" s="2" t="str" cm="1">
        <f t="array" ref="I2594">_xlfn.IFS(F2594&gt;=100,"Over weight",F2594&lt;100,"Average weight")</f>
        <v>Average weight</v>
      </c>
      <c r="J2594" s="2" t="str" cm="1">
        <f t="array" ref="J2594">_xlfn.IFS(G2594&lt;164,"Below Average height",G2594&gt;=165,"Above Average height",G2594=164,"Average height")</f>
        <v>Below Average height</v>
      </c>
      <c r="K2594" s="2" t="str" cm="1">
        <f t="array" ref="K2594">_xlfn.IFS(E2594&lt;=16,"Children",E2594&lt;=30,"Young Adults",E2594&lt;=45,"Middle-aged Adults",E2594&gt;45,"Old Adults")</f>
        <v>Young Adults</v>
      </c>
    </row>
    <row r="2595" spans="1:11" x14ac:dyDescent="0.45">
      <c r="A2595" s="2">
        <v>2518</v>
      </c>
      <c r="B2595" s="2" t="s">
        <v>2622</v>
      </c>
      <c r="C2595" s="2" t="s">
        <v>96</v>
      </c>
      <c r="D2595" s="2" t="s">
        <v>30</v>
      </c>
      <c r="E2595" s="2">
        <v>28</v>
      </c>
      <c r="F2595" s="2">
        <v>112</v>
      </c>
      <c r="G2595" s="2">
        <v>154</v>
      </c>
      <c r="H2595" s="9">
        <f t="shared" si="40"/>
        <v>47.225501770956321</v>
      </c>
      <c r="I2595" s="2" t="str" cm="1">
        <f t="array" ref="I2595">_xlfn.IFS(F2595&gt;=100,"Over weight",F2595&lt;100,"Average weight")</f>
        <v>Over weight</v>
      </c>
      <c r="J2595" s="2" t="str" cm="1">
        <f t="array" ref="J2595">_xlfn.IFS(G2595&lt;164,"Below Average height",G2595&gt;=165,"Above Average height",G2595=164,"Average height")</f>
        <v>Below Average height</v>
      </c>
      <c r="K2595" s="2" t="str" cm="1">
        <f t="array" ref="K2595">_xlfn.IFS(E2595&lt;=16,"Children",E2595&lt;=30,"Young Adults",E2595&lt;=45,"Middle-aged Adults",E2595&gt;45,"Old Adults")</f>
        <v>Young Adults</v>
      </c>
    </row>
    <row r="2596" spans="1:11" x14ac:dyDescent="0.45">
      <c r="A2596" s="2">
        <v>2519</v>
      </c>
      <c r="B2596" s="2" t="s">
        <v>2623</v>
      </c>
      <c r="C2596" s="2" t="s">
        <v>85</v>
      </c>
      <c r="D2596" s="2" t="s">
        <v>26</v>
      </c>
      <c r="E2596" s="2">
        <v>20</v>
      </c>
      <c r="F2596" s="2">
        <v>57</v>
      </c>
      <c r="G2596" s="2">
        <v>157</v>
      </c>
      <c r="H2596" s="9">
        <f t="shared" si="40"/>
        <v>23.124670372023203</v>
      </c>
      <c r="I2596" s="2" t="str" cm="1">
        <f t="array" ref="I2596">_xlfn.IFS(F2596&gt;=100,"Over weight",F2596&lt;100,"Average weight")</f>
        <v>Average weight</v>
      </c>
      <c r="J2596" s="2" t="str" cm="1">
        <f t="array" ref="J2596">_xlfn.IFS(G2596&lt;164,"Below Average height",G2596&gt;=165,"Above Average height",G2596=164,"Average height")</f>
        <v>Below Average height</v>
      </c>
      <c r="K2596" s="2" t="str" cm="1">
        <f t="array" ref="K2596">_xlfn.IFS(E2596&lt;=16,"Children",E2596&lt;=30,"Young Adults",E2596&lt;=45,"Middle-aged Adults",E2596&gt;45,"Old Adults")</f>
        <v>Young Adults</v>
      </c>
    </row>
    <row r="2597" spans="1:11" x14ac:dyDescent="0.45">
      <c r="A2597" s="2">
        <v>2528</v>
      </c>
      <c r="B2597" s="2" t="s">
        <v>2632</v>
      </c>
      <c r="C2597" s="2" t="s">
        <v>85</v>
      </c>
      <c r="D2597" s="2" t="s">
        <v>17</v>
      </c>
      <c r="E2597" s="2">
        <v>22</v>
      </c>
      <c r="F2597" s="2">
        <v>60</v>
      </c>
      <c r="G2597" s="2">
        <v>160</v>
      </c>
      <c r="H2597" s="9">
        <f t="shared" si="40"/>
        <v>23.437499999999996</v>
      </c>
      <c r="I2597" s="2" t="str" cm="1">
        <f t="array" ref="I2597">_xlfn.IFS(F2597&gt;=100,"Over weight",F2597&lt;100,"Average weight")</f>
        <v>Average weight</v>
      </c>
      <c r="J2597" s="2" t="str" cm="1">
        <f t="array" ref="J2597">_xlfn.IFS(G2597&lt;164,"Below Average height",G2597&gt;=165,"Above Average height",G2597=164,"Average height")</f>
        <v>Below Average height</v>
      </c>
      <c r="K2597" s="2" t="str" cm="1">
        <f t="array" ref="K2597">_xlfn.IFS(E2597&lt;=16,"Children",E2597&lt;=30,"Young Adults",E2597&lt;=45,"Middle-aged Adults",E2597&gt;45,"Old Adults")</f>
        <v>Young Adults</v>
      </c>
    </row>
    <row r="2598" spans="1:11" x14ac:dyDescent="0.45">
      <c r="A2598" s="2">
        <v>2533</v>
      </c>
      <c r="B2598" s="2" t="s">
        <v>2637</v>
      </c>
      <c r="C2598" s="2" t="s">
        <v>93</v>
      </c>
      <c r="D2598" s="2" t="s">
        <v>41</v>
      </c>
      <c r="E2598" s="2">
        <v>35</v>
      </c>
      <c r="F2598" s="2">
        <v>56</v>
      </c>
      <c r="G2598" s="2">
        <v>162</v>
      </c>
      <c r="H2598" s="9">
        <f t="shared" si="40"/>
        <v>21.338210638622158</v>
      </c>
      <c r="I2598" s="2" t="str" cm="1">
        <f t="array" ref="I2598">_xlfn.IFS(F2598&gt;=100,"Over weight",F2598&lt;100,"Average weight")</f>
        <v>Average weight</v>
      </c>
      <c r="J2598" s="2" t="str" cm="1">
        <f t="array" ref="J2598">_xlfn.IFS(G2598&lt;164,"Below Average height",G2598&gt;=165,"Above Average height",G2598=164,"Average height")</f>
        <v>Below Average height</v>
      </c>
      <c r="K2598" s="2" t="str" cm="1">
        <f t="array" ref="K2598">_xlfn.IFS(E2598&lt;=16,"Children",E2598&lt;=30,"Young Adults",E2598&lt;=45,"Middle-aged Adults",E2598&gt;45,"Old Adults")</f>
        <v>Middle-aged Adults</v>
      </c>
    </row>
    <row r="2599" spans="1:11" x14ac:dyDescent="0.45">
      <c r="A2599" s="2">
        <v>2543</v>
      </c>
      <c r="B2599" s="2" t="s">
        <v>2647</v>
      </c>
      <c r="C2599" s="2" t="s">
        <v>89</v>
      </c>
      <c r="D2599" s="2" t="s">
        <v>17</v>
      </c>
      <c r="E2599" s="2">
        <v>24</v>
      </c>
      <c r="F2599" s="2">
        <v>55</v>
      </c>
      <c r="G2599" s="2">
        <v>163</v>
      </c>
      <c r="H2599" s="9">
        <f t="shared" si="40"/>
        <v>20.700816741315069</v>
      </c>
      <c r="I2599" s="2" t="str" cm="1">
        <f t="array" ref="I2599">_xlfn.IFS(F2599&gt;=100,"Over weight",F2599&lt;100,"Average weight")</f>
        <v>Average weight</v>
      </c>
      <c r="J2599" s="2" t="str" cm="1">
        <f t="array" ref="J2599">_xlfn.IFS(G2599&lt;164,"Below Average height",G2599&gt;=165,"Above Average height",G2599=164,"Average height")</f>
        <v>Below Average height</v>
      </c>
      <c r="K2599" s="2" t="str" cm="1">
        <f t="array" ref="K2599">_xlfn.IFS(E2599&lt;=16,"Children",E2599&lt;=30,"Young Adults",E2599&lt;=45,"Middle-aged Adults",E2599&gt;45,"Old Adults")</f>
        <v>Young Adults</v>
      </c>
    </row>
    <row r="2600" spans="1:11" x14ac:dyDescent="0.45">
      <c r="A2600" s="2">
        <v>2562</v>
      </c>
      <c r="B2600" s="2" t="s">
        <v>2666</v>
      </c>
      <c r="C2600" s="2" t="s">
        <v>86</v>
      </c>
      <c r="D2600" s="2" t="s">
        <v>38</v>
      </c>
      <c r="E2600" s="2">
        <v>22</v>
      </c>
      <c r="F2600" s="2">
        <v>112</v>
      </c>
      <c r="G2600" s="2">
        <v>160</v>
      </c>
      <c r="H2600" s="9">
        <f t="shared" si="40"/>
        <v>43.749999999999993</v>
      </c>
      <c r="I2600" s="2" t="str" cm="1">
        <f t="array" ref="I2600">_xlfn.IFS(F2600&gt;=100,"Over weight",F2600&lt;100,"Average weight")</f>
        <v>Over weight</v>
      </c>
      <c r="J2600" s="2" t="str" cm="1">
        <f t="array" ref="J2600">_xlfn.IFS(G2600&lt;164,"Below Average height",G2600&gt;=165,"Above Average height",G2600=164,"Average height")</f>
        <v>Below Average height</v>
      </c>
      <c r="K2600" s="2" t="str" cm="1">
        <f t="array" ref="K2600">_xlfn.IFS(E2600&lt;=16,"Children",E2600&lt;=30,"Young Adults",E2600&lt;=45,"Middle-aged Adults",E2600&gt;45,"Old Adults")</f>
        <v>Young Adults</v>
      </c>
    </row>
    <row r="2601" spans="1:11" x14ac:dyDescent="0.45">
      <c r="A2601" s="2">
        <v>2566</v>
      </c>
      <c r="B2601" s="2" t="s">
        <v>2670</v>
      </c>
      <c r="C2601" s="2" t="s">
        <v>94</v>
      </c>
      <c r="D2601" s="2" t="s">
        <v>79</v>
      </c>
      <c r="E2601" s="2">
        <v>28</v>
      </c>
      <c r="F2601" s="2">
        <v>55</v>
      </c>
      <c r="G2601" s="2">
        <v>158</v>
      </c>
      <c r="H2601" s="9">
        <f t="shared" si="40"/>
        <v>22.031725684986377</v>
      </c>
      <c r="I2601" s="2" t="str" cm="1">
        <f t="array" ref="I2601">_xlfn.IFS(F2601&gt;=100,"Over weight",F2601&lt;100,"Average weight")</f>
        <v>Average weight</v>
      </c>
      <c r="J2601" s="2" t="str" cm="1">
        <f t="array" ref="J2601">_xlfn.IFS(G2601&lt;164,"Below Average height",G2601&gt;=165,"Above Average height",G2601=164,"Average height")</f>
        <v>Below Average height</v>
      </c>
      <c r="K2601" s="2" t="str" cm="1">
        <f t="array" ref="K2601">_xlfn.IFS(E2601&lt;=16,"Children",E2601&lt;=30,"Young Adults",E2601&lt;=45,"Middle-aged Adults",E2601&gt;45,"Old Adults")</f>
        <v>Young Adults</v>
      </c>
    </row>
    <row r="2602" spans="1:11" x14ac:dyDescent="0.45">
      <c r="A2602" s="2">
        <v>2580</v>
      </c>
      <c r="B2602" s="2" t="s">
        <v>2684</v>
      </c>
      <c r="C2602" s="2" t="s">
        <v>98</v>
      </c>
      <c r="D2602" s="2" t="s">
        <v>17</v>
      </c>
      <c r="E2602" s="2">
        <v>21</v>
      </c>
      <c r="F2602" s="2">
        <v>58</v>
      </c>
      <c r="G2602" s="2">
        <v>160</v>
      </c>
      <c r="H2602" s="9">
        <f t="shared" si="40"/>
        <v>22.656249999999996</v>
      </c>
      <c r="I2602" s="2" t="str" cm="1">
        <f t="array" ref="I2602">_xlfn.IFS(F2602&gt;=100,"Over weight",F2602&lt;100,"Average weight")</f>
        <v>Average weight</v>
      </c>
      <c r="J2602" s="2" t="str" cm="1">
        <f t="array" ref="J2602">_xlfn.IFS(G2602&lt;164,"Below Average height",G2602&gt;=165,"Above Average height",G2602=164,"Average height")</f>
        <v>Below Average height</v>
      </c>
      <c r="K2602" s="2" t="str" cm="1">
        <f t="array" ref="K2602">_xlfn.IFS(E2602&lt;=16,"Children",E2602&lt;=30,"Young Adults",E2602&lt;=45,"Middle-aged Adults",E2602&gt;45,"Old Adults")</f>
        <v>Young Adults</v>
      </c>
    </row>
    <row r="2603" spans="1:11" x14ac:dyDescent="0.45">
      <c r="A2603" s="2">
        <v>2583</v>
      </c>
      <c r="B2603" s="2" t="s">
        <v>2686</v>
      </c>
      <c r="C2603" s="2" t="s">
        <v>91</v>
      </c>
      <c r="D2603" s="2" t="s">
        <v>17</v>
      </c>
      <c r="E2603" s="2">
        <v>22</v>
      </c>
      <c r="F2603" s="2">
        <v>58</v>
      </c>
      <c r="G2603" s="2">
        <v>162</v>
      </c>
      <c r="H2603" s="9">
        <f t="shared" si="40"/>
        <v>22.10028959000152</v>
      </c>
      <c r="I2603" s="2" t="str" cm="1">
        <f t="array" ref="I2603">_xlfn.IFS(F2603&gt;=100,"Over weight",F2603&lt;100,"Average weight")</f>
        <v>Average weight</v>
      </c>
      <c r="J2603" s="2" t="str" cm="1">
        <f t="array" ref="J2603">_xlfn.IFS(G2603&lt;164,"Below Average height",G2603&gt;=165,"Above Average height",G2603=164,"Average height")</f>
        <v>Below Average height</v>
      </c>
      <c r="K2603" s="2" t="str" cm="1">
        <f t="array" ref="K2603">_xlfn.IFS(E2603&lt;=16,"Children",E2603&lt;=30,"Young Adults",E2603&lt;=45,"Middle-aged Adults",E2603&gt;45,"Old Adults")</f>
        <v>Young Adults</v>
      </c>
    </row>
    <row r="2604" spans="1:11" x14ac:dyDescent="0.45">
      <c r="A2604" s="2">
        <v>2586</v>
      </c>
      <c r="B2604" s="2" t="s">
        <v>2689</v>
      </c>
      <c r="C2604" s="2" t="s">
        <v>98</v>
      </c>
      <c r="D2604" s="2" t="s">
        <v>17</v>
      </c>
      <c r="E2604" s="2">
        <v>19</v>
      </c>
      <c r="F2604" s="2">
        <v>53</v>
      </c>
      <c r="G2604" s="2">
        <v>162</v>
      </c>
      <c r="H2604" s="9">
        <f t="shared" si="40"/>
        <v>20.195092211553114</v>
      </c>
      <c r="I2604" s="2" t="str" cm="1">
        <f t="array" ref="I2604">_xlfn.IFS(F2604&gt;=100,"Over weight",F2604&lt;100,"Average weight")</f>
        <v>Average weight</v>
      </c>
      <c r="J2604" s="2" t="str" cm="1">
        <f t="array" ref="J2604">_xlfn.IFS(G2604&lt;164,"Below Average height",G2604&gt;=165,"Above Average height",G2604=164,"Average height")</f>
        <v>Below Average height</v>
      </c>
      <c r="K2604" s="2" t="str" cm="1">
        <f t="array" ref="K2604">_xlfn.IFS(E2604&lt;=16,"Children",E2604&lt;=30,"Young Adults",E2604&lt;=45,"Middle-aged Adults",E2604&gt;45,"Old Adults")</f>
        <v>Young Adults</v>
      </c>
    </row>
    <row r="2605" spans="1:11" x14ac:dyDescent="0.45">
      <c r="A2605" s="2">
        <v>2591</v>
      </c>
      <c r="B2605" s="2" t="s">
        <v>2694</v>
      </c>
      <c r="C2605" s="2" t="s">
        <v>86</v>
      </c>
      <c r="D2605" s="2" t="s">
        <v>6</v>
      </c>
      <c r="E2605" s="2">
        <v>15</v>
      </c>
      <c r="F2605" s="2">
        <v>105</v>
      </c>
      <c r="G2605" s="2">
        <v>156</v>
      </c>
      <c r="H2605" s="9">
        <f t="shared" si="40"/>
        <v>43.145956607495066</v>
      </c>
      <c r="I2605" s="2" t="str" cm="1">
        <f t="array" ref="I2605">_xlfn.IFS(F2605&gt;=100,"Over weight",F2605&lt;100,"Average weight")</f>
        <v>Over weight</v>
      </c>
      <c r="J2605" s="2" t="str" cm="1">
        <f t="array" ref="J2605">_xlfn.IFS(G2605&lt;164,"Below Average height",G2605&gt;=165,"Above Average height",G2605=164,"Average height")</f>
        <v>Below Average height</v>
      </c>
      <c r="K2605" s="2" t="str" cm="1">
        <f t="array" ref="K2605">_xlfn.IFS(E2605&lt;=16,"Children",E2605&lt;=30,"Young Adults",E2605&lt;=45,"Middle-aged Adults",E2605&gt;45,"Old Adults")</f>
        <v>Children</v>
      </c>
    </row>
    <row r="2606" spans="1:11" x14ac:dyDescent="0.45">
      <c r="A2606" s="2">
        <v>2594</v>
      </c>
      <c r="B2606" s="2" t="s">
        <v>2697</v>
      </c>
      <c r="C2606" s="2" t="s">
        <v>89</v>
      </c>
      <c r="D2606" s="2" t="s">
        <v>63</v>
      </c>
      <c r="E2606" s="2">
        <v>23</v>
      </c>
      <c r="F2606" s="2">
        <v>55</v>
      </c>
      <c r="G2606" s="2">
        <v>160</v>
      </c>
      <c r="H2606" s="9">
        <f t="shared" si="40"/>
        <v>21.484374999999996</v>
      </c>
      <c r="I2606" s="2" t="str" cm="1">
        <f t="array" ref="I2606">_xlfn.IFS(F2606&gt;=100,"Over weight",F2606&lt;100,"Average weight")</f>
        <v>Average weight</v>
      </c>
      <c r="J2606" s="2" t="str" cm="1">
        <f t="array" ref="J2606">_xlfn.IFS(G2606&lt;164,"Below Average height",G2606&gt;=165,"Above Average height",G2606=164,"Average height")</f>
        <v>Below Average height</v>
      </c>
      <c r="K2606" s="2" t="str" cm="1">
        <f t="array" ref="K2606">_xlfn.IFS(E2606&lt;=16,"Children",E2606&lt;=30,"Young Adults",E2606&lt;=45,"Middle-aged Adults",E2606&gt;45,"Old Adults")</f>
        <v>Young Adults</v>
      </c>
    </row>
    <row r="2607" spans="1:11" x14ac:dyDescent="0.45">
      <c r="A2607" s="2">
        <v>2597</v>
      </c>
      <c r="B2607" s="2" t="s">
        <v>2700</v>
      </c>
      <c r="C2607" s="2" t="s">
        <v>91</v>
      </c>
      <c r="D2607" s="2" t="s">
        <v>75</v>
      </c>
      <c r="E2607" s="2">
        <v>16</v>
      </c>
      <c r="F2607" s="2">
        <v>65</v>
      </c>
      <c r="G2607" s="2">
        <v>162</v>
      </c>
      <c r="H2607" s="9">
        <f t="shared" si="40"/>
        <v>24.767565919829291</v>
      </c>
      <c r="I2607" s="2" t="str" cm="1">
        <f t="array" ref="I2607">_xlfn.IFS(F2607&gt;=100,"Over weight",F2607&lt;100,"Average weight")</f>
        <v>Average weight</v>
      </c>
      <c r="J2607" s="2" t="str" cm="1">
        <f t="array" ref="J2607">_xlfn.IFS(G2607&lt;164,"Below Average height",G2607&gt;=165,"Above Average height",G2607=164,"Average height")</f>
        <v>Below Average height</v>
      </c>
      <c r="K2607" s="2" t="str" cm="1">
        <f t="array" ref="K2607">_xlfn.IFS(E2607&lt;=16,"Children",E2607&lt;=30,"Young Adults",E2607&lt;=45,"Middle-aged Adults",E2607&gt;45,"Old Adults")</f>
        <v>Children</v>
      </c>
    </row>
  </sheetData>
  <sortState xmlns:xlrd2="http://schemas.microsoft.com/office/spreadsheetml/2017/richdata2" ref="A2:K2607">
    <sortCondition ref="A1:A2607"/>
  </sortState>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xml version="1.0" encoding="utf-8"?>
<Structure xmlns="thqs">{"Id":"00000000-0000-0000-0000-000000000000","ParentId":null,"Name":"Root","IsExpanded":false,"Children":[]}</Structure>
</file>

<file path=customXml/itemProps1.xml><?xml version="1.0" encoding="utf-8"?>
<ds:datastoreItem xmlns:ds="http://schemas.openxmlformats.org/officeDocument/2006/customXml" ds:itemID="{3800DEAA-AAD8-4E0C-9E61-753A66850642}">
  <ds:schemaRefs>
    <ds:schemaRef ds:uri="thq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16</vt:i4>
      </vt:variant>
    </vt:vector>
  </HeadingPairs>
  <TitlesOfParts>
    <vt:vector size="16" baseType="lpstr">
      <vt:lpstr>DASHBOARD</vt:lpstr>
      <vt:lpstr>Count of Athleties Across Sport</vt:lpstr>
      <vt:lpstr>Count of Athlete Across Age Gro</vt:lpstr>
      <vt:lpstr>Sport Across Nationality</vt:lpstr>
      <vt:lpstr>WEIGHT</vt:lpstr>
      <vt:lpstr>Weight Across Age</vt:lpstr>
      <vt:lpstr>Count of Athlete Across Weight</vt:lpstr>
      <vt:lpstr>HEIGHT</vt:lpstr>
      <vt:lpstr>Height Acroos Height Level</vt:lpstr>
      <vt:lpstr>Height Across Age</vt:lpstr>
      <vt:lpstr>BMI</vt:lpstr>
      <vt:lpstr>BMI Vs AVG Weight &amp; Height</vt:lpstr>
      <vt:lpstr>Avg BMI Acroos Sport</vt:lpstr>
      <vt:lpstr>Age Across BMI</vt:lpstr>
      <vt:lpstr>ABOUT</vt:lpstr>
      <vt:lpstr>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Debra Dalgleish</dc:creator>
  <cp:lastModifiedBy>kambojtushal@gmail.com</cp:lastModifiedBy>
  <dcterms:created xsi:type="dcterms:W3CDTF">2016-07-18T15:48:58Z</dcterms:created>
  <dcterms:modified xsi:type="dcterms:W3CDTF">2025-11-21T10:04:03Z</dcterms:modified>
</cp:coreProperties>
</file>